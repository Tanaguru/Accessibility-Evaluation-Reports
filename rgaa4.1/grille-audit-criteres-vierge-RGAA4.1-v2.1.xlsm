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jmoynat\Downloads\grille rgaa4.1\"/>
    </mc:Choice>
  </mc:AlternateContent>
  <xr:revisionPtr revIDLastSave="0" documentId="13_ncr:1_{18696D0B-D033-4457-86FD-49921233BA01}" xr6:coauthVersionLast="46" xr6:coauthVersionMax="46" xr10:uidLastSave="{00000000-0000-0000-0000-000000000000}"/>
  <bookViews>
    <workbookView xWindow="28680" yWindow="-120" windowWidth="29040" windowHeight="15840" tabRatio="576" activeTab="1"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 i="8" l="1"/>
  <c r="F12" i="8"/>
  <c r="G12" i="8"/>
  <c r="H12" i="8"/>
  <c r="E13" i="8"/>
  <c r="F13" i="8"/>
  <c r="G13" i="8"/>
  <c r="H13" i="8"/>
  <c r="E14" i="8"/>
  <c r="F14" i="8"/>
  <c r="G14" i="8"/>
  <c r="H14" i="8"/>
  <c r="E15" i="8"/>
  <c r="F15" i="8"/>
  <c r="G15" i="8"/>
  <c r="H15" i="8"/>
  <c r="E16" i="8"/>
  <c r="F16" i="8"/>
  <c r="G16" i="8"/>
  <c r="H16" i="8"/>
  <c r="E17" i="8"/>
  <c r="F17" i="8"/>
  <c r="G17" i="8"/>
  <c r="H17" i="8"/>
  <c r="E18" i="8"/>
  <c r="F18" i="8"/>
  <c r="G18" i="8"/>
  <c r="H18" i="8"/>
  <c r="E19" i="8"/>
  <c r="F19" i="8"/>
  <c r="G19" i="8"/>
  <c r="H19" i="8"/>
  <c r="E20" i="8"/>
  <c r="F20" i="8"/>
  <c r="G20" i="8"/>
  <c r="H20" i="8"/>
  <c r="E21" i="8"/>
  <c r="F21" i="8"/>
  <c r="G21" i="8"/>
  <c r="H21" i="8"/>
  <c r="E22" i="8"/>
  <c r="F22" i="8"/>
  <c r="G22" i="8"/>
  <c r="H22" i="8"/>
  <c r="E23" i="8"/>
  <c r="F23" i="8"/>
  <c r="G23" i="8"/>
  <c r="H23" i="8"/>
  <c r="E24" i="8"/>
  <c r="F24" i="8"/>
  <c r="G24" i="8"/>
  <c r="H24" i="8"/>
  <c r="E25" i="8"/>
  <c r="F25" i="8"/>
  <c r="G25" i="8"/>
  <c r="H25" i="8"/>
  <c r="E26" i="8"/>
  <c r="F26" i="8"/>
  <c r="G26" i="8"/>
  <c r="H26" i="8"/>
  <c r="E27" i="8"/>
  <c r="F27" i="8"/>
  <c r="G27" i="8"/>
  <c r="H27" i="8"/>
  <c r="E28" i="8"/>
  <c r="F28" i="8"/>
  <c r="G28" i="8"/>
  <c r="H28" i="8"/>
  <c r="E29" i="8"/>
  <c r="F29" i="8"/>
  <c r="G29" i="8"/>
  <c r="H29" i="8"/>
  <c r="E30" i="8"/>
  <c r="F30" i="8"/>
  <c r="G30" i="8"/>
  <c r="H30" i="8"/>
  <c r="E31" i="8"/>
  <c r="F31" i="8"/>
  <c r="G31" i="8"/>
  <c r="H31" i="8"/>
  <c r="E32" i="8"/>
  <c r="F32" i="8"/>
  <c r="G32" i="8"/>
  <c r="H32" i="8"/>
  <c r="E33" i="8"/>
  <c r="F33" i="8"/>
  <c r="G33" i="8"/>
  <c r="H33" i="8"/>
  <c r="E34" i="8"/>
  <c r="F34" i="8"/>
  <c r="G34" i="8"/>
  <c r="H34" i="8"/>
  <c r="E35" i="8"/>
  <c r="F35" i="8"/>
  <c r="G35" i="8"/>
  <c r="H35" i="8"/>
  <c r="E36" i="8"/>
  <c r="F36" i="8"/>
  <c r="G36" i="8"/>
  <c r="H36" i="8"/>
  <c r="E37" i="8"/>
  <c r="F37" i="8"/>
  <c r="G37" i="8"/>
  <c r="H37" i="8"/>
  <c r="E38" i="8"/>
  <c r="F38" i="8"/>
  <c r="G38" i="8"/>
  <c r="H38" i="8"/>
  <c r="E39" i="8"/>
  <c r="F39" i="8"/>
  <c r="G39" i="8"/>
  <c r="H39" i="8"/>
  <c r="E40" i="8"/>
  <c r="F40" i="8"/>
  <c r="G40" i="8"/>
  <c r="H40" i="8"/>
  <c r="E41" i="8"/>
  <c r="F41" i="8"/>
  <c r="G41" i="8"/>
  <c r="H41" i="8"/>
  <c r="E42" i="8"/>
  <c r="F42" i="8"/>
  <c r="G42" i="8"/>
  <c r="H42" i="8"/>
  <c r="E43" i="8"/>
  <c r="F43" i="8"/>
  <c r="G43" i="8"/>
  <c r="H43" i="8"/>
  <c r="E44" i="8"/>
  <c r="F44" i="8"/>
  <c r="G44" i="8"/>
  <c r="H44" i="8"/>
  <c r="E45" i="8"/>
  <c r="F45" i="8"/>
  <c r="G45" i="8"/>
  <c r="H45" i="8"/>
  <c r="E46" i="8"/>
  <c r="F46" i="8"/>
  <c r="G46" i="8"/>
  <c r="H46" i="8"/>
  <c r="E47" i="8"/>
  <c r="F47" i="8"/>
  <c r="G47" i="8"/>
  <c r="H47" i="8"/>
  <c r="E48" i="8"/>
  <c r="F48" i="8"/>
  <c r="G48" i="8"/>
  <c r="H48" i="8"/>
  <c r="E49" i="8"/>
  <c r="F49" i="8"/>
  <c r="G49" i="8"/>
  <c r="H49" i="8"/>
  <c r="E50" i="8"/>
  <c r="F50" i="8"/>
  <c r="G50" i="8"/>
  <c r="H50" i="8"/>
  <c r="E51" i="8"/>
  <c r="F51" i="8"/>
  <c r="G51" i="8"/>
  <c r="H51" i="8"/>
  <c r="E52" i="8"/>
  <c r="F52" i="8"/>
  <c r="G52" i="8"/>
  <c r="H52" i="8"/>
  <c r="E53" i="8"/>
  <c r="F53" i="8"/>
  <c r="G53" i="8"/>
  <c r="H53" i="8"/>
  <c r="E54" i="8"/>
  <c r="F54" i="8"/>
  <c r="G54" i="8"/>
  <c r="H54" i="8"/>
  <c r="E55" i="8"/>
  <c r="F55" i="8"/>
  <c r="G55" i="8"/>
  <c r="H55" i="8"/>
  <c r="E56" i="8"/>
  <c r="F56" i="8"/>
  <c r="G56" i="8"/>
  <c r="H56" i="8"/>
  <c r="E57" i="8"/>
  <c r="F57" i="8"/>
  <c r="G57" i="8"/>
  <c r="H57" i="8"/>
  <c r="E58" i="8"/>
  <c r="F58" i="8"/>
  <c r="G58" i="8"/>
  <c r="H58" i="8"/>
  <c r="E59" i="8"/>
  <c r="F59" i="8"/>
  <c r="G59" i="8"/>
  <c r="H59" i="8"/>
  <c r="E60" i="8"/>
  <c r="F60" i="8"/>
  <c r="G60" i="8"/>
  <c r="H60" i="8"/>
  <c r="E61" i="8"/>
  <c r="F61" i="8"/>
  <c r="G61" i="8"/>
  <c r="H61" i="8"/>
  <c r="E62" i="8"/>
  <c r="F62" i="8"/>
  <c r="G62" i="8"/>
  <c r="H62" i="8"/>
  <c r="E63" i="8"/>
  <c r="F63" i="8"/>
  <c r="G63" i="8"/>
  <c r="H63" i="8"/>
  <c r="E64" i="8"/>
  <c r="F64" i="8"/>
  <c r="G64" i="8"/>
  <c r="H64" i="8"/>
  <c r="E65" i="8"/>
  <c r="F65" i="8"/>
  <c r="G65" i="8"/>
  <c r="H65" i="8"/>
  <c r="E66" i="8"/>
  <c r="F66" i="8"/>
  <c r="G66" i="8"/>
  <c r="H66" i="8"/>
  <c r="E67" i="8"/>
  <c r="F67" i="8"/>
  <c r="G67" i="8"/>
  <c r="H67" i="8"/>
  <c r="E68" i="8"/>
  <c r="F68" i="8"/>
  <c r="G68" i="8"/>
  <c r="H68" i="8"/>
  <c r="E69" i="8"/>
  <c r="F69" i="8"/>
  <c r="G69" i="8"/>
  <c r="H69" i="8"/>
  <c r="E70" i="8"/>
  <c r="F70" i="8"/>
  <c r="G70" i="8"/>
  <c r="H70" i="8"/>
  <c r="E71" i="8"/>
  <c r="F71" i="8"/>
  <c r="G71" i="8"/>
  <c r="H71" i="8"/>
  <c r="E72" i="8"/>
  <c r="F72" i="8"/>
  <c r="G72" i="8"/>
  <c r="H72" i="8"/>
  <c r="E73" i="8"/>
  <c r="F73" i="8"/>
  <c r="G73" i="8"/>
  <c r="H73" i="8"/>
  <c r="E74" i="8"/>
  <c r="F74" i="8"/>
  <c r="G74" i="8"/>
  <c r="H74" i="8"/>
  <c r="E75" i="8"/>
  <c r="F75" i="8"/>
  <c r="G75" i="8"/>
  <c r="H75" i="8"/>
  <c r="E76" i="8"/>
  <c r="F76" i="8"/>
  <c r="G76" i="8"/>
  <c r="H76" i="8"/>
  <c r="E77" i="8"/>
  <c r="F77" i="8"/>
  <c r="G77" i="8"/>
  <c r="H77" i="8"/>
  <c r="E78" i="8"/>
  <c r="F78" i="8"/>
  <c r="G78" i="8"/>
  <c r="H78" i="8"/>
  <c r="E79" i="8"/>
  <c r="F79" i="8"/>
  <c r="G79" i="8"/>
  <c r="H79" i="8"/>
  <c r="E80" i="8"/>
  <c r="F80" i="8"/>
  <c r="G80" i="8"/>
  <c r="H80" i="8"/>
  <c r="E81" i="8"/>
  <c r="F81" i="8"/>
  <c r="G81" i="8"/>
  <c r="H81" i="8"/>
  <c r="E82" i="8"/>
  <c r="F82" i="8"/>
  <c r="G82" i="8"/>
  <c r="H82" i="8"/>
  <c r="E83" i="8"/>
  <c r="F83" i="8"/>
  <c r="G83" i="8"/>
  <c r="H83" i="8"/>
  <c r="E84" i="8"/>
  <c r="F84" i="8"/>
  <c r="G84" i="8"/>
  <c r="H84" i="8"/>
  <c r="E85" i="8"/>
  <c r="F85" i="8"/>
  <c r="G85" i="8"/>
  <c r="H85" i="8"/>
  <c r="E86" i="8"/>
  <c r="F86" i="8"/>
  <c r="G86" i="8"/>
  <c r="H86" i="8"/>
  <c r="E87" i="8"/>
  <c r="F87" i="8"/>
  <c r="G87" i="8"/>
  <c r="H87" i="8"/>
  <c r="E88" i="8"/>
  <c r="F88" i="8"/>
  <c r="G88" i="8"/>
  <c r="H88" i="8"/>
  <c r="E89" i="8"/>
  <c r="F89" i="8"/>
  <c r="G89" i="8"/>
  <c r="H89" i="8"/>
  <c r="E90" i="8"/>
  <c r="F90" i="8"/>
  <c r="G90" i="8"/>
  <c r="H90" i="8"/>
  <c r="E91" i="8"/>
  <c r="F91" i="8"/>
  <c r="G91" i="8"/>
  <c r="H91" i="8"/>
  <c r="E92" i="8"/>
  <c r="F92" i="8"/>
  <c r="G92" i="8"/>
  <c r="H92" i="8"/>
  <c r="E93" i="8"/>
  <c r="F93" i="8"/>
  <c r="G93" i="8"/>
  <c r="H93" i="8"/>
  <c r="E94" i="8"/>
  <c r="F94" i="8"/>
  <c r="G94" i="8"/>
  <c r="H94" i="8"/>
  <c r="E95" i="8"/>
  <c r="F95" i="8"/>
  <c r="G95" i="8"/>
  <c r="H95" i="8"/>
  <c r="E96" i="8"/>
  <c r="F96" i="8"/>
  <c r="G96" i="8"/>
  <c r="H96" i="8"/>
  <c r="E97" i="8"/>
  <c r="F97" i="8"/>
  <c r="G97" i="8"/>
  <c r="H97" i="8"/>
  <c r="E98" i="8"/>
  <c r="F98" i="8"/>
  <c r="G98" i="8"/>
  <c r="H98" i="8"/>
  <c r="E99" i="8"/>
  <c r="F99" i="8"/>
  <c r="G99" i="8"/>
  <c r="H99" i="8"/>
  <c r="E100" i="8"/>
  <c r="F100" i="8"/>
  <c r="G100" i="8"/>
  <c r="H100" i="8"/>
  <c r="E101" i="8"/>
  <c r="F101" i="8"/>
  <c r="G101" i="8"/>
  <c r="H101" i="8"/>
  <c r="E102" i="8"/>
  <c r="F102" i="8"/>
  <c r="G102" i="8"/>
  <c r="H102" i="8"/>
  <c r="E103" i="8"/>
  <c r="F103" i="8"/>
  <c r="G103" i="8"/>
  <c r="H103" i="8"/>
  <c r="E104" i="8"/>
  <c r="F104" i="8"/>
  <c r="G104" i="8"/>
  <c r="H104" i="8"/>
  <c r="E105" i="8"/>
  <c r="F105" i="8"/>
  <c r="G105" i="8"/>
  <c r="H105" i="8"/>
  <c r="E106" i="8"/>
  <c r="F106" i="8"/>
  <c r="G106" i="8"/>
  <c r="H106" i="8"/>
  <c r="E107" i="8"/>
  <c r="F107" i="8"/>
  <c r="G107" i="8"/>
  <c r="H107" i="8"/>
  <c r="E2" i="8"/>
  <c r="F2" i="8"/>
  <c r="G2" i="8"/>
  <c r="H2" i="8"/>
  <c r="E3" i="8"/>
  <c r="F3" i="8"/>
  <c r="G3" i="8"/>
  <c r="H3" i="8"/>
  <c r="E4" i="8"/>
  <c r="F4" i="8"/>
  <c r="G4" i="8"/>
  <c r="H4" i="8"/>
  <c r="E5" i="8"/>
  <c r="F5" i="8"/>
  <c r="G5" i="8"/>
  <c r="H5" i="8"/>
  <c r="E6" i="8"/>
  <c r="F6" i="8"/>
  <c r="G6" i="8"/>
  <c r="H6" i="8"/>
  <c r="E7" i="8"/>
  <c r="F7" i="8"/>
  <c r="G7" i="8"/>
  <c r="H7" i="8"/>
  <c r="E8" i="8"/>
  <c r="F8" i="8"/>
  <c r="G8" i="8"/>
  <c r="H8" i="8"/>
  <c r="E9" i="8"/>
  <c r="F9" i="8"/>
  <c r="G9" i="8"/>
  <c r="H9" i="8"/>
  <c r="E10" i="8"/>
  <c r="F10" i="8"/>
  <c r="G10" i="8"/>
  <c r="H10" i="8"/>
  <c r="E11" i="8"/>
  <c r="M150" i="8" l="1"/>
  <c r="M148" i="8"/>
  <c r="M149" i="8"/>
  <c r="D107" i="8" l="1"/>
  <c r="C107" i="8"/>
  <c r="B107" i="8"/>
  <c r="D106" i="8"/>
  <c r="C106" i="8"/>
  <c r="B106" i="8"/>
  <c r="D105" i="8"/>
  <c r="C105" i="8"/>
  <c r="B105" i="8"/>
  <c r="D104" i="8"/>
  <c r="C104" i="8"/>
  <c r="B104" i="8"/>
  <c r="D103" i="8"/>
  <c r="C103" i="8"/>
  <c r="B103" i="8"/>
  <c r="D102" i="8"/>
  <c r="C102" i="8"/>
  <c r="B102" i="8"/>
  <c r="D101" i="8"/>
  <c r="C101" i="8"/>
  <c r="B101" i="8"/>
  <c r="D100" i="8"/>
  <c r="C100" i="8"/>
  <c r="B100" i="8"/>
  <c r="D99" i="8"/>
  <c r="C99" i="8"/>
  <c r="B99" i="8"/>
  <c r="D98" i="8"/>
  <c r="C98" i="8"/>
  <c r="B98" i="8"/>
  <c r="D97" i="8"/>
  <c r="C97" i="8"/>
  <c r="B97" i="8"/>
  <c r="D96" i="8"/>
  <c r="C96" i="8"/>
  <c r="B96" i="8"/>
  <c r="D95" i="8"/>
  <c r="C95" i="8"/>
  <c r="B95" i="8"/>
  <c r="D94" i="8"/>
  <c r="C94" i="8"/>
  <c r="B94" i="8"/>
  <c r="D93" i="8"/>
  <c r="C93" i="8"/>
  <c r="B93" i="8"/>
  <c r="D92" i="8"/>
  <c r="C92" i="8"/>
  <c r="B92" i="8"/>
  <c r="D91" i="8"/>
  <c r="C91" i="8"/>
  <c r="B91" i="8"/>
  <c r="D90" i="8"/>
  <c r="C90" i="8"/>
  <c r="B90" i="8"/>
  <c r="D89" i="8"/>
  <c r="C89" i="8"/>
  <c r="B89" i="8"/>
  <c r="D88" i="8"/>
  <c r="C88" i="8"/>
  <c r="B88" i="8"/>
  <c r="D87" i="8"/>
  <c r="C87" i="8"/>
  <c r="B87" i="8"/>
  <c r="D86" i="8"/>
  <c r="C86" i="8"/>
  <c r="B86" i="8"/>
  <c r="D85" i="8"/>
  <c r="C85" i="8"/>
  <c r="B85" i="8"/>
  <c r="D84" i="8"/>
  <c r="C84" i="8"/>
  <c r="B84" i="8"/>
  <c r="D83" i="8"/>
  <c r="C83" i="8"/>
  <c r="B83" i="8"/>
  <c r="D82" i="8"/>
  <c r="C82" i="8"/>
  <c r="B82" i="8"/>
  <c r="D81" i="8"/>
  <c r="C81" i="8"/>
  <c r="B81" i="8"/>
  <c r="D80" i="8"/>
  <c r="C80" i="8"/>
  <c r="B80" i="8"/>
  <c r="D79" i="8"/>
  <c r="C79" i="8"/>
  <c r="B79" i="8"/>
  <c r="D78" i="8"/>
  <c r="C78" i="8"/>
  <c r="B78" i="8"/>
  <c r="D77" i="8"/>
  <c r="C77" i="8"/>
  <c r="B77" i="8"/>
  <c r="D76" i="8"/>
  <c r="C76" i="8"/>
  <c r="B76" i="8"/>
  <c r="D75" i="8"/>
  <c r="C75" i="8"/>
  <c r="B75" i="8"/>
  <c r="D74" i="8"/>
  <c r="C74" i="8"/>
  <c r="B74" i="8"/>
  <c r="D73" i="8"/>
  <c r="C73" i="8"/>
  <c r="B73" i="8"/>
  <c r="D72" i="8"/>
  <c r="C72" i="8"/>
  <c r="B72" i="8"/>
  <c r="D71" i="8"/>
  <c r="C71" i="8"/>
  <c r="B71" i="8"/>
  <c r="D70" i="8"/>
  <c r="C70" i="8"/>
  <c r="B70" i="8"/>
  <c r="D69" i="8"/>
  <c r="C69" i="8"/>
  <c r="B69" i="8"/>
  <c r="D68" i="8"/>
  <c r="C68" i="8"/>
  <c r="B68" i="8"/>
  <c r="D67" i="8"/>
  <c r="C67" i="8"/>
  <c r="B67" i="8"/>
  <c r="D66" i="8"/>
  <c r="C66" i="8"/>
  <c r="B66" i="8"/>
  <c r="D65" i="8"/>
  <c r="C65" i="8"/>
  <c r="B65" i="8"/>
  <c r="D64" i="8"/>
  <c r="C64" i="8"/>
  <c r="B64" i="8"/>
  <c r="D63" i="8"/>
  <c r="C63" i="8"/>
  <c r="B63" i="8"/>
  <c r="D62" i="8"/>
  <c r="C62" i="8"/>
  <c r="B62" i="8"/>
  <c r="D61" i="8"/>
  <c r="C61" i="8"/>
  <c r="B61" i="8"/>
  <c r="D60" i="8"/>
  <c r="C60" i="8"/>
  <c r="B60" i="8"/>
  <c r="D59" i="8"/>
  <c r="C59" i="8"/>
  <c r="B59" i="8"/>
  <c r="D58" i="8"/>
  <c r="C58" i="8"/>
  <c r="B58" i="8"/>
  <c r="D57" i="8"/>
  <c r="C57" i="8"/>
  <c r="B57" i="8"/>
  <c r="D56" i="8"/>
  <c r="C56" i="8"/>
  <c r="B56" i="8"/>
  <c r="D55" i="8"/>
  <c r="C55" i="8"/>
  <c r="B55" i="8"/>
  <c r="D54" i="8"/>
  <c r="C54" i="8"/>
  <c r="B54" i="8"/>
  <c r="D53" i="8"/>
  <c r="C53" i="8"/>
  <c r="B53" i="8"/>
  <c r="D52" i="8"/>
  <c r="C52" i="8"/>
  <c r="B52" i="8"/>
  <c r="D51" i="8"/>
  <c r="C51" i="8"/>
  <c r="B51" i="8"/>
  <c r="D50" i="8"/>
  <c r="C50" i="8"/>
  <c r="B50" i="8"/>
  <c r="D49" i="8"/>
  <c r="C49" i="8"/>
  <c r="B49" i="8"/>
  <c r="D48" i="8"/>
  <c r="C48" i="8"/>
  <c r="B48" i="8"/>
  <c r="D47" i="8"/>
  <c r="C47" i="8"/>
  <c r="B47" i="8"/>
  <c r="D46" i="8"/>
  <c r="C46" i="8"/>
  <c r="B46" i="8"/>
  <c r="D45" i="8"/>
  <c r="C45" i="8"/>
  <c r="B45" i="8"/>
  <c r="D44" i="8"/>
  <c r="C44" i="8"/>
  <c r="B44" i="8"/>
  <c r="D43" i="8"/>
  <c r="C43" i="8"/>
  <c r="B43" i="8"/>
  <c r="D42" i="8"/>
  <c r="C42" i="8"/>
  <c r="B42" i="8"/>
  <c r="D41" i="8"/>
  <c r="C41" i="8"/>
  <c r="B41" i="8"/>
  <c r="D40" i="8"/>
  <c r="C40" i="8"/>
  <c r="B40" i="8"/>
  <c r="D39" i="8"/>
  <c r="C39" i="8"/>
  <c r="B39" i="8"/>
  <c r="D38" i="8"/>
  <c r="C38" i="8"/>
  <c r="B38" i="8"/>
  <c r="D37" i="8"/>
  <c r="C37" i="8"/>
  <c r="B37" i="8"/>
  <c r="D36" i="8"/>
  <c r="C36" i="8"/>
  <c r="B36" i="8"/>
  <c r="D35" i="8"/>
  <c r="C35" i="8"/>
  <c r="B35" i="8"/>
  <c r="D34" i="8"/>
  <c r="C34" i="8"/>
  <c r="B34" i="8"/>
  <c r="D33" i="8"/>
  <c r="C33" i="8"/>
  <c r="B33" i="8"/>
  <c r="D32" i="8"/>
  <c r="C32" i="8"/>
  <c r="B32" i="8"/>
  <c r="D31" i="8"/>
  <c r="C31" i="8"/>
  <c r="B31" i="8"/>
  <c r="D30" i="8"/>
  <c r="C30" i="8"/>
  <c r="B30" i="8"/>
  <c r="D29" i="8"/>
  <c r="C29" i="8"/>
  <c r="B29" i="8"/>
  <c r="D28" i="8"/>
  <c r="C28" i="8"/>
  <c r="B28" i="8"/>
  <c r="D27" i="8"/>
  <c r="C27" i="8"/>
  <c r="B27" i="8"/>
  <c r="D26" i="8"/>
  <c r="C26" i="8"/>
  <c r="B26" i="8"/>
  <c r="D25" i="8"/>
  <c r="C25" i="8"/>
  <c r="B25" i="8"/>
  <c r="D24" i="8"/>
  <c r="C24" i="8"/>
  <c r="B24" i="8"/>
  <c r="D23" i="8"/>
  <c r="C23" i="8"/>
  <c r="B23" i="8"/>
  <c r="D22" i="8"/>
  <c r="C22" i="8"/>
  <c r="B22" i="8"/>
  <c r="D21" i="8"/>
  <c r="C21" i="8"/>
  <c r="B21" i="8"/>
  <c r="D20" i="8"/>
  <c r="C20" i="8"/>
  <c r="B20" i="8"/>
  <c r="D19" i="8"/>
  <c r="C19" i="8"/>
  <c r="B19" i="8"/>
  <c r="D18" i="8"/>
  <c r="C18" i="8"/>
  <c r="B18" i="8"/>
  <c r="D17" i="8"/>
  <c r="C17" i="8"/>
  <c r="B17" i="8"/>
  <c r="D16" i="8"/>
  <c r="C16" i="8"/>
  <c r="B16" i="8"/>
  <c r="D15" i="8"/>
  <c r="C15" i="8"/>
  <c r="B15" i="8"/>
  <c r="D14" i="8"/>
  <c r="C14" i="8"/>
  <c r="B14" i="8"/>
  <c r="D13" i="8"/>
  <c r="C13" i="8"/>
  <c r="B13" i="8"/>
  <c r="D12" i="8"/>
  <c r="C12" i="8"/>
  <c r="B12" i="8"/>
  <c r="H11" i="8"/>
  <c r="G11" i="8"/>
  <c r="F11" i="8"/>
  <c r="D11" i="8"/>
  <c r="C11" i="8"/>
  <c r="B11" i="8"/>
  <c r="D10" i="8"/>
  <c r="C10" i="8"/>
  <c r="B10" i="8"/>
  <c r="D9" i="8"/>
  <c r="C9" i="8"/>
  <c r="B9" i="8"/>
  <c r="D8" i="8"/>
  <c r="C8" i="8"/>
  <c r="B8" i="8"/>
  <c r="D7" i="8"/>
  <c r="C7" i="8"/>
  <c r="B7" i="8"/>
  <c r="D6" i="8"/>
  <c r="C6" i="8"/>
  <c r="B6" i="8"/>
  <c r="D5" i="8"/>
  <c r="C5" i="8"/>
  <c r="D4" i="8"/>
  <c r="C4" i="8"/>
  <c r="D3" i="8"/>
  <c r="C3" i="8"/>
  <c r="D2" i="8"/>
  <c r="C2" i="8"/>
  <c r="B5" i="8"/>
  <c r="B4" i="8"/>
  <c r="B3" i="8"/>
  <c r="B2" i="8"/>
  <c r="N4" i="8" l="1"/>
  <c r="O4" i="8"/>
  <c r="P10" i="8"/>
  <c r="M10" i="8"/>
  <c r="O10" i="8"/>
  <c r="N10" i="8"/>
  <c r="M4" i="8"/>
  <c r="N8" i="8"/>
  <c r="M15" i="8"/>
  <c r="M12" i="8"/>
  <c r="O9" i="8"/>
  <c r="N14" i="8"/>
  <c r="M14" i="8"/>
  <c r="M5" i="8"/>
  <c r="P12" i="8"/>
  <c r="O13" i="8"/>
  <c r="O3" i="8"/>
  <c r="N12" i="8"/>
  <c r="N5" i="8"/>
  <c r="O15" i="8"/>
  <c r="M6" i="8"/>
  <c r="P8" i="8"/>
  <c r="P9" i="8"/>
  <c r="M11" i="8"/>
  <c r="O8" i="8"/>
  <c r="N9" i="8"/>
  <c r="M9" i="8"/>
  <c r="P3" i="8"/>
  <c r="P11" i="8"/>
  <c r="O12" i="8"/>
  <c r="N3" i="8"/>
  <c r="N11" i="8"/>
  <c r="M3" i="8"/>
  <c r="O14" i="8"/>
  <c r="M7" i="8"/>
  <c r="O6" i="8"/>
  <c r="P14" i="8"/>
  <c r="P7" i="8"/>
  <c r="P5" i="8"/>
  <c r="O7" i="8"/>
  <c r="N7" i="8"/>
  <c r="M8" i="8"/>
  <c r="P15" i="8"/>
  <c r="P6" i="8"/>
  <c r="O11" i="8"/>
  <c r="N15" i="8"/>
  <c r="N6" i="8"/>
  <c r="M13" i="8"/>
  <c r="O5" i="8"/>
  <c r="P13" i="8"/>
  <c r="N13" i="8"/>
  <c r="P4" i="8"/>
  <c r="Q63" i="8"/>
  <c r="R63" i="8"/>
  <c r="Q87" i="8"/>
  <c r="R87" i="8"/>
  <c r="Q111" i="8"/>
  <c r="R111" i="8"/>
  <c r="Q119" i="8"/>
  <c r="R119" i="8"/>
  <c r="Q127" i="8"/>
  <c r="R127" i="8"/>
  <c r="Q135" i="8"/>
  <c r="R135" i="8"/>
  <c r="Q38" i="8"/>
  <c r="R38" i="8"/>
  <c r="Q46" i="8"/>
  <c r="R46" i="8"/>
  <c r="Q54" i="8"/>
  <c r="R54" i="8"/>
  <c r="Q62" i="8"/>
  <c r="R62" i="8"/>
  <c r="Q70" i="8"/>
  <c r="R70" i="8"/>
  <c r="Q78" i="8"/>
  <c r="R78" i="8"/>
  <c r="Q86" i="8"/>
  <c r="R86" i="8"/>
  <c r="Q94" i="8"/>
  <c r="R94" i="8"/>
  <c r="Q102" i="8"/>
  <c r="R102" i="8"/>
  <c r="Q110" i="8"/>
  <c r="R110" i="8"/>
  <c r="Q118" i="8"/>
  <c r="R118" i="8"/>
  <c r="Q126" i="8"/>
  <c r="R126" i="8"/>
  <c r="Q134" i="8"/>
  <c r="R134" i="8"/>
  <c r="Q71" i="8"/>
  <c r="R71" i="8"/>
  <c r="R44" i="8"/>
  <c r="R52" i="8"/>
  <c r="R60" i="8"/>
  <c r="R68" i="8"/>
  <c r="R76" i="8"/>
  <c r="R84" i="8"/>
  <c r="R92" i="8"/>
  <c r="R100" i="8"/>
  <c r="R108" i="8"/>
  <c r="R116" i="8"/>
  <c r="R124" i="8"/>
  <c r="R132" i="8"/>
  <c r="Q47" i="8"/>
  <c r="R47" i="8"/>
  <c r="Q103" i="8"/>
  <c r="R103" i="8"/>
  <c r="Q77" i="8"/>
  <c r="R77" i="8"/>
  <c r="Q109" i="8"/>
  <c r="R109" i="8"/>
  <c r="Q117" i="8"/>
  <c r="R117" i="8"/>
  <c r="Q125" i="8"/>
  <c r="R125" i="8"/>
  <c r="Q133" i="8"/>
  <c r="R133" i="8"/>
  <c r="R36" i="8"/>
  <c r="R43" i="8"/>
  <c r="R51" i="8"/>
  <c r="R59" i="8"/>
  <c r="R67" i="8"/>
  <c r="R75" i="8"/>
  <c r="R83" i="8"/>
  <c r="R91" i="8"/>
  <c r="R99" i="8"/>
  <c r="R107" i="8"/>
  <c r="R115" i="8"/>
  <c r="R123" i="8"/>
  <c r="R131" i="8"/>
  <c r="Q139" i="8"/>
  <c r="R139" i="8"/>
  <c r="Q39" i="8"/>
  <c r="R39" i="8"/>
  <c r="Q95" i="8"/>
  <c r="R95" i="8"/>
  <c r="Q37" i="8"/>
  <c r="R37" i="8"/>
  <c r="Q61" i="8"/>
  <c r="R61" i="8"/>
  <c r="Q69" i="8"/>
  <c r="R69" i="8"/>
  <c r="Q50" i="8"/>
  <c r="R50" i="8"/>
  <c r="Q74" i="8"/>
  <c r="R74" i="8"/>
  <c r="Q82" i="8"/>
  <c r="R82" i="8"/>
  <c r="Q90" i="8"/>
  <c r="R90" i="8"/>
  <c r="Q98" i="8"/>
  <c r="R98" i="8"/>
  <c r="Q106" i="8"/>
  <c r="R106" i="8"/>
  <c r="Q114" i="8"/>
  <c r="R114" i="8"/>
  <c r="Q122" i="8"/>
  <c r="R122" i="8"/>
  <c r="Q130" i="8"/>
  <c r="R130" i="8"/>
  <c r="Q138" i="8"/>
  <c r="R138" i="8"/>
  <c r="Q55" i="8"/>
  <c r="R55" i="8"/>
  <c r="Q53" i="8"/>
  <c r="R53" i="8"/>
  <c r="Q85" i="8"/>
  <c r="R85" i="8"/>
  <c r="Q101" i="8"/>
  <c r="R101" i="8"/>
  <c r="Q42" i="8"/>
  <c r="R42" i="8"/>
  <c r="Q58" i="8"/>
  <c r="R58" i="8"/>
  <c r="R35" i="8"/>
  <c r="R41" i="8"/>
  <c r="R49" i="8"/>
  <c r="R57" i="8"/>
  <c r="R65" i="8"/>
  <c r="R73" i="8"/>
  <c r="R81" i="8"/>
  <c r="R89" i="8"/>
  <c r="R97" i="8"/>
  <c r="R105" i="8"/>
  <c r="R113" i="8"/>
  <c r="R121" i="8"/>
  <c r="R129" i="8"/>
  <c r="R137" i="8"/>
  <c r="Q79" i="8"/>
  <c r="R79" i="8"/>
  <c r="Q45" i="8"/>
  <c r="R45" i="8"/>
  <c r="Q93" i="8"/>
  <c r="R93" i="8"/>
  <c r="Q66" i="8"/>
  <c r="R66" i="8"/>
  <c r="Q40" i="8"/>
  <c r="R40" i="8"/>
  <c r="Q48" i="8"/>
  <c r="R48" i="8"/>
  <c r="Q56" i="8"/>
  <c r="R56" i="8"/>
  <c r="Q64" i="8"/>
  <c r="R64" i="8"/>
  <c r="Q72" i="8"/>
  <c r="R72" i="8"/>
  <c r="Q80" i="8"/>
  <c r="R80" i="8"/>
  <c r="Q88" i="8"/>
  <c r="R88" i="8"/>
  <c r="Q96" i="8"/>
  <c r="R96" i="8"/>
  <c r="Q104" i="8"/>
  <c r="R104" i="8"/>
  <c r="Q112" i="8"/>
  <c r="R112" i="8"/>
  <c r="Q120" i="8"/>
  <c r="R120" i="8"/>
  <c r="Q128" i="8"/>
  <c r="R128" i="8"/>
  <c r="Q136" i="8"/>
  <c r="R136" i="8"/>
  <c r="Q34" i="8"/>
  <c r="R34" i="8"/>
  <c r="Q36" i="8"/>
  <c r="Q43" i="8"/>
  <c r="Q51" i="8"/>
  <c r="Q59" i="8"/>
  <c r="Q67" i="8"/>
  <c r="Q75" i="8"/>
  <c r="Q83" i="8"/>
  <c r="Q91" i="8"/>
  <c r="Q99" i="8"/>
  <c r="Q107" i="8"/>
  <c r="Q115" i="8"/>
  <c r="Q123" i="8"/>
  <c r="Q131" i="8"/>
  <c r="Q44" i="8"/>
  <c r="Q52" i="8"/>
  <c r="Q60" i="8"/>
  <c r="Q68" i="8"/>
  <c r="Q76" i="8"/>
  <c r="Q84" i="8"/>
  <c r="Q92" i="8"/>
  <c r="Q100" i="8"/>
  <c r="Q108" i="8"/>
  <c r="Q116" i="8"/>
  <c r="Q124" i="8"/>
  <c r="Q132" i="8"/>
  <c r="Q35" i="8"/>
  <c r="Q41" i="8"/>
  <c r="Q49" i="8"/>
  <c r="Q57" i="8"/>
  <c r="Q65" i="8"/>
  <c r="Q73" i="8"/>
  <c r="Q81" i="8"/>
  <c r="Q89" i="8"/>
  <c r="Q97" i="8"/>
  <c r="Q105" i="8"/>
  <c r="Q113" i="8"/>
  <c r="Q121" i="8"/>
  <c r="Q129" i="8"/>
  <c r="Q137" i="8"/>
  <c r="O47" i="8"/>
  <c r="P47" i="8"/>
  <c r="O79" i="8"/>
  <c r="P79" i="8"/>
  <c r="O95" i="8"/>
  <c r="P95" i="8"/>
  <c r="O103" i="8"/>
  <c r="P103" i="8"/>
  <c r="O111" i="8"/>
  <c r="P111" i="8"/>
  <c r="O119" i="8"/>
  <c r="P119" i="8"/>
  <c r="O127" i="8"/>
  <c r="P127" i="8"/>
  <c r="O135" i="8"/>
  <c r="P135" i="8"/>
  <c r="O38" i="8"/>
  <c r="P38" i="8"/>
  <c r="O46" i="8"/>
  <c r="P46" i="8"/>
  <c r="O54" i="8"/>
  <c r="P54" i="8"/>
  <c r="O62" i="8"/>
  <c r="P62" i="8"/>
  <c r="O70" i="8"/>
  <c r="P70" i="8"/>
  <c r="O78" i="8"/>
  <c r="P78" i="8"/>
  <c r="O86" i="8"/>
  <c r="P86" i="8"/>
  <c r="O94" i="8"/>
  <c r="P94" i="8"/>
  <c r="O102" i="8"/>
  <c r="P102" i="8"/>
  <c r="O110" i="8"/>
  <c r="P110" i="8"/>
  <c r="O118" i="8"/>
  <c r="P118" i="8"/>
  <c r="O126" i="8"/>
  <c r="P126" i="8"/>
  <c r="O134" i="8"/>
  <c r="P134" i="8"/>
  <c r="O55" i="8"/>
  <c r="P55" i="8"/>
  <c r="O63" i="8"/>
  <c r="P63" i="8"/>
  <c r="O45" i="8"/>
  <c r="P45" i="8"/>
  <c r="O61" i="8"/>
  <c r="P61" i="8"/>
  <c r="O60" i="8"/>
  <c r="P60" i="8"/>
  <c r="O68" i="8"/>
  <c r="P68" i="8"/>
  <c r="O76" i="8"/>
  <c r="P76" i="8"/>
  <c r="O84" i="8"/>
  <c r="P84" i="8"/>
  <c r="O92" i="8"/>
  <c r="P92" i="8"/>
  <c r="O100" i="8"/>
  <c r="P100" i="8"/>
  <c r="O108" i="8"/>
  <c r="P108" i="8"/>
  <c r="O116" i="8"/>
  <c r="P116" i="8"/>
  <c r="O124" i="8"/>
  <c r="P124" i="8"/>
  <c r="O132" i="8"/>
  <c r="P132" i="8"/>
  <c r="O87" i="8"/>
  <c r="P87" i="8"/>
  <c r="O37" i="8"/>
  <c r="P37" i="8"/>
  <c r="O93" i="8"/>
  <c r="P93" i="8"/>
  <c r="O117" i="8"/>
  <c r="P117" i="8"/>
  <c r="O133" i="8"/>
  <c r="P133" i="8"/>
  <c r="O44" i="8"/>
  <c r="P44" i="8"/>
  <c r="O52" i="8"/>
  <c r="P52" i="8"/>
  <c r="O36" i="8"/>
  <c r="P36" i="8"/>
  <c r="O43" i="8"/>
  <c r="P43" i="8"/>
  <c r="O51" i="8"/>
  <c r="P51" i="8"/>
  <c r="O59" i="8"/>
  <c r="P59" i="8"/>
  <c r="O67" i="8"/>
  <c r="P67" i="8"/>
  <c r="O75" i="8"/>
  <c r="P75" i="8"/>
  <c r="O83" i="8"/>
  <c r="P83" i="8"/>
  <c r="O91" i="8"/>
  <c r="P91" i="8"/>
  <c r="O99" i="8"/>
  <c r="P99" i="8"/>
  <c r="O107" i="8"/>
  <c r="P107" i="8"/>
  <c r="O115" i="8"/>
  <c r="P115" i="8"/>
  <c r="O123" i="8"/>
  <c r="P123" i="8"/>
  <c r="O131" i="8"/>
  <c r="P131" i="8"/>
  <c r="O139" i="8"/>
  <c r="P139" i="8"/>
  <c r="O42" i="8"/>
  <c r="P42" i="8"/>
  <c r="O58" i="8"/>
  <c r="P58" i="8"/>
  <c r="O74" i="8"/>
  <c r="P74" i="8"/>
  <c r="O82" i="8"/>
  <c r="P82" i="8"/>
  <c r="O90" i="8"/>
  <c r="P90" i="8"/>
  <c r="O98" i="8"/>
  <c r="P98" i="8"/>
  <c r="O106" i="8"/>
  <c r="P106" i="8"/>
  <c r="O114" i="8"/>
  <c r="P114" i="8"/>
  <c r="O122" i="8"/>
  <c r="P122" i="8"/>
  <c r="O130" i="8"/>
  <c r="P130" i="8"/>
  <c r="O138" i="8"/>
  <c r="P138" i="8"/>
  <c r="O39" i="8"/>
  <c r="P39" i="8"/>
  <c r="O71" i="8"/>
  <c r="P71" i="8"/>
  <c r="O69" i="8"/>
  <c r="P69" i="8"/>
  <c r="O77" i="8"/>
  <c r="P77" i="8"/>
  <c r="O85" i="8"/>
  <c r="P85" i="8"/>
  <c r="O101" i="8"/>
  <c r="P101" i="8"/>
  <c r="O125" i="8"/>
  <c r="P125" i="8"/>
  <c r="O66" i="8"/>
  <c r="P66" i="8"/>
  <c r="O35" i="8"/>
  <c r="P35" i="8"/>
  <c r="O41" i="8"/>
  <c r="P41" i="8"/>
  <c r="O49" i="8"/>
  <c r="P49" i="8"/>
  <c r="O57" i="8"/>
  <c r="P57" i="8"/>
  <c r="O65" i="8"/>
  <c r="P65" i="8"/>
  <c r="O73" i="8"/>
  <c r="P73" i="8"/>
  <c r="O81" i="8"/>
  <c r="P81" i="8"/>
  <c r="O89" i="8"/>
  <c r="P89" i="8"/>
  <c r="O97" i="8"/>
  <c r="P97" i="8"/>
  <c r="O105" i="8"/>
  <c r="P105" i="8"/>
  <c r="O113" i="8"/>
  <c r="P113" i="8"/>
  <c r="O121" i="8"/>
  <c r="P121" i="8"/>
  <c r="O129" i="8"/>
  <c r="P129" i="8"/>
  <c r="O137" i="8"/>
  <c r="P137" i="8"/>
  <c r="O53" i="8"/>
  <c r="P53" i="8"/>
  <c r="O109" i="8"/>
  <c r="P109" i="8"/>
  <c r="O50" i="8"/>
  <c r="P50" i="8"/>
  <c r="O40" i="8"/>
  <c r="P40" i="8"/>
  <c r="O48" i="8"/>
  <c r="P48" i="8"/>
  <c r="O56" i="8"/>
  <c r="P56" i="8"/>
  <c r="O64" i="8"/>
  <c r="P64" i="8"/>
  <c r="O72" i="8"/>
  <c r="P72" i="8"/>
  <c r="O80" i="8"/>
  <c r="P80" i="8"/>
  <c r="O88" i="8"/>
  <c r="P88" i="8"/>
  <c r="O96" i="8"/>
  <c r="P96" i="8"/>
  <c r="O104" i="8"/>
  <c r="P104" i="8"/>
  <c r="O112" i="8"/>
  <c r="P112" i="8"/>
  <c r="O120" i="8"/>
  <c r="P120" i="8"/>
  <c r="O128" i="8"/>
  <c r="P128" i="8"/>
  <c r="O136" i="8"/>
  <c r="P136" i="8"/>
  <c r="O34" i="8"/>
  <c r="P34" i="8"/>
  <c r="I6" i="8"/>
  <c r="I10" i="8"/>
  <c r="I14" i="8"/>
  <c r="I18" i="8"/>
  <c r="I22" i="8"/>
  <c r="I26" i="8"/>
  <c r="I30" i="8"/>
  <c r="I34" i="8"/>
  <c r="I38" i="8"/>
  <c r="I42" i="8"/>
  <c r="I46" i="8"/>
  <c r="I50" i="8"/>
  <c r="I54" i="8"/>
  <c r="I58" i="8"/>
  <c r="I62" i="8"/>
  <c r="I66" i="8"/>
  <c r="I70" i="8"/>
  <c r="I74" i="8"/>
  <c r="I78" i="8"/>
  <c r="I82" i="8"/>
  <c r="I86" i="8"/>
  <c r="I90" i="8"/>
  <c r="I94" i="8"/>
  <c r="I98" i="8"/>
  <c r="I102" i="8"/>
  <c r="I106" i="8"/>
  <c r="I2" i="8"/>
  <c r="I5" i="8"/>
  <c r="I9" i="8"/>
  <c r="I13" i="8"/>
  <c r="I17" i="8"/>
  <c r="I21" i="8"/>
  <c r="I25" i="8"/>
  <c r="I29" i="8"/>
  <c r="I33" i="8"/>
  <c r="I37" i="8"/>
  <c r="I41" i="8"/>
  <c r="I45" i="8"/>
  <c r="I49" i="8"/>
  <c r="I53" i="8"/>
  <c r="I57" i="8"/>
  <c r="I61" i="8"/>
  <c r="I65" i="8"/>
  <c r="I69" i="8"/>
  <c r="I73" i="8"/>
  <c r="I77" i="8"/>
  <c r="I81" i="8"/>
  <c r="I85" i="8"/>
  <c r="I89" i="8"/>
  <c r="I93" i="8"/>
  <c r="I97" i="8"/>
  <c r="I101" i="8"/>
  <c r="I105" i="8"/>
  <c r="I4" i="8"/>
  <c r="I8" i="8"/>
  <c r="I12" i="8"/>
  <c r="I16" i="8"/>
  <c r="I20" i="8"/>
  <c r="I24" i="8"/>
  <c r="I28" i="8"/>
  <c r="I32" i="8"/>
  <c r="I36" i="8"/>
  <c r="I40" i="8"/>
  <c r="I44" i="8"/>
  <c r="I48" i="8"/>
  <c r="I52" i="8"/>
  <c r="I56" i="8"/>
  <c r="I60" i="8"/>
  <c r="I64" i="8"/>
  <c r="I68" i="8"/>
  <c r="I72" i="8"/>
  <c r="I76" i="8"/>
  <c r="I80" i="8"/>
  <c r="I84" i="8"/>
  <c r="I88" i="8"/>
  <c r="I92" i="8"/>
  <c r="I96" i="8"/>
  <c r="I100" i="8"/>
  <c r="I104" i="8"/>
  <c r="I3" i="8"/>
  <c r="I7" i="8"/>
  <c r="I11" i="8"/>
  <c r="I15" i="8"/>
  <c r="I19" i="8"/>
  <c r="I23" i="8"/>
  <c r="I27" i="8"/>
  <c r="I31" i="8"/>
  <c r="I35" i="8"/>
  <c r="I39" i="8"/>
  <c r="I43" i="8"/>
  <c r="I47" i="8"/>
  <c r="I51" i="8"/>
  <c r="I55" i="8"/>
  <c r="I59" i="8"/>
  <c r="I63" i="8"/>
  <c r="I67" i="8"/>
  <c r="I71" i="8"/>
  <c r="I75" i="8"/>
  <c r="I79" i="8"/>
  <c r="I83" i="8"/>
  <c r="I87" i="8"/>
  <c r="I91" i="8"/>
  <c r="I95" i="8"/>
  <c r="I99" i="8"/>
  <c r="I103" i="8"/>
  <c r="I107" i="8"/>
  <c r="A1" i="1"/>
  <c r="O140" i="8" l="1"/>
  <c r="O144" i="8"/>
  <c r="O142" i="8"/>
  <c r="O143" i="8"/>
  <c r="O145" i="8"/>
  <c r="Q140" i="8"/>
  <c r="P140" i="8"/>
  <c r="Q29" i="8"/>
  <c r="Q28" i="8"/>
  <c r="M29" i="8"/>
  <c r="M28" i="8"/>
  <c r="P29" i="8"/>
  <c r="O28" i="8"/>
  <c r="O29" i="8"/>
  <c r="P28" i="8"/>
  <c r="N28" i="8"/>
  <c r="N29" i="8"/>
  <c r="G117" i="1"/>
  <c r="O141" i="8" l="1"/>
  <c r="P141" i="8"/>
  <c r="O30" i="8"/>
  <c r="P30" i="8"/>
  <c r="N30" i="8"/>
  <c r="Q30" i="8"/>
  <c r="M30" i="8"/>
  <c r="AG9" i="8"/>
  <c r="AG8" i="8"/>
  <c r="AG7" i="8"/>
  <c r="AG6" i="8"/>
  <c r="AG5" i="8"/>
  <c r="AG4" i="8"/>
  <c r="AG3" i="8"/>
  <c r="AG2" i="8"/>
  <c r="AG10" i="8" l="1"/>
  <c r="AG14" i="8" s="1"/>
  <c r="AF9" i="8"/>
  <c r="AF4" i="8"/>
  <c r="AF5" i="8"/>
  <c r="AF6" i="8"/>
  <c r="AF7" i="8"/>
  <c r="AF8" i="8"/>
  <c r="AF3" i="8"/>
  <c r="AG13" i="8"/>
  <c r="AF2" i="8"/>
  <c r="AG11" i="8"/>
  <c r="AG16" i="8"/>
  <c r="G7" i="1"/>
  <c r="AG15" i="8" l="1"/>
  <c r="AF10" i="8"/>
  <c r="AF11" i="8"/>
  <c r="I117" i="1"/>
  <c r="H117" i="1"/>
  <c r="M145" i="8" l="1"/>
  <c r="M144" i="8"/>
  <c r="M143" i="8"/>
  <c r="H110" i="2" l="1"/>
  <c r="M117" i="1" l="1"/>
  <c r="J117" i="1" l="1"/>
  <c r="L117" i="1"/>
  <c r="K117" i="1"/>
  <c r="M151" i="8" l="1"/>
  <c r="M142" i="8"/>
  <c r="P117" i="1" l="1"/>
  <c r="O117" i="1"/>
  <c r="N117" i="1"/>
  <c r="G6" i="1" l="1"/>
  <c r="N23" i="8" l="1"/>
  <c r="N22" i="8"/>
  <c r="M23" i="8" l="1"/>
  <c r="M22" i="8"/>
  <c r="R140" i="8"/>
  <c r="P142" i="8"/>
  <c r="P148" i="8" s="1"/>
  <c r="P144" i="8"/>
  <c r="P143" i="8"/>
  <c r="P149" i="8" s="1"/>
  <c r="P145" i="8"/>
  <c r="P150" i="8" l="1"/>
  <c r="P151" i="8"/>
  <c r="Q143" i="8"/>
  <c r="Q142" i="8"/>
  <c r="Q145" i="8"/>
  <c r="Q144" i="8"/>
  <c r="P152" i="8"/>
  <c r="A5" i="1"/>
  <c r="O17" i="8"/>
  <c r="N17" i="8"/>
  <c r="P17" i="8"/>
  <c r="M17" i="8"/>
  <c r="M18" i="8" l="1"/>
  <c r="N18" i="8"/>
  <c r="G2" i="9"/>
  <c r="G5" i="1" l="1"/>
  <c r="G4" i="1"/>
  <c r="G3" i="1"/>
  <c r="M146" i="8"/>
</calcChain>
</file>

<file path=xl/sharedStrings.xml><?xml version="1.0" encoding="utf-8"?>
<sst xmlns="http://schemas.openxmlformats.org/spreadsheetml/2006/main" count="2679" uniqueCount="696">
  <si>
    <t>Thématique</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</si>
  <si>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</si>
  <si>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</si>
  <si>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</si>
  <si>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</si>
  <si>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</si>
  <si>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</si>
  <si>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</si>
  <si>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</si>
  <si>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</si>
  <si>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</si>
  <si>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</si>
  <si>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</si>
  <si>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</si>
  <si>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</si>
  <si>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</si>
  <si>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</si>
  <si>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</si>
  <si>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</si>
  <si>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</si>
  <si>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</si>
  <si>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</si>
  <si>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</si>
  <si>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</si>
  <si>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</si>
  <si>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</si>
  <si>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</si>
  <si>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</si>
  <si>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</si>
  <si>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</si>
  <si>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</si>
  <si>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</si>
  <si>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</si>
  <si>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</si>
  <si>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</si>
  <si>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</si>
  <si>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</si>
  <si>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</si>
  <si>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</si>
  <si>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</si>
  <si>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</si>
  <si>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</si>
  <si>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</si>
  <si>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</si>
  <si>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</si>
  <si>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</si>
  <si>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</si>
  <si>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</si>
  <si>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</si>
  <si>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</si>
  <si>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</si>
  <si>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</si>
  <si>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</si>
  <si>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</si>
  <si>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</si>
  <si>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</si>
  <si>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</si>
  <si>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</si>
  <si>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</si>
  <si>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</si>
  <si>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</si>
  <si>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</si>
  <si>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</si>
  <si>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</si>
  <si>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</si>
  <si>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</si>
  <si>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</si>
  <si>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</si>
  <si>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</si>
  <si>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</si>
  <si>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</si>
  <si>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</si>
  <si>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</si>
  <si>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</si>
  <si>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</si>
  <si>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</si>
  <si>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</si>
  <si>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</si>
  <si>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</si>
  <si>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</si>
  <si>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</si>
  <si>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</si>
  <si>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</si>
  <si>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</si>
  <si>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</si>
  <si>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</si>
  <si>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</si>
  <si>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</si>
  <si>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</si>
  <si>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</si>
  <si>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</si>
  <si>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</si>
  <si>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</si>
  <si>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</si>
  <si>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</si>
  <si>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</si>
  <si>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</si>
  <si>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</si>
  <si>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</si>
  <si>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</si>
  <si>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</si>
  <si>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</si>
  <si>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</si>
  <si>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</si>
  <si>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</si>
  <si>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</si>
  <si>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</si>
  <si>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</si>
  <si>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</si>
  <si>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</si>
  <si>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</si>
  <si>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</si>
  <si>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</si>
  <si>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</si>
  <si>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</si>
  <si>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</si>
  <si>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</si>
  <si>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</si>
  <si>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</si>
  <si>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</si>
  <si>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</si>
  <si>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</si>
  <si>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</si>
  <si>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</si>
  <si>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</si>
  <si>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</si>
  <si>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</si>
  <si>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</si>
  <si>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</si>
  <si>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</si>
  <si>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</si>
  <si>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</si>
  <si>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</si>
  <si>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</si>
  <si>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</si>
  <si>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</si>
  <si>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</si>
  <si>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</si>
  <si>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</si>
  <si>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</si>
  <si>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</si>
  <si>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</si>
  <si>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</si>
  <si>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</si>
  <si>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</si>
  <si>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</si>
  <si>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</si>
  <si>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</si>
  <si>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</si>
  <si>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</si>
  <si>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</si>
  <si>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</si>
  <si>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</si>
  <si>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</si>
  <si>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</si>
  <si>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</si>
  <si>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</si>
  <si>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</si>
  <si>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</si>
  <si>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</si>
  <si>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</si>
  <si>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</si>
  <si>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</si>
  <si>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</si>
  <si>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</si>
  <si>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</si>
  <si>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</si>
  <si>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</si>
  <si>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</si>
  <si>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</si>
  <si>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</si>
  <si>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</si>
  <si>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</si>
  <si>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</si>
  <si>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</si>
  <si>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</si>
  <si>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</si>
  <si>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</si>
  <si>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</si>
  <si>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</si>
  <si>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</si>
  <si>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</si>
  <si>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</si>
  <si>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</si>
  <si>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</si>
  <si>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</si>
  <si>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</si>
  <si>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</si>
  <si>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</si>
  <si>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</si>
  <si>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</si>
  <si>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</si>
  <si>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</si>
  <si>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</si>
  <si>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</si>
  <si>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</si>
  <si>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</si>
  <si>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</si>
  <si>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</si>
  <si>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</si>
  <si>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</si>
  <si>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</si>
  <si>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</si>
  <si>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</si>
  <si>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</si>
  <si>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</si>
  <si>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</si>
  <si>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</si>
  <si>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</si>
  <si>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</si>
  <si>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</si>
  <si>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</si>
  <si>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</si>
  <si>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</si>
  <si>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</si>
  <si>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</si>
  <si>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</si>
  <si>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</si>
  <si>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</si>
  <si>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</si>
  <si>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</si>
  <si>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</si>
  <si>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</si>
  <si>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</si>
  <si>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</si>
  <si>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</si>
  <si>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</si>
  <si>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</si>
  <si>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</si>
  <si>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</si>
  <si>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</si>
  <si>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</si>
  <si>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</si>
  <si>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Pour chaque tableau de données, chaque en-tête de colonnes et chaque en-tête de lignes sont-ils correctement déclarés ?</t>
  </si>
  <si>
    <t>Liens</t>
  </si>
  <si>
    <t>Éléments Obligatoires</t>
  </si>
  <si>
    <t>Structuration de l'information</t>
  </si>
  <si>
    <t>Présentation de l'information</t>
  </si>
  <si>
    <t>Chaque ensemble de pages dispose-t-il de deux systèmes de navigation différents, au moins (hors cas particuliers) ?</t>
  </si>
  <si>
    <t>Dans chaque ensemble de pages, le moteur de recherche est-il atteignable de manière identique ?</t>
  </si>
  <si>
    <t>Consultation</t>
  </si>
  <si>
    <t>Pour chaque document bureautique ayant une version accessible, cette version offre-t-elle la même information ?</t>
  </si>
  <si>
    <t>XX/XX/20XX</t>
  </si>
  <si>
    <t>Niv 1</t>
  </si>
  <si>
    <t>Niv 2</t>
  </si>
  <si>
    <t>Niv 3</t>
  </si>
  <si>
    <t>Niv 5</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</si>
  <si>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</si>
  <si>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</si>
  <si>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</si>
  <si>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</si>
  <si>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</si>
  <si>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</si>
  <si>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</si>
  <si>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</si>
  <si>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</si>
  <si>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</si>
  <si>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</si>
  <si>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</si>
  <si>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</si>
  <si>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</si>
  <si>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</si>
  <si>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</si>
  <si>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</si>
  <si>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</si>
  <si>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</si>
  <si>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</si>
  <si>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</si>
  <si>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</si>
  <si>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</si>
  <si>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</si>
  <si>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</si>
  <si>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</si>
  <si>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</si>
  <si>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</si>
  <si>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</si>
  <si>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</si>
  <si>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</si>
  <si>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</si>
  <si>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</si>
  <si>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</si>
  <si>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</si>
  <si>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</si>
  <si>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</si>
  <si>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</si>
  <si>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</si>
  <si>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</si>
  <si>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</si>
  <si>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</si>
  <si>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</si>
  <si>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</si>
  <si>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</si>
  <si>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</si>
  <si>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</si>
  <si>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</si>
  <si>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</si>
  <si>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</si>
  <si>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</si>
  <si>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</si>
  <si>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</si>
  <si>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</si>
  <si>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</si>
  <si>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</si>
  <si>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</si>
  <si>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</si>
  <si>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</si>
  <si>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</si>
  <si>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</si>
  <si>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</si>
  <si>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</si>
  <si>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</si>
  <si>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</si>
  <si>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</si>
  <si>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</si>
  <si>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</si>
  <si>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</si>
  <si>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</si>
  <si>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</si>
  <si>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</si>
  <si>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</si>
  <si>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</si>
  <si>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</si>
  <si>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</si>
  <si>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</si>
  <si>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</si>
  <si>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</si>
  <si>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</si>
  <si>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</si>
  <si>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</si>
  <si>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</si>
  <si>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</si>
  <si>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</si>
  <si>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</si>
  <si>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</si>
  <si>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</si>
  <si>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</si>
  <si>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</si>
  <si>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</si>
  <si>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</si>
  <si>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</si>
  <si>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</si>
  <si>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</si>
  <si>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</si>
  <si>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</si>
  <si>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</si>
  <si>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</si>
  <si>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</si>
  <si>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</si>
  <si>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</si>
  <si>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</si>
  <si>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</si>
  <si>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</si>
  <si>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</si>
  <si>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</si>
  <si>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</si>
  <si>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</si>
  <si>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</si>
  <si>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</si>
  <si>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</si>
  <si>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</si>
  <si>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</si>
  <si>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</si>
  <si>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</si>
  <si>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</si>
  <si>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</si>
  <si>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</si>
  <si>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</si>
  <si>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</si>
  <si>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</si>
  <si>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</si>
  <si>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</si>
  <si>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</si>
  <si>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</si>
  <si>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</si>
  <si>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</si>
  <si>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</si>
  <si>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</si>
  <si>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</si>
  <si>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</si>
  <si>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</si>
  <si>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</si>
  <si>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</si>
  <si>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</si>
  <si>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</si>
  <si>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</si>
  <si>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</si>
  <si>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</si>
  <si>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</si>
  <si>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</si>
  <si>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</si>
  <si>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</si>
  <si>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</si>
  <si>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</si>
  <si>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</si>
  <si>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</si>
  <si>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</si>
  <si>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</si>
  <si>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</si>
  <si>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</si>
  <si>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</si>
  <si>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</si>
  <si>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</si>
  <si>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</si>
  <si>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</si>
  <si>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</si>
  <si>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</si>
  <si>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</si>
  <si>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</si>
  <si>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</si>
  <si>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</si>
  <si>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</si>
  <si>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</si>
  <si>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</si>
  <si>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</si>
  <si>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</si>
  <si>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</si>
  <si>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</si>
  <si>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</si>
  <si>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</si>
  <si>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</si>
  <si>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</si>
  <si>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cadre a-t-il un titre de cadre ?</t>
  </si>
  <si>
    <t>Pour chaque cadre ayant un titre de cadre, ce titre de cadre est-il pertinent ?</t>
  </si>
  <si>
    <t>Dans chaque page web, le code de langue de chaque changement de langue est-il valide et pertinent ?</t>
  </si>
  <si>
    <t>Pour chaque page web, les contenus cachés ont-ils vocation à être ignorés par les technologies d'assistance ?</t>
  </si>
  <si>
    <t>Dans chaque page web, les contenus additionnels apparaissant via les styles CSS uniquement peuvent-ils être rendus visibles au clavier et par tout dispositif de pointage ?</t>
  </si>
  <si>
    <t>Dans chaque formulaire, chaque étiquette de champ et son champ associé sont-ils accolés (hors cas particuliers) ?</t>
  </si>
  <si>
    <t>Dans chaque formulaire, chaque légende associée à un regroupement de champs de même nature est-elle pertinente ?</t>
  </si>
  <si>
    <t>Conformité label e-accessible</t>
  </si>
  <si>
    <t>Calcul de la conformité RGAA par critères</t>
  </si>
  <si>
    <t>Données de conformité</t>
  </si>
  <si>
    <t>Chaque image porteuse d'information a-t-elle une alternative textuelle ?</t>
  </si>
  <si>
    <t>Chaque image de décoration est-elle correctement ignorée par les technologies d'assistance ?</t>
  </si>
  <si>
    <t>Pour chaque image porteuse d'information ayant une alternative textuelle, cette alternative est-elle pertinente (hors cas particuliers) ?</t>
  </si>
  <si>
    <t>Pour chaque image utilisée comme CAPTCHA, une solution d'accès alternatif au contenu ou à la fonction du CAPTCHA est-elle présente ?</t>
  </si>
  <si>
    <t>Chaque image porteuse d'information a-t-elle, si nécessaire, une description détaillée ?</t>
  </si>
  <si>
    <t>Pour chaque image porteuse d'information ayant une description détaillée, cette description est-elle pertinente ?</t>
  </si>
  <si>
    <t>Chaque image texte porteuse d'information, en l'absence d'un mécanisme de remplacement, doit si possible être remplacée par du texte stylé. Cette règle est-elle respectée (hors cas particuliers) ?</t>
  </si>
  <si>
    <t>Chaque légende d'image est-elle, si nécessaire, correctement reliée à l'image correspondante ?</t>
  </si>
  <si>
    <t>Dans chaque page web, l'information ne doit pas être donnée uniquement par la couleur. Cette règle est-elle respectée ?</t>
  </si>
  <si>
    <t>Dans chaque page web, le contraste entre la couleur du texte et la couleur de son arrière-plan est-il suffisamment élevé (hors cas particuliers) ?</t>
  </si>
  <si>
    <t>Dans chaque page web, les couleurs utilisées dans les composants d'interface ou les éléments graphiques porteurs d'informations sont-elles suffisamment contrastées (hors cas particuliers) ?</t>
  </si>
  <si>
    <t>Chaque média temporel pré-enregistré a-t-il, si nécessaire, une transcription textuelle ou une audiodescription (hors cas particuliers) ?</t>
  </si>
  <si>
    <t>Pour chaque média temporel pré-enregistré ayant une transcription textuelle ou une audiodescription synchronisée, celles-ci sont-elles pertinentes (hors cas particuliers) ?</t>
  </si>
  <si>
    <t>Chaque média temporel synchronisé pré-enregistré a-t-il, si nécessaire, des sous-titres synchronisés (hors cas particuliers) ?</t>
  </si>
  <si>
    <t>Pour chaque média temporel synchronisé pré-enregistré ayant des sous-titres synchronisés, ces sous-titres sont-ils pertinents ?</t>
  </si>
  <si>
    <t>Chaque média temporel pré-enregistré a-t-il, si nécessaire, une audiodescription synchronisée (hors cas particuliers) ?</t>
  </si>
  <si>
    <t>Pour chaque média temporel pré-enregistré ayant une audiodescription synchronisée, celle-ci est-elle pertinente ?</t>
  </si>
  <si>
    <t>Chaque média temporel est-il clairement identifiable (hors cas particuliers) ?</t>
  </si>
  <si>
    <t>Chaque média non temporel a-t-il, si nécessaire, une alternative (hors cas particuliers) ?</t>
  </si>
  <si>
    <t>Pour chaque média non temporel ayant une alternative, cette alternative est-elle pertinente ?</t>
  </si>
  <si>
    <t>Chaque son déclenché automatiquement est-il contrôlable par l'utilisateur ?</t>
  </si>
  <si>
    <t>La consultation de chaque média temporel est-elle, si nécessaire, contrôlable par le clavier et tout dispositif de pointage ?</t>
  </si>
  <si>
    <t>La consultation de chaque média non temporel est-elle contrôlable par le clavier et tout dispositif de pointage ?</t>
  </si>
  <si>
    <t>Chaque média temporel et non temporel est-il compatible avec les technologies d'assistance (hors cas particuliers) ?</t>
  </si>
  <si>
    <t>Chaque tableau de données complexe a-t-il un résumé ?</t>
  </si>
  <si>
    <t>Pour chaque tableau de données complexe ayant un résumé, celui-ci est-il pertinent ?</t>
  </si>
  <si>
    <t>Pour chaque tableau de données ayant un titre, le titre est-il correctement associé au tableau de données ?</t>
  </si>
  <si>
    <t>Pour chaque tableau de données ayant un titre, celui-ci est-il pertinent ?</t>
  </si>
  <si>
    <t>Pour chaque tableau de données, la technique appropriée permettant d'associer chaque cellule avec ses en-têtes est-elle utilisée (hors cas particuliers) ?</t>
  </si>
  <si>
    <t>Chaque tableau de mise en forme ne doit pas utiliser d'éléments propres aux tableaux de données. Cette règle est-elle respectée ?</t>
  </si>
  <si>
    <t>Chaque script est-il, si nécessaire, compatible avec les technologies d'assistance ?</t>
  </si>
  <si>
    <t>Pour chaque script ayant une alternative, cette alternative est-elle pertinente ?</t>
  </si>
  <si>
    <t>Chaque script est-il contrôlable par le clavier et par tout dispositif de pointage (hors cas particuliers) ?</t>
  </si>
  <si>
    <t>Pour chaque script qui initie un changement de contexte, l'utilisateur est-il averti ou en a-t-il le contrôle ?</t>
  </si>
  <si>
    <t>Dans chaque page web, les messages de statut sont-ils correctement restitués par les technologies d'assistance ?</t>
  </si>
  <si>
    <t>Chaque page web est-elle définie par un type de document ?</t>
  </si>
  <si>
    <t>Dans chaque page web, la langue par défaut est-elle présente ?</t>
  </si>
  <si>
    <t>Pour chaque page web ayant une langue par défaut, le code de langue est-il pertinent ?</t>
  </si>
  <si>
    <t>Chaque page web a-t-elle un titre de page ?</t>
  </si>
  <si>
    <t>Pour chaque page web ayant un titre de page, ce titre est-il pertinent ?</t>
  </si>
  <si>
    <t>Dans chaque page web, chaque changement de langue est-il indiqué dans le code source (hors cas particuliers) ?</t>
  </si>
  <si>
    <t>Dans chaque page web, les balises ne doivent pas être utilisées uniquement à des fins de présentation. Cette règle est-elle respectée ?</t>
  </si>
  <si>
    <t>Dans chaque page web, les changements du sens de lecture sont-ils signalés ?</t>
  </si>
  <si>
    <t>Dans chaque page web, l'information est-elle structurée par l'utilisation appropriée de titres ?</t>
  </si>
  <si>
    <t>Dans chaque page web, la structure du document est-elle cohérente (hors cas particuliers) ?</t>
  </si>
  <si>
    <t>Dans chaque page web, chaque liste est-elle correctement structurée ?</t>
  </si>
  <si>
    <t>Dans chaque page web, chaque citation est-elle correctement indiquée ?</t>
  </si>
  <si>
    <t>Dans le site web, des feuilles de style sont-elles utilisées pour contrôler la présentation de l'information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</si>
  <si>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</si>
  <si>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</si>
  <si>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chaque page web, les déclarations CSS de couleurs de fond d'élément et de police sont-elles correctement utilisées ?</t>
  </si>
  <si>
    <t>Dans chaque page web, chaque lien dont la nature n'est pas évidente est-il visible par rapport au texte environnant ?</t>
  </si>
  <si>
    <t>Dans chaque page web, pour chaque élément recevant le focus, la prise de focus est-elle visible ?</t>
  </si>
  <si>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</si>
  <si>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</si>
  <si>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les propriétés d'espacement du texte peuvent-elles être redéfinies par l'utilisateur sans perte de contenu ou de fonctionnalité (hors cas particuliers) ?</t>
  </si>
  <si>
    <t>Dans chaque page web, les contenus additionnels apparaissant à la prise de focus ou au survol d'un composant d'interface sont-ils contrôlables par l'utilisateur (hors cas particuliers) ?</t>
  </si>
  <si>
    <t>Chaque champ de formulaire a-t-il une étiquette ?</t>
  </si>
  <si>
    <t>Chaque étiquette associée à un champ de formulaire est-elle pertinente (hors cas particuliers) ?</t>
  </si>
  <si>
    <t>Dans chaque formulaire, les champs de même nature sont-ils regroupés, si nécessaire ?</t>
  </si>
  <si>
    <t>Dans chaque formulaire, les items de même nature d'une liste de choix sont-ils regroupés de manière pertinente ?</t>
  </si>
  <si>
    <t>Dans chaque formulaire, l'intitulé de chaque bouton est-il pertinent (hors cas particuliers) ?</t>
  </si>
  <si>
    <t>Dans chaque formulaire, le contrôle de saisie est-il utilisé de manière pertinente (hors cas particuliers) ?</t>
  </si>
  <si>
    <t>Dans chaque formulaire, le contrôle de saisie est-il accompagné, si nécessaire, de suggestions facilitant la correction des erreurs de saisie ?</t>
  </si>
  <si>
    <t>La finalité d'un champ de saisie peut-elle être déduite pour faciliter le remplissage automatique des champs avec les données de l'utilisateur ?</t>
  </si>
  <si>
    <t>Dans chaque ensemble de pages, le menu et les barres de navigation sont-ils toujours à la même place (hors cas particuliers) ?</t>
  </si>
  <si>
    <t>La page « plan du site » est-elle pertinente ?</t>
  </si>
  <si>
    <t>Dans chaque ensemble de pages, la page « plan du site » est-elle atteignable de manière identique ?</t>
  </si>
  <si>
    <t>Les zones de regroupement de contenus présentes dans plusieurs pages web (zones d'en-tête, de navigation principale, de contenu principal, de pied de page et de moteur de recherche) peuvent-elles être atteintes ou évitées ?</t>
  </si>
  <si>
    <t>Dans chaque page web, un lien d'évitement ou d'accès rapide à la zone de contenu principal est-il présent (hors cas particuliers) ?</t>
  </si>
  <si>
    <t>Dans chaque page web, l'ordre de tabulation est-il cohérent ?</t>
  </si>
  <si>
    <t>Dans chaque page web, la navigation ne doit pas contenir de piège au clavier. Cette règle est-elle respectée ?</t>
  </si>
  <si>
    <t>Dans chaque page web, les raccourcis clavier n'utilisant qu'une seule touche (lettre minuscule ou majuscule, ponctuation, chiffre ou symbole) sont-ils contrôlables par l’utilisateur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</si>
  <si>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</si>
  <si>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</si>
  <si>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</si>
  <si>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</si>
  <si>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t>Dans chaque page web, chaque contenu cryptique (art ASCII, émoticon, syntaxe cryptique) a-t-il une alternative ?</t>
  </si>
  <si>
    <t>Dans chaque page web, pour chaque contenu cryptique (art ASCII, émoticon, syntaxe cryptique) ayant une alternative, cette alternative est-elle pertinente ?</t>
  </si>
  <si>
    <t>Dans chaque page web, les changements brusques de luminosité ou les effets de flash sont-ils correctement utilisés ?</t>
  </si>
  <si>
    <t>Dans chaque page web, chaque contenu en mouvement ou clignotant est-il contrôlable par l'utilisateur ?</t>
  </si>
  <si>
    <t>Dans chaque page web, les fonctionnalités utilisables ou disponibles au moyen d'un geste complexe peuvent-elles être également disponibles au moyen d'un geste simple (hors cas particuliers) ?</t>
  </si>
  <si>
    <t>Dans chaque page web, les actions déclenchées au moyen d'un dispositif de pointage sur un point unique de l'écran peuvent-elles faire l'objet d'une annulation (hors cas particuliers) ?</t>
  </si>
  <si>
    <t>Dans chaque page web, les fonctionnalités qui impliquent un mouvement de l'appareil ou vers l'appareil peuvent-elles être satisfaites de manière alternative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</si>
  <si>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</si>
  <si>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</si>
  <si>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</si>
  <si>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r>
      <t xml:space="preserve">Test 1.2.1 : Chaque image (balise &lt;img&gt;) de décoration, sans légende, vérifie-t-elle une de ces conditions ?
</t>
    </r>
    <r>
      <rPr>
        <sz val="8"/>
        <rFont val="Arial"/>
        <family val="2"/>
      </rPr>
      <t xml:space="preserve">– La balise &lt;img&gt; possède un attribut alt vide (alt="") et est dépourvue de tout autre attribut permettant de fournir une alternative textuelle.
– La balise &lt;img&gt; possède un attribut WAI-ARIA aria-hidden="true" ou role="presentation".
</t>
    </r>
    <r>
      <rPr>
        <b/>
        <sz val="8"/>
        <rFont val="Arial"/>
        <family val="2"/>
      </rPr>
      <t xml:space="preserve">Test 1.2.2 : Chaque zone non cliquable (balise &lt;area&gt; sans attribut href) de décoration, vérifie-t-elle une de ces conditions ?
</t>
    </r>
    <r>
      <rPr>
        <sz val="8"/>
        <rFont val="Arial"/>
        <family val="2"/>
      </rPr>
      <t xml:space="preserve">– La balise &lt;area&gt; possède un attribut alt vide (alt="") et est dépourvue de tout autre attribut permettant de fournir une alternative textuelle.
– La balise &lt;area&gt; possède un attribut WAI-ARIA aria-hidden="true" ou role="presentation".
</t>
    </r>
    <r>
      <rPr>
        <b/>
        <sz val="8"/>
        <rFont val="Arial"/>
        <family val="2"/>
      </rPr>
      <t xml:space="preserve">
Test 1.2.3 : Chaque image objet (balise &lt;object&gt; avec l'attribut type="image/…") de décoration, sans légende, vérifie-t-elle ces conditions ?
</t>
    </r>
    <r>
      <rPr>
        <sz val="8"/>
        <rFont val="Arial"/>
        <family val="2"/>
      </rPr>
      <t xml:space="preserve">– La balise &lt;object&gt; possède un attribut WAI-ARIA aria-hidden="true".
– La balise &lt;object&gt; est dépourvue d'alternative textuelle.
– Il n'y a aucun texte faisant office d'alternative textuelle entre &lt;object&gt; et &lt;/object&gt;.
</t>
    </r>
    <r>
      <rPr>
        <b/>
        <sz val="8"/>
        <rFont val="Arial"/>
        <family val="2"/>
      </rPr>
      <t xml:space="preserve">
Test 1.2.4 : Chaque image vectorielle (balise &lt;svg&gt;) de décoration, sans légende, vérifie-t-elle ces conditions ?
</t>
    </r>
    <r>
      <rPr>
        <sz val="8"/>
        <rFont val="Arial"/>
        <family val="2"/>
      </rPr>
      <t xml:space="preserve">– La balise &lt;svg&gt; possède un attribut WAI-ARIA aria-hidden="true".
– La balise &lt;svg&gt; et ses enfants sont dépourvus d'alternative textuelle.
– Les balises &lt;title&gt; et &lt;desc&gt; sont absentes ou vides.
– La balise &lt;svg&gt; et ses enfants sont dépourvus d'attribut title.
</t>
    </r>
    <r>
      <rPr>
        <b/>
        <sz val="8"/>
        <rFont val="Arial"/>
        <family val="2"/>
      </rPr>
      <t xml:space="preserve">Test 1.2.5 : Chaque image bitmap (balise &lt;canvas&gt;) de décoration, sans légende, vérifie-t-elle ces conditions ?
</t>
    </r>
    <r>
      <rPr>
        <sz val="8"/>
        <rFont val="Arial"/>
        <family val="2"/>
      </rPr>
      <t xml:space="preserve">– La balise &lt;canvas&gt; possède un attribut WAI-ARIA aria-hidden="true".
– La balise &lt;canvas&gt; et ses enfants sont dépourvus d'alternative textuelle.
– Il n'y a aucun texte faisant office d'alternative textuelle entre &lt;canvas&gt; et &lt;/canvas&gt;.
</t>
    </r>
    <r>
      <rPr>
        <b/>
        <sz val="8"/>
        <rFont val="Arial"/>
        <family val="2"/>
      </rPr>
      <t xml:space="preserve">Test 1.2.6 : 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</si>
  <si>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r>
      <rPr>
        <b/>
        <sz val="8"/>
        <rFont val="Arial"/>
        <family val="2"/>
      </rPr>
      <t xml:space="preserve">Test 1.4.1 : Pour chaque image (balise &lt;img&gt;)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1.4.2 : Pour chaque zone (balise &lt;area&gt;) d'une image réactive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1.4.3 : Pour chaque bouton de type image (balise &lt;input&gt; avec l'attribut type="image") utilisé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1.4.4 : Pour chaque image objet (balise &lt;object&gt;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1.4.5 : Pour chaque image embarquée (balise &lt;embed&gt;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1.4.6 : Pour chaque image vectorielle (balise &lt;svg&gt;) utilisée comme CAPTCHA ou comme image-test, ayant une alternative textuelle,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1.4.7 : 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</si>
  <si>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Test 1.5.1 : Chaque image (balises &lt;img&gt;, &lt;area&gt;, &lt;object&gt;, &lt;embed&gt;, &lt;svg&gt;, &lt;canvas&gt; ou possédant un attribut WAI-ARIA role="img") utilisée comme CAPTCHA vérifie-t-elle une de ces conditions ?
</t>
    </r>
    <r>
      <rPr>
        <sz val="8"/>
        <rFont val="Arial"/>
        <family val="2"/>
      </rPr>
      <t xml:space="preserve">– Il existe une autre forme de CAPTCHA non graphique, au moins.
– Il existe une autre solution d'accès à la fonctionnalité qui est sécurisée par le CAPTCHA.
</t>
    </r>
    <r>
      <rPr>
        <b/>
        <sz val="8"/>
        <rFont val="Arial"/>
        <family val="2"/>
      </rPr>
      <t xml:space="preserve">Test 1.5.2 : 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</si>
  <si>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r>
      <t xml:space="preserve">Test 1.6.1 : Chaque image (balise &lt;img&gt;) porteuse d'information, qui nécessite une description détaillée, vérifie-t-elle une de ces conditions ?
</t>
    </r>
    <r>
      <rPr>
        <sz val="8"/>
        <rFont val="Arial"/>
        <family val="2"/>
      </rPr>
      <t xml:space="preserve">–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
</t>
    </r>
    <r>
      <rPr>
        <b/>
        <sz val="8"/>
        <rFont val="Arial"/>
        <family val="2"/>
      </rPr>
      <t>Test 1.6.2 : Chaque image objet (balise &lt;object&gt; avec l'attribut type="image/…") porteuse d'information, qui nécessite une description détaillée, vérifie-t-elle une de ces conditions ?</t>
    </r>
    <r>
      <rPr>
        <sz val="8"/>
        <rFont val="Arial"/>
        <family val="2"/>
      </rPr>
      <t xml:space="preserve">
– Il existe une alternative textuelle contenant la référence à une description détaillée adjacente à l'image.
– Il existe un lien ou un bouton adjacent permettant d'accéder à la description détaillée.
</t>
    </r>
    <r>
      <rPr>
        <b/>
        <sz val="8"/>
        <rFont val="Arial"/>
        <family val="2"/>
      </rPr>
      <t xml:space="preserve">Test 1.6.3 : Chaque image embarquée (balise &lt;embed&gt;) porteuse d'information, qui nécessite une description détaillée, vérifie-t-elle une de ces conditions ?
– Il existe une alternative textuelle contenant la référence à une description détaillée adjacente à l'image.
– Il existe un lien ou un bouton adjacent permettant d'accéder à la description détaillée.
Test 1.6.4 : Chaque bouton de type image (balise &lt;input&gt; avec l'attribut type="image") porteur d'information, qui nécessite une description détaillée, vérifie-t-elle une de ces conditions ?
</t>
    </r>
    <r>
      <rPr>
        <sz val="8"/>
        <rFont val="Arial"/>
        <family val="2"/>
      </rPr>
      <t xml:space="preserve">–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
</t>
    </r>
    <r>
      <rPr>
        <b/>
        <sz val="8"/>
        <rFont val="Arial"/>
        <family val="2"/>
      </rPr>
      <t xml:space="preserve">
Test 1.6.5 : Chaque image vectorielle (balise &lt;svg&gt;)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
</t>
    </r>
    <r>
      <rPr>
        <b/>
        <sz val="8"/>
        <rFont val="Arial"/>
        <family val="2"/>
      </rPr>
      <t xml:space="preserve">
Test 1.6.6 : 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
Test 1.6.7 : Chaque image bitmap (balise &lt;canvas&gt;),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
</t>
    </r>
    <r>
      <rPr>
        <b/>
        <sz val="8"/>
        <rFont val="Arial"/>
        <family val="2"/>
      </rPr>
      <t xml:space="preserve">
Test 1.6.8 : Pour chaque image bitmap (balise &lt;canvas&gt;) porteuse d'information, qui implémente une référence à une description détaillée adjacente, cette référence est-elle correctement restituée par les technologies d'assistance ?
Test 1.6.9 : 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
Test 1.6.10 : 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</si>
  <si>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r>
      <rPr>
        <b/>
        <sz val="8"/>
        <rFont val="Arial"/>
        <family val="2"/>
      </rPr>
      <t xml:space="preserve">Test 1.7.1 : Chaque image (balise &lt;img&gt;) porteuse d'information, ayant une description détaillée, vérifie-t-elle ces conditions ?
</t>
    </r>
    <r>
      <rPr>
        <sz val="8"/>
        <rFont val="Arial"/>
        <family val="2"/>
      </rPr>
      <t xml:space="preserve">–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Test 1.7.2 : Chaque bouton de type image (balise &lt;input&gt; avec l'attribut type="image") porteur d'information, ayant une description détaillée, vérifie-t-elle ces conditions ?
</t>
    </r>
    <r>
      <rPr>
        <sz val="8"/>
        <rFont val="Arial"/>
        <family val="2"/>
      </rPr>
      <t xml:space="preserve">–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
Test 1.7.3 : Chaque image objet (balise &lt;object&gt;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
</t>
    </r>
    <r>
      <rPr>
        <b/>
        <sz val="8"/>
        <rFont val="Arial"/>
        <family val="2"/>
      </rPr>
      <t xml:space="preserve">
Test 1.7.4 : Chaque image embarquée (balise &lt;embed&gt;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
</t>
    </r>
    <r>
      <rPr>
        <b/>
        <sz val="8"/>
        <rFont val="Arial"/>
        <family val="2"/>
      </rPr>
      <t xml:space="preserve">
Test 1.7.5 : Chaque image vectorielle (balise &lt;svg&gt;) porteuse d'information, ayant une description détaillée, vérifie-t-elle ces conditions ?
</t>
    </r>
    <r>
      <rPr>
        <sz val="8"/>
        <rFont val="Arial"/>
        <family val="2"/>
      </rPr>
      <t xml:space="preserve">–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
</t>
    </r>
    <r>
      <rPr>
        <b/>
        <sz val="8"/>
        <rFont val="Arial"/>
        <family val="2"/>
      </rPr>
      <t xml:space="preserve">
Test 1.7.6 : 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</si>
  <si>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r>
      <t xml:space="preserve">Test 1.9.1 : Chaque image pourvue d'une légende (balise &lt;img&gt;, &lt;input&gt; avec l'attribut type="image" ou possédant un attribut WAI-ARIA role="img" associée à une légende adjacente), vérifie-t-elle, si nécessaire, ces conditions ?
</t>
    </r>
    <r>
      <rPr>
        <sz val="8"/>
        <rFont val="Arial"/>
        <family val="2"/>
      </rPr>
      <t xml:space="preserve">–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Test 1.9.2 : Chaque image objet pourvue d'une légende (balise &lt;object&gt; avec l'attribut type="image/…" associée à une légende adjacente), vérifie-t-elle, si nécessaire, ces conditions ?
</t>
    </r>
    <r>
      <rPr>
        <sz val="8"/>
        <rFont val="Arial"/>
        <family val="2"/>
      </rPr>
      <t xml:space="preserve">–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1.9.3 : Chaque image embarquée pourvue d'une légende (balise &lt;embed&gt; associée à une légende adjacente), vérifie-t-elle, si nécessaire, ces conditions ?
</t>
    </r>
    <r>
      <rPr>
        <sz val="8"/>
        <rFont val="Arial"/>
        <family val="2"/>
      </rPr>
      <t xml:space="preserve">–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1.9.4 : Chaque image vectorielle pourvue d'une légende (balise &lt;svg&gt; associée à une légende adjacente), vérifie-t-elle, si nécessaire, ces conditions ?
</t>
    </r>
    <r>
      <rPr>
        <sz val="8"/>
        <rFont val="Arial"/>
        <family val="2"/>
      </rPr>
      <t xml:space="preserve">–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1.9.5 : 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</si>
  <si>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Test 2.1.1 : Chaque cadre (balise &lt;iframe&gt; ou &lt;frame&gt;) a-t-il un attribut title ?</t>
  </si>
  <si>
    <t>Test 2.2.1 : Pour chaque cadre (balise &lt;iframe&gt; ou &lt;frame&gt;) ayant un attribut title, le contenu de cet attribut est-il pertinent ?</t>
  </si>
  <si>
    <t>Test 3.1.1 : Pour chaque mot ou ensemble de mots dont la mise en couleur est porteuse d'information, l'information ne doit pas être donnée uniquement par la couleur. Cette règle est-elle respectée ?
Test 3.1.2 : Pour chaque indication de couleur donnée par un texte, l'information ne doit pas être donnée uniquement par la couleur. Cette règle est-elle respectée ?
Test 3.1.3 : Pour chaque image véhiculant une information, l'information ne doit pas être donnée uniquement par la couleur. Cette règle est-elle respectée ?
Test 3.1.4 : Pour chaque propriété CSS déterminant une couleur et véhiculant une information, l'information ne doit pas être donnée uniquement par la couleur. Cette règle est-elle respectée ?
Test 3.1.5 : Pour chaque média temporel véhiculant une information, l'information ne doit pas être donnée uniquement par la couleur. Cette règle est-elle respectée ?
Test 3.1.6 : Pour chaque média non temporel véhiculant une information, l'information ne doit pas être donnée uniquement par la couleur. Cette règle est-elle respectée ?</t>
  </si>
  <si>
    <r>
      <rPr>
        <b/>
        <sz val="8"/>
        <rFont val="Arial"/>
        <family val="2"/>
      </rPr>
      <t xml:space="preserve">Test 3.2.1 : Dans chaque page web, le texte et le texte en image sans effet de graisse d'une taille restituée inférieure à 24px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Test 3.2.2 : Dans chaque page web, le texte et le texte en image en gras d’une taille restituée inférieure à 18,5px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
Test 3.2.3 : Dans chaque page web, le texte et le texte en image sans effet de graisse d’une taille restituée supérieure ou égale à 24px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3.2.4 : Dans chaque page web, le texte et le texte en image en gras d'une taille restituée supérieure ou égale à 18,5px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3.2.5 : Dans le mécanisme qui permet d'afficher un rapport de contraste conforme, le rapport de contraste entre le texte et la couleur d’arrière-plan est-il suffisamment élevé ?</t>
    </r>
  </si>
  <si>
    <r>
      <t xml:space="preserve">Test 3.3.1 : Dans chaque page web, le rapport de contraste entre les couleurs d'un composant d'interface dans ses différents états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Test 3.3.2 : 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3.3.3 : Dans chaque page web, le rapport de contraste des différentes couleurs contiguës entre elles d'un élément graphique, lorsqu'elles sont nécessaires à sa compréhension,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3.3.4 : Dans le mécanisme qui permet d'afficher un rapport de contraste conforme, les couleurs du composant ou des éléments graphiques porteurs d’informations qui le composent, sont-elles suffisamment contrastées ?</t>
    </r>
  </si>
  <si>
    <r>
      <rPr>
        <b/>
        <sz val="8"/>
        <rFont val="Arial"/>
        <family val="2"/>
      </rPr>
      <t xml:space="preserve">Test 4.1.1 : Chaque média temporel pré-enregistré seulement audio, vérifie-t-il, si nécessaire, l'une de ces conditions (hors cas particuliers) ?
</t>
    </r>
    <r>
      <rPr>
        <sz val="8"/>
        <rFont val="Arial"/>
        <family val="2"/>
      </rPr>
      <t xml:space="preserve">– Il existe une transcription textuelle accessible via un lien ou bouton adjacent.
– Il existe une transcription textuelle adjacente clairement identifiable.
</t>
    </r>
    <r>
      <rPr>
        <b/>
        <sz val="8"/>
        <rFont val="Arial"/>
        <family val="2"/>
      </rPr>
      <t xml:space="preserve">Test 4.1.2 : Chaque média temporel pré-enregistré seulement vidéo vérifie-t-il, si nécessaire, l'une de ces conditions (hors cas particuliers) ?
</t>
    </r>
    <r>
      <rPr>
        <sz val="8"/>
        <rFont val="Arial"/>
        <family val="2"/>
      </rPr>
      <t xml:space="preserve">–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
</t>
    </r>
    <r>
      <rPr>
        <b/>
        <sz val="8"/>
        <rFont val="Arial"/>
        <family val="2"/>
      </rPr>
      <t xml:space="preserve">
Test 4.1.3 : 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</si>
  <si>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t xml:space="preserve">Test 4.2.1 : Pour chaque média temporel pré-enregistré seulement audio, ayant une transcription textuelle, celle-ci est-elle pertinente (hors cas particuliers) ?
Test 4.2.2 : Chaque média temporel pré-enregistré seulement vidéo vérifie-t-il une de ces conditions (hors cas particuliers) ?
</t>
    </r>
    <r>
      <rPr>
        <sz val="8"/>
        <rFont val="Arial"/>
        <family val="2"/>
      </rPr>
      <t xml:space="preserve">– La transcription textuelle est pertinente.
– L'audiodescription synchronisée est pertinente.
– L'audiodescription synchronisée de la version alternative est pertinente.
– La version alternative « audio seulement » est pertinente.
</t>
    </r>
    <r>
      <rPr>
        <b/>
        <sz val="8"/>
        <rFont val="Arial"/>
        <family val="2"/>
      </rPr>
      <t xml:space="preserve">
Test 4.2.3 : 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</si>
  <si>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r>
      <rPr>
        <b/>
        <sz val="8"/>
        <rFont val="Arial"/>
        <family val="2"/>
      </rPr>
      <t xml:space="preserve">Test 4.3.1 : Chaque média temporel synchronisé pré-enregistré vérifie-t-il, si nécessaire, l'une de ces conditions (hors cas particuliers) ?
</t>
    </r>
    <r>
      <rPr>
        <sz val="8"/>
        <rFont val="Arial"/>
        <family val="2"/>
      </rPr>
      <t xml:space="preserve">– Le média temporel synchronisé possède des sous-titres synchronisés.
– Il existe une version alternative possédant des sous-titres synchronisés accessible via un lien ou bouton adjacent.
</t>
    </r>
    <r>
      <rPr>
        <b/>
        <sz val="8"/>
        <rFont val="Arial"/>
        <family val="2"/>
      </rPr>
      <t>Test 4.3.2 : Pour chaque média temporel synchronisé pré-enregistré possédant des sous-titres synchronisés diffusés via une balise &lt;track&gt;, la balise &lt;track&gt; possède-t-elle un attribut kind="captions" ?</t>
    </r>
  </si>
  <si>
    <t>Test 4.4.1 : Pour chaque média temporel synchronisé pré-enregistré ayant des sous-titres synchronisés, ces sous-titres sont-ils pertinents ?</t>
  </si>
  <si>
    <r>
      <rPr>
        <b/>
        <sz val="8"/>
        <rFont val="Arial"/>
        <family val="2"/>
      </rPr>
      <t xml:space="preserve">Test 4.5.1 : Chaque média temporel pré-enregistré seulement vidéo vérifie-t-il, si nécessaire, une de ces conditions (hors cas particuliers) ?
</t>
    </r>
    <r>
      <rPr>
        <sz val="8"/>
        <rFont val="Arial"/>
        <family val="2"/>
      </rPr>
      <t xml:space="preserve">– Il existe une audiodescription synchronisée.
– Il existe une version alternative avec une audiodescription synchronisée.
</t>
    </r>
    <r>
      <rPr>
        <b/>
        <sz val="8"/>
        <rFont val="Arial"/>
        <family val="2"/>
      </rPr>
      <t xml:space="preserve">Test 4.5.2 : 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</si>
  <si>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Test 4.6.1 : Pour chaque média temporel pré-enregistré seulement vidéo ayant une audiodescription synchronisée, celle-ci est-elle pertinente ?
Test 4.6.2 : Pour chaque média temporel synchronisé ayant une audiodescription synchronisée, celle-ci est-elle pertinente ?</t>
  </si>
  <si>
    <t>Test 4.7.1 : Pour chaque média temporel seulement son, seulement vidéo ou synchronisé, le contenu textuel adjacent permet-il d'identifier clairement le média temporel (hors cas particuliers) ?</t>
  </si>
  <si>
    <t>Test 4.9.1 : Pour chaque média non temporel ayant une alternative, cette alternative permet-elle d'accéder au même contenu et à des fonctionnalités similaires ?</t>
  </si>
  <si>
    <r>
      <rPr>
        <b/>
        <sz val="8"/>
        <rFont val="Arial"/>
        <family val="2"/>
      </rPr>
      <t xml:space="preserve">Test 4.10.1 : 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</si>
  <si>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r>
      <t xml:space="preserve">Test 4.11.1 : Chaque média temporel a-t-il, si nécessaire, les fonctionnalités de contrôle de sa consultation ?
Test 4.11.2 : Pour chaque média temporel, chaque fonctionnalité vérifie-t-elle une de ces conditions ?
</t>
    </r>
    <r>
      <rPr>
        <sz val="8"/>
        <rFont val="Arial"/>
        <family val="2"/>
      </rPr>
      <t xml:space="preserve">– La fonctionnalité est contrôlable par le clavier et tout dispositif de pointage.
– Une fonctionnalité accessible par le clavier et tout dispositif de pointage permettant de réaliser la même action est présente dans la page.
</t>
    </r>
    <r>
      <rPr>
        <b/>
        <sz val="8"/>
        <rFont val="Arial"/>
        <family val="2"/>
      </rPr>
      <t xml:space="preserve">
Test 4.11.3 : 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</si>
  <si>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r>
      <t xml:space="preserve">Test 4.12.1 : Pour chaque média non temporel, chaque fonctionnalité vérifie-t-elle une de ces conditions ?
</t>
    </r>
    <r>
      <rPr>
        <sz val="8"/>
        <rFont val="Arial"/>
        <family val="2"/>
      </rPr>
      <t xml:space="preserve">– La fonctionnalité est accessible par le clavier et tout dispositif de pointage.
– Une fonctionnalité accessible par le clavier et tout dispositif de pointage permettant de réaliser la même action est présente dans la page.
</t>
    </r>
    <r>
      <rPr>
        <b/>
        <sz val="8"/>
        <rFont val="Arial"/>
        <family val="2"/>
      </rPr>
      <t>Test 4.12.2 : Pour chaque média non temporel, chaque fonctionnalité vérifie-t-elle une de ces conditions ?</t>
    </r>
    <r>
      <rPr>
        <sz val="8"/>
        <rFont val="Arial"/>
        <family val="2"/>
      </rPr>
      <t xml:space="preserve">
– La fonctionnalité est activable par le clavier et la souris.
– Une fonctionnalité activable par le clavier et tout dispositif de pointage permettant de réaliser la même action est présente dans la page.</t>
    </r>
  </si>
  <si>
    <r>
      <rPr>
        <b/>
        <sz val="8"/>
        <rFont val="Arial"/>
        <family val="2"/>
      </rPr>
      <t xml:space="preserve">Test 4.13.1 : Chaque média temporel et non temporel vérifie-t-il une de ces conditions (hors cas particuliers) ?
</t>
    </r>
    <r>
      <rPr>
        <sz val="8"/>
        <rFont val="Arial"/>
        <family val="2"/>
      </rPr>
      <t xml:space="preserve">– Le nom, le rôle, la valeur, le paramétrage et les changements d'états des composants d'interfaces sont accessibles aux technologies d'assistance via une API d'accessibilité.
– Une alternative compatible avec une API d'accessibilité permet d'accéder aux mêmes fonctionnalités.
</t>
    </r>
    <r>
      <rPr>
        <b/>
        <sz val="8"/>
        <rFont val="Arial"/>
        <family val="2"/>
      </rPr>
      <t xml:space="preserve">Test 4.13.2 : 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</si>
  <si>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Test 5.1.1 : Pour chaque tableau de données complexe un résumé est-il disponible ?</t>
  </si>
  <si>
    <t>Test 5.2.1 : Pour chaque tableau de données complexe ayant un résumé, celui-ci est-il pertinent ?</t>
  </si>
  <si>
    <t>Test 5.4.1 : Pour chaque tableau de données ayant un titre, le titre est-il correctement associé au tableau de données ?</t>
  </si>
  <si>
    <t>Test 5.5.1 : Pour chaque tableau de données ayant un titre, ce titre permet-il d'identifier le contenu du tableau de données de manière claire et concise ?</t>
  </si>
  <si>
    <r>
      <t xml:space="preserve">Test 5.7.1 : Pour chaque contenu de balise &lt;th&gt; s'appliquant à la totalité de la ligne ou de la colonne, la balise &lt;th&gt; respecte-t-elle une de ces conditions (hors cas particuliers) ?
</t>
    </r>
    <r>
      <rPr>
        <sz val="8"/>
        <rFont val="Arial"/>
        <family val="2"/>
      </rPr>
      <t xml:space="preserve">– La balise &lt;th&gt; possède un attribut id unique.
– La balise &lt;th&gt; possède un attribut scope.
– La balise &lt;th&gt; possède un attribut WAI-ARIA role="rowheader" ou role="columnheader".
</t>
    </r>
    <r>
      <rPr>
        <b/>
        <sz val="8"/>
        <rFont val="Arial"/>
        <family val="2"/>
      </rPr>
      <t xml:space="preserve">Test 5.7.2 : Pour chaque contenu de balise &lt;th&gt; s'appliquant à la totalité de la ligne ou de la colonne et possédant un attribut scope, la balise &lt;th&gt; vérifie-t-elle une de ces conditions ?
– La balise &lt;th&gt; possède un attribut scope avec la valeur "row" pour les en-tête de lignes.
– La balise &lt;th&gt; possède un attribut scope avec la valeur "col" pour les en-tête de colonnes.
Test 5.7.3 : Pour chaque contenu de balise &lt;th&gt; ne s'appliquant pas à la totalité de la ligne ou de la colonne, la balise &lt;th&gt; vérifie-t-elle ces conditions ?
</t>
    </r>
    <r>
      <rPr>
        <sz val="8"/>
        <rFont val="Arial"/>
        <family val="2"/>
      </rPr>
      <t xml:space="preserve">– La balise &lt;th&gt; ne possède pas d'attribut scope.
– La balise &lt;th&gt; ne possède pas d'attribut WAI-ARIA role="rowheader" ou role="columnheader".
– La balise &lt;th&gt; possède un attribut id unique.
</t>
    </r>
    <r>
      <rPr>
        <b/>
        <sz val="8"/>
        <rFont val="Arial"/>
        <family val="2"/>
      </rPr>
      <t xml:space="preserve">
Test 5.7.4 : Pour chaque contenu de balise &lt;td&gt; ou &lt;th&gt; associée à un ou plusieurs en-têtes possédant un attribut id, la balise vérifie-t-elle ces conditions ?
</t>
    </r>
    <r>
      <rPr>
        <sz val="8"/>
        <rFont val="Arial"/>
        <family val="2"/>
      </rPr>
      <t xml:space="preserve">– La balise possède un attribut headers.
– L'attribut headers possède la liste des valeurs d'attribut id des en-têtes associés.
</t>
    </r>
    <r>
      <rPr>
        <b/>
        <sz val="8"/>
        <rFont val="Arial"/>
        <family val="2"/>
      </rPr>
      <t xml:space="preserve">
Test 5.7.5 : 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</si>
  <si>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r>
      <t xml:space="preserve">Test 6.1.1 : Chaque lien texte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Test 6.1.2 : Chaque lien image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Test 6.1.3 : Chaque lien composite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 xml:space="preserve">Test 6.1.4 : Chaque lien SVG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 xml:space="preserve">
Test 6.1.5 : Pour chaque lien ayant un intitulé visible, le nom accessible du lien contient-il au moins l'intitulé visible (hors cas particuliers) ?</t>
    </r>
  </si>
  <si>
    <r>
      <rPr>
        <b/>
        <sz val="8"/>
        <rFont val="Arial"/>
        <family val="2"/>
      </rPr>
      <t xml:space="preserve">Test 7.1.1 : Chaque script qui génère ou contrôle un composant d'interface vérifie-t-il, si nécessaire, une de ces conditions ?
</t>
    </r>
    <r>
      <rPr>
        <sz val="8"/>
        <rFont val="Arial"/>
        <family val="2"/>
      </rPr>
      <t xml:space="preserve">–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
</t>
    </r>
    <r>
      <rPr>
        <b/>
        <sz val="8"/>
        <rFont val="Arial"/>
        <family val="2"/>
      </rPr>
      <t xml:space="preserve">Test 7.1.2 : Chaque script qui génère ou contrôle un composant d'interface respecte-t-il une de ces conditions ?
</t>
    </r>
    <r>
      <rPr>
        <sz val="8"/>
        <rFont val="Arial"/>
        <family val="2"/>
      </rPr>
      <t xml:space="preserve">– Le composant d'interface est correctement restitué par les technologies d'assistance.
– Une alternative accessible permet d'accéder aux mêmes fonctionnalités.
</t>
    </r>
    <r>
      <rPr>
        <b/>
        <sz val="8"/>
        <rFont val="Arial"/>
        <family val="2"/>
      </rPr>
      <t xml:space="preserve">
Test 7.1.3 : Chaque script qui génère ou contrôle un composant d'interface vérifie-t-il ces conditions (hors cas particuliers) ?</t>
    </r>
    <r>
      <rPr>
        <sz val="8"/>
        <rFont val="Arial"/>
        <family val="2"/>
      </rPr>
      <t xml:space="preserve">
– Le composant possède un nom pertinent.
– Le nom accessible du composant contient au moins l'intitulé visible.
– Le composant possède un rôle pertinent.</t>
    </r>
  </si>
  <si>
    <r>
      <rPr>
        <b/>
        <sz val="8"/>
        <rFont val="Arial"/>
        <family val="2"/>
      </rPr>
      <t xml:space="preserve">Test 7.2.1 : Chaque script débutant par la balise &lt;script&gt; et ayant une alternative vérifie-t-il une de ces conditions ?
</t>
    </r>
    <r>
      <rPr>
        <sz val="8"/>
        <rFont val="Arial"/>
        <family val="2"/>
      </rPr>
      <t xml:space="preserve">–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r>
      <rPr>
        <b/>
        <sz val="8"/>
        <rFont val="Arial"/>
        <family val="2"/>
      </rPr>
      <t>Test 7.2.2 : Chaque élément non textuel mis à jour par un script (dans la page, ou dans un cadre) et ayant une alternative vérifie-t-il ces conditions ?</t>
    </r>
    <r>
      <rPr>
        <sz val="8"/>
        <rFont val="Arial"/>
        <family val="2"/>
      </rPr>
      <t xml:space="preserve">
– L’alternative de l’élément non textuel est mise à jour.
– L’alternative mise à jour est pertinente.</t>
    </r>
  </si>
  <si>
    <r>
      <rPr>
        <b/>
        <sz val="8"/>
        <rFont val="Arial"/>
        <family val="2"/>
      </rPr>
      <t xml:space="preserve">Test 7.3.1 : Chaque élément possédant un gestionnaire d'événement contrôlé par un script vérifie-t-il une de ces conditions (hors cas particuliers) ?
</t>
    </r>
    <r>
      <rPr>
        <sz val="8"/>
        <rFont val="Arial"/>
        <family val="2"/>
      </rPr>
      <t xml:space="preserve">– L'élément est accessible par le clavier et tout dispositif de pointage.
– Un élément accessible par le clavier et tout dispositif de pointage permettant de réaliser la même action est présent dans la page.
</t>
    </r>
    <r>
      <rPr>
        <b/>
        <sz val="8"/>
        <rFont val="Arial"/>
        <family val="2"/>
      </rPr>
      <t>7.3.2 : Un script ne doit pas supprimer le focus d'un élément qui le reçoit. Cette règle est-elle respectée (hors cas particuliers) ?</t>
    </r>
  </si>
  <si>
    <r>
      <rPr>
        <b/>
        <sz val="8"/>
        <rFont val="Arial"/>
        <family val="2"/>
      </rPr>
      <t>Test 7.4.1 : 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</si>
  <si>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Test 7.5.1 : Chaque message de statut qui informe de la réussite, du résultat d'une action ou bien de l'état d'une application utilise-t-il l'attribut WAI-ARIA role="status" ?
Test 7.5.2 : Chaque message de statut qui présente une suggestion, ou avertit de l'existence d'une erreur utilise-t-il l'attribut WAI-ARIA role="alert" ?
Test 7.5.3 : Chaque message de statut qui indique la progression d'un processus utilise-t-il l'un des attributs WAI-ARIA role="log", role="progressbar" ou role="status" ?</t>
  </si>
  <si>
    <t>Test 8.1.1 : Pour chaque page web, le type de document (balise doctype) est-il présent ?
Test 8.1.2 : Pour chaque page web, le type de document (balise doctype) est-il valide ?
Test 8.1.3 : Pour chaque page web possédant une déclaration de type de document, celle-ci est-elle située avant la balise &lt;html&gt; dans le code source ?</t>
  </si>
  <si>
    <r>
      <rPr>
        <b/>
        <sz val="8"/>
        <rFont val="Arial"/>
        <family val="2"/>
      </rPr>
      <t xml:space="preserve">Test 8.3.1 : 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</si>
  <si>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r>
      <rPr>
        <b/>
        <sz val="8"/>
        <rFont val="Arial"/>
        <family val="2"/>
      </rPr>
      <t xml:space="preserve">Test 8.4.1 : Pour chaque page web ayant une langue par défaut, le code de langue vérifie-t-il ces conditions ?
</t>
    </r>
    <r>
      <rPr>
        <sz val="8"/>
        <rFont val="Arial"/>
        <family val="2"/>
      </rPr>
      <t>– Le code de langue est valide.
– Le code de langue est pertinent.</t>
    </r>
  </si>
  <si>
    <t>Test 8.5.1 : Chaque page web a-t-elle un titre de page (balise &lt;title&gt;) ?</t>
  </si>
  <si>
    <t>Test 8.6.1 : Pour chaque page web ayant un titre de page (balise &lt;title&gt;), le contenu de cette balise est-il pertinent ?</t>
  </si>
  <si>
    <r>
      <rPr>
        <b/>
        <sz val="8"/>
        <rFont val="Arial"/>
        <family val="2"/>
      </rPr>
      <t xml:space="preserve">Test 8.7.1 : 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</si>
  <si>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Test 8.8.1 : Pour chaque page web, le code de langue de chaque changement de langue vérifie-t-il ces conditions ?
</t>
    </r>
    <r>
      <rPr>
        <sz val="8"/>
        <rFont val="Arial"/>
        <family val="2"/>
      </rPr>
      <t>– Le code de langue est valide.
– Le code de langue est pertinent.</t>
    </r>
  </si>
  <si>
    <t>Test 8.9.1 : Dans chaque page web les balises (à l'exception de &lt;div&gt;, &lt;span&gt; et &lt;table&gt;) ne doivent pas être utilisées uniquement à des fins de présentation. Cette règle est-elle respectée ?</t>
  </si>
  <si>
    <r>
      <t xml:space="preserve">Test 8.10.1 : Dans chaque page web, chaque texte dont le sens de lecture est différent du sens de lecture par défaut est contenu dans une balise possédant un attribut dir ?
Test 8.10.2 : Dans chaque page web, chaque changement du sens de lecture (attribut dir) vérifie-t-il ces conditions ?
</t>
    </r>
    <r>
      <rPr>
        <sz val="8"/>
        <rFont val="Arial"/>
        <family val="2"/>
      </rPr>
      <t>– La valeur de l'attribut dir est conforme (rtl ou ltr).
– La valeur de l'attribut dir est pertinente.</t>
    </r>
  </si>
  <si>
    <t>Test 9.1.1 : Dans chaque page web, la hiérarchie entre les titres (balise &lt;hx&gt; ou balise possédant un attribut WAI-ARIA role="heading" associé à un attribut WAI-ARIA aria-level) est-elle pertinente ?
Test 9.1.2 : Dans chaque page web, le contenu de chaque titre (balise &lt;hx&gt; ou balise possédant un attribut WAI-ARIA role="heading" associé à un attribut WAI-ARIA aria-level) est-il pertinent ?
Test 9.1.3 : Dans chaque page web, chaque passage de texte constituant un titre est-il structuré à l'aide d'une balise &lt;hx&gt; ou d'une balise possédant un attribut WAI-ARIA role="heading" associé à un attribut WAI-ARIA aria-level ?</t>
  </si>
  <si>
    <r>
      <t xml:space="preserve">Test 9.2.1 : 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</si>
  <si>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r>
      <t xml:space="preserve">Test 9.3.1 : Dans chaque page web, les informations regroupées visuellement sous forme de liste non ordonnée vérifient-elles une de ces conditions ?
</t>
    </r>
    <r>
      <rPr>
        <sz val="8"/>
        <rFont val="Arial"/>
        <family val="2"/>
      </rPr>
      <t xml:space="preserve">– La liste utilise les balises HTML &lt;ul&gt; et &lt;li&gt;.
– La liste utilise les attributs WAI-ARIA role="list" et role="listitem".
</t>
    </r>
    <r>
      <rPr>
        <b/>
        <sz val="8"/>
        <rFont val="Arial"/>
        <family val="2"/>
      </rPr>
      <t xml:space="preserve">Test 9.3.2 : Dans chaque page web, les informations regroupées visuellement sous forme de liste ordonnée vérifient-elles une de ces conditions ?
</t>
    </r>
    <r>
      <rPr>
        <sz val="8"/>
        <rFont val="Arial"/>
        <family val="2"/>
      </rPr>
      <t xml:space="preserve">– La liste utilise les balises HTML &lt;ol&gt; et &lt;li&gt;.
– La liste utilise les attributs WAI-ARIA role="list" et role="listitem".
</t>
    </r>
    <r>
      <rPr>
        <b/>
        <sz val="8"/>
        <rFont val="Arial"/>
        <family val="2"/>
      </rPr>
      <t xml:space="preserve">
Test 9.3.3 : Dans chaque page web, les informations regroupées sous forme de liste de description utilisent-elles les balises &lt;dl&gt; et &lt;dt&gt; / &lt;dd&gt; ? </t>
    </r>
  </si>
  <si>
    <t>Test 9.4.1 : Dans chaque page web, chaque citation courte utilise-t-elle une balise &lt;q&gt; ?
Test 9.4.2 : Dans chaque page web, chaque bloc de citation utilise-t-il une balise &lt;blockquote&gt; ?</t>
  </si>
  <si>
    <r>
      <t xml:space="preserve">Test 10.1.1 : Dans chaque page web, les balises servant à la présentation de l'information ne doivent pas être présentes dans le code source généré des pages. Cette règle est-elle respectée ?
Test 10.1.2 : Dans chaque page web, les attributs servant à la présentation de l'information ne doivent pas être présents dans le code source généré des pages. Cette règle est-elle respectée ?
Test 10.1.3 : 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</si>
  <si>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Test 10.2.1 : Dans chaque page web, l'information reste-t-elle présente lorsque les feuilles de style sont désactivées ?</t>
  </si>
  <si>
    <t>Test 10.3.1 : Dans chaque page web, l'information reste-t-elle compréhensible lorsque les feuilles de style sont désactivées ?</t>
  </si>
  <si>
    <t>Test 10.5.1 : Dans chaque page web, chaque déclaration CSS de couleurs de police (color), d'un élément susceptible de contenir du texte, est-elle accompagnée d'une déclaration de couleur de fond (background, background-color), au moins, héritée d'un parent ?
Test 10.5.2 : Dans chaque page web, chaque déclaration de couleur de fond (background, background-color), d'un élément susceptible de contenir du texte, est-elle accompagnée d'une déclaration de couleur de police (color) au moins, héritée d'un parent ?
Test 10.5.3 : 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</si>
  <si>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r>
      <t xml:space="preserve">Test 10.6.1 : 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</si>
  <si>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r>
      <t>Test 10.7.1 : 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</si>
  <si>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Test 10.8.1 : 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</si>
  <si>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Test 10.9.1 : Dans chaque page web, pour chaque texte ou ensemble de textes, l'information ne doit pas être donnée uniquement par la forme, taille ou position. Cette règle est-elle respectée ?
Test 10.9.2 : Dans chaque page web, pour chaque image ou ensemble d'images, l'information ne doit pas être donnée uniquement par la forme, taille ou position. Cette règle est-elle respectée ?
Test 10.9.3 : Dans chaque page web, pour chaque média temporel, l'information ne doit pas être donnée uniquement par la forme, taille ou position. Cette règle est-elle respectée ?
Test 10.9.4 : Dans chaque page web, pour chaque média non temporel, l'information ne doit pas être donnée uniquement par la forme, taille ou position. Cette règle est-elle respectée ?</t>
  </si>
  <si>
    <t>Test 10.10.1 : Dans chaque page web, pour chaque texte ou ensemble de textes, l'information ne doit pas être donnée uniquement par la forme, taille ou position. Cette règle est-elle implémentée de façon pertinente ?
Test 10.10.2 : Dans chaque page web, pour chaque image ou ensemble d'images, l'information ne doit pas être donnée par la forme, taille ou position uniquement. Cette règle est-elle implémentée de façon pertinente ?
Test 10.10.3 : Dans chaque page web, pour chaque média temporel, l'information ne doit pas être donnée par la forme, taille ou position uniquement. Cette règle est-elle implémentée de façon pertinente ?
Test 10.10.4 : Dans chaque page web, pour chaque média non temporel, l'information ne doit pas être donnée par la forme, taille ou position uniquement. Cette règle est-elle implémentée de façon pertinente ?</t>
  </si>
  <si>
    <t>Test 10.11.1 : Pour chaque page web, lorsque le contenu dont le sens de lecture est horizontal est affiché dans une fenêtre réduite à une largeur de 320px, l'ensemble des informations et des fonctionnalités sont-elles disponibles sans aucun défilement horizontal (hors cas particuliers) ?
Test 10.11.2 : Pour chaque page web, lorsque le contenu dont le sens de lecture est vertical est affiché dans une fenêtre réduite à une hauteur de 256px, l'ensemble des informations et des fonctionnalités sont-elles disponibles sans aucun défilement vertical (hors cas particuliers) ?</t>
  </si>
  <si>
    <r>
      <t xml:space="preserve">Test 10.12.1 : 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</si>
  <si>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r>
      <t xml:space="preserve">Test 10.13.1 : Chaque contenu additionnel devenant visible à la prise de focus ou au survol d'un composant d'interface peut-il être masqué par une action utilisateur sans déplacer le focus ou le pointeur de la souris (hors cas particuliers) ?
Test 10.13.2 : Chaque contenu additionnel qui apparaît au survol d'un composant d'interface peut-il être survolé par le pointeur de la souris sans disparaître (hors cas particuliers) ?
Test 10.13.3 : 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</si>
  <si>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Test 10.14.1 : Dans chaque page web, les contenus additionnels apparaissant au survol d'un composant d'interface via les styles CSS respectent-ils si nécessaire une de ces conditions ?
</t>
    </r>
    <r>
      <rPr>
        <sz val="8"/>
        <rFont val="Arial"/>
        <family val="2"/>
      </rPr>
      <t xml:space="preserve">–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
</t>
    </r>
    <r>
      <rPr>
        <b/>
        <sz val="8"/>
        <rFont val="Arial"/>
        <family val="2"/>
      </rPr>
      <t>Test 10.14.2 : Dans chaque page web, les contenus additionnels apparaissant au focus d'un composant d'interface via les styles CSS respectent-ils si nécessaire une de ces conditions ?</t>
    </r>
    <r>
      <rPr>
        <sz val="8"/>
        <rFont val="Arial"/>
        <family val="2"/>
      </rPr>
      <t xml:space="preserve">
–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</si>
  <si>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r>
      <t xml:space="preserve">Test 11.2.1 : Chaque balise &lt;label&gt; permet-elle de connaître la fonction exacte du champ de formulaire auquel elle est associée ?
Test 11.2.2 : Chaque attribut title permet-il de connaître la fonction exacte du champ de formulaire auquel il est associé ?
Test 11.2.3 : Chaque étiquette implémentée via l'attribut WAI-ARIA aria-label permet-elle de connaître la fonction exacte du champ de formulaire auquel elle est associée ?
Test 11.2.4 : Chaque passage de texte associé via l'attribut WAI-ARIA aria-labelledby permet-il de connaître la fonction exacte du champ de formulaire auquel il est associé ?
Test 11.2.5 : Chaque champ de formulaire ayant un intitulé visible vérifie-t-il ces conditions (hors cas particuliers) ?
</t>
    </r>
    <r>
      <rPr>
        <sz val="8"/>
        <rFont val="Arial"/>
        <family val="2"/>
      </rPr>
      <t xml:space="preserve">–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
</t>
    </r>
    <r>
      <rPr>
        <b/>
        <sz val="8"/>
        <rFont val="Arial"/>
        <family val="2"/>
      </rPr>
      <t xml:space="preserve">
Test 11.2.6 : Chaque bouton adjacent au champ de formulaire qui fournit une étiquette visible permet-il de connaître la fonction exacte du champ de formulaire auquel il est associé ?</t>
    </r>
  </si>
  <si>
    <t>Test 11.3.1 : Chaque étiquette associée à un champ de formulaire ayant la même fonction et répétée plusieurs fois dans une même page est-elle cohérente ?
Test 11.3.2 : Chaque étiquette associée à un champ de formulaire ayant la même fonction et répétée dans un ensemble de pages est-elle cohérente ?</t>
  </si>
  <si>
    <r>
      <t xml:space="preserve">Test 11.5.1 : 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</si>
  <si>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Test 11.6.1 : Chaque regroupement de champs de même nature possède-t-il une légende ?</t>
  </si>
  <si>
    <t>Test 11.7.1 : Chaque légende associée à un regroupement de champs de même nature est-elle pertinente ?</t>
  </si>
  <si>
    <t>Test 11.8.1 : Pour chaque balise &lt;select&gt;, les items de même nature d'une liste de choix sont-ils regroupés avec une balise &lt;optgroup&gt;, si nécessaire ?
Test 11.8.2 : Dans chaque balise &lt;select&gt;, chaque balise &lt;optgroup&gt; possède-t-elle un attribut label ?
Test 11.8.3 : Pour chaque balise &lt;optgroup&gt; ayant un attribut label, le contenu de l'attribut label est-il pertinent ?</t>
  </si>
  <si>
    <r>
      <rPr>
        <b/>
        <sz val="8"/>
        <rFont val="Arial"/>
        <family val="2"/>
      </rPr>
      <t xml:space="preserve">Test 11.9.1 : L'intitulé de chaque bouton est-il pertinent ?
</t>
    </r>
    <r>
      <rPr>
        <sz val="8"/>
        <rFont val="Arial"/>
        <family val="2"/>
      </rPr>
      <t xml:space="preserve">–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
</t>
    </r>
    <r>
      <rPr>
        <b/>
        <sz val="8"/>
        <rFont val="Arial"/>
        <family val="2"/>
      </rPr>
      <t>Test 11.9.2 : Chaque bouton affichant un intitulé visible vérifie-t-il ces conditions (hors cas particuliers) ?</t>
    </r>
    <r>
      <rPr>
        <sz val="8"/>
        <rFont val="Arial"/>
        <family val="2"/>
      </rPr>
      <t xml:space="preserve">
–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</si>
  <si>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Test 11.11.1 : Pour chaque erreur de saisie, les types et les formats de données sont-ils suggérés, si nécessaire ?
Test 11.11.2 : Pour chaque erreur de saisie, des exemples de valeurs attendues sont-ils suggérés, si nécessaire ?</t>
  </si>
  <si>
    <r>
      <rPr>
        <b/>
        <sz val="8"/>
        <rFont val="Arial"/>
        <family val="2"/>
      </rPr>
      <t xml:space="preserve">Test 11.12.1 : 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xml:space="preserve">–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
</t>
    </r>
    <r>
      <rPr>
        <b/>
        <sz val="8"/>
        <rFont val="Arial"/>
        <family val="2"/>
      </rPr>
      <t xml:space="preserve">Test 11.12.2 : 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</si>
  <si>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r>
      <t xml:space="preserve">Test 11.13.1 : 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</si>
  <si>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Test 12.1.1 : 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</si>
  <si>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r>
      <t xml:space="preserve">Test 12.2.1 : 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</si>
  <si>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Test 12.3.1 : La page « plan du site » est-elle représentative de l'architecture générale du site ?
Test 12.3.2 : Les liens du plan du site sont-ils fonctionnels ?
Test 12.3.3 : Les liens du plan du site renvoient-ils bien vers les pages indiquées par l'intitulé ?</t>
  </si>
  <si>
    <t>Test 12.4.1 : Dans chaque ensemble de pages, la page « plan du site » est-elle accessible à partir d'une fonctionnalité identique ?
Test 12.4.2 : Dans chaque ensemble de pages, la fonctionnalité vers la page « plan du site » est-elle située à la même place dans la présentation ?
Test 12.4.3 : Dans chaque ensemble de pages, la fonctionnalité vers la page « plan du site » se présente-t-elle toujours dans le même ordre relatif dans le code source ?</t>
  </si>
  <si>
    <t>Test 12.5.1 : Dans chaque ensemble de pages, le moteur de recherche est-il accessible à partir d'une fonctionnalité identique ?
Test 12.5.2 : Dans chaque ensemble de pages, la fonctionnalité vers le moteur de recherche est-elle située à la même place dans la présentation ?
Test 12.5.3 : Dans chaque ensemble de pages, la fonctionnalité vers le moteur de recherche se présente-t-elle toujours dans le même ordre relatif dans le code source ?</t>
  </si>
  <si>
    <t>Test 12.8.1 : Dans chaque page web, l'ordre de tabulation dans le contenu est-il cohérent ?
Test 12.8.2 : Pour chaque script qui met à jour ou insère un contenu, l'ordre de tabulation reste-t-il cohérent ?</t>
  </si>
  <si>
    <r>
      <rPr>
        <b/>
        <sz val="8"/>
        <rFont val="Arial"/>
        <family val="2"/>
      </rPr>
      <t xml:space="preserve">Test 12.9.1 : 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</si>
  <si>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r>
      <rPr>
        <b/>
        <sz val="8"/>
        <rFont val="Arial"/>
        <family val="2"/>
      </rPr>
      <t xml:space="preserve">Test 12.10.1 : 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</si>
  <si>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Test 12.11.1 : Dans chaque page web, les contenus additionnels apparaissant au survol, à la prise de focus ou à l'activation d'un composant d'interface sont-ils, si nécessaire, atteignables au clavier ?</t>
  </si>
  <si>
    <r>
      <rPr>
        <b/>
        <sz val="8"/>
        <rFont val="Arial"/>
        <family val="2"/>
      </rPr>
      <t xml:space="preserve">Test 13.1.1 : Pour chaque page web, chaque procédé de rafraîchissement (balise &lt;object&gt;, balise &lt;embed&gt;, balise &lt;svg&gt;, balise &lt;canvas&gt;, balise &lt;meta&gt;) vérifie-t-il une de ces conditions (hors cas particuliers) ?
</t>
    </r>
    <r>
      <rPr>
        <sz val="8"/>
        <rFont val="Arial"/>
        <family val="2"/>
      </rPr>
      <t xml:space="preserve">–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
</t>
    </r>
    <r>
      <rPr>
        <b/>
        <sz val="8"/>
        <rFont val="Arial"/>
        <family val="2"/>
      </rPr>
      <t xml:space="preserve">Test 13.1.2 : Pour chaque page web, chaque procédé de redirection effectué via une balise &lt;meta&gt; est-il immédiat (hors cas particuliers) ? 
Test 13.1.3 : Pour chaque page web, chaque procédé de redirection effectué via un script vérifie-t-il une de ces conditions (hors cas particuliers) ?
</t>
    </r>
    <r>
      <rPr>
        <sz val="8"/>
        <rFont val="Arial"/>
        <family val="2"/>
      </rPr>
      <t xml:space="preserve">–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
</t>
    </r>
    <r>
      <rPr>
        <b/>
        <sz val="8"/>
        <rFont val="Arial"/>
        <family val="2"/>
      </rPr>
      <t xml:space="preserve">
Test 13.1.4 : 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</si>
  <si>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Test 13.2.1 : Dans chaque page web, l'ouverture d'une nouvelle fenêtre ne doit pas être déclenchée sans action de l'utilisateur. Cette règle est-elle respectée ?</t>
  </si>
  <si>
    <r>
      <rPr>
        <b/>
        <sz val="8"/>
        <rFont val="Arial"/>
        <family val="2"/>
      </rPr>
      <t xml:space="preserve">Test 13.3.1 : 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</si>
  <si>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Test 13.4.1 : 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</si>
  <si>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r>
      <rPr>
        <b/>
        <sz val="8"/>
        <rFont val="Arial"/>
        <family val="2"/>
      </rPr>
      <t xml:space="preserve">Test 13.5.1 : Dans chaque page web, chaque contenu cryptique (art ASCII, émoticon, syntaxe cryptique) vérifie-t-il une de ces conditions ?
</t>
    </r>
    <r>
      <rPr>
        <sz val="8"/>
        <rFont val="Arial"/>
        <family val="2"/>
      </rPr>
      <t>– Un attribut title est disponible.
– Une définition est donnée par le contexte adjacent.</t>
    </r>
  </si>
  <si>
    <r>
      <rPr>
        <b/>
        <sz val="8"/>
        <rFont val="Arial"/>
        <family val="2"/>
      </rPr>
      <t xml:space="preserve">Test 13.6.1 : 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</si>
  <si>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r>
      <rPr>
        <b/>
        <sz val="8"/>
        <rFont val="Arial"/>
        <family val="2"/>
      </rPr>
      <t xml:space="preserve">Test 13.8.1 : Dans chaque page web, chaque contenu en mouvement, déclenché automatiquement, vérifie-t-il une de ces conditions ?
</t>
    </r>
    <r>
      <rPr>
        <sz val="8"/>
        <rFont val="Arial"/>
        <family val="2"/>
      </rPr>
      <t xml:space="preserve">– La durée du mouvement est inférieure ou égale à 5 secondes.
– L'utilisateur peut arrêter et relancer le mouvement.
– L'utilisateur peut afficher et masquer le contenu en mouvement.
– L'utilisateur peut afficher la totalité de l'information sans le mouvement.
</t>
    </r>
    <r>
      <rPr>
        <b/>
        <sz val="8"/>
        <rFont val="Arial"/>
        <family val="2"/>
      </rPr>
      <t xml:space="preserve">Test 13.8.2 : 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</si>
  <si>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Test 13.9.1 : 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</si>
  <si>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Test 13.10.1 : Dans chaque page web, chaque fonctionnalité utilisable ou disponible suite à un contact multipoint est-elle également utilisable ou disponible suite à un contact en un point unique de l’écran (hors cas particuliers) ?
Test 13.10.2 : Dans chaque page web, chaque fonctionnalité utilisable ou disponible suite à un geste basé sur le suivi d'une trajectoire sur l'écran est-elle également utilisable ou disponible suite à un contact en un point unique de l'écran (hors cas particuliers) ?</t>
  </si>
  <si>
    <r>
      <t xml:space="preserve">Test 13.11.1 : 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</si>
  <si>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Test 13.12.1 : Dans chaque page web, les fonctionnalités disponibles en bougeant l'appareil peuvent-elles être accomplies avec des composants d'interface utilisateur (hors cas particuliers) ?
Test 13.12.2 : Dans chaque page web, les fonctionnalités disponibles en faisant un geste en direction de l'appareil peuvent-elles être accomplies avec des composants d'interface utilisateur (hors cas particuliers) ?
Test 13.12.3 : L'utilisateur a-t-il la possibilité de désactiver la détection du mouvement pour éviter un déclenchement accidentel de la fonctionnalité (hors cas particuliers) ?</t>
  </si>
  <si>
    <t>Niv</t>
  </si>
  <si>
    <t>Tests</t>
  </si>
  <si>
    <t>Résultats par page</t>
  </si>
  <si>
    <t>Validés AAA</t>
  </si>
  <si>
    <t>Invalidés AAA</t>
  </si>
  <si>
    <t>Indéterminés AAA</t>
  </si>
  <si>
    <t>NA AAA</t>
  </si>
  <si>
    <t>Validés non AAA</t>
  </si>
  <si>
    <t>Invalidés non AAA</t>
  </si>
  <si>
    <t>Indéterminés non AAA</t>
  </si>
  <si>
    <t>NA non AAA</t>
  </si>
  <si>
    <t>Total non AAA</t>
  </si>
  <si>
    <t>% Validés non AAA / Total non AAA</t>
  </si>
  <si>
    <t>% Invalidés non AAA / Total non AAA</t>
  </si>
  <si>
    <t>% NA non AAA / Total non AAA</t>
  </si>
  <si>
    <t>% Validés non AAA / Total Validés + Invalidés non AAA</t>
  </si>
  <si>
    <t>Calculs des % de Synthèse par Page</t>
  </si>
  <si>
    <t>Total non AAA + AAA</t>
  </si>
  <si>
    <t>Chaque lien est-il explicite (hors cas particuliers) ?</t>
  </si>
  <si>
    <t>%=Taux conformité aux critères pour chaque page</t>
  </si>
  <si>
    <t>%=Taux conformité aux critères pour l'échantillon</t>
  </si>
  <si>
    <t>Nom du site et URL</t>
  </si>
  <si>
    <t>Cette grille a été créée par Tanaguru (www.tanaguru.com).</t>
  </si>
  <si>
    <t>– Le nom du site ;</t>
  </si>
  <si>
    <t>– L'url du site.</t>
  </si>
  <si>
    <t>– Le numéro de la page ;</t>
  </si>
  <si>
    <t>– Le nom de la page ;</t>
  </si>
  <si>
    <t>– Les éléments significatifs.</t>
  </si>
  <si>
    <t>Éléments Transverses</t>
  </si>
  <si>
    <t>Dans l'onglet « Projet »</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</si>
  <si>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</si>
  <si>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</si>
  <si>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Synthèse »</t>
  </si>
  <si>
    <t>Dans l'onglet « Synthèse Graphique »</t>
  </si>
  <si>
    <t>Pour l'onglet « Transverse » et chaque Page d'audit (Page1, Page2, Page3…)</t>
  </si>
  <si>
    <t>Dans l'onglet « Transverse » spécifiquement - À auditer en premier</t>
  </si>
  <si>
    <t>Dans l'onglet « Récapitulatif »</t>
  </si>
  <si>
    <t>Dans l'onglet « Modèle » (masqué)</t>
  </si>
  <si>
    <t>Dans l'onglet « Value » (masqué)</t>
  </si>
  <si>
    <t>Cet onglet vous donne une vue graphique de l'état du site. Un camembert présente le niveau de conformité du site. Un histogramme présente le niveau de conformité pour chaque niveau du label e-Accessible.</t>
  </si>
  <si>
    <t>– L'URL de la page ;</t>
  </si>
  <si>
    <t xml:space="preserve">Pour chaque critère sont indiqué : 
– La thématique ;
– Le numéro du critère ;
– L'intitulé du critère ;
– Le niveau RGAA du critère ; 
– Tous les tests associés au critère ;
– La méthode d'évaluation du critère (automatique avec Tanaguru ou manuelle), cette valeur peut être modifiée ;
– Le niveau e-accessible du critère.
</t>
  </si>
  <si>
    <t xml:space="preserve">Cet onglet présente également deux graphiques. Un camembert présentant la conformité générale du site (ce pourcentage est calculé au niveau du critère) et un histogramme présentant la conformité de chaque thématique.
</t>
  </si>
  <si>
    <t xml:space="preserve">
Cet onglet vous donne une vue d'ensemble de l'audit de votre site. Vous pouvez visualiser pour chaque critère sa conformité sur toutes les pages. Vous pouvez ainsi déterminer les critères invalidés de façon transverse et les pages ayant des erreurs particulières. Vous avez également le pourcentage d'accessibilité de chaque page au niveau du critère.
</t>
  </si>
  <si>
    <t xml:space="preserve">
Ces pages sont la partie la plus active de la grille. C'est sur ces pages que l'on effectue l'audit des pages du site. Évaluation du statut des critères et recommandations. Une page est basée sur le RGAA avec une ligne par critère. 
</t>
  </si>
  <si>
    <t xml:space="preserve">Ainsi, on n'audite pas, pour chaque page, les mêmes composants indéfiniment mais les statuts invalidés sont bien reportés pour chaque page.
</t>
  </si>
  <si>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</si>
  <si>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</si>
  <si>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 xml:space="preserve">
C'est dans cet onglet que sont effectuées toutes les formules de calculs permettant de générer les graphiques et d'évaluer les niveaux de conformité et de qualité de chaque page et de manière générale pour l'ensemble du site.
</t>
  </si>
  <si>
    <t xml:space="preserve">À moins de bien s'y connaître en formule de calcul Excel, il est recommandé de ne pas modifier cette page.
</t>
  </si>
  <si>
    <t xml:space="preserve">Lorsque l'audit de toutes les pages est terminé, cliquer sur le bouton « Générer le récapitulatif » et l'ensemble des erreurs relevées sera alors reporté sur cet onglet.
</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</si>
  <si>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</si>
  <si>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https://www.numerique.gouv.fr/publications/rgaa-accessibilite/obligations/#contenus-exempt%C3%A9s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</si>
  <si>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</si>
  <si>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Sur chaque page, on retrouvera donc les même critères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</si>
  <si>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</si>
  <si>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Les éléments transverses doivent être audités en priorité, avant les pages entières.
</t>
  </si>
  <si>
    <t xml:space="preserve">
Cet onglet permet de centraliser sur un seul onglet toutes les erreurs relevées sur les pages du site. Il permet une meilleure lecture des corrections à effectuer pour un client. Sont ajoutés aux non conformités, les critères qui ont reçu un commentaire même s'ils sont validés ou non applicables.
</t>
  </si>
  <si>
    <t xml:space="preserve">
Cet onglet est le modèle d'une page d'évaluation vierge. C'est à partir de cet onglet que sont générées les différentes pages d'évaluation. Toute modification de ce modèle sera répercutée sur les pages générées.
</t>
  </si>
  <si>
    <t xml:space="preserve">Attention : la propagation des éléments transverses peut générer un effet de clignotement de l'interface…
</t>
  </si>
  <si>
    <t>La propagation des éléments transverses peut générer un clignotement de l'interface…</t>
  </si>
  <si>
    <t>Exemple de code corrigé</t>
  </si>
  <si>
    <t xml:space="preserve">Pour chaque critère, il faut renseigner les informations suivantes :
– L'état du critère qui peut être invalidé, validé, non applicable (NA), indéterminé ou pré-qualifié (Tanaguru) ;
– La date de l'évaluation ;
– Le correctif qui est une recommandation ou une aide pour solutionner l'erreur relevée ;
– L'exemple de code corrigé (si besoin) ;
– La difficulté (évaluer sur une échelle (basse, moyenne, haute) la difficulté de correction de l'erreur) ;
– La priorité (évaluer sur une échelle (mineur, moyen, majeur, critique) la priorité de correction de l'erreur selon l'impact sur l'utilisateur).
</t>
  </si>
  <si>
    <t>Pour chaque tableau de mise en forme, le contenu linéarisé reste-t-il compréhensible ?</t>
  </si>
  <si>
    <t>Dans chaque page web, chaque lien a-t-il un intitulé ?</t>
  </si>
  <si>
    <t>Dans chaque page web, le contenu visible porteur d’information reste-t-il présent lorsque les feuilles de styles sont désactivées ?</t>
  </si>
  <si>
    <t>Pour chaque page web, les contenus peuvent-ils être présentés sans avoir recours à un défilement vertical pour une fenêtre ayant une hauteur de 256px ou à un défilement horizontal pour une fenêtre ayant une largeur de 320px (hors cas particuliers) ?</t>
  </si>
  <si>
    <t>Dans chaque formulaire, chaque regroupement de champs de même nature a-t-il une légende ?</t>
  </si>
  <si>
    <t>Pour chaque formulaire qui modifie ou supprime des données, ou qui transmet des réponses à un test ou à un examen, ou dont la validation a des conséquences financières ou juridiques, les données saisies peuvent-elles être modifiées, mises à jour ou récupérées par l’utilisateur ?</t>
  </si>
  <si>
    <t>Audit par critères RGAA 4.1 2021</t>
  </si>
  <si>
    <t>(Version 2.1)</t>
  </si>
  <si>
    <r>
      <t xml:space="preserve">Test 1.1.1 : Chaque image (balise &lt;img&gt; ou balise possédant l'attribut WAI-ARIA role="img") porteuse d'information a-t-elle une alternative textuelle ?
Test 1.1.2 : Chaque zone d'une image réactive (balise &lt;area&gt;) porteuse d'information a-t-elle une alternative textuelle ?
Test 1.1.3 : Chaque bouton de type image (balise &lt;input&gt; avec l'attribut type="image") a-t-il une alternative textuelle ?
Test 1.1.4 : </t>
    </r>
    <r>
      <rPr>
        <b/>
        <sz val="8"/>
        <color rgb="FFA50021"/>
        <rFont val="Arial"/>
        <family val="2"/>
      </rPr>
      <t>Chaque zone cliquable d’une image réactive côté serveur est-elle doublée d’un mécanisme utilisable quel que soit le dispositif de pointage utilisé et permettant d’accéder à la même destination ?</t>
    </r>
    <r>
      <rPr>
        <b/>
        <sz val="8"/>
        <rFont val="Arial"/>
        <family val="2"/>
      </rPr>
      <t xml:space="preserve">
Test 1.1.5 : Chaque image vectorielle (balise &lt;svg&gt;) porteuse d'information, vérifie-t-elle ces conditions ?
</t>
    </r>
    <r>
      <rPr>
        <sz val="8"/>
        <rFont val="Arial"/>
        <family val="2"/>
      </rPr>
      <t xml:space="preserve">– La balise &lt;svg&gt; possède un attribut WAI-ARIA role="img".
– La balise &lt;svg&gt; a une alternative textuelle.
</t>
    </r>
    <r>
      <rPr>
        <b/>
        <sz val="8"/>
        <rFont val="Arial"/>
        <family val="2"/>
      </rPr>
      <t xml:space="preserve">Test 1.1.6 : Chaque image objet (balise &lt;object&gt; avec l'attribut type="image/…") porteuse d'information, vérifie-t-elle une de ces conditions ?
</t>
    </r>
    <r>
      <rPr>
        <sz val="8"/>
        <rFont val="Arial"/>
        <family val="2"/>
      </rPr>
      <t xml:space="preserve">– </t>
    </r>
    <r>
      <rPr>
        <sz val="8"/>
        <color rgb="FFA50021"/>
        <rFont val="Arial"/>
        <family val="2"/>
      </rPr>
      <t>La balise &lt;object&gt; possède une alternative textuelle et un attribut role="img".</t>
    </r>
    <r>
      <rPr>
        <sz val="8"/>
        <rFont val="Arial"/>
        <family val="2"/>
      </rPr>
      <t xml:space="preserve">
– L'élément &lt;object&gt; est immédiatement suivi d'un lien ou bouton adjacent permettant d'accéder à un contenu alternatif.
– Un mécanisme permet à l'utilisateur de remplacer l'élément &lt;object&gt; par un contenu alternatif.
</t>
    </r>
    <r>
      <rPr>
        <b/>
        <sz val="8"/>
        <rFont val="Arial"/>
        <family val="2"/>
      </rPr>
      <t xml:space="preserve">Test 1.1.7 : Chaque image embarquée (balise &lt;embed&gt; avec l'attribut type="image/…") porteuse d'information, vérifie-t-elle une de ces conditions ?
</t>
    </r>
    <r>
      <rPr>
        <sz val="8"/>
        <rFont val="Arial"/>
        <family val="2"/>
      </rPr>
      <t xml:space="preserve">– </t>
    </r>
    <r>
      <rPr>
        <sz val="8"/>
        <color rgb="FFA50021"/>
        <rFont val="Arial"/>
        <family val="2"/>
      </rPr>
      <t>La balise &lt;embed&gt; possède une alternative textuelle et un attribut role="img".</t>
    </r>
    <r>
      <rPr>
        <sz val="8"/>
        <rFont val="Arial"/>
        <family val="2"/>
      </rPr>
      <t xml:space="preserve">
– L'élément &lt;embed&gt; est immédiatement suivie d'un lien ou bouton adjacent permettant d'accéder à un contenu alternatif.
– Un mécanisme permet à l'utilisateur de remplacer l'élément &lt;embed&gt; par un contenu alternatif.
</t>
    </r>
    <r>
      <rPr>
        <b/>
        <sz val="8"/>
        <rFont val="Arial"/>
        <family val="2"/>
      </rPr>
      <t xml:space="preserve">
Test 1.1.8 : Chaque image bitmap (balise &lt;canvas&gt;) porteuse d'information, vérifie-t-elle une de ces conditions ?
</t>
    </r>
    <r>
      <rPr>
        <sz val="8"/>
        <rFont val="Arial"/>
        <family val="2"/>
      </rPr>
      <t xml:space="preserve">– </t>
    </r>
    <r>
      <rPr>
        <sz val="8"/>
        <color rgb="FFA50021"/>
        <rFont val="Arial"/>
        <family val="2"/>
      </rPr>
      <t>La balise &lt;canvas&gt; possède une alternative textuelle et un attribut role="img".</t>
    </r>
    <r>
      <rPr>
        <sz val="8"/>
        <rFont val="Arial"/>
        <family val="2"/>
      </rPr>
      <t xml:space="preserv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</si>
  <si>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r>
      <rPr>
        <b/>
        <sz val="8"/>
        <rFont val="Arial"/>
        <family val="2"/>
      </rPr>
      <t xml:space="preserve">Test 1.3.1 : Pour chaque image (balise &lt;img&gt; ou balise possédant l'attribut WAI-ARIA role="img")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1.3.2 : Pour chaque zone (balise &lt;area&gt;) d'une image réactive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1.3.3 : Pour chaque bouton de type image (balise &lt;input&gt; avec l'attribut type="image"),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1.3.4 : Pour chaque image objet (balise &lt;object&gt;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1.3.5 : Pour chaque image embarquée (balise &lt;embed&gt;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1.3.6 : Pour chaque image vectorielle (balise &lt;svg&gt;) porteuse d'information, ayant une alternative textuelle, cette alternative est-elle pertinente (hors cas particuliers) ?
</t>
    </r>
    <r>
      <rPr>
        <sz val="8"/>
        <rFont val="Arial"/>
        <family val="2"/>
      </rPr>
      <t xml:space="preserve">– </t>
    </r>
    <r>
      <rPr>
        <sz val="8"/>
        <color rgb="FFA50021"/>
        <rFont val="Arial"/>
        <family val="2"/>
      </rPr>
      <t>S’il est présent, le contenu de l’élément &lt;title&gt; est pertinent.</t>
    </r>
    <r>
      <rPr>
        <sz val="8"/>
        <rFont val="Arial"/>
        <family val="2"/>
      </rPr>
      <t xml:space="preserve">
– S'il est présent, le contenu de l'attribut WAI-ARIA aria-label est pertinent.
– S'il est présent, le passage de texte associé via l'attribut WAI-ARIA aria-labelledby est pertinent.
</t>
    </r>
    <r>
      <rPr>
        <b/>
        <sz val="8"/>
        <rFont val="Arial"/>
        <family val="2"/>
      </rPr>
      <t xml:space="preserve">
Test 1.3.7 : Pour chaque image bitmap (balise &lt;canvas&gt;)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1.3.8 : Pour chaque image bitmap (balise &lt;canvas&gt;) porteuse d'information et ayant un contenu alternatif entre &lt;canvas&gt; et &lt;/canvas&gt;, ce contenu alternatif est-il correctement restitué par les technologies d'assistance ?
Test 1.3.9 : Pour chaque image porteuse d'information et ayant une alternative textuelle, l'alternative textuelle est-elle courte et concise (hors cas particuliers) ?</t>
    </r>
  </si>
  <si>
    <r>
      <t xml:space="preserve">Test 1.8.1 : Chaque image texte (balise &lt;img&gt; ou possédant un attribut WAI-ARIA role="img") porteuse d'information, en l'absence d'un mécanisme de remplacement, doit si possible être remplacée par du texte stylé. Cette règle est-elle respectée (hors cas particuliers) ?
Test 1.8.2 : Chaque bouton « image texte » (balise &lt;input&gt; avec l'attribut type="image") porteur d'information, en l'absence d'un mécanisme de remplacement, doit si possible être remplacé par du texte stylé. Cette règle est-elle respectée (hors cas particuliers) ?
Test 1.8.3 : Chaque image texte objet (balise &lt;object&gt; avec l'attribut type="image/…") porteuse d'information, en l'absence d'un mécanisme de remplacement, doit si possible être remplacée par du texte stylé. Cette règle est-elle respectée (hors cas particuliers) ?
Test 1.8.4 : Chaque image texte embarquée (balise &lt;embed&gt; avec l'attribut type="image/…") porteuse d'information, en l'absence d'un mécanisme de remplacement, doit si possible être remplacée par du texte stylé. Cette règle est-elle respectée (hors cas particuliers) ?
Test 1.8.5 : Chaque image texte bitmap (balise &lt;canvas&gt;) porteuse d'information, en l'absence d'un mécanisme de remplacement, doit si possible être remplacée par du texte stylé. Cette règle est-elle respectée (hors cas particuliers) ?
</t>
    </r>
    <r>
      <rPr>
        <b/>
        <sz val="8"/>
        <color rgb="FFA50021"/>
        <rFont val="Arial"/>
        <family val="2"/>
      </rPr>
      <t>Test 1.8.6 : Chaque image texte SVG (balise &lt;svg&gt;) porteuse d’information et dont le texte n’est pas complètement structuré au moyen d’éléments &lt;text&gt;, en l’absence d’un mécanisme de remplacement, doit si possible être remplacée par du texte stylé. Cette règle est-elle respectée (hors cas particuliers) ?</t>
    </r>
  </si>
  <si>
    <r>
      <rPr>
        <b/>
        <sz val="8"/>
        <rFont val="Arial"/>
        <family val="2"/>
      </rPr>
      <t xml:space="preserve">Test 4.8.1 : Chaque média non temporel vérifie-t-il, si nécessaire, une de ces conditions (hors cas particuliers) ?
</t>
    </r>
    <r>
      <rPr>
        <sz val="8"/>
        <rFont val="Arial"/>
        <family val="2"/>
      </rPr>
      <t xml:space="preserve">– </t>
    </r>
    <r>
      <rPr>
        <sz val="8"/>
        <color rgb="FFA50021"/>
        <rFont val="Arial"/>
        <family val="2"/>
      </rPr>
      <t xml:space="preserve">Un lien ou un bouton adjacent, clairement identifiable, permet d’accéder à une page contenant une alternative.
</t>
    </r>
    <r>
      <rPr>
        <sz val="8"/>
        <rFont val="Arial"/>
        <family val="2"/>
      </rPr>
      <t xml:space="preserve">– Un lien ou bouton adjacent, clairement identifiable, permet d'accéder à une alternative dans la page.
</t>
    </r>
    <r>
      <rPr>
        <b/>
        <sz val="8"/>
        <rFont val="Arial"/>
        <family val="2"/>
      </rPr>
      <t>Test 4.8.2 : Chaque média non temporel associé à une alternative vérifie-t-il une de ces conditions (hors cas particuliers) ?</t>
    </r>
    <r>
      <rPr>
        <sz val="8"/>
        <rFont val="Arial"/>
        <family val="2"/>
      </rPr>
      <t xml:space="preserve">
– La page référencée par le lien ou bouton adjacent est accessible.
– L'alternative dans la page, référencée par le lien ou bouton adjacent, est accessible.</t>
    </r>
  </si>
  <si>
    <r>
      <rPr>
        <b/>
        <sz val="8"/>
        <color rgb="FFA50021"/>
        <rFont val="Arial"/>
        <family val="2"/>
      </rPr>
      <t>Test 5.3.1 : Chaque tableau de mise en forme vérifie-t-il ces conditions ?</t>
    </r>
    <r>
      <rPr>
        <b/>
        <sz val="8"/>
        <rFont val="Arial"/>
        <family val="2"/>
      </rPr>
      <t xml:space="preserve">
</t>
    </r>
    <r>
      <rPr>
        <sz val="8"/>
        <rFont val="Arial"/>
        <family val="2"/>
      </rPr>
      <t>– Le contenu linéarisé reste compréhensible.
– La balise &lt;table&gt; possède un attribut role="presentation".</t>
    </r>
  </si>
  <si>
    <r>
      <t xml:space="preserve">Test 5.6.1 : Pour chaque tableau de données, chaque en-tête de colonnes s'appliquant à la totalité de la colonne vérifie-t-il une de ces conditions ?
</t>
    </r>
    <r>
      <rPr>
        <sz val="8"/>
        <rFont val="Arial"/>
        <family val="2"/>
      </rPr>
      <t xml:space="preserve">– L'en-tête de colonnes est structuré au moyen d'une balise &lt;th&gt;.
– L'en-tête de colonnes est structuré au moyen d'une balise pourvue d'un attribut WAI-ARIA role="columnheader".
</t>
    </r>
    <r>
      <rPr>
        <b/>
        <sz val="8"/>
        <rFont val="Arial"/>
        <family val="2"/>
      </rPr>
      <t xml:space="preserve">Test 5.6.2 : Pour chaque tableau de données, chaque en-tête de lignes s'appliquant à la totalité de la ligne vérifie-t-il une de ces conditions ?
</t>
    </r>
    <r>
      <rPr>
        <sz val="8"/>
        <rFont val="Arial"/>
        <family val="2"/>
      </rPr>
      <t xml:space="preserve">– L'en-tête de lignes est structuré au moyen d'une balise &lt;th&gt;.
– L'en-tête de lignes est structuré au moyen d'une balise pourvue d'un attribut WAI-ARIA role="rowheader".
</t>
    </r>
    <r>
      <rPr>
        <b/>
        <sz val="8"/>
        <rFont val="Arial"/>
        <family val="2"/>
      </rPr>
      <t xml:space="preserve">
Test 5.6.3 : Pour chaque tableau de données, chaque en-tête ne s'appliquant pas à la totalité de la ligne ou de la colonne est-il structuré au moyen d'une balise &lt;th&gt; ?
</t>
    </r>
    <r>
      <rPr>
        <b/>
        <sz val="8"/>
        <color rgb="FFA50021"/>
        <rFont val="Arial"/>
        <family val="2"/>
      </rPr>
      <t xml:space="preserve">
Test 5.6.4 : Pour chaque tableau de données, chaque cellule associée à plusieurs en-têtes est-elle structurée au moyen d’une balise &lt;td&gt; ou &lt;th&gt; ?</t>
    </r>
  </si>
  <si>
    <r>
      <rPr>
        <b/>
        <sz val="8"/>
        <rFont val="Arial"/>
        <family val="2"/>
      </rPr>
      <t xml:space="preserve">Test 5.8.1 : Chaque tableau de mise en forme (balise &lt;table&gt;) vérifie-t-il ces conditions ?
</t>
    </r>
    <r>
      <rPr>
        <sz val="8"/>
        <color rgb="FFA50021"/>
        <rFont val="Arial"/>
        <family val="2"/>
      </rPr>
      <t>– Le tableau de mise en forme (balise &lt;table&gt;) n’a pas d’attribut summary (sinon vide) et ne contient pas de balises &lt;caption&gt;, &lt;th&gt;, &lt;thead&gt;, &lt;tfoot&gt;, &lt;colgroup&gt; ou de balises ayant un attribut WAI-ARIA role="rowheader", role="columnheader".</t>
    </r>
    <r>
      <rPr>
        <sz val="8"/>
        <rFont val="Arial"/>
        <family val="2"/>
      </rPr>
      <t xml:space="preserve">
– Les cellules du tableau de mise en forme (balises &lt;td&gt;) ne possèdent pas d'attributs scope, headers, axis.</t>
    </r>
  </si>
  <si>
    <r>
      <t>Test 6.2.1 :</t>
    </r>
    <r>
      <rPr>
        <b/>
        <sz val="8"/>
        <color rgb="FFFF0000"/>
        <rFont val="Arial"/>
        <family val="2"/>
      </rPr>
      <t xml:space="preserve"> </t>
    </r>
    <r>
      <rPr>
        <b/>
        <sz val="8"/>
        <color rgb="FFA50021"/>
        <rFont val="Arial"/>
        <family val="2"/>
      </rPr>
      <t>Dans chaque page web, chaque lien a-t-il un intitulé entre &lt;a&gt; et &lt;/a&gt; ?</t>
    </r>
  </si>
  <si>
    <t>Pour chaque page web, le code source généré est-il valide selon le type de document spécifié ?</t>
  </si>
  <si>
    <r>
      <t xml:space="preserve">Test 8.2.1 : </t>
    </r>
    <r>
      <rPr>
        <b/>
        <sz val="8"/>
        <color rgb="FFA50021"/>
        <rFont val="Arial"/>
        <family val="2"/>
      </rPr>
      <t>Pour chaque déclaration de type de document, le code source généré de la page vérifie-t-il ces conditions ?</t>
    </r>
    <r>
      <rPr>
        <b/>
        <sz val="8"/>
        <rFont val="Arial"/>
        <family val="2"/>
      </rPr>
      <t xml:space="preserve">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</si>
  <si>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r>
      <rPr>
        <b/>
        <sz val="8"/>
        <color rgb="FFA50021"/>
        <rFont val="Arial"/>
        <family val="2"/>
      </rPr>
      <t>Test 10.4.1</t>
    </r>
    <r>
      <rPr>
        <b/>
        <sz val="8"/>
        <rFont val="Arial"/>
        <family val="2"/>
      </rPr>
      <t xml:space="preserve"> : 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
</t>
    </r>
    <r>
      <rPr>
        <b/>
        <sz val="8"/>
        <color rgb="FFA50021"/>
        <rFont val="Arial"/>
        <family val="2"/>
      </rPr>
      <t xml:space="preserve">
Test 10.4.2</t>
    </r>
    <r>
      <rPr>
        <b/>
        <sz val="8"/>
        <color rgb="FFFF0000"/>
        <rFont val="Arial"/>
        <family val="2"/>
      </rPr>
      <t xml:space="preserve"> </t>
    </r>
    <r>
      <rPr>
        <b/>
        <sz val="8"/>
        <rFont val="Arial"/>
        <family val="2"/>
      </rPr>
      <t xml:space="preserve">: 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</si>
  <si>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r>
      <rPr>
        <b/>
        <sz val="8"/>
        <rFont val="Arial"/>
        <family val="2"/>
      </rPr>
      <t xml:space="preserve">Test 11.1.1 : Chaque champ de formulaire vérifie-t-il une de ces conditions ?
</t>
    </r>
    <r>
      <rPr>
        <sz val="8"/>
        <rFont val="Arial"/>
        <family val="2"/>
      </rPr>
      <t xml:space="preserve">–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t>
    </r>
    <r>
      <rPr>
        <sz val="8"/>
        <color rgb="FFA50021"/>
        <rFont val="Arial"/>
        <family val="2"/>
      </rPr>
      <t xml:space="preserve">Un bouton adjacent au champ de formulaire lui fournit une étiquette visible et un élément &lt;label&gt; visuellement caché ou un attribut WAI-ARIA aria-label, aria-labelledby ou title lui fournit un nom accessible.
</t>
    </r>
    <r>
      <rPr>
        <sz val="8"/>
        <rFont val="Arial"/>
        <family val="2"/>
      </rPr>
      <t xml:space="preserve">
</t>
    </r>
    <r>
      <rPr>
        <b/>
        <sz val="8"/>
        <rFont val="Arial"/>
        <family val="2"/>
      </rPr>
      <t xml:space="preserve">Test 11.1.2 : Chaque champ de formulaire associé à une balise &lt;label&gt; ayant un attribut for, vérifie-t-il ces conditions ?
</t>
    </r>
    <r>
      <rPr>
        <sz val="8"/>
        <rFont val="Arial"/>
        <family val="2"/>
      </rPr>
      <t xml:space="preserve">– Le champ de formulaire possède un attribut id.
– La valeur de l'attribut for est égale à la valeur de l'attribut id du champ de formulaire associé.
</t>
    </r>
    <r>
      <rPr>
        <b/>
        <sz val="8"/>
        <rFont val="Arial"/>
        <family val="2"/>
      </rPr>
      <t xml:space="preserve">
Test 11.1.3 : 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</si>
  <si>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r>
      <t xml:space="preserve">Test 11.4.1 : Chaque étiquette de champ et son champ associé sont-ils accolés ?
Test 11.4.2 : Chaque étiquette accolée à un champ (à l'exception des case à cocher, bouton radio ou balise ayant un attribut WAI-ARIA role="checkbox", role="radio" ou role="switch"), vérifie-t-elle ces conditions (hors cas particuliers) ?
</t>
    </r>
    <r>
      <rPr>
        <sz val="8"/>
        <rFont val="Arial"/>
        <family val="2"/>
      </rPr>
      <t xml:space="preserve">–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
</t>
    </r>
    <r>
      <rPr>
        <b/>
        <sz val="8"/>
        <rFont val="Arial"/>
        <family val="2"/>
      </rPr>
      <t xml:space="preserve">
Test 11.4.3 : Chaque étiquette accolée à un champ de type checkbox ou radio ou à une balise ayant un attribut WAI-ARIA role="checkbox", role="radio" ou role="switch", vérifie-t-elle ces conditions (hors cas particuliers) ?
</t>
    </r>
    <r>
      <rPr>
        <sz val="8"/>
        <color rgb="FFA50021"/>
        <rFont val="Arial"/>
        <family val="2"/>
      </rPr>
      <t>– L’étiquette est visuellement accolée immédiatement au-dessous ou à droite du champ de formulaire lorsque le sens de lecture de la langue de l’étiquette est de gauche à droite.
– L’étiquette est visuellement accolée immédiatement au-dessous ou à gauche du champ de formulaire lorsque le sens de lecture de la langue de l’étiquette est de droite à gauche.</t>
    </r>
  </si>
  <si>
    <r>
      <rPr>
        <b/>
        <sz val="8"/>
        <rFont val="Arial"/>
        <family val="2"/>
      </rPr>
      <t xml:space="preserve">Test 11.10.1 : Les indications du caractère obligatoire de la saisie des champs vérifient-elles une de ces conditions (hors cas particuliers) ?
</t>
    </r>
    <r>
      <rPr>
        <sz val="8"/>
        <rFont val="Arial"/>
        <family val="2"/>
      </rPr>
      <t xml:space="preserve">– Une indication de champ obligatoire est visible et permet d'identifier nommément le champ concerné préalablement à la validation du formulaire.
– Le champ obligatoire dispose de l'attribut aria-required="true" ou required préalablement à la validation du formulaire.
</t>
    </r>
    <r>
      <rPr>
        <b/>
        <sz val="8"/>
        <rFont val="Arial"/>
        <family val="2"/>
      </rPr>
      <t xml:space="preserve">Test 11.10.2 : Les champs obligatoires ayant l'attribut aria-required="true" ou required vérifient-ils une de ces conditions ?
</t>
    </r>
    <r>
      <rPr>
        <sz val="8"/>
        <rFont val="Arial"/>
        <family val="2"/>
      </rPr>
      <t xml:space="preserve">–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
</t>
    </r>
    <r>
      <rPr>
        <b/>
        <sz val="8"/>
        <rFont val="Arial"/>
        <family val="2"/>
      </rPr>
      <t xml:space="preserve">
Test 11.10.3 : Les messages d'erreur indiquant l'absence de saisie d'un champ obligatoire vérifient-ils une de ces conditions ?
</t>
    </r>
    <r>
      <rPr>
        <sz val="8"/>
        <rFont val="Arial"/>
        <family val="2"/>
      </rPr>
      <t xml:space="preserve">– Le message d'erreur indiquant l'absence de saisie d'un champ obligatoire est visible et permet d'identifier nommément le champ concerné.
– Le champ obligatoire dispose de l'attribut aria-invalid="true".
</t>
    </r>
    <r>
      <rPr>
        <b/>
        <sz val="8"/>
        <rFont val="Arial"/>
        <family val="2"/>
      </rPr>
      <t xml:space="preserve">
Test 11.10.4 : Les champs obligatoires ayant l'attribut aria-invalid="true" vérifient-ils une de ces conditions ?
</t>
    </r>
    <r>
      <rPr>
        <sz val="8"/>
        <color rgb="FFA50021"/>
        <rFont val="Arial"/>
        <family val="2"/>
      </rPr>
      <t xml:space="preserve">– Le message d’erreur indiquant le caractère invalide de la saisie est visible et situé dans l’étiquette associée au champ.
– Le message d’erreur indiquant le caractère invalide de la saisie est visible et situé dans le passage de texte associé au champ.
</t>
    </r>
    <r>
      <rPr>
        <b/>
        <sz val="8"/>
        <rFont val="Arial"/>
        <family val="2"/>
      </rPr>
      <t xml:space="preserve">
Test 11.10.5 : Les instructions et indications du type de données et/ou de format obligatoires vérifient-elles une de ces conditions ?
</t>
    </r>
    <r>
      <rPr>
        <sz val="8"/>
        <rFont val="Arial"/>
        <family val="2"/>
      </rPr>
      <t xml:space="preserve">–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
</t>
    </r>
    <r>
      <rPr>
        <b/>
        <sz val="8"/>
        <rFont val="Arial"/>
        <family val="2"/>
      </rPr>
      <t xml:space="preserve">Test 11.10.6 : Les messages d'erreurs fournissant une instruction ou une indication du type de données et/ou de format obligatoire des champs vérifient-ils une de ces conditions ?
</t>
    </r>
    <r>
      <rPr>
        <sz val="8"/>
        <rFont val="Arial"/>
        <family val="2"/>
      </rPr>
      <t xml:space="preserve">– Le message d'erreur fournissant une instruction ou une indication du type de données et/ou de format obligatoire est visible et identifie le champ concerné.
– Le champ dispose de l'attribut aria-invalid="true".
</t>
    </r>
    <r>
      <rPr>
        <b/>
        <sz val="8"/>
        <rFont val="Arial"/>
        <family val="2"/>
      </rPr>
      <t xml:space="preserve">
Test 11.10.7 : 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</si>
  <si>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r>
      <rPr>
        <b/>
        <sz val="8"/>
        <rFont val="Arial"/>
        <family val="2"/>
      </rPr>
      <t xml:space="preserve">Test 12.6.1 : Dans chaque page web où elles sont présentes, la zone d'en-tête, de navigation principale, de contenu principal, de pied de page et de moteur de recherche respectent-elles au moins une de ces conditions :
</t>
    </r>
    <r>
      <rPr>
        <sz val="8"/>
        <rFont val="Arial"/>
        <family val="2"/>
      </rPr>
      <t xml:space="preserve">– La zone possède un rôle WAI-ARIA de type landmark correspondant à sa nature.
– </t>
    </r>
    <r>
      <rPr>
        <sz val="8"/>
        <color rgb="FFA50021"/>
        <rFont val="Arial"/>
        <family val="2"/>
      </rPr>
      <t>La zone possède un titre dont le contenu permet de comprendre la nature du contenu de la zone.</t>
    </r>
    <r>
      <rPr>
        <sz val="8"/>
        <rFont val="Arial"/>
        <family val="2"/>
      </rPr>
      <t xml:space="preserve">
– La zone peut être masquée par le biais d'un bouton précédant directement la zone dans l'ordre du code source.
– La zone peut être évitée par le biais d'un lien d'évitement précédant directement la zone dans l'ordre du code source.
–</t>
    </r>
    <r>
      <rPr>
        <sz val="8"/>
        <color rgb="FFA50021"/>
        <rFont val="Arial"/>
        <family val="2"/>
      </rPr>
      <t xml:space="preserve"> La zone peut être atteinte par le biais d’un lien d’accès rapide visible ou, à défaut, visible à la prise de focus.</t>
    </r>
  </si>
  <si>
    <r>
      <t xml:space="preserve">Test 12.7.1 : Dans chaque page web, un lien permet-il d'éviter la zone de contenu principal ou d'y accéder (hors cas particuliers) ?
Test 12.7.2 : Dans chaque ensemble de pages, le lien d'évitement ou d'accès rapide à la zone de contenu principal vérifient-il ces conditions (hors cas particuliers) ?
</t>
    </r>
    <r>
      <rPr>
        <sz val="8"/>
        <rFont val="Arial"/>
        <family val="2"/>
      </rPr>
      <t xml:space="preserve">– Le lien est situé à la même place dans la présentation.
– Le lien se présente toujours dans le même ordre relatif dans le code source.
</t>
    </r>
    <r>
      <rPr>
        <sz val="8"/>
        <color rgb="FFA50021"/>
        <rFont val="Arial"/>
        <family val="2"/>
      </rPr>
      <t>– Le lien est visible ou, à défaut, visible à la prise de focus.
– Le lien est fonctionnel.</t>
    </r>
  </si>
  <si>
    <r>
      <rPr>
        <b/>
        <sz val="8"/>
        <color rgb="FFA50021"/>
        <rFont val="Arial"/>
        <family val="2"/>
      </rPr>
      <t>Test 13.7.1 : Dans chaque page web, chaque image ou élément multimédia (balise &lt;video&gt;, balise &lt;img&gt;, balise &lt;svg&gt;, balise &lt;canvas&gt;, balise &lt;embed&gt; ou balise &lt;object&gt;) qui provoque un changement brusque de luminosité ou un effet de flash vérifie-t-il une de ces conditions ?</t>
    </r>
    <r>
      <rPr>
        <b/>
        <sz val="8"/>
        <rFont val="Arial"/>
        <family val="2"/>
      </rPr>
      <t xml:space="preserve">
</t>
    </r>
    <r>
      <rPr>
        <sz val="8"/>
        <rFont val="Arial"/>
        <family val="2"/>
      </rPr>
      <t xml:space="preserve">– La fréquence de l'effet est inférieure à 3 par seconde.
– La surface totale cumulée des effets est inférieure ou égale à 21 824 pixels.
</t>
    </r>
    <r>
      <rPr>
        <b/>
        <sz val="8"/>
        <rFont val="Arial"/>
        <family val="2"/>
      </rPr>
      <t xml:space="preserve">Test 13.7.2 : Dans chaque page web, chaque script qui provoque un changement brusque de luminosité ou un effet de flash vérifie-t-il une de ces conditions ?
</t>
    </r>
    <r>
      <rPr>
        <sz val="8"/>
        <rFont val="Arial"/>
        <family val="2"/>
      </rPr>
      <t xml:space="preserve">– La fréquence de l'effet est inférieure à 3 par seconde.
– La surface totale cumulée des effets est inférieure ou égale à 21 824 pixels.
</t>
    </r>
    <r>
      <rPr>
        <b/>
        <sz val="8"/>
        <rFont val="Arial"/>
        <family val="2"/>
      </rPr>
      <t xml:space="preserve">
Test 13.7.3 : 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</si>
</sst>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60" x14ac:knownFonts="1">
    <font>
      <sz val="11"/>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theme="2"/>
      <name val="Calibri"/>
      <family val="2"/>
      <scheme val="minor"/>
    </font>
    <font>
      <b/>
      <sz val="20"/>
      <color theme="0"/>
      <name val="Calibri"/>
      <family val="2"/>
      <scheme val="minor"/>
    </font>
    <font>
      <b/>
      <sz val="8"/>
      <color theme="1"/>
      <name val="Arial"/>
      <family val="2"/>
    </font>
    <font>
      <b/>
      <sz val="8"/>
      <color rgb="FFFF0000"/>
      <name val="Arial"/>
      <family val="2"/>
    </font>
    <font>
      <b/>
      <sz val="8"/>
      <color rgb="FFA50021"/>
      <name val="Arial"/>
      <family val="2"/>
    </font>
    <font>
      <sz val="8"/>
      <color rgb="FFA50021"/>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4">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5">
    <xf numFmtId="0" fontId="0" fillId="0" borderId="0"/>
    <xf numFmtId="0" fontId="2" fillId="0" borderId="0"/>
    <xf numFmtId="0" fontId="6" fillId="0" borderId="0" applyNumberFormat="0" applyFill="0" applyBorder="0" applyAlignment="0" applyProtection="0"/>
    <xf numFmtId="9" fontId="28" fillId="0" borderId="0" applyFont="0" applyFill="0" applyBorder="0" applyAlignment="0" applyProtection="0"/>
    <xf numFmtId="164" fontId="28" fillId="0" borderId="0" applyFont="0" applyFill="0" applyBorder="0" applyAlignment="0" applyProtection="0"/>
  </cellStyleXfs>
  <cellXfs count="286">
    <xf numFmtId="0" fontId="0" fillId="0" borderId="0" xfId="0"/>
    <xf numFmtId="0" fontId="3" fillId="4" borderId="1" xfId="1" applyFont="1" applyFill="1" applyBorder="1" applyAlignment="1">
      <alignment horizontal="center" vertical="center" wrapText="1"/>
    </xf>
    <xf numFmtId="14" fontId="3" fillId="4" borderId="1"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8" fillId="0" borderId="0" xfId="0" applyFont="1" applyFill="1" applyAlignment="1">
      <alignment vertical="center"/>
    </xf>
    <xf numFmtId="0" fontId="8" fillId="0" borderId="0" xfId="0" applyFont="1" applyAlignment="1">
      <alignment horizontal="center" vertical="center"/>
    </xf>
    <xf numFmtId="14" fontId="8" fillId="0" borderId="0" xfId="0" applyNumberFormat="1" applyFont="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3" fillId="14" borderId="0" xfId="0" applyFont="1" applyFill="1" applyAlignment="1">
      <alignment horizontal="center" vertical="center"/>
    </xf>
    <xf numFmtId="0" fontId="13"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4" fillId="0" borderId="7" xfId="0" applyFont="1" applyBorder="1" applyAlignment="1">
      <alignment vertical="center"/>
    </xf>
    <xf numFmtId="0" fontId="6" fillId="0" borderId="7" xfId="2" applyBorder="1" applyAlignment="1">
      <alignment horizontal="center" vertical="center"/>
    </xf>
    <xf numFmtId="0" fontId="9" fillId="3" borderId="7" xfId="0" applyFont="1" applyFill="1" applyBorder="1" applyAlignment="1">
      <alignment horizontal="center" vertical="center"/>
    </xf>
    <xf numFmtId="165" fontId="12" fillId="0" borderId="7" xfId="0" applyNumberFormat="1" applyFont="1" applyFill="1" applyBorder="1" applyAlignment="1">
      <alignment horizontal="center" vertical="center"/>
    </xf>
    <xf numFmtId="166" fontId="11" fillId="0" borderId="7" xfId="0" applyNumberFormat="1" applyFont="1" applyFill="1" applyBorder="1" applyAlignment="1">
      <alignment horizontal="center" vertical="center"/>
    </xf>
    <xf numFmtId="0" fontId="9" fillId="3" borderId="7" xfId="0" applyFont="1" applyFill="1" applyBorder="1" applyAlignment="1">
      <alignment horizontal="center" vertical="center" wrapText="1"/>
    </xf>
    <xf numFmtId="0" fontId="13" fillId="19" borderId="0" xfId="0" applyFont="1" applyFill="1" applyAlignment="1">
      <alignment horizontal="center" vertical="center"/>
    </xf>
    <xf numFmtId="0" fontId="16" fillId="20"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0" fillId="13" borderId="0" xfId="0" applyFont="1" applyFill="1" applyAlignment="1">
      <alignment vertical="center"/>
    </xf>
    <xf numFmtId="0" fontId="20" fillId="18" borderId="0" xfId="0" applyFont="1" applyFill="1" applyAlignment="1">
      <alignment vertical="center"/>
    </xf>
    <xf numFmtId="0" fontId="21" fillId="21" borderId="0" xfId="0" applyFont="1" applyFill="1" applyAlignment="1">
      <alignment vertical="center"/>
    </xf>
    <xf numFmtId="0" fontId="21" fillId="22" borderId="0" xfId="0" applyFont="1" applyFill="1" applyAlignment="1">
      <alignment vertical="center"/>
    </xf>
    <xf numFmtId="0" fontId="22" fillId="8" borderId="0" xfId="0" applyFont="1" applyFill="1" applyAlignment="1">
      <alignment vertical="center"/>
    </xf>
    <xf numFmtId="0" fontId="8" fillId="7" borderId="0" xfId="0" applyFont="1" applyFill="1" applyAlignment="1">
      <alignment horizontal="center" vertical="center"/>
    </xf>
    <xf numFmtId="0" fontId="8" fillId="7" borderId="0" xfId="0" applyFont="1" applyFill="1" applyAlignment="1">
      <alignment vertical="center"/>
    </xf>
    <xf numFmtId="0" fontId="23" fillId="7" borderId="0" xfId="0" applyFont="1" applyFill="1" applyAlignment="1">
      <alignment horizontal="center" vertical="center"/>
    </xf>
    <xf numFmtId="14" fontId="24" fillId="7" borderId="0" xfId="0" applyNumberFormat="1" applyFont="1" applyFill="1" applyAlignment="1">
      <alignment horizontal="center" vertical="center"/>
    </xf>
    <xf numFmtId="0" fontId="23" fillId="7" borderId="0" xfId="0" applyFont="1" applyFill="1" applyAlignment="1">
      <alignment horizontal="left" vertical="center" indent="2"/>
    </xf>
    <xf numFmtId="0" fontId="25" fillId="10" borderId="0" xfId="0" applyFont="1" applyFill="1" applyAlignment="1">
      <alignment horizontal="center" vertical="center"/>
    </xf>
    <xf numFmtId="0" fontId="13" fillId="15" borderId="0" xfId="1" applyFont="1" applyFill="1" applyBorder="1" applyAlignment="1">
      <alignment horizontal="center" vertical="center" wrapText="1"/>
    </xf>
    <xf numFmtId="0" fontId="26" fillId="13" borderId="0" xfId="1" applyFont="1" applyFill="1" applyBorder="1" applyAlignment="1">
      <alignment vertical="center" wrapText="1"/>
    </xf>
    <xf numFmtId="0" fontId="26" fillId="18" borderId="0" xfId="1" applyFont="1" applyFill="1" applyBorder="1" applyAlignment="1">
      <alignment vertical="center" wrapText="1"/>
    </xf>
    <xf numFmtId="0" fontId="26" fillId="8" borderId="0" xfId="1" applyFont="1" applyFill="1" applyBorder="1" applyAlignment="1">
      <alignment vertical="center" wrapText="1"/>
    </xf>
    <xf numFmtId="0" fontId="27" fillId="0" borderId="7" xfId="0" applyFont="1" applyFill="1" applyBorder="1" applyAlignment="1">
      <alignment horizontal="center" vertical="center" wrapText="1"/>
    </xf>
    <xf numFmtId="14" fontId="15" fillId="3" borderId="11" xfId="0" applyNumberFormat="1" applyFont="1" applyFill="1" applyBorder="1" applyAlignment="1">
      <alignment horizontal="center" vertical="center"/>
    </xf>
    <xf numFmtId="14" fontId="15" fillId="3" borderId="12" xfId="0" applyNumberFormat="1" applyFont="1" applyFill="1" applyBorder="1" applyAlignment="1">
      <alignment horizontal="center" vertical="center"/>
    </xf>
    <xf numFmtId="14" fontId="15" fillId="3" borderId="13" xfId="0" applyNumberFormat="1" applyFont="1" applyFill="1" applyBorder="1" applyAlignment="1">
      <alignment horizontal="center" vertical="center"/>
    </xf>
    <xf numFmtId="165" fontId="11" fillId="0" borderId="0" xfId="3" applyNumberFormat="1" applyFont="1" applyAlignment="1">
      <alignment horizontal="left" vertical="center"/>
    </xf>
    <xf numFmtId="0" fontId="8" fillId="7" borderId="0" xfId="0" applyFont="1" applyFill="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left" vertical="center" wrapText="1"/>
    </xf>
    <xf numFmtId="0" fontId="4" fillId="0" borderId="0" xfId="1" applyFont="1" applyFill="1" applyBorder="1" applyAlignment="1">
      <alignment horizontal="left" vertical="center" wrapText="1"/>
    </xf>
    <xf numFmtId="0" fontId="8" fillId="0" borderId="0" xfId="0" applyFont="1" applyAlignment="1">
      <alignment vertical="center"/>
    </xf>
    <xf numFmtId="0" fontId="30" fillId="0" borderId="0" xfId="0" applyFont="1" applyFill="1" applyBorder="1" applyAlignment="1">
      <alignment vertical="center" wrapText="1"/>
    </xf>
    <xf numFmtId="2" fontId="30" fillId="0" borderId="0" xfId="0" applyNumberFormat="1" applyFont="1" applyFill="1" applyBorder="1" applyAlignment="1">
      <alignment horizontal="right" vertical="center"/>
    </xf>
    <xf numFmtId="0" fontId="30" fillId="0" borderId="0" xfId="0" applyFont="1" applyFill="1" applyBorder="1" applyAlignment="1"/>
    <xf numFmtId="0" fontId="30"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2" fillId="24" borderId="0" xfId="0" applyNumberFormat="1" applyFont="1" applyFill="1" applyBorder="1" applyAlignment="1" applyProtection="1">
      <alignment horizontal="center" vertical="center"/>
    </xf>
    <xf numFmtId="0" fontId="0" fillId="18" borderId="0" xfId="0" applyFill="1" applyAlignment="1">
      <alignment vertical="center"/>
    </xf>
    <xf numFmtId="0" fontId="4" fillId="7" borderId="3" xfId="1" applyNumberFormat="1" applyFont="1" applyFill="1" applyBorder="1" applyAlignment="1">
      <alignment vertical="center"/>
    </xf>
    <xf numFmtId="0" fontId="4" fillId="3" borderId="3" xfId="1" applyNumberFormat="1" applyFont="1" applyFill="1" applyBorder="1" applyAlignment="1">
      <alignment vertical="center"/>
    </xf>
    <xf numFmtId="0" fontId="4" fillId="7" borderId="0" xfId="1" applyNumberFormat="1" applyFont="1" applyFill="1" applyBorder="1" applyAlignment="1">
      <alignment vertical="center"/>
    </xf>
    <xf numFmtId="0" fontId="4" fillId="7" borderId="0" xfId="1" applyNumberFormat="1" applyFont="1" applyFill="1" applyBorder="1" applyAlignment="1">
      <alignment horizontal="center" vertical="center"/>
    </xf>
    <xf numFmtId="0" fontId="4" fillId="3" borderId="0" xfId="1" applyNumberFormat="1" applyFont="1" applyFill="1" applyBorder="1" applyAlignment="1">
      <alignment vertical="center"/>
    </xf>
    <xf numFmtId="0" fontId="4" fillId="3" borderId="0" xfId="1" applyNumberFormat="1" applyFont="1" applyFill="1" applyBorder="1" applyAlignment="1">
      <alignment horizontal="center" vertical="center"/>
    </xf>
    <xf numFmtId="0" fontId="4" fillId="7" borderId="0" xfId="1" applyFont="1" applyFill="1" applyBorder="1" applyAlignment="1">
      <alignment horizontal="center" vertical="center"/>
    </xf>
    <xf numFmtId="0" fontId="6" fillId="0" borderId="0" xfId="2" applyBorder="1" applyAlignment="1">
      <alignment horizontal="left"/>
    </xf>
    <xf numFmtId="0" fontId="33"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0" fontId="17" fillId="0" borderId="0" xfId="0" applyFont="1"/>
    <xf numFmtId="0" fontId="35" fillId="0" borderId="0" xfId="0" applyFont="1"/>
    <xf numFmtId="0" fontId="36"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6" fillId="0" borderId="0" xfId="2"/>
    <xf numFmtId="0" fontId="2"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1" fillId="0" borderId="0" xfId="0" applyFont="1" applyAlignment="1">
      <alignment vertical="center"/>
    </xf>
    <xf numFmtId="0" fontId="40" fillId="7" borderId="0" xfId="0" applyFont="1" applyFill="1" applyAlignment="1">
      <alignment horizontal="left" vertical="center" indent="2"/>
    </xf>
    <xf numFmtId="0" fontId="11" fillId="7" borderId="0" xfId="0" applyFont="1" applyFill="1" applyAlignment="1">
      <alignment horizontal="center" vertical="center" wrapText="1"/>
    </xf>
    <xf numFmtId="0" fontId="11" fillId="7" borderId="0" xfId="0" applyFont="1" applyFill="1" applyAlignment="1">
      <alignment horizontal="center" vertical="center"/>
    </xf>
    <xf numFmtId="0" fontId="11" fillId="7" borderId="0" xfId="0" applyFont="1" applyFill="1" applyAlignment="1">
      <alignment vertical="center"/>
    </xf>
    <xf numFmtId="14" fontId="41" fillId="7" borderId="0" xfId="0" applyNumberFormat="1" applyFont="1" applyFill="1" applyAlignment="1">
      <alignment horizontal="center" vertical="center"/>
    </xf>
    <xf numFmtId="0" fontId="11" fillId="0" borderId="0" xfId="0" applyFont="1" applyAlignment="1">
      <alignment horizontal="center" vertical="center" wrapText="1"/>
    </xf>
    <xf numFmtId="0" fontId="11" fillId="0" borderId="0" xfId="0" applyFont="1" applyAlignment="1">
      <alignment horizontal="center" vertical="center"/>
    </xf>
    <xf numFmtId="14" fontId="11" fillId="0" borderId="0" xfId="0" applyNumberFormat="1" applyFont="1" applyAlignment="1">
      <alignment horizontal="center" vertical="center"/>
    </xf>
    <xf numFmtId="0" fontId="11" fillId="0" borderId="0" xfId="0" applyFont="1" applyFill="1" applyAlignment="1">
      <alignment vertical="center"/>
    </xf>
    <xf numFmtId="0" fontId="11" fillId="0" borderId="0" xfId="0" applyFont="1" applyAlignment="1">
      <alignment horizontal="left" vertical="center" wrapText="1"/>
    </xf>
    <xf numFmtId="0" fontId="42" fillId="7" borderId="0" xfId="1" applyFont="1" applyFill="1" applyBorder="1" applyAlignment="1">
      <alignment horizontal="center" vertical="center"/>
    </xf>
    <xf numFmtId="14" fontId="43" fillId="3" borderId="12" xfId="0" applyNumberFormat="1" applyFont="1" applyFill="1" applyBorder="1" applyAlignment="1">
      <alignment horizontal="left" vertical="center"/>
    </xf>
    <xf numFmtId="0" fontId="0" fillId="26" borderId="0" xfId="0" applyFill="1" applyAlignment="1">
      <alignment vertical="center"/>
    </xf>
    <xf numFmtId="0" fontId="13" fillId="27" borderId="0" xfId="0" applyFont="1" applyFill="1" applyAlignment="1">
      <alignment horizontal="centerContinuous" vertical="center"/>
    </xf>
    <xf numFmtId="0" fontId="33" fillId="0" borderId="0" xfId="2" applyFont="1" applyBorder="1" applyAlignment="1">
      <alignment horizontal="left" vertical="center"/>
    </xf>
    <xf numFmtId="0" fontId="6" fillId="0" borderId="0" xfId="2" applyBorder="1" applyAlignment="1">
      <alignment horizontal="left" vertical="center"/>
    </xf>
    <xf numFmtId="0" fontId="5" fillId="0" borderId="0" xfId="0" applyFont="1" applyFill="1" applyAlignment="1">
      <alignment vertical="center"/>
    </xf>
    <xf numFmtId="0" fontId="17" fillId="29" borderId="20" xfId="0" applyFont="1" applyFill="1" applyBorder="1" applyAlignment="1">
      <alignment vertical="center"/>
    </xf>
    <xf numFmtId="0" fontId="39" fillId="29" borderId="20" xfId="0" applyFont="1" applyFill="1" applyBorder="1" applyAlignment="1">
      <alignment vertical="center"/>
    </xf>
    <xf numFmtId="0" fontId="37" fillId="0" borderId="0" xfId="0" applyFont="1" applyBorder="1" applyAlignment="1">
      <alignment vertical="center"/>
    </xf>
    <xf numFmtId="14" fontId="44" fillId="3" borderId="12" xfId="0" applyNumberFormat="1" applyFont="1" applyFill="1" applyBorder="1" applyAlignment="1">
      <alignment horizontal="center" vertical="center"/>
    </xf>
    <xf numFmtId="14" fontId="44" fillId="3" borderId="11" xfId="0" applyNumberFormat="1" applyFont="1" applyFill="1" applyBorder="1" applyAlignment="1">
      <alignment horizontal="left" vertical="center"/>
    </xf>
    <xf numFmtId="0" fontId="46" fillId="0"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0" xfId="0" applyFont="1" applyFill="1" applyBorder="1" applyAlignment="1">
      <alignment vertical="center"/>
    </xf>
    <xf numFmtId="0" fontId="46" fillId="0" borderId="0" xfId="1" applyNumberFormat="1" applyFont="1" applyFill="1" applyBorder="1" applyAlignment="1">
      <alignment vertical="center" wrapText="1"/>
    </xf>
    <xf numFmtId="0" fontId="45" fillId="0" borderId="0" xfId="1" applyNumberFormat="1" applyFont="1" applyFill="1" applyBorder="1" applyAlignment="1">
      <alignment vertical="center" wrapText="1"/>
    </xf>
    <xf numFmtId="0" fontId="46" fillId="0" borderId="0" xfId="1" applyNumberFormat="1" applyFont="1" applyFill="1" applyBorder="1" applyAlignment="1">
      <alignment horizontal="left" vertical="center" wrapText="1"/>
    </xf>
    <xf numFmtId="0" fontId="46" fillId="25" borderId="20" xfId="0" applyFont="1" applyFill="1" applyBorder="1" applyAlignment="1">
      <alignment vertical="center" wrapText="1"/>
    </xf>
    <xf numFmtId="0" fontId="37" fillId="8" borderId="0" xfId="0" applyFont="1" applyFill="1" applyAlignment="1">
      <alignment vertical="center"/>
    </xf>
    <xf numFmtId="0" fontId="46" fillId="0" borderId="0" xfId="0" applyFont="1" applyAlignment="1">
      <alignment vertical="top"/>
    </xf>
    <xf numFmtId="0" fontId="46" fillId="0" borderId="0" xfId="0" applyFont="1" applyAlignment="1">
      <alignment vertical="top" wrapText="1"/>
    </xf>
    <xf numFmtId="0" fontId="48" fillId="0" borderId="0" xfId="2" applyFont="1" applyAlignment="1" applyProtection="1">
      <alignment vertical="top" wrapText="1"/>
      <protection locked="0"/>
    </xf>
    <xf numFmtId="0" fontId="46" fillId="0" borderId="0" xfId="0" applyFont="1" applyFill="1" applyAlignment="1">
      <alignment vertical="top" wrapText="1"/>
    </xf>
    <xf numFmtId="0" fontId="37" fillId="0" borderId="0" xfId="0" applyFont="1" applyFill="1" applyBorder="1" applyAlignment="1">
      <alignment vertical="center"/>
    </xf>
    <xf numFmtId="0" fontId="47" fillId="0" borderId="0" xfId="1" applyNumberFormat="1" applyFont="1" applyFill="1" applyBorder="1" applyAlignment="1">
      <alignment horizontal="left" vertical="center" wrapText="1"/>
    </xf>
    <xf numFmtId="0" fontId="49" fillId="0" borderId="0" xfId="2" applyFont="1" applyAlignment="1" applyProtection="1">
      <alignment vertical="top" wrapText="1"/>
      <protection locked="0"/>
    </xf>
    <xf numFmtId="0" fontId="48" fillId="0" borderId="0" xfId="2" applyFont="1" applyAlignment="1" applyProtection="1">
      <alignment vertical="top"/>
      <protection locked="0"/>
    </xf>
    <xf numFmtId="0" fontId="47" fillId="0" borderId="0" xfId="1" applyNumberFormat="1" applyFont="1" applyFill="1" applyBorder="1" applyAlignment="1">
      <alignment vertical="center" wrapText="1"/>
    </xf>
    <xf numFmtId="0" fontId="45" fillId="30" borderId="22" xfId="1" applyNumberFormat="1" applyFont="1" applyFill="1" applyBorder="1" applyAlignment="1">
      <alignment horizontal="center" vertical="center" wrapText="1"/>
    </xf>
    <xf numFmtId="0" fontId="45" fillId="30" borderId="21" xfId="1" applyNumberFormat="1" applyFont="1" applyFill="1" applyBorder="1" applyAlignment="1">
      <alignment horizontal="center" vertical="center" wrapText="1"/>
    </xf>
    <xf numFmtId="0" fontId="45" fillId="30" borderId="23" xfId="1" applyNumberFormat="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0" fillId="31" borderId="0" xfId="0" applyFont="1" applyFill="1" applyAlignment="1">
      <alignment horizontal="left" vertical="center" indent="3"/>
    </xf>
    <xf numFmtId="0" fontId="51" fillId="32" borderId="0" xfId="0" applyFont="1" applyFill="1" applyAlignment="1">
      <alignment horizontal="left" vertical="center" indent="3"/>
    </xf>
    <xf numFmtId="0" fontId="38"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4" fillId="7" borderId="23" xfId="1" applyFont="1" applyFill="1" applyBorder="1" applyAlignment="1">
      <alignment vertical="top" wrapText="1"/>
    </xf>
    <xf numFmtId="0" fontId="4" fillId="3" borderId="23" xfId="1" applyFont="1" applyFill="1" applyBorder="1" applyAlignment="1">
      <alignment vertical="top" wrapText="1"/>
    </xf>
    <xf numFmtId="0" fontId="4" fillId="0" borderId="23" xfId="1" applyFont="1" applyBorder="1" applyAlignment="1">
      <alignment horizontal="left" vertical="top" wrapText="1"/>
    </xf>
    <xf numFmtId="0" fontId="4" fillId="3" borderId="23" xfId="1" applyFont="1" applyFill="1" applyBorder="1" applyAlignment="1">
      <alignment horizontal="left" vertical="top" wrapText="1"/>
    </xf>
    <xf numFmtId="0" fontId="4" fillId="0" borderId="23" xfId="1" applyFont="1" applyBorder="1" applyAlignment="1">
      <alignment vertical="top" wrapText="1"/>
    </xf>
    <xf numFmtId="0" fontId="4" fillId="7" borderId="23" xfId="1" applyFont="1" applyFill="1" applyBorder="1" applyAlignment="1">
      <alignment horizontal="left" vertical="top" wrapText="1"/>
    </xf>
    <xf numFmtId="0" fontId="32" fillId="24" borderId="0" xfId="0" applyFont="1" applyFill="1" applyAlignment="1">
      <alignment horizontal="center" vertical="center"/>
    </xf>
    <xf numFmtId="0" fontId="7" fillId="3" borderId="23" xfId="1" applyFont="1" applyFill="1" applyBorder="1" applyAlignment="1">
      <alignment horizontal="left" vertical="top" wrapText="1"/>
    </xf>
    <xf numFmtId="0" fontId="7" fillId="7" borderId="23" xfId="1" applyFont="1" applyFill="1" applyBorder="1" applyAlignment="1">
      <alignment horizontal="left" vertical="top" wrapText="1"/>
    </xf>
    <xf numFmtId="0" fontId="52" fillId="32" borderId="23" xfId="1" applyFont="1" applyFill="1" applyBorder="1" applyAlignment="1">
      <alignment horizontal="center" vertical="center" wrapText="1"/>
    </xf>
    <xf numFmtId="0" fontId="53" fillId="34" borderId="23"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26" xfId="0" applyFill="1" applyBorder="1" applyAlignment="1">
      <alignment vertical="center"/>
    </xf>
    <xf numFmtId="0" fontId="0" fillId="6" borderId="26" xfId="0" applyFill="1" applyBorder="1" applyAlignment="1">
      <alignment horizontal="center" vertical="center"/>
    </xf>
    <xf numFmtId="0" fontId="0" fillId="9" borderId="26" xfId="0" applyFill="1" applyBorder="1" applyAlignment="1">
      <alignment vertical="center" wrapText="1"/>
    </xf>
    <xf numFmtId="0" fontId="4" fillId="3" borderId="0" xfId="1" applyNumberFormat="1" applyFont="1" applyFill="1" applyBorder="1" applyAlignment="1">
      <alignment horizontal="right" vertical="center"/>
    </xf>
    <xf numFmtId="0" fontId="0" fillId="13" borderId="27" xfId="0" applyFill="1" applyBorder="1" applyAlignment="1">
      <alignment vertical="center"/>
    </xf>
    <xf numFmtId="0" fontId="0" fillId="13" borderId="27" xfId="0" applyFill="1" applyBorder="1" applyAlignment="1">
      <alignment horizontal="right" vertical="center"/>
    </xf>
    <xf numFmtId="0" fontId="0" fillId="18" borderId="27" xfId="0" applyFill="1" applyBorder="1" applyAlignment="1">
      <alignment vertical="center"/>
    </xf>
    <xf numFmtId="0" fontId="0" fillId="18" borderId="27" xfId="0" applyFill="1" applyBorder="1" applyAlignment="1">
      <alignment horizontal="right" vertical="center"/>
    </xf>
    <xf numFmtId="0" fontId="29" fillId="15" borderId="0" xfId="0" applyFont="1" applyFill="1" applyAlignment="1">
      <alignment vertical="center"/>
    </xf>
    <xf numFmtId="0" fontId="13"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0" fontId="4" fillId="7" borderId="23" xfId="1" applyFont="1" applyFill="1" applyBorder="1" applyAlignment="1">
      <alignment vertical="center" wrapText="1"/>
    </xf>
    <xf numFmtId="0" fontId="4" fillId="3" borderId="23" xfId="1" applyFont="1" applyFill="1" applyBorder="1" applyAlignment="1">
      <alignment vertical="center" wrapText="1"/>
    </xf>
    <xf numFmtId="0" fontId="4" fillId="7" borderId="23" xfId="1" applyFont="1" applyFill="1" applyBorder="1" applyAlignment="1">
      <alignment horizontal="center" vertical="center" wrapText="1"/>
    </xf>
    <xf numFmtId="0" fontId="4" fillId="3" borderId="23" xfId="1" applyFont="1" applyFill="1" applyBorder="1" applyAlignment="1">
      <alignment horizontal="center" vertical="center" wrapText="1"/>
    </xf>
    <xf numFmtId="0" fontId="4" fillId="0" borderId="23" xfId="1" applyFont="1" applyBorder="1" applyAlignment="1">
      <alignment horizontal="center" vertical="center" wrapText="1"/>
    </xf>
    <xf numFmtId="0" fontId="4" fillId="7" borderId="23" xfId="1" applyFont="1" applyFill="1" applyBorder="1" applyAlignment="1">
      <alignment horizontal="center" vertical="center"/>
    </xf>
    <xf numFmtId="0" fontId="4" fillId="3" borderId="23" xfId="1" applyFont="1" applyFill="1" applyBorder="1" applyAlignment="1">
      <alignment horizontal="center" vertical="center"/>
    </xf>
    <xf numFmtId="0" fontId="4" fillId="0" borderId="23" xfId="1" applyFont="1" applyBorder="1" applyAlignment="1">
      <alignment horizontal="center" vertical="center"/>
    </xf>
    <xf numFmtId="0" fontId="4" fillId="0" borderId="3" xfId="1" applyNumberFormat="1" applyFont="1" applyFill="1" applyBorder="1" applyAlignment="1">
      <alignment vertical="center"/>
    </xf>
    <xf numFmtId="0" fontId="4" fillId="0" borderId="0" xfId="1" applyNumberFormat="1" applyFont="1" applyFill="1" applyBorder="1" applyAlignment="1">
      <alignment vertical="center"/>
    </xf>
    <xf numFmtId="0" fontId="4" fillId="0" borderId="0" xfId="1" applyNumberFormat="1" applyFont="1" applyFill="1" applyBorder="1" applyAlignment="1">
      <alignment horizontal="center" vertical="center"/>
    </xf>
    <xf numFmtId="0" fontId="4" fillId="0" borderId="0" xfId="1" applyNumberFormat="1" applyFont="1" applyFill="1" applyBorder="1" applyAlignment="1">
      <alignment horizontal="right" vertical="center"/>
    </xf>
    <xf numFmtId="0" fontId="0" fillId="0" borderId="0" xfId="0" applyFill="1" applyAlignment="1">
      <alignment horizontal="center" vertical="center"/>
    </xf>
    <xf numFmtId="0" fontId="4" fillId="0" borderId="3" xfId="1" applyNumberFormat="1" applyFont="1" applyFill="1" applyBorder="1" applyAlignment="1">
      <alignment vertical="center" wrapText="1"/>
    </xf>
    <xf numFmtId="0" fontId="4" fillId="0" borderId="0" xfId="1" applyNumberFormat="1" applyFont="1" applyFill="1" applyBorder="1" applyAlignment="1">
      <alignment vertical="center" wrapText="1"/>
    </xf>
    <xf numFmtId="0" fontId="4" fillId="0" borderId="0" xfId="1" applyNumberFormat="1" applyFont="1" applyFill="1" applyBorder="1" applyAlignment="1">
      <alignment horizontal="center" vertical="center" wrapText="1"/>
    </xf>
    <xf numFmtId="0" fontId="4" fillId="0" borderId="0" xfId="1" applyNumberFormat="1" applyFont="1" applyFill="1" applyBorder="1" applyAlignment="1">
      <alignment horizontal="right" vertical="center" wrapText="1"/>
    </xf>
    <xf numFmtId="0" fontId="4" fillId="0" borderId="3" xfId="1" applyNumberFormat="1" applyFont="1" applyFill="1" applyBorder="1" applyAlignment="1">
      <alignment horizontal="left" vertical="center" wrapText="1"/>
    </xf>
    <xf numFmtId="0" fontId="4" fillId="0" borderId="0" xfId="1" applyNumberFormat="1" applyFont="1" applyFill="1" applyBorder="1" applyAlignment="1">
      <alignment horizontal="left" vertical="center" wrapText="1"/>
    </xf>
    <xf numFmtId="0" fontId="18" fillId="0" borderId="0" xfId="0" applyFont="1" applyFill="1" applyAlignment="1">
      <alignment vertical="center"/>
    </xf>
    <xf numFmtId="0" fontId="0" fillId="0" borderId="0" xfId="4" applyNumberFormat="1" applyFont="1" applyAlignment="1">
      <alignment horizontal="center" vertical="center"/>
    </xf>
    <xf numFmtId="0" fontId="0" fillId="0" borderId="0" xfId="4" applyNumberFormat="1" applyFont="1" applyAlignment="1">
      <alignment horizontal="center" vertical="center" wrapText="1"/>
    </xf>
    <xf numFmtId="0" fontId="29" fillId="15" borderId="0" xfId="0" applyFont="1" applyFill="1" applyAlignment="1">
      <alignment horizontal="left" vertical="center"/>
    </xf>
    <xf numFmtId="0" fontId="54" fillId="19" borderId="0" xfId="0" applyFont="1" applyFill="1" applyAlignment="1">
      <alignment horizontal="center" vertical="center"/>
    </xf>
    <xf numFmtId="0" fontId="17" fillId="13" borderId="28" xfId="0" applyFont="1" applyFill="1" applyBorder="1" applyAlignment="1">
      <alignment horizontal="left" vertical="center" indent="1"/>
    </xf>
    <xf numFmtId="0" fontId="17" fillId="18" borderId="28" xfId="0" applyFont="1" applyFill="1" applyBorder="1" applyAlignment="1">
      <alignment horizontal="left" vertical="center" indent="1"/>
    </xf>
    <xf numFmtId="0" fontId="17" fillId="8" borderId="28" xfId="0" applyFont="1" applyFill="1" applyBorder="1" applyAlignment="1">
      <alignment horizontal="left" vertical="center" indent="1"/>
    </xf>
    <xf numFmtId="0" fontId="19" fillId="15" borderId="28" xfId="0" applyFont="1" applyFill="1" applyBorder="1" applyAlignment="1">
      <alignment horizontal="left" vertical="center" indent="1"/>
    </xf>
    <xf numFmtId="0" fontId="17" fillId="19" borderId="29" xfId="0" applyFont="1" applyFill="1" applyBorder="1" applyAlignment="1">
      <alignment horizontal="left" vertical="center" indent="1"/>
    </xf>
    <xf numFmtId="0" fontId="17" fillId="21" borderId="29" xfId="0" applyFont="1" applyFill="1" applyBorder="1" applyAlignment="1">
      <alignment horizontal="left" vertical="center" indent="1"/>
    </xf>
    <xf numFmtId="0" fontId="17" fillId="22" borderId="29" xfId="0" applyFont="1" applyFill="1" applyBorder="1" applyAlignment="1">
      <alignment horizontal="left" vertical="center" wrapText="1" indent="1"/>
    </xf>
    <xf numFmtId="0" fontId="13" fillId="36" borderId="28" xfId="0" applyFont="1" applyFill="1" applyBorder="1" applyAlignment="1">
      <alignment vertical="center"/>
    </xf>
    <xf numFmtId="0" fontId="1" fillId="2" borderId="0" xfId="0" applyFont="1" applyFill="1" applyAlignment="1">
      <alignment horizontal="center" vertical="center"/>
    </xf>
    <xf numFmtId="49" fontId="45" fillId="30" borderId="22" xfId="1" applyNumberFormat="1" applyFont="1" applyFill="1" applyBorder="1" applyAlignment="1">
      <alignment horizontal="center" vertical="center" wrapText="1"/>
    </xf>
    <xf numFmtId="49" fontId="46" fillId="0" borderId="0" xfId="0" applyNumberFormat="1" applyFont="1" applyFill="1" applyBorder="1" applyAlignment="1">
      <alignment horizontal="left" vertical="center" wrapText="1"/>
    </xf>
    <xf numFmtId="0" fontId="4" fillId="0" borderId="23" xfId="1" applyFont="1" applyFill="1" applyBorder="1" applyAlignment="1">
      <alignment horizontal="center" vertical="center" wrapText="1"/>
    </xf>
    <xf numFmtId="0" fontId="4" fillId="0" borderId="23" xfId="1" applyFont="1" applyFill="1" applyBorder="1" applyAlignment="1">
      <alignment vertical="top" wrapText="1"/>
    </xf>
    <xf numFmtId="0" fontId="4" fillId="0" borderId="23" xfId="1" applyFont="1" applyFill="1" applyBorder="1" applyAlignment="1">
      <alignment horizontal="center" vertical="center"/>
    </xf>
    <xf numFmtId="0" fontId="7" fillId="0" borderId="23" xfId="1" applyFont="1" applyFill="1" applyBorder="1" applyAlignment="1">
      <alignment horizontal="left" vertical="top" wrapText="1"/>
    </xf>
    <xf numFmtId="0" fontId="4" fillId="0" borderId="23" xfId="1" applyFont="1" applyFill="1" applyBorder="1" applyAlignment="1">
      <alignment vertical="center" wrapText="1"/>
    </xf>
    <xf numFmtId="0" fontId="4" fillId="0" borderId="23" xfId="1" applyFont="1" applyFill="1" applyBorder="1" applyAlignment="1">
      <alignment horizontal="left" vertical="top" wrapText="1"/>
    </xf>
    <xf numFmtId="0" fontId="7" fillId="0" borderId="5" xfId="1" applyFont="1" applyFill="1" applyBorder="1" applyAlignment="1">
      <alignment horizontal="center" vertical="center" wrapText="1"/>
    </xf>
    <xf numFmtId="0" fontId="7" fillId="0" borderId="24" xfId="1" applyFont="1" applyBorder="1" applyAlignment="1">
      <alignment horizontal="center" vertical="center" wrapText="1"/>
    </xf>
    <xf numFmtId="0" fontId="7" fillId="0" borderId="24" xfId="1" applyFont="1" applyFill="1" applyBorder="1" applyAlignment="1">
      <alignment horizontal="center" vertical="center" wrapText="1"/>
    </xf>
    <xf numFmtId="14" fontId="7" fillId="0" borderId="24" xfId="1" applyNumberFormat="1" applyFont="1" applyFill="1" applyBorder="1" applyAlignment="1">
      <alignment horizontal="center" vertical="center" wrapText="1"/>
    </xf>
    <xf numFmtId="0" fontId="31" fillId="0" borderId="30" xfId="1" applyFont="1" applyFill="1" applyBorder="1" applyAlignment="1">
      <alignment horizontal="center" vertical="center" wrapText="1"/>
    </xf>
    <xf numFmtId="0" fontId="52" fillId="32" borderId="6" xfId="1" applyFont="1" applyFill="1" applyBorder="1" applyAlignment="1">
      <alignment horizontal="center" vertical="center" wrapText="1"/>
    </xf>
    <xf numFmtId="0" fontId="11" fillId="7" borderId="23" xfId="0" applyFont="1" applyFill="1" applyBorder="1" applyAlignment="1">
      <alignment horizontal="center" vertical="center"/>
    </xf>
    <xf numFmtId="0" fontId="4" fillId="7" borderId="23" xfId="1" applyFont="1" applyFill="1" applyBorder="1" applyAlignment="1">
      <alignment horizontal="left" vertical="center"/>
    </xf>
    <xf numFmtId="0" fontId="4" fillId="7" borderId="31" xfId="1" applyFont="1" applyFill="1" applyBorder="1" applyAlignment="1">
      <alignment horizontal="center" vertical="center"/>
    </xf>
    <xf numFmtId="0" fontId="11" fillId="0" borderId="23" xfId="0" applyFont="1" applyFill="1" applyBorder="1" applyAlignment="1">
      <alignment horizontal="center" vertical="center"/>
    </xf>
    <xf numFmtId="0" fontId="4" fillId="0" borderId="23" xfId="1" applyFont="1" applyFill="1" applyBorder="1" applyAlignment="1">
      <alignment vertical="center"/>
    </xf>
    <xf numFmtId="0" fontId="4" fillId="0" borderId="31" xfId="1" applyFont="1" applyFill="1" applyBorder="1" applyAlignment="1">
      <alignment horizontal="center" vertical="center"/>
    </xf>
    <xf numFmtId="0" fontId="4" fillId="7" borderId="23" xfId="1" applyFont="1" applyFill="1" applyBorder="1" applyAlignment="1">
      <alignment vertical="center"/>
    </xf>
    <xf numFmtId="0" fontId="53" fillId="34" borderId="6" xfId="1" applyFont="1" applyFill="1" applyBorder="1" applyAlignment="1">
      <alignment horizontal="center" vertical="center" wrapText="1"/>
    </xf>
    <xf numFmtId="0" fontId="11" fillId="3" borderId="23" xfId="0" applyFont="1" applyFill="1" applyBorder="1" applyAlignment="1">
      <alignment horizontal="center" vertical="center"/>
    </xf>
    <xf numFmtId="0" fontId="4" fillId="3" borderId="23" xfId="1" applyFont="1" applyFill="1" applyBorder="1" applyAlignment="1">
      <alignment vertical="center"/>
    </xf>
    <xf numFmtId="0" fontId="4" fillId="3" borderId="31" xfId="1" applyFont="1" applyFill="1" applyBorder="1" applyAlignment="1">
      <alignment horizontal="center" vertical="center"/>
    </xf>
    <xf numFmtId="0" fontId="7" fillId="0" borderId="23" xfId="1" applyFont="1" applyBorder="1" applyAlignment="1">
      <alignment horizontal="left" vertical="top" wrapText="1"/>
    </xf>
    <xf numFmtId="0" fontId="4" fillId="3" borderId="23" xfId="1" applyFont="1" applyFill="1" applyBorder="1" applyAlignment="1" applyProtection="1">
      <alignment vertical="center"/>
      <protection locked="0"/>
    </xf>
    <xf numFmtId="0" fontId="52" fillId="32" borderId="19" xfId="1" applyFont="1" applyFill="1" applyBorder="1" applyAlignment="1">
      <alignment horizontal="center" vertical="center" wrapText="1"/>
    </xf>
    <xf numFmtId="0" fontId="4" fillId="0" borderId="32" xfId="1" applyFont="1" applyFill="1" applyBorder="1" applyAlignment="1">
      <alignment horizontal="center" vertical="center" wrapText="1"/>
    </xf>
    <xf numFmtId="0" fontId="4" fillId="0" borderId="32" xfId="1" applyFont="1" applyFill="1" applyBorder="1" applyAlignment="1">
      <alignment horizontal="left" vertical="top" wrapText="1"/>
    </xf>
    <xf numFmtId="0" fontId="7" fillId="0" borderId="32" xfId="1" applyFont="1" applyFill="1" applyBorder="1" applyAlignment="1">
      <alignment horizontal="left" vertical="top" wrapText="1"/>
    </xf>
    <xf numFmtId="0" fontId="4" fillId="0" borderId="32" xfId="1" applyFont="1" applyFill="1" applyBorder="1" applyAlignment="1">
      <alignment horizontal="center" vertical="center"/>
    </xf>
    <xf numFmtId="0" fontId="11" fillId="0" borderId="32" xfId="0" applyFont="1" applyFill="1" applyBorder="1" applyAlignment="1">
      <alignment horizontal="center" vertical="center"/>
    </xf>
    <xf numFmtId="0" fontId="4" fillId="0" borderId="32" xfId="1" applyFont="1" applyFill="1" applyBorder="1" applyAlignment="1">
      <alignment vertical="center"/>
    </xf>
    <xf numFmtId="0" fontId="4" fillId="0" borderId="32" xfId="1" applyFont="1" applyFill="1" applyBorder="1" applyAlignment="1">
      <alignment vertical="center" wrapText="1"/>
    </xf>
    <xf numFmtId="0" fontId="4" fillId="0" borderId="33" xfId="1" applyFont="1" applyFill="1" applyBorder="1" applyAlignment="1">
      <alignment horizontal="center" vertical="center"/>
    </xf>
    <xf numFmtId="0" fontId="7" fillId="0" borderId="30" xfId="1" applyFont="1" applyFill="1" applyBorder="1" applyAlignment="1">
      <alignment horizontal="center" vertical="center" wrapText="1"/>
    </xf>
    <xf numFmtId="0" fontId="7" fillId="21" borderId="2" xfId="1" applyFont="1" applyFill="1" applyBorder="1" applyAlignment="1">
      <alignment horizontal="center" vertical="center" wrapText="1"/>
    </xf>
    <xf numFmtId="14" fontId="7" fillId="21" borderId="1" xfId="1" applyNumberFormat="1" applyFont="1" applyFill="1" applyBorder="1" applyAlignment="1">
      <alignment horizontal="center" vertical="center" wrapText="1"/>
    </xf>
    <xf numFmtId="0" fontId="7" fillId="21" borderId="1" xfId="1" applyFont="1" applyFill="1" applyBorder="1" applyAlignment="1">
      <alignment horizontal="center" vertical="center" wrapText="1"/>
    </xf>
    <xf numFmtId="0" fontId="17" fillId="22" borderId="0" xfId="0" applyFont="1" applyFill="1" applyAlignment="1">
      <alignment vertical="center"/>
    </xf>
    <xf numFmtId="0" fontId="17" fillId="33" borderId="0" xfId="0" applyFont="1" applyFill="1" applyAlignment="1">
      <alignment horizontal="left" vertical="center" wrapText="1" indent="1"/>
    </xf>
    <xf numFmtId="0" fontId="6" fillId="33" borderId="0" xfId="2" applyFill="1" applyAlignment="1">
      <alignment horizontal="left" vertical="center" wrapText="1" indent="1"/>
    </xf>
    <xf numFmtId="1" fontId="30" fillId="0" borderId="0" xfId="0" applyNumberFormat="1" applyFont="1" applyFill="1" applyBorder="1" applyAlignment="1">
      <alignment horizontal="right" vertical="center"/>
    </xf>
    <xf numFmtId="165" fontId="11" fillId="3" borderId="0" xfId="3" applyNumberFormat="1" applyFont="1" applyFill="1" applyAlignment="1">
      <alignment horizontal="left" vertical="center"/>
    </xf>
    <xf numFmtId="165" fontId="12" fillId="3" borderId="7" xfId="0" applyNumberFormat="1" applyFont="1" applyFill="1" applyBorder="1" applyAlignment="1">
      <alignment horizontal="center" vertical="center"/>
    </xf>
    <xf numFmtId="166" fontId="11" fillId="3" borderId="7" xfId="0" applyNumberFormat="1" applyFont="1" applyFill="1" applyBorder="1" applyAlignment="1">
      <alignment horizontal="center" vertical="center"/>
    </xf>
    <xf numFmtId="0" fontId="17" fillId="8" borderId="0" xfId="0" applyFont="1" applyFill="1" applyAlignment="1">
      <alignment horizontal="left" vertical="center" wrapText="1" indent="1"/>
    </xf>
    <xf numFmtId="0" fontId="55" fillId="27" borderId="0" xfId="0" applyFont="1" applyFill="1" applyBorder="1" applyAlignment="1">
      <alignment horizontal="center" vertical="center" wrapText="1"/>
    </xf>
    <xf numFmtId="0" fontId="35" fillId="0" borderId="25" xfId="0" applyFont="1" applyBorder="1" applyAlignment="1">
      <alignment horizontal="center"/>
    </xf>
    <xf numFmtId="0" fontId="0" fillId="27" borderId="0" xfId="0" applyFill="1" applyBorder="1" applyAlignment="1">
      <alignment horizontal="center"/>
    </xf>
    <xf numFmtId="0" fontId="13" fillId="28" borderId="4" xfId="0" applyFont="1" applyFill="1" applyBorder="1" applyAlignment="1">
      <alignment horizontal="center" vertical="center"/>
    </xf>
    <xf numFmtId="0" fontId="13" fillId="28" borderId="0" xfId="0" applyFont="1" applyFill="1" applyBorder="1" applyAlignment="1">
      <alignment horizontal="center" vertical="center"/>
    </xf>
    <xf numFmtId="0" fontId="34" fillId="3" borderId="0" xfId="2" applyFont="1" applyFill="1" applyBorder="1" applyAlignment="1">
      <alignment horizontal="center" vertical="center"/>
    </xf>
    <xf numFmtId="0" fontId="56" fillId="8" borderId="0" xfId="0" applyFont="1" applyFill="1" applyAlignment="1">
      <alignment horizontal="center" vertical="center" wrapText="1"/>
    </xf>
    <xf numFmtId="14" fontId="15" fillId="3" borderId="8" xfId="0" applyNumberFormat="1" applyFont="1" applyFill="1" applyBorder="1" applyAlignment="1">
      <alignment horizontal="center" vertical="top"/>
    </xf>
    <xf numFmtId="14" fontId="15" fillId="3" borderId="9" xfId="0" applyNumberFormat="1" applyFont="1" applyFill="1" applyBorder="1" applyAlignment="1">
      <alignment horizontal="center" vertical="top"/>
    </xf>
    <xf numFmtId="14" fontId="15" fillId="3" borderId="10" xfId="0" applyNumberFormat="1" applyFont="1" applyFill="1" applyBorder="1" applyAlignment="1">
      <alignment horizontal="center" vertical="top"/>
    </xf>
    <xf numFmtId="165" fontId="10" fillId="3" borderId="11" xfId="0" applyNumberFormat="1" applyFont="1" applyFill="1" applyBorder="1" applyAlignment="1">
      <alignment horizontal="center" vertical="top"/>
    </xf>
    <xf numFmtId="165" fontId="10" fillId="3" borderId="12" xfId="0" applyNumberFormat="1" applyFont="1" applyFill="1" applyBorder="1" applyAlignment="1">
      <alignment horizontal="center" vertical="top"/>
    </xf>
    <xf numFmtId="165" fontId="10" fillId="3" borderId="13" xfId="0" applyNumberFormat="1" applyFont="1" applyFill="1" applyBorder="1" applyAlignment="1">
      <alignment horizontal="center" vertical="top"/>
    </xf>
    <xf numFmtId="165" fontId="10" fillId="3" borderId="14" xfId="0" applyNumberFormat="1" applyFont="1" applyFill="1" applyBorder="1" applyAlignment="1">
      <alignment horizontal="center" vertical="top"/>
    </xf>
    <xf numFmtId="165" fontId="10" fillId="3" borderId="0" xfId="0" applyNumberFormat="1" applyFont="1" applyFill="1" applyAlignment="1">
      <alignment horizontal="center" vertical="top"/>
    </xf>
    <xf numFmtId="165" fontId="10" fillId="3" borderId="15" xfId="0" applyNumberFormat="1" applyFont="1" applyFill="1" applyBorder="1" applyAlignment="1">
      <alignment horizontal="center" vertical="top"/>
    </xf>
    <xf numFmtId="165" fontId="10" fillId="3" borderId="16" xfId="0" applyNumberFormat="1" applyFont="1" applyFill="1" applyBorder="1" applyAlignment="1">
      <alignment horizontal="center" vertical="top"/>
    </xf>
    <xf numFmtId="165" fontId="10" fillId="3" borderId="17" xfId="0" applyNumberFormat="1" applyFont="1" applyFill="1" applyBorder="1" applyAlignment="1">
      <alignment horizontal="center" vertical="top"/>
    </xf>
    <xf numFmtId="165" fontId="10" fillId="3" borderId="18" xfId="0" applyNumberFormat="1" applyFont="1" applyFill="1" applyBorder="1" applyAlignment="1">
      <alignment horizontal="center" vertical="top"/>
    </xf>
    <xf numFmtId="0" fontId="6" fillId="0" borderId="0" xfId="2" applyAlignment="1">
      <alignment horizontal="left" vertical="center"/>
    </xf>
    <xf numFmtId="0" fontId="0" fillId="0" borderId="0" xfId="0" applyAlignment="1">
      <alignment horizontal="left" wrapText="1"/>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29" fillId="15" borderId="0" xfId="0" applyFont="1" applyFill="1" applyAlignment="1">
      <alignment horizontal="center" vertical="center" wrapText="1"/>
    </xf>
    <xf numFmtId="0" fontId="59" fillId="3" borderId="23" xfId="1" applyFont="1" applyFill="1" applyBorder="1" applyAlignment="1">
      <alignment vertical="top" wrapText="1"/>
    </xf>
    <xf numFmtId="0" fontId="59" fillId="7" borderId="23" xfId="1" applyFont="1" applyFill="1" applyBorder="1" applyAlignment="1">
      <alignment vertical="top" wrapText="1"/>
    </xf>
    <xf numFmtId="0" fontId="59" fillId="0" borderId="23" xfId="1" applyFont="1" applyFill="1" applyBorder="1" applyAlignment="1">
      <alignment horizontal="left" vertical="top" wrapText="1"/>
    </xf>
    <xf numFmtId="0" fontId="59" fillId="7" borderId="23" xfId="1" applyFont="1" applyFill="1" applyBorder="1" applyAlignment="1">
      <alignment horizontal="left" vertical="top"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7">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ill>
        <patternFill>
          <bgColor theme="3" tint="0.79998168889431442"/>
        </patternFill>
      </fill>
    </dxf>
    <dxf>
      <fill>
        <patternFill>
          <bgColor theme="7" tint="0.79998168889431442"/>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A50021"/>
      <color rgb="FFB50000"/>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b="1" i="0" baseline="0">
                <a:effectLst/>
              </a:rPr>
              <a:t>Synthèse des statuts des critères</a:t>
            </a:r>
            <a:endParaRPr lang="fr-FR" sz="1000">
              <a:effectLst/>
            </a:endParaRP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fr-FR" sz="1000" b="1" i="0" baseline="0">
                <a:effectLst/>
              </a:rPr>
              <a:t>Synthèse des statuts des critères par thématique</a:t>
            </a:r>
            <a:endParaRPr lang="fr-FR" sz="1000">
              <a:effectLst/>
            </a:endParaRP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baseline="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s://www.tanaguru.com/fr/"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twoCellAnchor editAs="oneCell">
    <xdr:from>
      <xdr:col>4</xdr:col>
      <xdr:colOff>28575</xdr:colOff>
      <xdr:row>0</xdr:row>
      <xdr:rowOff>139700</xdr:rowOff>
    </xdr:from>
    <xdr:to>
      <xdr:col>5</xdr:col>
      <xdr:colOff>787400</xdr:colOff>
      <xdr:row>1</xdr:row>
      <xdr:rowOff>235916</xdr:rowOff>
    </xdr:to>
    <xdr:pic>
      <xdr:nvPicPr>
        <xdr:cNvPr id="4" name="Image 1" descr="Tanaguru&#10;L'accessibilité numérique, simplement.">
          <a:extLst>
            <a:ext uri="{FF2B5EF4-FFF2-40B4-BE49-F238E27FC236}">
              <a16:creationId xmlns:a16="http://schemas.microsoft.com/office/drawing/2014/main" id="{361B2F5B-7CF9-4AD4-948B-360B7057A2CB}"/>
            </a:ext>
          </a:extLst>
        </xdr:cNvPr>
        <xdr:cNvPicPr>
          <a:picLocks noChangeAspect="1"/>
        </xdr:cNvPicPr>
      </xdr:nvPicPr>
      <xdr:blipFill>
        <a:blip xmlns:r="http://schemas.openxmlformats.org/officeDocument/2006/relationships" r:embed="rId1" cstate="print"/>
        <a:srcRect/>
        <a:stretch>
          <a:fillRect/>
        </a:stretch>
      </xdr:blipFill>
      <xdr:spPr bwMode="auto">
        <a:xfrm>
          <a:off x="10029825" y="139700"/>
          <a:ext cx="1558925" cy="77566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0</xdr:rowOff>
    </xdr:from>
    <xdr:to>
      <xdr:col>1</xdr:col>
      <xdr:colOff>800100</xdr:colOff>
      <xdr:row>21</xdr:row>
      <xdr:rowOff>112091</xdr:rowOff>
    </xdr:to>
    <xdr:pic>
      <xdr:nvPicPr>
        <xdr:cNvPr id="5" name="Image 1" descr="Tanaguru&#10;L'accessibilité numérique, simplement.">
          <a:hlinkClick xmlns:r="http://schemas.openxmlformats.org/officeDocument/2006/relationships" r:id="rId3"/>
          <a:extLst>
            <a:ext uri="{FF2B5EF4-FFF2-40B4-BE49-F238E27FC236}">
              <a16:creationId xmlns:a16="http://schemas.microsoft.com/office/drawing/2014/main" id="{60E45F9E-9244-4136-B654-BD4481F2652F}"/>
            </a:ext>
          </a:extLst>
        </xdr:cNvPr>
        <xdr:cNvPicPr>
          <a:picLocks noChangeAspect="1"/>
        </xdr:cNvPicPr>
      </xdr:nvPicPr>
      <xdr:blipFill>
        <a:blip xmlns:r="http://schemas.openxmlformats.org/officeDocument/2006/relationships" r:embed="rId4" cstate="print"/>
        <a:srcRect/>
        <a:stretch>
          <a:fillRect/>
        </a:stretch>
      </xdr:blipFill>
      <xdr:spPr bwMode="auto">
        <a:xfrm>
          <a:off x="0" y="4972050"/>
          <a:ext cx="1562100" cy="769316"/>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6" dataDxfId="315">
  <autoFilter ref="A8:D11" xr:uid="{00000000-0009-0000-0100-000003000000}"/>
  <tableColumns count="4">
    <tableColumn id="1" xr3:uid="{00000000-0010-0000-0000-000001000000}" name="Page" dataDxfId="314"/>
    <tableColumn id="2" xr3:uid="{00000000-0010-0000-0000-000002000000}" name="Nom" dataDxfId="313"/>
    <tableColumn id="3" xr3:uid="{00000000-0010-0000-0000-000003000000}" name="Url" dataDxfId="312" dataCellStyle="Lien hypertexte"/>
    <tableColumn id="4" xr3:uid="{00000000-0010-0000-0000-000004000000}" name="Éléments significatifs" dataDxfId="311"/>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109" totalsRowShown="0" headerRowDxfId="306" dataDxfId="304" headerRowBorderDxfId="305" tableBorderDxfId="303" totalsRowBorderDxfId="302" headerRowCellStyle="Normal 2" dataCellStyle="Normal 2">
  <autoFilter ref="B3:Q109" xr:uid="{00000000-0009-0000-0100-000004000000}"/>
  <tableColumns count="16">
    <tableColumn id="1" xr3:uid="{00000000-0010-0000-0100-000001000000}" name="Thématique" dataDxfId="301" dataCellStyle="Normal 2"/>
    <tableColumn id="18" xr3:uid="{4C3E6A33-4F0F-4207-87F2-81CDBF2CB319}" name="Critère" dataDxfId="300" dataCellStyle="Normal 2"/>
    <tableColumn id="12" xr3:uid="{00000000-0010-0000-0100-00000C000000}" name="Intitulé du critère" dataDxfId="1" dataCellStyle="Normal 2"/>
    <tableColumn id="4" xr3:uid="{00000000-0010-0000-0100-000004000000}" name="Niveau" dataDxfId="0" dataCellStyle="Normal 2"/>
    <tableColumn id="5" xr3:uid="{00000000-0010-0000-0100-000005000000}" name="Tests" dataDxfId="299" dataCellStyle="Normal 2"/>
    <tableColumn id="6" xr3:uid="{00000000-0010-0000-0100-000006000000}" name="Méthode" dataDxfId="298" dataCellStyle="Normal 2"/>
    <tableColumn id="7" xr3:uid="{00000000-0010-0000-0100-000007000000}" name="État" dataDxfId="297"/>
    <tableColumn id="3" xr3:uid="{00000000-0010-0000-0100-000003000000}" name="Label e-accessible" dataDxfId="296" dataCellStyle="Normal 2"/>
    <tableColumn id="8" xr3:uid="{00000000-0010-0000-0100-000008000000}" name="Date" dataDxfId="295" dataCellStyle="Normal 2"/>
    <tableColumn id="9" xr3:uid="{00000000-0010-0000-0100-000009000000}" name="Correctif" dataDxfId="294" dataCellStyle="Normal 2"/>
    <tableColumn id="14" xr3:uid="{00000000-0010-0000-0100-00000E000000}" name="Exemple de code corrigé" dataDxfId="293" dataCellStyle="Normal 2"/>
    <tableColumn id="15" xr3:uid="{00000000-0010-0000-0100-00000F000000}" name="Commentaires" dataDxfId="292" dataCellStyle="Normal 2"/>
    <tableColumn id="17" xr3:uid="{848BBC6C-A0DD-46C0-96F6-ECDBE1E0163E}" name="Dérogation" dataDxfId="291" dataCellStyle="Normal 2"/>
    <tableColumn id="16" xr3:uid="{00000000-0010-0000-0100-000010000000}" name="Erreur transverse" dataDxfId="290" dataCellStyle="Normal 2"/>
    <tableColumn id="10" xr3:uid="{00000000-0010-0000-0100-00000A000000}" name="Difficulté" dataDxfId="289" dataCellStyle="Normal 2"/>
    <tableColumn id="13" xr3:uid="{00000000-0010-0000-0100-00000D000000}" name="Priorité" dataDxfId="288"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116" totalsRowShown="0" headerRowDxfId="232" dataDxfId="230" headerRowBorderDxfId="231" tableBorderDxfId="229" headerRowCellStyle="Normal 2">
  <autoFilter ref="A10:GJ116" xr:uid="{00000000-0009-0000-0100-000001000000}"/>
  <tableColumns count="192">
    <tableColumn id="1" xr3:uid="{00000000-0010-0000-0500-000001000000}" name="Thématique" dataDxfId="228" dataCellStyle="Normal 2"/>
    <tableColumn id="5" xr3:uid="{0C6FFBC5-6067-4BA6-B1BA-555666231F5F}" name="Critère" dataDxfId="227" dataCellStyle="Normal 2"/>
    <tableColumn id="7" xr3:uid="{00000000-0010-0000-0500-000007000000}" name="Intitulé du critère" dataDxfId="3" dataCellStyle="Normal 2"/>
    <tableColumn id="3" xr3:uid="{00000000-0010-0000-0500-000003000000}" name="Niveau" dataDxfId="2" dataCellStyle="Normal 2"/>
    <tableColumn id="4" xr3:uid="{00000000-0010-0000-0500-000004000000}" name="Tests" dataDxfId="226" dataCellStyle="Normal 2"/>
    <tableColumn id="15" xr3:uid="{00000000-0010-0000-0500-00000F000000}" name="Commentaire Général" dataDxfId="225" dataCellStyle="Normal 2"/>
    <tableColumn id="8" xr3:uid="{00000000-0010-0000-0500-000008000000}" name="Colonne1" dataDxfId="224" dataCellStyle="Normal 2"/>
    <tableColumn id="9" xr3:uid="{00000000-0010-0000-0500-000009000000}" name="Colonne2" dataDxfId="223" dataCellStyle="Normal 2"/>
    <tableColumn id="10" xr3:uid="{00000000-0010-0000-0500-00000A000000}" name="Colonne3" dataDxfId="222" dataCellStyle="Normal 2"/>
    <tableColumn id="11" xr3:uid="{00000000-0010-0000-0500-00000B000000}" name="Colonne4" dataDxfId="221" dataCellStyle="Normal 2"/>
    <tableColumn id="12" xr3:uid="{00000000-0010-0000-0500-00000C000000}" name="Colonne5" dataDxfId="220" dataCellStyle="Normal 2"/>
    <tableColumn id="13" xr3:uid="{00000000-0010-0000-0500-00000D000000}" name="Colonne6" dataDxfId="219" dataCellStyle="Normal 2"/>
    <tableColumn id="14" xr3:uid="{00000000-0010-0000-0500-00000E000000}" name="Colonne7" dataDxfId="218" dataCellStyle="Normal 2"/>
    <tableColumn id="16" xr3:uid="{00000000-0010-0000-0500-000010000000}" name="Colonne8" dataDxfId="217" dataCellStyle="Normal 2"/>
    <tableColumn id="17" xr3:uid="{00000000-0010-0000-0500-000011000000}" name="Colonne9" dataDxfId="216" dataCellStyle="Normal 2"/>
    <tableColumn id="18" xr3:uid="{00000000-0010-0000-0500-000012000000}" name="Colonne10" dataDxfId="215" dataCellStyle="Normal 2"/>
    <tableColumn id="19" xr3:uid="{00000000-0010-0000-0500-000013000000}" name="Colonne11" dataDxfId="214" dataCellStyle="Normal 2"/>
    <tableColumn id="20" xr3:uid="{00000000-0010-0000-0500-000014000000}" name="Colonne12" dataDxfId="213" dataCellStyle="Normal 2"/>
    <tableColumn id="21" xr3:uid="{00000000-0010-0000-0500-000015000000}" name="Colonne13" dataDxfId="212" dataCellStyle="Normal 2"/>
    <tableColumn id="22" xr3:uid="{00000000-0010-0000-0500-000016000000}" name="Colonne14" dataDxfId="211" dataCellStyle="Normal 2"/>
    <tableColumn id="23" xr3:uid="{00000000-0010-0000-0500-000017000000}" name="Colonne15" dataDxfId="210" dataCellStyle="Normal 2"/>
    <tableColumn id="24" xr3:uid="{00000000-0010-0000-0500-000018000000}" name="Colonne16" dataDxfId="209" dataCellStyle="Normal 2"/>
    <tableColumn id="25" xr3:uid="{00000000-0010-0000-0500-000019000000}" name="Colonne17" dataDxfId="208" dataCellStyle="Normal 2"/>
    <tableColumn id="26" xr3:uid="{00000000-0010-0000-0500-00001A000000}" name="Colonne18" dataDxfId="207" dataCellStyle="Normal 2"/>
    <tableColumn id="27" xr3:uid="{00000000-0010-0000-0500-00001B000000}" name="Colonne19" dataDxfId="206" dataCellStyle="Normal 2"/>
    <tableColumn id="28" xr3:uid="{00000000-0010-0000-0500-00001C000000}" name="Colonne20" dataDxfId="205" dataCellStyle="Normal 2"/>
    <tableColumn id="29" xr3:uid="{00000000-0010-0000-0500-00001D000000}" name="Colonne21" dataDxfId="204" dataCellStyle="Normal 2"/>
    <tableColumn id="30" xr3:uid="{00000000-0010-0000-0500-00001E000000}" name="Colonne22" dataDxfId="203" dataCellStyle="Normal 2"/>
    <tableColumn id="31" xr3:uid="{00000000-0010-0000-0500-00001F000000}" name="Colonne23" dataDxfId="202" dataCellStyle="Normal 2"/>
    <tableColumn id="32" xr3:uid="{00000000-0010-0000-0500-000020000000}" name="Colonne24" dataDxfId="201" dataCellStyle="Normal 2"/>
    <tableColumn id="33" xr3:uid="{00000000-0010-0000-0500-000021000000}" name="Colonne25" dataDxfId="200" dataCellStyle="Normal 2"/>
    <tableColumn id="34" xr3:uid="{00000000-0010-0000-0500-000022000000}" name="Colonne26" dataDxfId="199" dataCellStyle="Normal 2"/>
    <tableColumn id="35" xr3:uid="{00000000-0010-0000-0500-000023000000}" name="Colonne27" dataDxfId="198" dataCellStyle="Normal 2"/>
    <tableColumn id="36" xr3:uid="{00000000-0010-0000-0500-000024000000}" name="Colonne28" dataDxfId="197" dataCellStyle="Normal 2"/>
    <tableColumn id="37" xr3:uid="{00000000-0010-0000-0500-000025000000}" name="Colonne29" dataDxfId="196" dataCellStyle="Normal 2"/>
    <tableColumn id="38" xr3:uid="{00000000-0010-0000-0500-000026000000}" name="Colonne30" dataDxfId="195" dataCellStyle="Normal 2"/>
    <tableColumn id="39" xr3:uid="{00000000-0010-0000-0500-000027000000}" name="Colonne31" dataDxfId="194" dataCellStyle="Normal 2"/>
    <tableColumn id="40" xr3:uid="{00000000-0010-0000-0500-000028000000}" name="Colonne32" dataDxfId="193" dataCellStyle="Normal 2"/>
    <tableColumn id="41" xr3:uid="{00000000-0010-0000-0500-000029000000}" name="Colonne33" dataDxfId="192" dataCellStyle="Normal 2"/>
    <tableColumn id="42" xr3:uid="{00000000-0010-0000-0500-00002A000000}" name="Colonne34" dataDxfId="191" dataCellStyle="Normal 2"/>
    <tableColumn id="43" xr3:uid="{00000000-0010-0000-0500-00002B000000}" name="Colonne35" dataDxfId="190" dataCellStyle="Normal 2"/>
    <tableColumn id="44" xr3:uid="{00000000-0010-0000-0500-00002C000000}" name="Colonne36" dataDxfId="189" dataCellStyle="Normal 2"/>
    <tableColumn id="45" xr3:uid="{00000000-0010-0000-0500-00002D000000}" name="Colonne37" dataDxfId="188" dataCellStyle="Normal 2"/>
    <tableColumn id="46" xr3:uid="{00000000-0010-0000-0500-00002E000000}" name="Colonne38" dataDxfId="187" dataCellStyle="Normal 2"/>
    <tableColumn id="47" xr3:uid="{00000000-0010-0000-0500-00002F000000}" name="Colonne39" dataDxfId="186" dataCellStyle="Normal 2"/>
    <tableColumn id="48" xr3:uid="{00000000-0010-0000-0500-000030000000}" name="Colonne40" dataDxfId="185" dataCellStyle="Normal 2"/>
    <tableColumn id="49" xr3:uid="{00000000-0010-0000-0500-000031000000}" name="Colonne41" dataDxfId="184" dataCellStyle="Normal 2"/>
    <tableColumn id="50" xr3:uid="{00000000-0010-0000-0500-000032000000}" name="Colonne42" dataDxfId="183" dataCellStyle="Normal 2"/>
    <tableColumn id="51" xr3:uid="{00000000-0010-0000-0500-000033000000}" name="Colonne43" dataDxfId="182" dataCellStyle="Normal 2"/>
    <tableColumn id="52" xr3:uid="{00000000-0010-0000-0500-000034000000}" name="Colonne44" dataDxfId="181" dataCellStyle="Normal 2"/>
    <tableColumn id="53" xr3:uid="{00000000-0010-0000-0500-000035000000}" name="Colonne45" dataDxfId="180" dataCellStyle="Normal 2"/>
    <tableColumn id="54" xr3:uid="{00000000-0010-0000-0500-000036000000}" name="Colonne46" dataDxfId="179" dataCellStyle="Normal 2"/>
    <tableColumn id="55" xr3:uid="{00000000-0010-0000-0500-000037000000}" name="Colonne47" dataDxfId="178" dataCellStyle="Normal 2"/>
    <tableColumn id="56" xr3:uid="{00000000-0010-0000-0500-000038000000}" name="Colonne48" dataDxfId="177" dataCellStyle="Normal 2"/>
    <tableColumn id="57" xr3:uid="{00000000-0010-0000-0500-000039000000}" name="Colonne49" dataDxfId="176" dataCellStyle="Normal 2"/>
    <tableColumn id="58" xr3:uid="{00000000-0010-0000-0500-00003A000000}" name="Colonne50" dataDxfId="175" dataCellStyle="Normal 2"/>
    <tableColumn id="59" xr3:uid="{00000000-0010-0000-0500-00003B000000}" name="Colonne51" dataDxfId="174" dataCellStyle="Normal 2"/>
    <tableColumn id="60" xr3:uid="{00000000-0010-0000-0500-00003C000000}" name="Colonne52" dataDxfId="173" dataCellStyle="Normal 2"/>
    <tableColumn id="61" xr3:uid="{00000000-0010-0000-0500-00003D000000}" name="Colonne53" dataDxfId="172" dataCellStyle="Normal 2"/>
    <tableColumn id="62" xr3:uid="{00000000-0010-0000-0500-00003E000000}" name="Colonne54" dataDxfId="171" dataCellStyle="Normal 2"/>
    <tableColumn id="63" xr3:uid="{00000000-0010-0000-0500-00003F000000}" name="Colonne55" dataDxfId="170" dataCellStyle="Normal 2"/>
    <tableColumn id="64" xr3:uid="{00000000-0010-0000-0500-000040000000}" name="Colonne56" dataDxfId="169" dataCellStyle="Normal 2"/>
    <tableColumn id="65" xr3:uid="{00000000-0010-0000-0500-000041000000}" name="Colonne57" dataDxfId="168" dataCellStyle="Normal 2"/>
    <tableColumn id="66" xr3:uid="{00000000-0010-0000-0500-000042000000}" name="Colonne58" dataDxfId="167" dataCellStyle="Normal 2"/>
    <tableColumn id="67" xr3:uid="{00000000-0010-0000-0500-000043000000}" name="Colonne59" dataDxfId="166" dataCellStyle="Normal 2"/>
    <tableColumn id="68" xr3:uid="{00000000-0010-0000-0500-000044000000}" name="Colonne60" dataDxfId="165" dataCellStyle="Normal 2"/>
    <tableColumn id="69" xr3:uid="{00000000-0010-0000-0500-000045000000}" name="Colonne61" dataDxfId="164" dataCellStyle="Normal 2"/>
    <tableColumn id="70" xr3:uid="{00000000-0010-0000-0500-000046000000}" name="Colonne62" dataDxfId="163" dataCellStyle="Normal 2"/>
    <tableColumn id="71" xr3:uid="{00000000-0010-0000-0500-000047000000}" name="Colonne63" dataDxfId="162" dataCellStyle="Normal 2"/>
    <tableColumn id="72" xr3:uid="{00000000-0010-0000-0500-000048000000}" name="Colonne64" dataDxfId="161" dataCellStyle="Normal 2"/>
    <tableColumn id="73" xr3:uid="{00000000-0010-0000-0500-000049000000}" name="Colonne65" dataDxfId="160" dataCellStyle="Normal 2"/>
    <tableColumn id="74" xr3:uid="{00000000-0010-0000-0500-00004A000000}" name="Colonne66" dataDxfId="159" dataCellStyle="Normal 2"/>
    <tableColumn id="75" xr3:uid="{00000000-0010-0000-0500-00004B000000}" name="Colonne67" dataDxfId="158" dataCellStyle="Normal 2"/>
    <tableColumn id="76" xr3:uid="{00000000-0010-0000-0500-00004C000000}" name="Colonne68" dataDxfId="157" dataCellStyle="Normal 2"/>
    <tableColumn id="77" xr3:uid="{00000000-0010-0000-0500-00004D000000}" name="Colonne69" dataDxfId="156" dataCellStyle="Normal 2"/>
    <tableColumn id="78" xr3:uid="{00000000-0010-0000-0500-00004E000000}" name="Colonne70" dataDxfId="155" dataCellStyle="Normal 2"/>
    <tableColumn id="79" xr3:uid="{00000000-0010-0000-0500-00004F000000}" name="Colonne71" dataDxfId="154" dataCellStyle="Normal 2"/>
    <tableColumn id="80" xr3:uid="{00000000-0010-0000-0500-000050000000}" name="Colonne72" dataDxfId="153" dataCellStyle="Normal 2"/>
    <tableColumn id="81" xr3:uid="{00000000-0010-0000-0500-000051000000}" name="Colonne73" dataDxfId="152" dataCellStyle="Normal 2"/>
    <tableColumn id="82" xr3:uid="{00000000-0010-0000-0500-000052000000}" name="Colonne74" dataDxfId="151" dataCellStyle="Normal 2"/>
    <tableColumn id="83" xr3:uid="{00000000-0010-0000-0500-000053000000}" name="Colonne75" dataDxfId="150" dataCellStyle="Normal 2"/>
    <tableColumn id="84" xr3:uid="{00000000-0010-0000-0500-000054000000}" name="Colonne76" dataDxfId="149" dataCellStyle="Normal 2"/>
    <tableColumn id="85" xr3:uid="{00000000-0010-0000-0500-000055000000}" name="Colonne77" dataDxfId="148" dataCellStyle="Normal 2"/>
    <tableColumn id="86" xr3:uid="{00000000-0010-0000-0500-000056000000}" name="Colonne78" dataDxfId="147" dataCellStyle="Normal 2"/>
    <tableColumn id="87" xr3:uid="{00000000-0010-0000-0500-000057000000}" name="Colonne79" dataDxfId="146" dataCellStyle="Normal 2"/>
    <tableColumn id="88" xr3:uid="{00000000-0010-0000-0500-000058000000}" name="Colonne80" dataDxfId="145" dataCellStyle="Normal 2"/>
    <tableColumn id="89" xr3:uid="{00000000-0010-0000-0500-000059000000}" name="Colonne81" dataDxfId="144" dataCellStyle="Normal 2"/>
    <tableColumn id="90" xr3:uid="{00000000-0010-0000-0500-00005A000000}" name="Colonne82" dataDxfId="143" dataCellStyle="Normal 2"/>
    <tableColumn id="91" xr3:uid="{00000000-0010-0000-0500-00005B000000}" name="Colonne83" dataDxfId="142" dataCellStyle="Normal 2"/>
    <tableColumn id="92" xr3:uid="{00000000-0010-0000-0500-00005C000000}" name="Colonne84" dataDxfId="141" dataCellStyle="Normal 2"/>
    <tableColumn id="93" xr3:uid="{00000000-0010-0000-0500-00005D000000}" name="Colonne85" dataDxfId="140" dataCellStyle="Normal 2"/>
    <tableColumn id="94" xr3:uid="{00000000-0010-0000-0500-00005E000000}" name="Colonne86" dataDxfId="139" dataCellStyle="Normal 2"/>
    <tableColumn id="95" xr3:uid="{00000000-0010-0000-0500-00005F000000}" name="Colonne87" dataDxfId="138" dataCellStyle="Normal 2"/>
    <tableColumn id="96" xr3:uid="{00000000-0010-0000-0500-000060000000}" name="Colonne88" dataDxfId="137" dataCellStyle="Normal 2"/>
    <tableColumn id="97" xr3:uid="{00000000-0010-0000-0500-000061000000}" name="Colonne89" dataDxfId="136" dataCellStyle="Normal 2"/>
    <tableColumn id="98" xr3:uid="{00000000-0010-0000-0500-000062000000}" name="Colonne90" dataDxfId="135" dataCellStyle="Normal 2"/>
    <tableColumn id="99" xr3:uid="{00000000-0010-0000-0500-000063000000}" name="Colonne91" dataDxfId="134" dataCellStyle="Normal 2"/>
    <tableColumn id="100" xr3:uid="{00000000-0010-0000-0500-000064000000}" name="Colonne92" dataDxfId="133" dataCellStyle="Normal 2"/>
    <tableColumn id="101" xr3:uid="{00000000-0010-0000-0500-000065000000}" name="Colonne93" dataDxfId="132" dataCellStyle="Normal 2"/>
    <tableColumn id="102" xr3:uid="{00000000-0010-0000-0500-000066000000}" name="Colonne94" dataDxfId="131" dataCellStyle="Normal 2"/>
    <tableColumn id="103" xr3:uid="{00000000-0010-0000-0500-000067000000}" name="Colonne95" dataDxfId="130" dataCellStyle="Normal 2"/>
    <tableColumn id="104" xr3:uid="{00000000-0010-0000-0500-000068000000}" name="Colonne96" dataDxfId="129" dataCellStyle="Normal 2"/>
    <tableColumn id="105" xr3:uid="{00000000-0010-0000-0500-000069000000}" name="Colonne97" dataDxfId="128" dataCellStyle="Normal 2"/>
    <tableColumn id="106" xr3:uid="{00000000-0010-0000-0500-00006A000000}" name="Colonne98" dataDxfId="127" dataCellStyle="Normal 2"/>
    <tableColumn id="107" xr3:uid="{00000000-0010-0000-0500-00006B000000}" name="Colonne99" dataDxfId="126" dataCellStyle="Normal 2"/>
    <tableColumn id="108" xr3:uid="{00000000-0010-0000-0500-00006C000000}" name="Colonne100" dataDxfId="125" dataCellStyle="Normal 2"/>
    <tableColumn id="109" xr3:uid="{00000000-0010-0000-0500-00006D000000}" name="Colonne101" dataDxfId="124" dataCellStyle="Normal 2"/>
    <tableColumn id="110" xr3:uid="{00000000-0010-0000-0500-00006E000000}" name="Colonne102" dataDxfId="123" dataCellStyle="Normal 2"/>
    <tableColumn id="111" xr3:uid="{00000000-0010-0000-0500-00006F000000}" name="Colonne103" dataDxfId="122" dataCellStyle="Normal 2"/>
    <tableColumn id="112" xr3:uid="{00000000-0010-0000-0500-000070000000}" name="Colonne104" dataDxfId="121" dataCellStyle="Normal 2"/>
    <tableColumn id="113" xr3:uid="{00000000-0010-0000-0500-000071000000}" name="Colonne105" dataDxfId="120" dataCellStyle="Normal 2"/>
    <tableColumn id="114" xr3:uid="{00000000-0010-0000-0500-000072000000}" name="Colonne106" dataDxfId="119" dataCellStyle="Normal 2"/>
    <tableColumn id="115" xr3:uid="{00000000-0010-0000-0500-000073000000}" name="Colonne107" dataDxfId="118" dataCellStyle="Normal 2"/>
    <tableColumn id="116" xr3:uid="{00000000-0010-0000-0500-000074000000}" name="Colonne108" dataDxfId="117" dataCellStyle="Normal 2"/>
    <tableColumn id="117" xr3:uid="{00000000-0010-0000-0500-000075000000}" name="Colonne109" dataDxfId="116" dataCellStyle="Normal 2"/>
    <tableColumn id="118" xr3:uid="{00000000-0010-0000-0500-000076000000}" name="Colonne110" dataDxfId="115" dataCellStyle="Normal 2"/>
    <tableColumn id="119" xr3:uid="{00000000-0010-0000-0500-000077000000}" name="Colonne111" dataDxfId="114" dataCellStyle="Normal 2"/>
    <tableColumn id="120" xr3:uid="{00000000-0010-0000-0500-000078000000}" name="Colonne112" dataDxfId="113" dataCellStyle="Normal 2"/>
    <tableColumn id="121" xr3:uid="{00000000-0010-0000-0500-000079000000}" name="Colonne113" dataDxfId="112" dataCellStyle="Normal 2"/>
    <tableColumn id="122" xr3:uid="{00000000-0010-0000-0500-00007A000000}" name="Colonne114" dataDxfId="111" dataCellStyle="Normal 2"/>
    <tableColumn id="123" xr3:uid="{00000000-0010-0000-0500-00007B000000}" name="Colonne115" dataDxfId="110" dataCellStyle="Normal 2"/>
    <tableColumn id="124" xr3:uid="{00000000-0010-0000-0500-00007C000000}" name="Colonne116" dataDxfId="109" dataCellStyle="Normal 2"/>
    <tableColumn id="125" xr3:uid="{00000000-0010-0000-0500-00007D000000}" name="Colonne117" dataDxfId="108" dataCellStyle="Normal 2"/>
    <tableColumn id="126" xr3:uid="{00000000-0010-0000-0500-00007E000000}" name="Colonne118" dataDxfId="107" dataCellStyle="Normal 2"/>
    <tableColumn id="127" xr3:uid="{00000000-0010-0000-0500-00007F000000}" name="Colonne119" dataDxfId="106" dataCellStyle="Normal 2"/>
    <tableColumn id="128" xr3:uid="{00000000-0010-0000-0500-000080000000}" name="Colonne120" dataDxfId="105" dataCellStyle="Normal 2"/>
    <tableColumn id="129" xr3:uid="{00000000-0010-0000-0500-000081000000}" name="Colonne121" dataDxfId="104" dataCellStyle="Normal 2"/>
    <tableColumn id="130" xr3:uid="{00000000-0010-0000-0500-000082000000}" name="Colonne122" dataDxfId="103" dataCellStyle="Normal 2"/>
    <tableColumn id="131" xr3:uid="{00000000-0010-0000-0500-000083000000}" name="Colonne123" dataDxfId="102" dataCellStyle="Normal 2"/>
    <tableColumn id="132" xr3:uid="{00000000-0010-0000-0500-000084000000}" name="Colonne124" dataDxfId="101" dataCellStyle="Normal 2"/>
    <tableColumn id="133" xr3:uid="{00000000-0010-0000-0500-000085000000}" name="Colonne125" dataDxfId="100" dataCellStyle="Normal 2"/>
    <tableColumn id="134" xr3:uid="{00000000-0010-0000-0500-000086000000}" name="Colonne126" dataDxfId="99" dataCellStyle="Normal 2"/>
    <tableColumn id="135" xr3:uid="{00000000-0010-0000-0500-000087000000}" name="Colonne127" dataDxfId="98" dataCellStyle="Normal 2"/>
    <tableColumn id="136" xr3:uid="{00000000-0010-0000-0500-000088000000}" name="Colonne128" dataDxfId="97" dataCellStyle="Normal 2"/>
    <tableColumn id="137" xr3:uid="{00000000-0010-0000-0500-000089000000}" name="Colonne129" dataDxfId="96" dataCellStyle="Normal 2"/>
    <tableColumn id="138" xr3:uid="{00000000-0010-0000-0500-00008A000000}" name="Colonne130" dataDxfId="95" dataCellStyle="Normal 2"/>
    <tableColumn id="139" xr3:uid="{00000000-0010-0000-0500-00008B000000}" name="Colonne131" dataDxfId="94" dataCellStyle="Normal 2"/>
    <tableColumn id="140" xr3:uid="{00000000-0010-0000-0500-00008C000000}" name="Colonne132" dataDxfId="93" dataCellStyle="Normal 2"/>
    <tableColumn id="141" xr3:uid="{00000000-0010-0000-0500-00008D000000}" name="Colonne133" dataDxfId="92" dataCellStyle="Normal 2"/>
    <tableColumn id="142" xr3:uid="{00000000-0010-0000-0500-00008E000000}" name="Colonne134" dataDxfId="91" dataCellStyle="Normal 2"/>
    <tableColumn id="143" xr3:uid="{00000000-0010-0000-0500-00008F000000}" name="Colonne135" dataDxfId="90" dataCellStyle="Normal 2"/>
    <tableColumn id="144" xr3:uid="{00000000-0010-0000-0500-000090000000}" name="Colonne136" dataDxfId="89" dataCellStyle="Normal 2"/>
    <tableColumn id="145" xr3:uid="{00000000-0010-0000-0500-000091000000}" name="Colonne137" dataDxfId="88" dataCellStyle="Normal 2"/>
    <tableColumn id="146" xr3:uid="{00000000-0010-0000-0500-000092000000}" name="Colonne138" dataDxfId="87" dataCellStyle="Normal 2"/>
    <tableColumn id="147" xr3:uid="{00000000-0010-0000-0500-000093000000}" name="Colonne139" dataDxfId="86" dataCellStyle="Normal 2"/>
    <tableColumn id="148" xr3:uid="{00000000-0010-0000-0500-000094000000}" name="Colonne140" dataDxfId="85" dataCellStyle="Normal 2"/>
    <tableColumn id="149" xr3:uid="{00000000-0010-0000-0500-000095000000}" name="Colonne141" dataDxfId="84" dataCellStyle="Normal 2"/>
    <tableColumn id="150" xr3:uid="{00000000-0010-0000-0500-000096000000}" name="Colonne142" dataDxfId="83" dataCellStyle="Normal 2"/>
    <tableColumn id="151" xr3:uid="{00000000-0010-0000-0500-000097000000}" name="Colonne143" dataDxfId="82" dataCellStyle="Normal 2"/>
    <tableColumn id="152" xr3:uid="{00000000-0010-0000-0500-000098000000}" name="Colonne144" dataDxfId="81" dataCellStyle="Normal 2"/>
    <tableColumn id="153" xr3:uid="{00000000-0010-0000-0500-000099000000}" name="Colonne145" dataDxfId="80" dataCellStyle="Normal 2"/>
    <tableColumn id="154" xr3:uid="{00000000-0010-0000-0500-00009A000000}" name="Colonne146" dataDxfId="79" dataCellStyle="Normal 2"/>
    <tableColumn id="155" xr3:uid="{00000000-0010-0000-0500-00009B000000}" name="Colonne147" dataDxfId="78" dataCellStyle="Normal 2"/>
    <tableColumn id="156" xr3:uid="{00000000-0010-0000-0500-00009C000000}" name="Colonne148" dataDxfId="77" dataCellStyle="Normal 2"/>
    <tableColumn id="157" xr3:uid="{00000000-0010-0000-0500-00009D000000}" name="Colonne149" dataDxfId="76" dataCellStyle="Normal 2"/>
    <tableColumn id="158" xr3:uid="{00000000-0010-0000-0500-00009E000000}" name="Colonne150" dataDxfId="75" dataCellStyle="Normal 2"/>
    <tableColumn id="159" xr3:uid="{00000000-0010-0000-0500-00009F000000}" name="Colonne151" dataDxfId="74" dataCellStyle="Normal 2"/>
    <tableColumn id="160" xr3:uid="{00000000-0010-0000-0500-0000A0000000}" name="Colonne152" dataDxfId="73" dataCellStyle="Normal 2"/>
    <tableColumn id="161" xr3:uid="{00000000-0010-0000-0500-0000A1000000}" name="Colonne153" dataDxfId="72" dataCellStyle="Normal 2"/>
    <tableColumn id="162" xr3:uid="{00000000-0010-0000-0500-0000A2000000}" name="Colonne154" dataDxfId="71" dataCellStyle="Normal 2"/>
    <tableColumn id="163" xr3:uid="{00000000-0010-0000-0500-0000A3000000}" name="Colonne155" dataDxfId="70" dataCellStyle="Normal 2"/>
    <tableColumn id="164" xr3:uid="{00000000-0010-0000-0500-0000A4000000}" name="Colonne156" dataDxfId="69" dataCellStyle="Normal 2"/>
    <tableColumn id="165" xr3:uid="{00000000-0010-0000-0500-0000A5000000}" name="Colonne157" dataDxfId="68" dataCellStyle="Normal 2"/>
    <tableColumn id="166" xr3:uid="{00000000-0010-0000-0500-0000A6000000}" name="Colonne158" dataDxfId="67" dataCellStyle="Normal 2"/>
    <tableColumn id="167" xr3:uid="{00000000-0010-0000-0500-0000A7000000}" name="Colonne159" dataDxfId="66" dataCellStyle="Normal 2"/>
    <tableColumn id="168" xr3:uid="{00000000-0010-0000-0500-0000A8000000}" name="Colonne160" dataDxfId="65" dataCellStyle="Normal 2"/>
    <tableColumn id="169" xr3:uid="{00000000-0010-0000-0500-0000A9000000}" name="Colonne161" dataDxfId="64" dataCellStyle="Normal 2"/>
    <tableColumn id="170" xr3:uid="{00000000-0010-0000-0500-0000AA000000}" name="Colonne162" dataDxfId="63" dataCellStyle="Normal 2"/>
    <tableColumn id="171" xr3:uid="{00000000-0010-0000-0500-0000AB000000}" name="Colonne163" dataDxfId="62" dataCellStyle="Normal 2"/>
    <tableColumn id="172" xr3:uid="{00000000-0010-0000-0500-0000AC000000}" name="Colonne164" dataDxfId="61" dataCellStyle="Normal 2"/>
    <tableColumn id="173" xr3:uid="{00000000-0010-0000-0500-0000AD000000}" name="Colonne165" dataDxfId="60" dataCellStyle="Normal 2"/>
    <tableColumn id="174" xr3:uid="{00000000-0010-0000-0500-0000AE000000}" name="Colonne166" dataDxfId="59" dataCellStyle="Normal 2"/>
    <tableColumn id="175" xr3:uid="{00000000-0010-0000-0500-0000AF000000}" name="Colonne167" dataDxfId="58" dataCellStyle="Normal 2"/>
    <tableColumn id="176" xr3:uid="{00000000-0010-0000-0500-0000B0000000}" name="Colonne168" dataDxfId="57" dataCellStyle="Normal 2"/>
    <tableColumn id="177" xr3:uid="{00000000-0010-0000-0500-0000B1000000}" name="Colonne169" dataDxfId="56" dataCellStyle="Normal 2"/>
    <tableColumn id="178" xr3:uid="{00000000-0010-0000-0500-0000B2000000}" name="Colonne170" dataDxfId="55" dataCellStyle="Normal 2"/>
    <tableColumn id="179" xr3:uid="{00000000-0010-0000-0500-0000B3000000}" name="Colonne171" dataDxfId="54" dataCellStyle="Normal 2"/>
    <tableColumn id="180" xr3:uid="{00000000-0010-0000-0500-0000B4000000}" name="Colonne172" dataDxfId="53" dataCellStyle="Normal 2"/>
    <tableColumn id="181" xr3:uid="{00000000-0010-0000-0500-0000B5000000}" name="Colonne173" dataDxfId="52" dataCellStyle="Normal 2"/>
    <tableColumn id="182" xr3:uid="{00000000-0010-0000-0500-0000B6000000}" name="Colonne174" dataDxfId="51" dataCellStyle="Normal 2"/>
    <tableColumn id="183" xr3:uid="{00000000-0010-0000-0500-0000B7000000}" name="Colonne175" dataDxfId="50" dataCellStyle="Normal 2"/>
    <tableColumn id="184" xr3:uid="{00000000-0010-0000-0500-0000B8000000}" name="Colonne176" dataDxfId="49" dataCellStyle="Normal 2"/>
    <tableColumn id="185" xr3:uid="{00000000-0010-0000-0500-0000B9000000}" name="Colonne177" dataDxfId="48" dataCellStyle="Normal 2"/>
    <tableColumn id="186" xr3:uid="{00000000-0010-0000-0500-0000BA000000}" name="Colonne178" dataDxfId="47" dataCellStyle="Normal 2"/>
    <tableColumn id="187" xr3:uid="{00000000-0010-0000-0500-0000BB000000}" name="Colonne179" dataDxfId="46" dataCellStyle="Normal 2"/>
    <tableColumn id="188" xr3:uid="{00000000-0010-0000-0500-0000BC000000}" name="Colonne180" dataDxfId="45" dataCellStyle="Normal 2"/>
    <tableColumn id="189" xr3:uid="{00000000-0010-0000-0500-0000BD000000}" name="Colonne181" dataDxfId="44" dataCellStyle="Normal 2"/>
    <tableColumn id="190" xr3:uid="{00000000-0010-0000-0500-0000BE000000}" name="Colonne182" dataDxfId="43" dataCellStyle="Normal 2"/>
    <tableColumn id="191" xr3:uid="{00000000-0010-0000-0500-0000BF000000}" name="Colonne183" dataDxfId="42" dataCellStyle="Normal 2"/>
    <tableColumn id="192" xr3:uid="{00000000-0010-0000-0500-0000C0000000}" name="Colonne184" dataDxfId="41" dataCellStyle="Normal 2"/>
    <tableColumn id="193" xr3:uid="{00000000-0010-0000-0500-0000C1000000}" name="Colonne185" dataDxfId="40" dataCellStyle="Normal 2"/>
    <tableColumn id="194" xr3:uid="{00000000-0010-0000-0500-0000C2000000}" name="Colonne186" dataDxfId="39"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109" totalsRowShown="0" headerRowDxfId="26" dataDxfId="24" headerRowBorderDxfId="25" tableBorderDxfId="23" totalsRowBorderDxfId="22" headerRowCellStyle="Normal 2">
  <autoFilter ref="B3:Q109" xr:uid="{A758DEF7-D37C-4E83-B20E-E00EA46C4967}"/>
  <tableColumns count="16">
    <tableColumn id="1" xr3:uid="{00000000-0010-0000-0600-000001000000}" name="Thématique" dataDxfId="21" dataCellStyle="Normal 2"/>
    <tableColumn id="18" xr3:uid="{E47D6B5C-C00E-40FB-BC97-CB1F011E2920}" name="Critère" dataDxfId="20" dataCellStyle="Normal 2"/>
    <tableColumn id="12" xr3:uid="{00000000-0010-0000-0600-00000C000000}" name="Intitulé du critère" dataDxfId="19" dataCellStyle="Normal 2"/>
    <tableColumn id="4" xr3:uid="{00000000-0010-0000-0600-000004000000}" name="Niveau" dataDxfId="18" dataCellStyle="Normal 2"/>
    <tableColumn id="5" xr3:uid="{00000000-0010-0000-0600-000005000000}" name="Tests" dataDxfId="17" dataCellStyle="Normal 2"/>
    <tableColumn id="6" xr3:uid="{00000000-0010-0000-0600-000006000000}" name="Méthode" dataDxfId="16" dataCellStyle="Normal 2"/>
    <tableColumn id="7" xr3:uid="{00000000-0010-0000-0600-000007000000}" name="État" dataDxfId="15"/>
    <tableColumn id="3" xr3:uid="{00000000-0010-0000-0600-000003000000}" name="Label e-accessible" dataDxfId="14" dataCellStyle="Normal 2"/>
    <tableColumn id="8" xr3:uid="{00000000-0010-0000-0600-000008000000}" name="Date" dataDxfId="13" dataCellStyle="Normal 2"/>
    <tableColumn id="9" xr3:uid="{00000000-0010-0000-0600-000009000000}" name="Correctif" dataDxfId="12" dataCellStyle="Normal 2"/>
    <tableColumn id="14" xr3:uid="{00000000-0010-0000-0600-00000E000000}" name="Exemple de code corrigé" dataDxfId="11" dataCellStyle="Normal 2"/>
    <tableColumn id="16" xr3:uid="{00000000-0010-0000-0600-000010000000}" name="Commentaires" dataDxfId="10" dataCellStyle="Normal 2"/>
    <tableColumn id="17" xr3:uid="{E01E7443-9243-4B6E-B400-FCCC0A75FE65}" name="Dérogation" dataDxfId="9" dataCellStyle="Normal 2"/>
    <tableColumn id="15" xr3:uid="{00000000-0010-0000-0600-00000F000000}" name="Erreur transverse" dataDxfId="8" dataCellStyle="Normal 2"/>
    <tableColumn id="10" xr3:uid="{00000000-0010-0000-0600-00000A000000}" name="Difficulté" dataDxfId="7" dataCellStyle="Normal 2"/>
    <tableColumn id="13" xr3:uid="{00000000-0010-0000-0600-00000D000000}" name="Priorité" dataDxfId="6"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numerique.gouv.fr/publications/rgaa-accessibilite/obligations/"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G2" sqref="G2"/>
    </sheetView>
  </sheetViews>
  <sheetFormatPr baseColWidth="10" defaultRowHeight="14.5" x14ac:dyDescent="0.35"/>
  <cols>
    <col min="1" max="1" width="13.81640625" customWidth="1"/>
    <col min="2" max="2" width="16" customWidth="1"/>
    <col min="3" max="3" width="31.7265625" customWidth="1"/>
    <col min="4" max="4" width="81.54296875" customWidth="1"/>
    <col min="5" max="12" width="11.453125" style="3"/>
    <col min="14" max="14" width="11.453125" style="3"/>
    <col min="18" max="18" width="11.453125" style="3"/>
    <col min="20" max="21" width="15.453125" customWidth="1"/>
    <col min="23" max="23" width="11.453125" style="3"/>
    <col min="27" max="27" width="16.1796875" customWidth="1"/>
    <col min="29" max="29" width="11.453125" style="3"/>
    <col min="36" max="36" width="11.453125" style="3"/>
    <col min="44" max="44" width="11.453125" style="3"/>
    <col min="53" max="53" width="11.453125" style="3"/>
  </cols>
  <sheetData>
    <row r="1" spans="1:53" ht="53.5" customHeight="1" x14ac:dyDescent="0.35">
      <c r="A1" s="258" t="s">
        <v>677</v>
      </c>
      <c r="B1" s="258"/>
      <c r="C1" s="258"/>
      <c r="D1" s="258"/>
      <c r="E1" s="260"/>
      <c r="F1" s="260"/>
      <c r="G1" s="3" t="s">
        <v>678</v>
      </c>
    </row>
    <row r="2" spans="1:53" s="3" customFormat="1" ht="26" x14ac:dyDescent="0.6">
      <c r="A2" s="259" t="s">
        <v>629</v>
      </c>
      <c r="B2" s="259"/>
      <c r="C2" s="259"/>
      <c r="D2" s="259"/>
      <c r="E2" s="260"/>
      <c r="F2" s="260"/>
      <c r="G2" s="5"/>
      <c r="H2" s="5"/>
      <c r="I2" s="5"/>
      <c r="J2" s="5"/>
      <c r="K2" s="5"/>
      <c r="L2" s="5"/>
      <c r="M2" s="5"/>
      <c r="N2" s="5"/>
      <c r="O2" s="5"/>
      <c r="P2" s="5"/>
      <c r="Q2" s="5"/>
      <c r="R2" s="5"/>
      <c r="S2" s="5"/>
      <c r="T2" s="5"/>
      <c r="U2" s="4"/>
      <c r="W2" s="5"/>
      <c r="AC2" s="5"/>
      <c r="AJ2" s="5"/>
      <c r="AR2" s="5"/>
      <c r="BA2" s="5"/>
    </row>
    <row r="3" spans="1:53" s="3" customFormat="1" ht="21" x14ac:dyDescent="0.5">
      <c r="A3" s="263"/>
      <c r="B3" s="263"/>
      <c r="C3" s="263"/>
      <c r="D3" s="263"/>
      <c r="E3" s="85"/>
      <c r="F3" s="85"/>
      <c r="G3" s="85"/>
      <c r="H3" s="85"/>
      <c r="I3" s="85"/>
      <c r="J3" s="85"/>
      <c r="K3" s="85"/>
      <c r="L3" s="85"/>
      <c r="M3" s="85"/>
      <c r="N3" s="85"/>
      <c r="O3" s="85"/>
      <c r="P3" s="85"/>
      <c r="Q3" s="85"/>
      <c r="R3" s="85"/>
      <c r="S3" s="85"/>
      <c r="T3" s="85"/>
      <c r="U3" s="84"/>
    </row>
    <row r="4" spans="1:53" s="9" customFormat="1" ht="21" x14ac:dyDescent="0.35">
      <c r="A4" s="263"/>
      <c r="B4" s="263"/>
      <c r="C4" s="263"/>
      <c r="D4" s="263"/>
      <c r="E4" s="115"/>
      <c r="F4" s="115"/>
      <c r="G4" s="115"/>
      <c r="H4" s="115"/>
      <c r="I4" s="115"/>
      <c r="J4" s="115"/>
      <c r="K4" s="115"/>
      <c r="L4" s="115"/>
      <c r="M4" s="115"/>
      <c r="N4" s="115"/>
      <c r="O4" s="115"/>
      <c r="P4" s="115"/>
      <c r="Q4" s="115"/>
      <c r="R4" s="115"/>
      <c r="S4" s="115"/>
      <c r="T4" s="115"/>
      <c r="U4" s="116"/>
    </row>
    <row r="5" spans="1:53" s="9" customFormat="1" ht="25" customHeight="1" x14ac:dyDescent="0.35">
      <c r="A5" s="263"/>
      <c r="B5" s="263"/>
      <c r="C5" s="263"/>
      <c r="D5" s="263"/>
    </row>
    <row r="6" spans="1:53" s="9" customFormat="1" x14ac:dyDescent="0.35">
      <c r="A6" s="263"/>
      <c r="B6" s="263"/>
      <c r="C6" s="263"/>
      <c r="D6" s="263"/>
    </row>
    <row r="7" spans="1:53" s="9" customFormat="1" ht="25" customHeight="1" x14ac:dyDescent="0.35">
      <c r="A7" s="261" t="s">
        <v>373</v>
      </c>
      <c r="B7" s="262"/>
      <c r="C7" s="262"/>
      <c r="D7" s="262"/>
    </row>
    <row r="8" spans="1:53" s="6" customFormat="1" ht="21" customHeight="1" x14ac:dyDescent="0.35">
      <c r="A8" s="15" t="s">
        <v>12</v>
      </c>
      <c r="B8" s="15" t="s">
        <v>13</v>
      </c>
      <c r="C8" s="15" t="s">
        <v>14</v>
      </c>
      <c r="D8" s="117" t="s">
        <v>15</v>
      </c>
    </row>
    <row r="9" spans="1:53" s="6" customFormat="1" ht="21" customHeight="1" x14ac:dyDescent="0.35">
      <c r="A9" s="131" t="s">
        <v>45</v>
      </c>
      <c r="B9" s="132" t="s">
        <v>414</v>
      </c>
      <c r="C9" s="138" t="s">
        <v>418</v>
      </c>
      <c r="D9" s="134"/>
    </row>
    <row r="10" spans="1:53" s="6" customFormat="1" ht="21" customHeight="1" x14ac:dyDescent="0.35">
      <c r="A10" s="131" t="s">
        <v>46</v>
      </c>
      <c r="B10" s="132" t="s">
        <v>419</v>
      </c>
      <c r="C10" s="137" t="s">
        <v>418</v>
      </c>
      <c r="D10" s="134"/>
    </row>
    <row r="11" spans="1:53" s="9" customFormat="1" ht="21" customHeight="1" x14ac:dyDescent="0.35">
      <c r="A11" s="131" t="s">
        <v>47</v>
      </c>
      <c r="B11" s="132" t="s">
        <v>420</v>
      </c>
      <c r="C11" s="133" t="s">
        <v>418</v>
      </c>
      <c r="D11" s="134"/>
    </row>
    <row r="12" spans="1:53" s="9" customFormat="1" x14ac:dyDescent="0.35">
      <c r="A12" s="8"/>
      <c r="B12" s="8"/>
      <c r="C12" s="8"/>
      <c r="D12" s="8"/>
    </row>
    <row r="13" spans="1:53" s="15" customFormat="1" x14ac:dyDescent="0.35">
      <c r="A13" s="8"/>
      <c r="B13" s="8"/>
      <c r="C13" s="8"/>
      <c r="D13" s="8"/>
      <c r="E13" s="98"/>
      <c r="F13" s="98"/>
      <c r="G13" s="98"/>
    </row>
    <row r="14" spans="1:53" s="8" customFormat="1" ht="15.75" customHeight="1" x14ac:dyDescent="0.35">
      <c r="E14" s="9"/>
      <c r="F14" s="9"/>
    </row>
    <row r="15" spans="1:53" s="8" customFormat="1" x14ac:dyDescent="0.35">
      <c r="E15" s="9"/>
      <c r="F15" s="9"/>
    </row>
    <row r="16" spans="1:53" s="8" customFormat="1" x14ac:dyDescent="0.35">
      <c r="C16" s="114" t="s">
        <v>636</v>
      </c>
      <c r="D16" s="114"/>
      <c r="E16" s="9"/>
      <c r="F16" s="9"/>
      <c r="G16" s="9"/>
      <c r="H16" s="9"/>
      <c r="I16" s="9"/>
      <c r="J16" s="9"/>
      <c r="K16" s="9"/>
      <c r="L16" s="9"/>
      <c r="N16" s="9"/>
      <c r="R16" s="9"/>
      <c r="W16" s="9"/>
      <c r="AC16" s="9"/>
      <c r="AJ16" s="9"/>
      <c r="AR16" s="9"/>
      <c r="BA16" s="9"/>
    </row>
    <row r="17" spans="3:53" s="8" customFormat="1" x14ac:dyDescent="0.35">
      <c r="C17" s="118" t="s">
        <v>13</v>
      </c>
      <c r="D17" s="119" t="s">
        <v>381</v>
      </c>
      <c r="E17" s="9"/>
      <c r="F17" s="9"/>
      <c r="G17" s="9"/>
      <c r="H17" s="9"/>
      <c r="I17" s="9"/>
      <c r="J17" s="9"/>
      <c r="K17" s="9"/>
      <c r="L17" s="9"/>
      <c r="N17" s="9"/>
      <c r="R17" s="9"/>
      <c r="W17" s="9"/>
      <c r="AC17" s="9"/>
      <c r="AJ17" s="9"/>
      <c r="AR17" s="9"/>
      <c r="BA17" s="9"/>
    </row>
    <row r="18" spans="3:53" s="8" customFormat="1" x14ac:dyDescent="0.35">
      <c r="C18" s="129"/>
      <c r="D18" s="129"/>
      <c r="E18" s="9"/>
      <c r="F18" s="9"/>
      <c r="G18" s="9"/>
      <c r="H18" s="9"/>
      <c r="I18" s="9"/>
      <c r="J18" s="9"/>
      <c r="K18" s="9"/>
      <c r="L18" s="9"/>
      <c r="N18" s="9"/>
      <c r="R18" s="9"/>
      <c r="W18" s="9"/>
      <c r="AC18" s="9"/>
      <c r="AJ18" s="9"/>
      <c r="AR18" s="9"/>
      <c r="BA18" s="9"/>
    </row>
    <row r="19" spans="3:53" s="8" customFormat="1" x14ac:dyDescent="0.35">
      <c r="C19" s="130"/>
      <c r="D19" s="130"/>
      <c r="E19" s="9"/>
      <c r="F19" s="9"/>
      <c r="G19" s="9"/>
      <c r="H19" s="9"/>
      <c r="I19" s="9"/>
      <c r="J19" s="9"/>
      <c r="K19" s="9"/>
      <c r="L19" s="9"/>
      <c r="N19" s="9"/>
      <c r="R19" s="9"/>
      <c r="W19" s="9"/>
      <c r="AC19" s="9"/>
      <c r="AJ19" s="9"/>
      <c r="AR19" s="9"/>
      <c r="BA19" s="9"/>
    </row>
    <row r="20" spans="3:53" s="8" customFormat="1" x14ac:dyDescent="0.35">
      <c r="C20" s="129"/>
      <c r="D20" s="129"/>
      <c r="E20" s="9"/>
      <c r="F20" s="9"/>
      <c r="G20" s="9"/>
      <c r="H20" s="9"/>
      <c r="I20" s="9"/>
      <c r="J20" s="9"/>
      <c r="K20" s="9"/>
      <c r="L20" s="9"/>
      <c r="N20" s="9"/>
      <c r="R20" s="9"/>
      <c r="W20" s="9"/>
      <c r="AC20" s="9"/>
      <c r="AJ20" s="9"/>
      <c r="AR20" s="9"/>
      <c r="BA20" s="9"/>
    </row>
    <row r="21" spans="3:53" s="8" customFormat="1" x14ac:dyDescent="0.35">
      <c r="C21" s="130"/>
      <c r="D21" s="130"/>
      <c r="E21" s="9"/>
      <c r="F21" s="9"/>
      <c r="G21" s="9"/>
      <c r="H21" s="9"/>
      <c r="I21" s="9"/>
      <c r="J21" s="9"/>
      <c r="K21" s="9"/>
      <c r="L21" s="9"/>
      <c r="N21" s="9"/>
      <c r="R21" s="9"/>
      <c r="W21" s="9"/>
      <c r="AC21" s="9"/>
      <c r="AJ21" s="9"/>
      <c r="AR21" s="9"/>
      <c r="BA21" s="9"/>
    </row>
    <row r="22" spans="3:53" s="8" customFormat="1" x14ac:dyDescent="0.35">
      <c r="C22" s="129"/>
      <c r="D22" s="129"/>
      <c r="E22" s="9"/>
      <c r="F22" s="9"/>
      <c r="G22" s="9"/>
      <c r="H22" s="9"/>
      <c r="I22" s="9"/>
      <c r="J22" s="9"/>
      <c r="K22" s="9"/>
      <c r="L22" s="9"/>
      <c r="N22" s="9"/>
      <c r="R22" s="9"/>
      <c r="W22" s="9"/>
      <c r="AC22" s="9"/>
      <c r="AJ22" s="9"/>
      <c r="AR22" s="9"/>
      <c r="BA22" s="9"/>
    </row>
    <row r="23" spans="3:53" s="8" customFormat="1" x14ac:dyDescent="0.35">
      <c r="C23" s="130"/>
      <c r="D23" s="130"/>
      <c r="E23" s="9"/>
      <c r="F23" s="9"/>
      <c r="G23" s="9"/>
      <c r="H23" s="9"/>
      <c r="I23" s="9"/>
      <c r="J23" s="9"/>
      <c r="K23" s="9"/>
      <c r="L23" s="9"/>
      <c r="N23" s="9"/>
      <c r="R23" s="9"/>
      <c r="W23" s="9"/>
      <c r="AC23" s="9"/>
      <c r="AJ23" s="9"/>
      <c r="AR23" s="9"/>
      <c r="BA23" s="9"/>
    </row>
    <row r="24" spans="3:53" s="8" customFormat="1" x14ac:dyDescent="0.35">
      <c r="C24" s="129"/>
      <c r="D24" s="129"/>
      <c r="E24" s="9"/>
      <c r="F24" s="9"/>
      <c r="G24" s="9"/>
      <c r="H24" s="9"/>
      <c r="I24" s="9"/>
      <c r="J24" s="9"/>
      <c r="K24" s="9"/>
      <c r="L24" s="9"/>
      <c r="N24" s="9"/>
      <c r="R24" s="9"/>
      <c r="W24" s="9"/>
      <c r="AC24" s="9"/>
      <c r="AJ24" s="9"/>
      <c r="AR24" s="9"/>
      <c r="BA24" s="9"/>
    </row>
    <row r="25" spans="3:53" s="8" customFormat="1" x14ac:dyDescent="0.35">
      <c r="C25" s="130"/>
      <c r="D25" s="130"/>
      <c r="E25" s="9"/>
      <c r="F25" s="9"/>
      <c r="G25" s="9"/>
      <c r="H25" s="9"/>
      <c r="I25" s="9"/>
      <c r="J25" s="9"/>
      <c r="K25" s="9"/>
      <c r="L25" s="9"/>
      <c r="N25" s="9"/>
      <c r="R25" s="9"/>
      <c r="W25" s="9"/>
      <c r="AC25" s="9"/>
      <c r="AJ25" s="9"/>
      <c r="AR25" s="9"/>
      <c r="BA25" s="9"/>
    </row>
    <row r="26" spans="3:53" s="8" customFormat="1" x14ac:dyDescent="0.35">
      <c r="C26" s="129"/>
      <c r="D26" s="129"/>
      <c r="E26" s="9"/>
      <c r="F26" s="9"/>
      <c r="G26" s="9"/>
      <c r="H26" s="9"/>
      <c r="I26" s="9"/>
      <c r="J26" s="9"/>
      <c r="K26" s="9"/>
      <c r="L26" s="9"/>
      <c r="N26" s="9"/>
      <c r="R26" s="9"/>
      <c r="W26" s="9"/>
      <c r="AC26" s="9"/>
      <c r="AJ26" s="9"/>
      <c r="AR26" s="9"/>
      <c r="BA26" s="9"/>
    </row>
    <row r="27" spans="3:53" s="8" customFormat="1" x14ac:dyDescent="0.35">
      <c r="E27" s="9"/>
      <c r="F27" s="9"/>
      <c r="G27" s="9"/>
      <c r="H27" s="9"/>
      <c r="I27" s="9"/>
      <c r="J27" s="9"/>
      <c r="K27" s="9"/>
      <c r="L27" s="9"/>
      <c r="N27" s="9"/>
      <c r="R27" s="9"/>
      <c r="W27" s="9"/>
      <c r="AC27" s="9"/>
      <c r="AJ27" s="9"/>
      <c r="AR27" s="9"/>
      <c r="BA27" s="9"/>
    </row>
    <row r="28" spans="3:53" s="8" customFormat="1" x14ac:dyDescent="0.35">
      <c r="E28" s="9"/>
      <c r="F28" s="9"/>
      <c r="G28" s="9"/>
      <c r="H28" s="9"/>
      <c r="I28" s="9"/>
      <c r="J28" s="9"/>
      <c r="K28" s="9"/>
      <c r="L28" s="9"/>
      <c r="N28" s="9"/>
      <c r="R28" s="9"/>
      <c r="W28" s="9"/>
      <c r="AC28" s="9"/>
      <c r="AJ28" s="9"/>
      <c r="AR28" s="9"/>
      <c r="BA28" s="9"/>
    </row>
    <row r="29" spans="3:53" s="8" customFormat="1" x14ac:dyDescent="0.35">
      <c r="E29" s="9"/>
      <c r="F29" s="9"/>
      <c r="G29" s="9"/>
      <c r="H29" s="9"/>
      <c r="I29" s="9"/>
      <c r="J29" s="9"/>
      <c r="K29" s="9"/>
      <c r="L29" s="9"/>
      <c r="N29" s="9"/>
      <c r="R29" s="9"/>
      <c r="W29" s="9"/>
      <c r="AC29" s="9"/>
      <c r="AJ29" s="9"/>
      <c r="AR29" s="9"/>
      <c r="BA29" s="9"/>
    </row>
    <row r="30" spans="3:53" s="8" customFormat="1" x14ac:dyDescent="0.35">
      <c r="E30" s="9"/>
      <c r="F30" s="9"/>
      <c r="G30" s="9"/>
      <c r="H30" s="9"/>
      <c r="I30" s="9"/>
      <c r="J30" s="9"/>
      <c r="K30" s="9"/>
      <c r="L30" s="9"/>
      <c r="N30" s="9"/>
      <c r="R30" s="9"/>
      <c r="W30" s="9"/>
      <c r="AC30" s="9"/>
      <c r="AJ30" s="9"/>
      <c r="AR30" s="9"/>
      <c r="BA30" s="9"/>
    </row>
    <row r="31" spans="3:53" s="8" customFormat="1" x14ac:dyDescent="0.35">
      <c r="E31" s="9"/>
      <c r="F31" s="9"/>
      <c r="G31" s="9"/>
      <c r="H31" s="9"/>
      <c r="I31" s="9"/>
      <c r="J31" s="9"/>
      <c r="K31" s="9"/>
      <c r="L31" s="9"/>
      <c r="N31" s="9"/>
      <c r="R31" s="9"/>
      <c r="W31" s="9"/>
      <c r="AC31" s="9"/>
      <c r="AJ31" s="9"/>
      <c r="AR31" s="9"/>
      <c r="BA31" s="9"/>
    </row>
    <row r="32" spans="3:53" s="8" customFormat="1" x14ac:dyDescent="0.35">
      <c r="E32" s="9"/>
      <c r="F32" s="9"/>
      <c r="G32" s="9"/>
      <c r="H32" s="9"/>
      <c r="I32" s="9"/>
      <c r="J32" s="9"/>
      <c r="K32" s="9"/>
      <c r="L32" s="9"/>
      <c r="N32" s="9"/>
      <c r="R32" s="9"/>
      <c r="W32" s="9"/>
      <c r="AC32" s="9"/>
      <c r="AJ32" s="9"/>
      <c r="AR32" s="9"/>
      <c r="BA32" s="9"/>
    </row>
    <row r="33" spans="5:53" s="8" customFormat="1" x14ac:dyDescent="0.35">
      <c r="E33" s="9"/>
      <c r="F33" s="9"/>
      <c r="G33" s="9"/>
      <c r="H33" s="9"/>
      <c r="I33" s="9"/>
      <c r="J33" s="9"/>
      <c r="K33" s="9"/>
      <c r="L33" s="9"/>
      <c r="N33" s="9"/>
      <c r="R33" s="9"/>
      <c r="W33" s="9"/>
      <c r="AC33" s="9"/>
      <c r="AJ33" s="9"/>
      <c r="AR33" s="9"/>
      <c r="BA33" s="9"/>
    </row>
    <row r="34" spans="5:53" s="8" customFormat="1" x14ac:dyDescent="0.35">
      <c r="E34" s="9"/>
      <c r="F34" s="9"/>
      <c r="G34" s="9"/>
      <c r="H34" s="9"/>
      <c r="I34" s="9"/>
      <c r="J34" s="9"/>
      <c r="K34" s="9"/>
      <c r="L34" s="9"/>
      <c r="N34" s="9"/>
      <c r="R34" s="9"/>
      <c r="W34" s="9"/>
      <c r="AC34" s="9"/>
      <c r="AJ34" s="9"/>
      <c r="AR34" s="9"/>
      <c r="BA34" s="9"/>
    </row>
    <row r="35" spans="5:53" s="8" customFormat="1" x14ac:dyDescent="0.35">
      <c r="E35" s="9"/>
      <c r="F35" s="9"/>
      <c r="G35" s="9"/>
      <c r="H35" s="9"/>
      <c r="I35" s="9"/>
      <c r="J35" s="9"/>
      <c r="K35" s="9"/>
      <c r="L35" s="9"/>
      <c r="N35" s="9"/>
      <c r="R35" s="9"/>
      <c r="W35" s="9"/>
      <c r="AC35" s="9"/>
      <c r="AJ35" s="9"/>
      <c r="AR35" s="9"/>
      <c r="BA35" s="9"/>
    </row>
    <row r="36" spans="5:53" s="8" customFormat="1" x14ac:dyDescent="0.35">
      <c r="E36" s="9"/>
      <c r="F36" s="9"/>
      <c r="G36" s="9"/>
      <c r="H36" s="9"/>
      <c r="I36" s="9"/>
      <c r="J36" s="9"/>
      <c r="K36" s="9"/>
      <c r="L36" s="9"/>
      <c r="N36" s="9"/>
      <c r="R36" s="9"/>
      <c r="W36" s="9"/>
      <c r="AC36" s="9"/>
      <c r="AJ36" s="9"/>
      <c r="AR36" s="9"/>
      <c r="BA36" s="9"/>
    </row>
    <row r="37" spans="5:53" s="8" customFormat="1" x14ac:dyDescent="0.35">
      <c r="E37" s="9"/>
      <c r="F37" s="9"/>
      <c r="G37" s="9"/>
      <c r="H37" s="9"/>
      <c r="I37" s="9"/>
      <c r="J37" s="9"/>
      <c r="K37" s="9"/>
      <c r="L37" s="9"/>
      <c r="N37" s="9"/>
      <c r="R37" s="9"/>
      <c r="W37" s="9"/>
      <c r="AC37" s="9"/>
      <c r="AJ37" s="9"/>
      <c r="AR37" s="9"/>
      <c r="BA37" s="9"/>
    </row>
    <row r="38" spans="5:53" s="8" customFormat="1" x14ac:dyDescent="0.35">
      <c r="E38" s="9"/>
      <c r="F38" s="9"/>
      <c r="G38" s="9"/>
      <c r="H38" s="9"/>
      <c r="I38" s="9"/>
      <c r="J38" s="9"/>
      <c r="K38" s="9"/>
      <c r="L38" s="9"/>
      <c r="N38" s="9"/>
      <c r="R38" s="9"/>
      <c r="W38" s="9"/>
      <c r="AC38" s="9"/>
      <c r="AJ38" s="9"/>
      <c r="AR38" s="9"/>
      <c r="BA38" s="9"/>
    </row>
    <row r="39" spans="5:53" s="8" customFormat="1" x14ac:dyDescent="0.35">
      <c r="E39" s="9"/>
      <c r="F39" s="9"/>
      <c r="G39" s="9"/>
      <c r="H39" s="9"/>
      <c r="I39" s="9"/>
      <c r="J39" s="9"/>
      <c r="K39" s="9"/>
      <c r="L39" s="9"/>
      <c r="N39" s="9"/>
      <c r="R39" s="9"/>
      <c r="W39" s="9"/>
      <c r="AC39" s="9"/>
      <c r="AJ39" s="9"/>
      <c r="AR39" s="9"/>
      <c r="BA39" s="9"/>
    </row>
    <row r="40" spans="5:53" s="8" customFormat="1" x14ac:dyDescent="0.35">
      <c r="E40" s="9"/>
      <c r="F40" s="9"/>
      <c r="G40" s="9"/>
      <c r="H40" s="9"/>
      <c r="I40" s="9"/>
      <c r="J40" s="9"/>
      <c r="K40" s="9"/>
      <c r="L40" s="9"/>
      <c r="N40" s="9"/>
      <c r="R40" s="9"/>
      <c r="W40" s="9"/>
      <c r="AC40" s="9"/>
      <c r="AJ40" s="9"/>
      <c r="AR40" s="9"/>
      <c r="BA40" s="9"/>
    </row>
    <row r="41" spans="5:53" s="8" customFormat="1" x14ac:dyDescent="0.35">
      <c r="E41" s="9"/>
      <c r="F41" s="9"/>
      <c r="G41" s="9"/>
      <c r="H41" s="9"/>
      <c r="I41" s="9"/>
      <c r="J41" s="9"/>
      <c r="K41" s="9"/>
      <c r="L41" s="9"/>
      <c r="N41" s="9"/>
      <c r="R41" s="9"/>
      <c r="W41" s="9"/>
      <c r="AC41" s="9"/>
      <c r="AJ41" s="9"/>
      <c r="AR41" s="9"/>
      <c r="BA41" s="9"/>
    </row>
    <row r="42" spans="5:53" s="8" customFormat="1" x14ac:dyDescent="0.35">
      <c r="E42" s="9"/>
      <c r="F42" s="9"/>
      <c r="G42" s="9"/>
      <c r="H42" s="9"/>
      <c r="I42" s="9"/>
      <c r="J42" s="9"/>
      <c r="K42" s="9"/>
      <c r="L42" s="9"/>
      <c r="N42" s="9"/>
      <c r="R42" s="9"/>
      <c r="W42" s="9"/>
      <c r="AC42" s="9"/>
      <c r="AJ42" s="9"/>
      <c r="AR42" s="9"/>
      <c r="BA42" s="9"/>
    </row>
    <row r="43" spans="5:53" s="8" customFormat="1" x14ac:dyDescent="0.35">
      <c r="E43" s="9"/>
      <c r="F43" s="9"/>
      <c r="G43" s="9"/>
      <c r="H43" s="9"/>
      <c r="I43" s="9"/>
      <c r="J43" s="9"/>
      <c r="K43" s="9"/>
      <c r="L43" s="9"/>
      <c r="N43" s="9"/>
      <c r="R43" s="9"/>
      <c r="W43" s="9"/>
      <c r="AC43" s="9"/>
      <c r="AJ43" s="9"/>
      <c r="AR43" s="9"/>
      <c r="BA43" s="9"/>
    </row>
    <row r="44" spans="5:53" s="8" customFormat="1" x14ac:dyDescent="0.35">
      <c r="E44" s="9"/>
      <c r="F44" s="9"/>
      <c r="G44" s="9"/>
      <c r="H44" s="9"/>
      <c r="I44" s="9"/>
      <c r="J44" s="9"/>
      <c r="K44" s="9"/>
      <c r="L44" s="9"/>
      <c r="N44" s="9"/>
      <c r="R44" s="9"/>
      <c r="W44" s="9"/>
      <c r="AC44" s="9"/>
      <c r="AJ44" s="9"/>
      <c r="AR44" s="9"/>
      <c r="BA44" s="9"/>
    </row>
    <row r="45" spans="5:53" s="8" customFormat="1" x14ac:dyDescent="0.35">
      <c r="E45" s="9"/>
      <c r="F45" s="9"/>
      <c r="G45" s="9"/>
      <c r="H45" s="9"/>
      <c r="I45" s="9"/>
      <c r="J45" s="9"/>
      <c r="K45" s="9"/>
      <c r="L45" s="9"/>
      <c r="N45" s="9"/>
      <c r="R45" s="9"/>
      <c r="W45" s="9"/>
      <c r="AC45" s="9"/>
      <c r="AJ45" s="9"/>
      <c r="AR45" s="9"/>
      <c r="BA45" s="9"/>
    </row>
    <row r="46" spans="5:53" s="8" customFormat="1" x14ac:dyDescent="0.35">
      <c r="E46" s="9"/>
      <c r="F46" s="9"/>
      <c r="G46" s="9"/>
      <c r="H46" s="9"/>
      <c r="I46" s="9"/>
      <c r="J46" s="9"/>
      <c r="K46" s="9"/>
      <c r="L46" s="9"/>
      <c r="N46" s="9"/>
      <c r="R46" s="9"/>
      <c r="W46" s="9"/>
      <c r="AC46" s="9"/>
      <c r="AJ46" s="9"/>
      <c r="AR46" s="9"/>
      <c r="BA46" s="9"/>
    </row>
    <row r="47" spans="5:53" s="8" customFormat="1" x14ac:dyDescent="0.35">
      <c r="E47" s="9"/>
      <c r="F47" s="9"/>
      <c r="G47" s="9"/>
      <c r="H47" s="9"/>
      <c r="I47" s="9"/>
      <c r="J47" s="9"/>
      <c r="K47" s="9"/>
      <c r="L47" s="9"/>
      <c r="N47" s="9"/>
      <c r="R47" s="9"/>
      <c r="W47" s="9"/>
      <c r="AC47" s="9"/>
      <c r="AJ47" s="9"/>
      <c r="AR47" s="9"/>
      <c r="BA47" s="9"/>
    </row>
    <row r="48" spans="5:53" s="8" customFormat="1" x14ac:dyDescent="0.35">
      <c r="E48" s="9"/>
      <c r="F48" s="9"/>
      <c r="G48" s="9"/>
      <c r="H48" s="9"/>
      <c r="I48" s="9"/>
      <c r="J48" s="9"/>
      <c r="K48" s="9"/>
      <c r="L48" s="9"/>
      <c r="N48" s="9"/>
      <c r="R48" s="9"/>
      <c r="W48" s="9"/>
      <c r="AC48" s="9"/>
      <c r="AJ48" s="9"/>
      <c r="AR48" s="9"/>
      <c r="BA48" s="9"/>
    </row>
    <row r="49" spans="5:53" s="8" customFormat="1" x14ac:dyDescent="0.35">
      <c r="E49" s="9"/>
      <c r="F49" s="9"/>
      <c r="G49" s="9"/>
      <c r="H49" s="9"/>
      <c r="I49" s="9"/>
      <c r="J49" s="9"/>
      <c r="K49" s="9"/>
      <c r="L49" s="9"/>
      <c r="N49" s="9"/>
      <c r="R49" s="9"/>
      <c r="W49" s="9"/>
      <c r="AC49" s="9"/>
      <c r="AJ49" s="9"/>
      <c r="AR49" s="9"/>
      <c r="BA49" s="9"/>
    </row>
    <row r="50" spans="5:53" s="8" customFormat="1" x14ac:dyDescent="0.35">
      <c r="E50" s="9"/>
      <c r="F50" s="9"/>
      <c r="G50" s="9"/>
      <c r="H50" s="9"/>
      <c r="I50" s="9"/>
      <c r="J50" s="9"/>
      <c r="K50" s="9"/>
      <c r="L50" s="9"/>
      <c r="N50" s="9"/>
      <c r="R50" s="9"/>
      <c r="W50" s="9"/>
      <c r="AC50" s="9"/>
      <c r="AJ50" s="9"/>
      <c r="AR50" s="9"/>
      <c r="BA50" s="9"/>
    </row>
    <row r="51" spans="5:53" s="8" customFormat="1" x14ac:dyDescent="0.35">
      <c r="E51" s="9"/>
      <c r="F51" s="9"/>
      <c r="G51" s="9"/>
      <c r="H51" s="9"/>
      <c r="I51" s="9"/>
      <c r="J51" s="9"/>
      <c r="K51" s="9"/>
      <c r="L51" s="9"/>
      <c r="N51" s="9"/>
      <c r="R51" s="9"/>
      <c r="W51" s="9"/>
      <c r="AC51" s="9"/>
      <c r="AJ51" s="9"/>
      <c r="AR51" s="9"/>
      <c r="BA51" s="9"/>
    </row>
    <row r="52" spans="5:53" s="8" customFormat="1" x14ac:dyDescent="0.35">
      <c r="E52" s="9"/>
      <c r="F52" s="9"/>
      <c r="G52" s="9"/>
      <c r="H52" s="9"/>
      <c r="I52" s="9"/>
      <c r="J52" s="9"/>
      <c r="K52" s="9"/>
      <c r="L52" s="9"/>
      <c r="N52" s="9"/>
      <c r="R52" s="9"/>
      <c r="W52" s="9"/>
      <c r="AC52" s="9"/>
      <c r="AJ52" s="9"/>
      <c r="AR52" s="9"/>
      <c r="BA52" s="9"/>
    </row>
    <row r="53" spans="5:53" s="8" customFormat="1" x14ac:dyDescent="0.35">
      <c r="E53" s="9"/>
      <c r="F53" s="9"/>
      <c r="G53" s="9"/>
      <c r="H53" s="9"/>
      <c r="I53" s="9"/>
      <c r="J53" s="9"/>
      <c r="K53" s="9"/>
      <c r="L53" s="9"/>
      <c r="N53" s="9"/>
      <c r="R53" s="9"/>
      <c r="W53" s="9"/>
      <c r="AC53" s="9"/>
      <c r="AJ53" s="9"/>
      <c r="AR53" s="9"/>
      <c r="BA53" s="9"/>
    </row>
    <row r="54" spans="5:53" s="8" customFormat="1" x14ac:dyDescent="0.35">
      <c r="E54" s="9"/>
      <c r="F54" s="9"/>
      <c r="G54" s="9"/>
      <c r="H54" s="9"/>
      <c r="I54" s="9"/>
      <c r="J54" s="9"/>
      <c r="K54" s="9"/>
      <c r="L54" s="9"/>
      <c r="N54" s="9"/>
      <c r="R54" s="9"/>
      <c r="W54" s="9"/>
      <c r="AC54" s="9"/>
      <c r="AJ54" s="9"/>
      <c r="AR54" s="9"/>
      <c r="BA54" s="9"/>
    </row>
    <row r="55" spans="5:53" s="8" customFormat="1" x14ac:dyDescent="0.35">
      <c r="E55" s="9"/>
      <c r="F55" s="9"/>
      <c r="G55" s="9"/>
      <c r="H55" s="9"/>
      <c r="I55" s="9"/>
      <c r="J55" s="9"/>
      <c r="K55" s="9"/>
      <c r="L55" s="9"/>
      <c r="N55" s="9"/>
      <c r="R55" s="9"/>
      <c r="W55" s="9"/>
      <c r="AC55" s="9"/>
      <c r="AJ55" s="9"/>
      <c r="AR55" s="9"/>
      <c r="BA55" s="9"/>
    </row>
    <row r="56" spans="5:53" s="8" customFormat="1" x14ac:dyDescent="0.35">
      <c r="E56" s="9"/>
      <c r="F56" s="9"/>
      <c r="G56" s="9"/>
      <c r="H56" s="9"/>
      <c r="I56" s="9"/>
      <c r="J56" s="9"/>
      <c r="K56" s="9"/>
      <c r="L56" s="9"/>
      <c r="N56" s="9"/>
      <c r="R56" s="9"/>
      <c r="W56" s="9"/>
      <c r="AC56" s="9"/>
      <c r="AJ56" s="9"/>
      <c r="AR56" s="9"/>
      <c r="BA56" s="9"/>
    </row>
    <row r="57" spans="5:53" s="8" customFormat="1" x14ac:dyDescent="0.35">
      <c r="E57" s="9"/>
      <c r="F57" s="9"/>
      <c r="G57" s="9"/>
      <c r="H57" s="9"/>
      <c r="I57" s="9"/>
      <c r="J57" s="9"/>
      <c r="K57" s="9"/>
      <c r="L57" s="9"/>
      <c r="N57" s="9"/>
      <c r="R57" s="9"/>
      <c r="W57" s="9"/>
      <c r="AC57" s="9"/>
      <c r="AJ57" s="9"/>
      <c r="AR57" s="9"/>
      <c r="BA57" s="9"/>
    </row>
    <row r="58" spans="5:53" s="8" customFormat="1" x14ac:dyDescent="0.35">
      <c r="E58" s="9"/>
      <c r="F58" s="9"/>
      <c r="G58" s="9"/>
      <c r="H58" s="9"/>
      <c r="I58" s="9"/>
      <c r="J58" s="9"/>
      <c r="K58" s="9"/>
      <c r="L58" s="9"/>
      <c r="N58" s="9"/>
      <c r="R58" s="9"/>
      <c r="W58" s="9"/>
      <c r="AC58" s="9"/>
      <c r="AJ58" s="9"/>
      <c r="AR58" s="9"/>
      <c r="BA58" s="9"/>
    </row>
    <row r="59" spans="5:53" s="8" customFormat="1" x14ac:dyDescent="0.35">
      <c r="E59" s="9"/>
      <c r="F59" s="9"/>
      <c r="G59" s="9"/>
      <c r="H59" s="9"/>
      <c r="I59" s="9"/>
      <c r="J59" s="9"/>
      <c r="K59" s="9"/>
      <c r="L59" s="9"/>
      <c r="N59" s="9"/>
      <c r="R59" s="9"/>
      <c r="W59" s="9"/>
      <c r="AC59" s="9"/>
      <c r="AJ59" s="9"/>
      <c r="AR59" s="9"/>
      <c r="BA59" s="9"/>
    </row>
    <row r="60" spans="5:53" s="8" customFormat="1" x14ac:dyDescent="0.35">
      <c r="E60" s="9"/>
      <c r="F60" s="9"/>
      <c r="G60" s="9"/>
      <c r="H60" s="9"/>
      <c r="I60" s="9"/>
      <c r="J60" s="9"/>
      <c r="K60" s="9"/>
      <c r="L60" s="9"/>
      <c r="N60" s="9"/>
      <c r="R60" s="9"/>
      <c r="W60" s="9"/>
      <c r="AC60" s="9"/>
      <c r="AJ60" s="9"/>
      <c r="AR60" s="9"/>
      <c r="BA60" s="9"/>
    </row>
    <row r="61" spans="5:53" s="8" customFormat="1" x14ac:dyDescent="0.35">
      <c r="E61" s="9"/>
      <c r="F61" s="9"/>
      <c r="G61" s="9"/>
      <c r="H61" s="9"/>
      <c r="I61" s="9"/>
      <c r="J61" s="9"/>
      <c r="K61" s="9"/>
      <c r="L61" s="9"/>
      <c r="N61" s="9"/>
      <c r="R61" s="9"/>
      <c r="W61" s="9"/>
      <c r="AC61" s="9"/>
      <c r="AJ61" s="9"/>
      <c r="AR61" s="9"/>
      <c r="BA61" s="9"/>
    </row>
    <row r="62" spans="5:53" s="8" customFormat="1" x14ac:dyDescent="0.35">
      <c r="E62" s="9"/>
      <c r="F62" s="9"/>
      <c r="G62" s="9"/>
      <c r="H62" s="9"/>
      <c r="I62" s="9"/>
      <c r="J62" s="9"/>
      <c r="K62" s="9"/>
      <c r="L62" s="9"/>
      <c r="N62" s="9"/>
      <c r="R62" s="9"/>
      <c r="W62" s="9"/>
      <c r="AC62" s="9"/>
      <c r="AJ62" s="9"/>
      <c r="AR62" s="9"/>
      <c r="BA62" s="9"/>
    </row>
    <row r="63" spans="5:53" s="8" customFormat="1" x14ac:dyDescent="0.35">
      <c r="E63" s="9"/>
      <c r="F63" s="9"/>
      <c r="G63" s="9"/>
      <c r="H63" s="9"/>
      <c r="I63" s="9"/>
      <c r="J63" s="9"/>
      <c r="K63" s="9"/>
      <c r="L63" s="9"/>
      <c r="N63" s="9"/>
      <c r="R63" s="9"/>
      <c r="W63" s="9"/>
      <c r="AC63" s="9"/>
      <c r="AJ63" s="9"/>
      <c r="AR63" s="9"/>
      <c r="BA63" s="9"/>
    </row>
    <row r="64" spans="5:53" s="8" customFormat="1" x14ac:dyDescent="0.35">
      <c r="E64" s="9"/>
      <c r="F64" s="9"/>
      <c r="G64" s="9"/>
      <c r="H64" s="9"/>
      <c r="I64" s="9"/>
      <c r="J64" s="9"/>
      <c r="K64" s="9"/>
      <c r="L64" s="9"/>
      <c r="N64" s="9"/>
      <c r="R64" s="9"/>
      <c r="W64" s="9"/>
      <c r="AC64" s="9"/>
      <c r="AJ64" s="9"/>
      <c r="AR64" s="9"/>
      <c r="BA64" s="9"/>
    </row>
    <row r="65" spans="5:53" s="8" customFormat="1" x14ac:dyDescent="0.35">
      <c r="E65" s="9"/>
      <c r="F65" s="9"/>
      <c r="G65" s="9"/>
      <c r="H65" s="9"/>
      <c r="I65" s="9"/>
      <c r="J65" s="9"/>
      <c r="K65" s="9"/>
      <c r="L65" s="9"/>
      <c r="N65" s="9"/>
      <c r="R65" s="9"/>
      <c r="W65" s="9"/>
      <c r="AC65" s="9"/>
      <c r="AJ65" s="9"/>
      <c r="AR65" s="9"/>
      <c r="BA65" s="9"/>
    </row>
    <row r="66" spans="5:53" s="8" customFormat="1" x14ac:dyDescent="0.35">
      <c r="E66" s="9"/>
      <c r="F66" s="9"/>
      <c r="G66" s="9"/>
      <c r="H66" s="9"/>
      <c r="I66" s="9"/>
      <c r="J66" s="9"/>
      <c r="K66" s="9"/>
      <c r="L66" s="9"/>
      <c r="N66" s="9"/>
      <c r="R66" s="9"/>
      <c r="W66" s="9"/>
      <c r="AC66" s="9"/>
      <c r="AJ66" s="9"/>
      <c r="AR66" s="9"/>
      <c r="BA66" s="9"/>
    </row>
    <row r="67" spans="5:53" s="8" customFormat="1" x14ac:dyDescent="0.35">
      <c r="E67" s="9"/>
      <c r="F67" s="9"/>
      <c r="G67" s="9"/>
      <c r="H67" s="9"/>
      <c r="I67" s="9"/>
      <c r="J67" s="9"/>
      <c r="K67" s="9"/>
      <c r="L67" s="9"/>
      <c r="N67" s="9"/>
      <c r="R67" s="9"/>
      <c r="W67" s="9"/>
      <c r="AC67" s="9"/>
      <c r="AJ67" s="9"/>
      <c r="AR67" s="9"/>
      <c r="BA67" s="9"/>
    </row>
    <row r="68" spans="5:53" s="8" customFormat="1" x14ac:dyDescent="0.35">
      <c r="E68" s="9"/>
      <c r="F68" s="9"/>
      <c r="G68" s="9"/>
      <c r="H68" s="9"/>
      <c r="I68" s="9"/>
      <c r="J68" s="9"/>
      <c r="K68" s="9"/>
      <c r="L68" s="9"/>
      <c r="N68" s="9"/>
      <c r="R68" s="9"/>
      <c r="W68" s="9"/>
      <c r="AC68" s="9"/>
      <c r="AJ68" s="9"/>
      <c r="AR68" s="9"/>
      <c r="BA68" s="9"/>
    </row>
    <row r="69" spans="5:53" s="8" customFormat="1" x14ac:dyDescent="0.35">
      <c r="E69" s="9"/>
      <c r="F69" s="9"/>
      <c r="G69" s="9"/>
      <c r="H69" s="9"/>
      <c r="I69" s="9"/>
      <c r="J69" s="9"/>
      <c r="K69" s="9"/>
      <c r="L69" s="9"/>
      <c r="N69" s="9"/>
      <c r="R69" s="9"/>
      <c r="W69" s="9"/>
      <c r="AC69" s="9"/>
      <c r="AJ69" s="9"/>
      <c r="AR69" s="9"/>
      <c r="BA69" s="9"/>
    </row>
    <row r="70" spans="5:53" s="8" customFormat="1" x14ac:dyDescent="0.35">
      <c r="E70" s="9"/>
      <c r="F70" s="9"/>
      <c r="G70" s="9"/>
      <c r="H70" s="9"/>
      <c r="I70" s="9"/>
      <c r="J70" s="9"/>
      <c r="K70" s="9"/>
      <c r="L70" s="9"/>
      <c r="N70" s="9"/>
      <c r="R70" s="9"/>
      <c r="W70" s="9"/>
      <c r="AC70" s="9"/>
      <c r="AJ70" s="9"/>
      <c r="AR70" s="9"/>
      <c r="BA70" s="9"/>
    </row>
    <row r="71" spans="5:53" s="8" customFormat="1" x14ac:dyDescent="0.35">
      <c r="E71" s="9"/>
      <c r="F71" s="9"/>
      <c r="G71" s="9"/>
      <c r="H71" s="9"/>
      <c r="I71" s="9"/>
      <c r="J71" s="9"/>
      <c r="K71" s="9"/>
      <c r="L71" s="9"/>
      <c r="N71" s="9"/>
      <c r="R71" s="9"/>
      <c r="W71" s="9"/>
      <c r="AC71" s="9"/>
      <c r="AJ71" s="9"/>
      <c r="AR71" s="9"/>
      <c r="BA71" s="9"/>
    </row>
    <row r="72" spans="5:53" s="8" customFormat="1" x14ac:dyDescent="0.35">
      <c r="E72" s="9"/>
      <c r="F72" s="9"/>
      <c r="G72" s="9"/>
      <c r="H72" s="9"/>
      <c r="I72" s="9"/>
      <c r="J72" s="9"/>
      <c r="K72" s="9"/>
      <c r="L72" s="9"/>
      <c r="N72" s="9"/>
      <c r="R72" s="9"/>
      <c r="W72" s="9"/>
      <c r="AC72" s="9"/>
      <c r="AJ72" s="9"/>
      <c r="AR72" s="9"/>
      <c r="BA72" s="9"/>
    </row>
    <row r="73" spans="5:53" s="8" customFormat="1" x14ac:dyDescent="0.35">
      <c r="E73" s="9"/>
      <c r="F73" s="9"/>
      <c r="G73" s="9"/>
      <c r="H73" s="9"/>
      <c r="I73" s="9"/>
      <c r="J73" s="9"/>
      <c r="K73" s="9"/>
      <c r="L73" s="9"/>
      <c r="N73" s="9"/>
      <c r="R73" s="9"/>
      <c r="W73" s="9"/>
      <c r="AC73" s="9"/>
      <c r="AJ73" s="9"/>
      <c r="AR73" s="9"/>
      <c r="BA73" s="9"/>
    </row>
    <row r="74" spans="5:53" s="8" customFormat="1" x14ac:dyDescent="0.35">
      <c r="E74" s="9"/>
      <c r="F74" s="9"/>
      <c r="G74" s="9"/>
      <c r="H74" s="9"/>
      <c r="I74" s="9"/>
      <c r="J74" s="9"/>
      <c r="K74" s="9"/>
      <c r="L74" s="9"/>
      <c r="N74" s="9"/>
      <c r="R74" s="9"/>
      <c r="W74" s="9"/>
      <c r="AC74" s="9"/>
      <c r="AJ74" s="9"/>
      <c r="AR74" s="9"/>
      <c r="BA74" s="9"/>
    </row>
    <row r="75" spans="5:53" s="8" customFormat="1" x14ac:dyDescent="0.35">
      <c r="E75" s="9"/>
      <c r="F75" s="9"/>
      <c r="G75" s="9"/>
      <c r="H75" s="9"/>
      <c r="I75" s="9"/>
      <c r="J75" s="9"/>
      <c r="K75" s="9"/>
      <c r="L75" s="9"/>
      <c r="N75" s="9"/>
      <c r="R75" s="9"/>
      <c r="W75" s="9"/>
      <c r="AC75" s="9"/>
      <c r="AJ75" s="9"/>
      <c r="AR75" s="9"/>
      <c r="BA75" s="9"/>
    </row>
    <row r="76" spans="5:53" s="8" customFormat="1" x14ac:dyDescent="0.35">
      <c r="E76" s="9"/>
      <c r="F76" s="9"/>
      <c r="G76" s="9"/>
      <c r="H76" s="9"/>
      <c r="I76" s="9"/>
      <c r="J76" s="9"/>
      <c r="K76" s="9"/>
      <c r="L76" s="9"/>
      <c r="N76" s="9"/>
      <c r="R76" s="9"/>
      <c r="W76" s="9"/>
      <c r="AC76" s="9"/>
      <c r="AJ76" s="9"/>
      <c r="AR76" s="9"/>
      <c r="BA76" s="9"/>
    </row>
    <row r="77" spans="5:53" s="8" customFormat="1" x14ac:dyDescent="0.35">
      <c r="E77" s="9"/>
      <c r="F77" s="9"/>
      <c r="G77" s="9"/>
      <c r="H77" s="9"/>
      <c r="I77" s="9"/>
      <c r="J77" s="9"/>
      <c r="K77" s="9"/>
      <c r="L77" s="9"/>
      <c r="N77" s="9"/>
      <c r="R77" s="9"/>
      <c r="W77" s="9"/>
      <c r="AC77" s="9"/>
      <c r="AJ77" s="9"/>
      <c r="AR77" s="9"/>
      <c r="BA77" s="9"/>
    </row>
    <row r="78" spans="5:53" s="8" customFormat="1" x14ac:dyDescent="0.35">
      <c r="E78" s="9"/>
      <c r="F78" s="9"/>
      <c r="G78" s="9"/>
      <c r="H78" s="9"/>
      <c r="I78" s="9"/>
      <c r="J78" s="9"/>
      <c r="K78" s="9"/>
      <c r="L78" s="9"/>
      <c r="N78" s="9"/>
      <c r="R78" s="9"/>
      <c r="W78" s="9"/>
      <c r="AC78" s="9"/>
      <c r="AJ78" s="9"/>
      <c r="AR78" s="9"/>
      <c r="BA78" s="9"/>
    </row>
    <row r="79" spans="5:53" s="8" customFormat="1" x14ac:dyDescent="0.35">
      <c r="E79" s="9"/>
      <c r="F79" s="9"/>
      <c r="G79" s="9"/>
      <c r="H79" s="9"/>
      <c r="I79" s="9"/>
      <c r="J79" s="9"/>
      <c r="K79" s="9"/>
      <c r="L79" s="9"/>
      <c r="N79" s="9"/>
      <c r="R79" s="9"/>
      <c r="W79" s="9"/>
      <c r="AC79" s="9"/>
      <c r="AJ79" s="9"/>
      <c r="AR79" s="9"/>
      <c r="BA79" s="9"/>
    </row>
    <row r="80" spans="5:53" s="8" customFormat="1" x14ac:dyDescent="0.35">
      <c r="E80" s="9"/>
      <c r="F80" s="9"/>
      <c r="G80" s="9"/>
      <c r="H80" s="9"/>
      <c r="I80" s="9"/>
      <c r="J80" s="9"/>
      <c r="K80" s="9"/>
      <c r="L80" s="9"/>
      <c r="N80" s="9"/>
      <c r="R80" s="9"/>
      <c r="W80" s="9"/>
      <c r="AC80" s="9"/>
      <c r="AJ80" s="9"/>
      <c r="AR80" s="9"/>
      <c r="BA80" s="9"/>
    </row>
    <row r="81" spans="5:53" s="8" customFormat="1" x14ac:dyDescent="0.35">
      <c r="E81" s="9"/>
      <c r="F81" s="9"/>
      <c r="G81" s="9"/>
      <c r="H81" s="9"/>
      <c r="I81" s="9"/>
      <c r="J81" s="9"/>
      <c r="K81" s="9"/>
      <c r="L81" s="9"/>
      <c r="N81" s="9"/>
      <c r="R81" s="9"/>
      <c r="W81" s="9"/>
      <c r="AC81" s="9"/>
      <c r="AJ81" s="9"/>
      <c r="AR81" s="9"/>
      <c r="BA81" s="9"/>
    </row>
    <row r="82" spans="5:53" s="8" customFormat="1" x14ac:dyDescent="0.35">
      <c r="E82" s="9"/>
      <c r="F82" s="9"/>
      <c r="G82" s="9"/>
      <c r="H82" s="9"/>
      <c r="I82" s="9"/>
      <c r="J82" s="9"/>
      <c r="K82" s="9"/>
      <c r="L82" s="9"/>
      <c r="N82" s="9"/>
      <c r="R82" s="9"/>
      <c r="W82" s="9"/>
      <c r="AC82" s="9"/>
      <c r="AJ82" s="9"/>
      <c r="AR82" s="9"/>
      <c r="BA82" s="9"/>
    </row>
    <row r="83" spans="5:53" s="8" customFormat="1" x14ac:dyDescent="0.35">
      <c r="E83" s="9"/>
      <c r="F83" s="9"/>
      <c r="G83" s="9"/>
      <c r="H83" s="9"/>
      <c r="I83" s="9"/>
      <c r="J83" s="9"/>
      <c r="K83" s="9"/>
      <c r="L83" s="9"/>
      <c r="N83" s="9"/>
      <c r="R83" s="9"/>
      <c r="W83" s="9"/>
      <c r="AC83" s="9"/>
      <c r="AJ83" s="9"/>
      <c r="AR83" s="9"/>
      <c r="BA83" s="9"/>
    </row>
    <row r="84" spans="5:53" s="8" customFormat="1" x14ac:dyDescent="0.35">
      <c r="E84" s="9"/>
      <c r="F84" s="9"/>
      <c r="G84" s="9"/>
      <c r="H84" s="9"/>
      <c r="I84" s="9"/>
      <c r="J84" s="9"/>
      <c r="K84" s="9"/>
      <c r="L84" s="9"/>
      <c r="N84" s="9"/>
      <c r="R84" s="9"/>
      <c r="W84" s="9"/>
      <c r="AC84" s="9"/>
      <c r="AJ84" s="9"/>
      <c r="AR84" s="9"/>
      <c r="BA84" s="9"/>
    </row>
    <row r="85" spans="5:53" s="8" customFormat="1" x14ac:dyDescent="0.35">
      <c r="E85" s="9"/>
      <c r="F85" s="9"/>
      <c r="G85" s="9"/>
      <c r="H85" s="9"/>
      <c r="I85" s="9"/>
      <c r="J85" s="9"/>
      <c r="K85" s="9"/>
      <c r="L85" s="9"/>
      <c r="N85" s="9"/>
      <c r="R85" s="9"/>
      <c r="W85" s="9"/>
      <c r="AC85" s="9"/>
      <c r="AJ85" s="9"/>
      <c r="AR85" s="9"/>
      <c r="BA85" s="9"/>
    </row>
    <row r="86" spans="5:53" s="8" customFormat="1" x14ac:dyDescent="0.35">
      <c r="E86" s="9"/>
      <c r="F86" s="9"/>
      <c r="G86" s="9"/>
      <c r="H86" s="9"/>
      <c r="I86" s="9"/>
      <c r="J86" s="9"/>
      <c r="K86" s="9"/>
      <c r="L86" s="9"/>
      <c r="N86" s="9"/>
      <c r="R86" s="9"/>
      <c r="W86" s="9"/>
      <c r="AC86" s="9"/>
      <c r="AJ86" s="9"/>
      <c r="AR86" s="9"/>
      <c r="BA86" s="9"/>
    </row>
    <row r="87" spans="5:53" s="8" customFormat="1" x14ac:dyDescent="0.35">
      <c r="E87" s="9"/>
      <c r="F87" s="9"/>
      <c r="G87" s="9"/>
      <c r="H87" s="9"/>
      <c r="I87" s="9"/>
      <c r="J87" s="9"/>
      <c r="K87" s="9"/>
      <c r="L87" s="9"/>
      <c r="N87" s="9"/>
      <c r="R87" s="9"/>
      <c r="W87" s="9"/>
      <c r="AC87" s="9"/>
      <c r="AJ87" s="9"/>
      <c r="AR87" s="9"/>
      <c r="BA87" s="9"/>
    </row>
    <row r="88" spans="5:53" s="8" customFormat="1" x14ac:dyDescent="0.35">
      <c r="E88" s="9"/>
      <c r="F88" s="9"/>
      <c r="G88" s="9"/>
      <c r="H88" s="9"/>
      <c r="I88" s="9"/>
      <c r="J88" s="9"/>
      <c r="K88" s="9"/>
      <c r="L88" s="9"/>
      <c r="N88" s="9"/>
      <c r="R88" s="9"/>
      <c r="W88" s="9"/>
      <c r="AC88" s="9"/>
      <c r="AJ88" s="9"/>
      <c r="AR88" s="9"/>
      <c r="BA88" s="9"/>
    </row>
    <row r="89" spans="5:53" s="8" customFormat="1" x14ac:dyDescent="0.35">
      <c r="E89" s="9"/>
      <c r="F89" s="9"/>
      <c r="G89" s="9"/>
      <c r="H89" s="9"/>
      <c r="I89" s="9"/>
      <c r="J89" s="9"/>
      <c r="K89" s="9"/>
      <c r="L89" s="9"/>
      <c r="N89" s="9"/>
      <c r="R89" s="9"/>
      <c r="W89" s="9"/>
      <c r="AC89" s="9"/>
      <c r="AJ89" s="9"/>
      <c r="AR89" s="9"/>
      <c r="BA89" s="9"/>
    </row>
    <row r="90" spans="5:53" s="8" customFormat="1" x14ac:dyDescent="0.35">
      <c r="E90" s="9"/>
      <c r="F90" s="9"/>
      <c r="G90" s="9"/>
      <c r="H90" s="9"/>
      <c r="I90" s="9"/>
      <c r="J90" s="9"/>
      <c r="K90" s="9"/>
      <c r="L90" s="9"/>
      <c r="N90" s="9"/>
      <c r="R90" s="9"/>
      <c r="W90" s="9"/>
      <c r="AC90" s="9"/>
      <c r="AJ90" s="9"/>
      <c r="AR90" s="9"/>
      <c r="BA90" s="9"/>
    </row>
    <row r="91" spans="5:53" s="8" customFormat="1" x14ac:dyDescent="0.35">
      <c r="E91" s="9"/>
      <c r="F91" s="9"/>
      <c r="G91" s="9"/>
      <c r="H91" s="9"/>
      <c r="I91" s="9"/>
      <c r="J91" s="9"/>
      <c r="K91" s="9"/>
      <c r="L91" s="9"/>
      <c r="N91" s="9"/>
      <c r="R91" s="9"/>
      <c r="W91" s="9"/>
      <c r="AC91" s="9"/>
      <c r="AJ91" s="9"/>
      <c r="AR91" s="9"/>
      <c r="BA91" s="9"/>
    </row>
    <row r="92" spans="5:53" s="8" customFormat="1" x14ac:dyDescent="0.35">
      <c r="E92" s="9"/>
      <c r="F92" s="9"/>
      <c r="G92" s="9"/>
      <c r="H92" s="9"/>
      <c r="I92" s="9"/>
      <c r="J92" s="9"/>
      <c r="K92" s="9"/>
      <c r="L92" s="9"/>
      <c r="N92" s="9"/>
      <c r="R92" s="9"/>
      <c r="W92" s="9"/>
      <c r="AC92" s="9"/>
      <c r="AJ92" s="9"/>
      <c r="AR92" s="9"/>
      <c r="BA92" s="9"/>
    </row>
    <row r="93" spans="5:53" s="8" customFormat="1" x14ac:dyDescent="0.35">
      <c r="E93" s="9"/>
      <c r="F93" s="9"/>
      <c r="G93" s="9"/>
      <c r="H93" s="9"/>
      <c r="I93" s="9"/>
      <c r="J93" s="9"/>
      <c r="K93" s="9"/>
      <c r="L93" s="9"/>
      <c r="N93" s="9"/>
      <c r="R93" s="9"/>
      <c r="W93" s="9"/>
      <c r="AC93" s="9"/>
      <c r="AJ93" s="9"/>
      <c r="AR93" s="9"/>
      <c r="BA93" s="9"/>
    </row>
    <row r="94" spans="5:53" s="8" customFormat="1" x14ac:dyDescent="0.35">
      <c r="E94" s="9"/>
      <c r="F94" s="9"/>
      <c r="G94" s="9"/>
      <c r="H94" s="9"/>
      <c r="I94" s="9"/>
      <c r="J94" s="9"/>
      <c r="K94" s="9"/>
      <c r="L94" s="9"/>
      <c r="N94" s="9"/>
      <c r="R94" s="9"/>
      <c r="W94" s="9"/>
      <c r="AC94" s="9"/>
      <c r="AJ94" s="9"/>
      <c r="AR94" s="9"/>
      <c r="BA94" s="9"/>
    </row>
    <row r="95" spans="5:53" s="8" customFormat="1" x14ac:dyDescent="0.35">
      <c r="E95" s="9"/>
      <c r="F95" s="9"/>
      <c r="G95" s="9"/>
      <c r="H95" s="9"/>
      <c r="I95" s="9"/>
      <c r="J95" s="9"/>
      <c r="K95" s="9"/>
      <c r="L95" s="9"/>
      <c r="N95" s="9"/>
      <c r="R95" s="9"/>
      <c r="W95" s="9"/>
      <c r="AC95" s="9"/>
      <c r="AJ95" s="9"/>
      <c r="AR95" s="9"/>
      <c r="BA95" s="9"/>
    </row>
    <row r="96" spans="5:53" s="8" customFormat="1" x14ac:dyDescent="0.35">
      <c r="E96" s="9"/>
      <c r="F96" s="9"/>
      <c r="G96" s="9"/>
      <c r="H96" s="9"/>
      <c r="I96" s="9"/>
      <c r="J96" s="9"/>
      <c r="K96" s="9"/>
      <c r="L96" s="9"/>
      <c r="N96" s="9"/>
      <c r="R96" s="9"/>
      <c r="W96" s="9"/>
      <c r="AC96" s="9"/>
      <c r="AJ96" s="9"/>
      <c r="AR96" s="9"/>
      <c r="BA96" s="9"/>
    </row>
    <row r="97" spans="5:53" s="8" customFormat="1" x14ac:dyDescent="0.35">
      <c r="E97" s="9"/>
      <c r="F97" s="9"/>
      <c r="G97" s="9"/>
      <c r="H97" s="9"/>
      <c r="I97" s="9"/>
      <c r="J97" s="9"/>
      <c r="K97" s="9"/>
      <c r="L97" s="9"/>
      <c r="N97" s="9"/>
      <c r="R97" s="9"/>
      <c r="W97" s="9"/>
      <c r="AC97" s="9"/>
      <c r="AJ97" s="9"/>
      <c r="AR97" s="9"/>
      <c r="BA97" s="9"/>
    </row>
    <row r="98" spans="5:53" s="8" customFormat="1" x14ac:dyDescent="0.35">
      <c r="E98" s="9"/>
      <c r="F98" s="9"/>
      <c r="G98" s="9"/>
      <c r="H98" s="9"/>
      <c r="I98" s="9"/>
      <c r="J98" s="9"/>
      <c r="K98" s="9"/>
      <c r="L98" s="9"/>
      <c r="N98" s="9"/>
      <c r="R98" s="9"/>
      <c r="W98" s="9"/>
      <c r="AC98" s="9"/>
      <c r="AJ98" s="9"/>
      <c r="AR98" s="9"/>
      <c r="BA98" s="9"/>
    </row>
    <row r="99" spans="5:53" s="8" customFormat="1" x14ac:dyDescent="0.35">
      <c r="E99" s="9"/>
      <c r="F99" s="9"/>
      <c r="G99" s="9"/>
      <c r="H99" s="9"/>
      <c r="I99" s="9"/>
      <c r="J99" s="9"/>
      <c r="K99" s="9"/>
      <c r="L99" s="9"/>
      <c r="N99" s="9"/>
      <c r="R99" s="9"/>
      <c r="W99" s="9"/>
      <c r="AC99" s="9"/>
      <c r="AJ99" s="9"/>
      <c r="AR99" s="9"/>
      <c r="BA99" s="9"/>
    </row>
    <row r="100" spans="5:53" s="8" customFormat="1" x14ac:dyDescent="0.35">
      <c r="E100" s="9"/>
      <c r="F100" s="9"/>
      <c r="G100" s="9"/>
      <c r="H100" s="9"/>
      <c r="I100" s="9"/>
      <c r="J100" s="9"/>
      <c r="K100" s="9"/>
      <c r="L100" s="9"/>
      <c r="N100" s="9"/>
      <c r="R100" s="9"/>
      <c r="W100" s="9"/>
      <c r="AC100" s="9"/>
      <c r="AJ100" s="9"/>
      <c r="AR100" s="9"/>
      <c r="BA100" s="9"/>
    </row>
    <row r="101" spans="5:53" s="8" customFormat="1" x14ac:dyDescent="0.35">
      <c r="E101" s="9"/>
      <c r="F101" s="9"/>
      <c r="G101" s="9"/>
      <c r="H101" s="9"/>
      <c r="I101" s="9"/>
      <c r="J101" s="9"/>
      <c r="K101" s="9"/>
      <c r="L101" s="9"/>
      <c r="N101" s="9"/>
      <c r="R101" s="9"/>
      <c r="W101" s="9"/>
      <c r="AC101" s="9"/>
      <c r="AJ101" s="9"/>
      <c r="AR101" s="9"/>
      <c r="BA101" s="9"/>
    </row>
    <row r="102" spans="5:53" s="8" customFormat="1" x14ac:dyDescent="0.35">
      <c r="E102" s="9"/>
      <c r="F102" s="9"/>
      <c r="G102" s="9"/>
      <c r="H102" s="9"/>
      <c r="I102" s="9"/>
      <c r="J102" s="9"/>
      <c r="K102" s="9"/>
      <c r="L102" s="9"/>
      <c r="N102" s="9"/>
      <c r="R102" s="9"/>
      <c r="W102" s="9"/>
      <c r="AC102" s="9"/>
      <c r="AJ102" s="9"/>
      <c r="AR102" s="9"/>
      <c r="BA102" s="9"/>
    </row>
    <row r="103" spans="5:53" s="8" customFormat="1" x14ac:dyDescent="0.35">
      <c r="E103" s="9"/>
      <c r="F103" s="9"/>
      <c r="G103" s="9"/>
      <c r="H103" s="9"/>
      <c r="I103" s="9"/>
      <c r="J103" s="9"/>
      <c r="K103" s="9"/>
      <c r="L103" s="9"/>
      <c r="N103" s="9"/>
      <c r="R103" s="9"/>
      <c r="W103" s="9"/>
      <c r="AC103" s="9"/>
      <c r="AJ103" s="9"/>
      <c r="AR103" s="9"/>
      <c r="BA103" s="9"/>
    </row>
    <row r="104" spans="5:53" s="8" customFormat="1" x14ac:dyDescent="0.35">
      <c r="E104" s="9"/>
      <c r="F104" s="9"/>
      <c r="G104" s="9"/>
      <c r="H104" s="9"/>
      <c r="I104" s="9"/>
      <c r="J104" s="9"/>
      <c r="K104" s="9"/>
      <c r="L104" s="9"/>
      <c r="N104" s="9"/>
      <c r="R104" s="9"/>
      <c r="W104" s="9"/>
      <c r="AC104" s="9"/>
      <c r="AJ104" s="9"/>
      <c r="AR104" s="9"/>
      <c r="BA104" s="9"/>
    </row>
    <row r="105" spans="5:53" s="8" customFormat="1" x14ac:dyDescent="0.35">
      <c r="E105" s="9"/>
      <c r="F105" s="9"/>
      <c r="G105" s="9"/>
      <c r="H105" s="9"/>
      <c r="I105" s="9"/>
      <c r="J105" s="9"/>
      <c r="K105" s="9"/>
      <c r="L105" s="9"/>
      <c r="N105" s="9"/>
      <c r="R105" s="9"/>
      <c r="W105" s="9"/>
      <c r="AC105" s="9"/>
      <c r="AJ105" s="9"/>
      <c r="AR105" s="9"/>
      <c r="BA105" s="9"/>
    </row>
    <row r="106" spans="5:53" s="8" customFormat="1" x14ac:dyDescent="0.35">
      <c r="E106" s="9"/>
      <c r="F106" s="9"/>
      <c r="G106" s="9"/>
      <c r="H106" s="9"/>
      <c r="I106" s="9"/>
      <c r="J106" s="9"/>
      <c r="K106" s="9"/>
      <c r="L106" s="9"/>
      <c r="N106" s="9"/>
      <c r="R106" s="9"/>
      <c r="W106" s="9"/>
      <c r="AC106" s="9"/>
      <c r="AJ106" s="9"/>
      <c r="AR106" s="9"/>
      <c r="BA106" s="9"/>
    </row>
    <row r="107" spans="5:53" s="8" customFormat="1" x14ac:dyDescent="0.35">
      <c r="E107" s="9"/>
      <c r="F107" s="9"/>
      <c r="G107" s="9"/>
      <c r="H107" s="9"/>
      <c r="I107" s="9"/>
      <c r="J107" s="9"/>
      <c r="K107" s="9"/>
      <c r="L107" s="9"/>
      <c r="N107" s="9"/>
      <c r="R107" s="9"/>
      <c r="W107" s="9"/>
      <c r="AC107" s="9"/>
      <c r="AJ107" s="9"/>
      <c r="AR107" s="9"/>
      <c r="BA107" s="9"/>
    </row>
    <row r="108" spans="5:53" s="8" customFormat="1" x14ac:dyDescent="0.35">
      <c r="E108" s="9"/>
      <c r="F108" s="9"/>
      <c r="G108" s="9"/>
      <c r="H108" s="9"/>
      <c r="I108" s="9"/>
      <c r="J108" s="9"/>
      <c r="K108" s="9"/>
      <c r="L108" s="9"/>
      <c r="N108" s="9"/>
      <c r="R108" s="9"/>
      <c r="W108" s="9"/>
      <c r="AC108" s="9"/>
      <c r="AJ108" s="9"/>
      <c r="AR108" s="9"/>
      <c r="BA108" s="9"/>
    </row>
    <row r="109" spans="5:53" s="8" customFormat="1" x14ac:dyDescent="0.35">
      <c r="E109" s="9"/>
      <c r="F109" s="9"/>
      <c r="G109" s="9"/>
      <c r="H109" s="9"/>
      <c r="I109" s="9"/>
      <c r="J109" s="9"/>
      <c r="K109" s="9"/>
      <c r="L109" s="9"/>
      <c r="N109" s="9"/>
      <c r="R109" s="9"/>
      <c r="W109" s="9"/>
      <c r="AC109" s="9"/>
      <c r="AJ109" s="9"/>
      <c r="AR109" s="9"/>
      <c r="BA109" s="9"/>
    </row>
    <row r="110" spans="5:53" s="8" customFormat="1" x14ac:dyDescent="0.35">
      <c r="E110" s="9"/>
      <c r="F110" s="9"/>
      <c r="G110" s="9"/>
      <c r="H110" s="9"/>
      <c r="I110" s="9"/>
      <c r="J110" s="9"/>
      <c r="K110" s="9"/>
      <c r="L110" s="9"/>
      <c r="N110" s="9"/>
      <c r="R110" s="9"/>
      <c r="W110" s="9"/>
      <c r="AC110" s="9"/>
      <c r="AJ110" s="9"/>
      <c r="AR110" s="9"/>
      <c r="BA110" s="9"/>
    </row>
    <row r="111" spans="5:53" s="8" customFormat="1" x14ac:dyDescent="0.35">
      <c r="E111" s="9"/>
      <c r="F111" s="9"/>
      <c r="G111" s="9"/>
      <c r="H111" s="9"/>
      <c r="I111" s="9"/>
      <c r="J111" s="9"/>
      <c r="K111" s="9"/>
      <c r="L111" s="9"/>
      <c r="N111" s="9"/>
      <c r="R111" s="9"/>
      <c r="W111" s="9"/>
      <c r="AC111" s="9"/>
      <c r="AJ111" s="9"/>
      <c r="AR111" s="9"/>
      <c r="BA111" s="9"/>
    </row>
    <row r="112" spans="5:53" s="8" customFormat="1" x14ac:dyDescent="0.35">
      <c r="E112" s="9"/>
      <c r="F112" s="9"/>
      <c r="G112" s="9"/>
      <c r="H112" s="9"/>
      <c r="I112" s="9"/>
      <c r="J112" s="9"/>
      <c r="K112" s="9"/>
      <c r="L112" s="9"/>
      <c r="N112" s="9"/>
      <c r="R112" s="9"/>
      <c r="W112" s="9"/>
      <c r="AC112" s="9"/>
      <c r="AJ112" s="9"/>
      <c r="AR112" s="9"/>
      <c r="BA112" s="9"/>
    </row>
    <row r="113" spans="5:53" s="8" customFormat="1" x14ac:dyDescent="0.35">
      <c r="E113" s="9"/>
      <c r="F113" s="9"/>
      <c r="G113" s="9"/>
      <c r="H113" s="9"/>
      <c r="I113" s="9"/>
      <c r="J113" s="9"/>
      <c r="K113" s="9"/>
      <c r="L113" s="9"/>
      <c r="N113" s="9"/>
      <c r="R113" s="9"/>
      <c r="W113" s="9"/>
      <c r="AC113" s="9"/>
      <c r="AJ113" s="9"/>
      <c r="AR113" s="9"/>
      <c r="BA113" s="9"/>
    </row>
    <row r="114" spans="5:53" s="8" customFormat="1" x14ac:dyDescent="0.35">
      <c r="E114" s="9"/>
      <c r="F114" s="9"/>
      <c r="G114" s="9"/>
      <c r="H114" s="9"/>
      <c r="I114" s="9"/>
      <c r="J114" s="9"/>
      <c r="K114" s="9"/>
      <c r="L114" s="9"/>
      <c r="N114" s="9"/>
      <c r="R114" s="9"/>
      <c r="W114" s="9"/>
      <c r="AC114" s="9"/>
      <c r="AJ114" s="9"/>
      <c r="AR114" s="9"/>
      <c r="BA114" s="9"/>
    </row>
    <row r="115" spans="5:53" s="8" customFormat="1" x14ac:dyDescent="0.35">
      <c r="E115" s="9"/>
      <c r="F115" s="9"/>
      <c r="G115" s="9"/>
      <c r="H115" s="9"/>
      <c r="I115" s="9"/>
      <c r="J115" s="9"/>
      <c r="K115" s="9"/>
      <c r="L115" s="9"/>
      <c r="N115" s="9"/>
      <c r="R115" s="9"/>
      <c r="W115" s="9"/>
      <c r="AC115" s="9"/>
      <c r="AJ115" s="9"/>
      <c r="AR115" s="9"/>
      <c r="BA115" s="9"/>
    </row>
    <row r="116" spans="5:53" s="8" customFormat="1" x14ac:dyDescent="0.35">
      <c r="E116" s="9"/>
      <c r="F116" s="9"/>
      <c r="G116" s="9"/>
      <c r="H116" s="9"/>
      <c r="I116" s="9"/>
      <c r="J116" s="9"/>
      <c r="K116" s="9"/>
      <c r="L116" s="9"/>
      <c r="N116" s="9"/>
      <c r="R116" s="9"/>
      <c r="W116" s="9"/>
      <c r="AC116" s="9"/>
      <c r="AJ116" s="9"/>
      <c r="AR116" s="9"/>
      <c r="BA116" s="9"/>
    </row>
    <row r="117" spans="5:53" s="8" customFormat="1" x14ac:dyDescent="0.35">
      <c r="E117" s="9"/>
      <c r="F117" s="9"/>
      <c r="G117" s="9"/>
      <c r="H117" s="9"/>
      <c r="I117" s="9"/>
      <c r="J117" s="9"/>
      <c r="K117" s="9"/>
      <c r="L117" s="9"/>
      <c r="N117" s="9"/>
      <c r="R117" s="9"/>
      <c r="W117" s="9"/>
      <c r="AC117" s="9"/>
      <c r="AJ117" s="9"/>
      <c r="AR117" s="9"/>
      <c r="BA117" s="9"/>
    </row>
    <row r="118" spans="5:53" s="8" customFormat="1" x14ac:dyDescent="0.35">
      <c r="E118" s="9"/>
      <c r="F118" s="9"/>
      <c r="G118" s="9"/>
      <c r="H118" s="9"/>
      <c r="I118" s="9"/>
      <c r="J118" s="9"/>
      <c r="K118" s="9"/>
      <c r="L118" s="9"/>
      <c r="N118" s="9"/>
      <c r="R118" s="9"/>
      <c r="W118" s="9"/>
      <c r="AC118" s="9"/>
      <c r="AJ118" s="9"/>
      <c r="AR118" s="9"/>
      <c r="BA118" s="9"/>
    </row>
    <row r="119" spans="5:53" s="8" customFormat="1" x14ac:dyDescent="0.35">
      <c r="E119" s="9"/>
      <c r="F119" s="9"/>
      <c r="G119" s="9"/>
      <c r="H119" s="9"/>
      <c r="I119" s="9"/>
      <c r="J119" s="9"/>
      <c r="K119" s="9"/>
      <c r="L119" s="9"/>
      <c r="N119" s="9"/>
      <c r="R119" s="9"/>
      <c r="W119" s="9"/>
      <c r="AC119" s="9"/>
      <c r="AJ119" s="9"/>
      <c r="AR119" s="9"/>
      <c r="BA119" s="9"/>
    </row>
    <row r="120" spans="5:53" s="8" customFormat="1" x14ac:dyDescent="0.35">
      <c r="E120" s="9"/>
      <c r="F120" s="9"/>
      <c r="G120" s="9"/>
      <c r="H120" s="9"/>
      <c r="I120" s="9"/>
      <c r="J120" s="9"/>
      <c r="K120" s="9"/>
      <c r="L120" s="9"/>
      <c r="N120" s="9"/>
      <c r="R120" s="9"/>
      <c r="W120" s="9"/>
      <c r="AC120" s="9"/>
      <c r="AJ120" s="9"/>
      <c r="AR120" s="9"/>
      <c r="BA120" s="9"/>
    </row>
    <row r="121" spans="5:53" s="8" customFormat="1" x14ac:dyDescent="0.35">
      <c r="E121" s="9"/>
      <c r="F121" s="9"/>
      <c r="G121" s="9"/>
      <c r="H121" s="9"/>
      <c r="I121" s="9"/>
      <c r="J121" s="9"/>
      <c r="K121" s="9"/>
      <c r="L121" s="9"/>
      <c r="N121" s="9"/>
      <c r="R121" s="9"/>
      <c r="W121" s="9"/>
      <c r="AC121" s="9"/>
      <c r="AJ121" s="9"/>
      <c r="AR121" s="9"/>
      <c r="BA121" s="9"/>
    </row>
    <row r="122" spans="5:53" s="8" customFormat="1" x14ac:dyDescent="0.35">
      <c r="E122" s="9"/>
      <c r="F122" s="9"/>
      <c r="G122" s="9"/>
      <c r="H122" s="9"/>
      <c r="I122" s="9"/>
      <c r="J122" s="9"/>
      <c r="K122" s="9"/>
      <c r="L122" s="9"/>
      <c r="N122" s="9"/>
      <c r="R122" s="9"/>
      <c r="W122" s="9"/>
      <c r="AC122" s="9"/>
      <c r="AJ122" s="9"/>
      <c r="AR122" s="9"/>
      <c r="BA122" s="9"/>
    </row>
    <row r="123" spans="5:53" s="8" customFormat="1" x14ac:dyDescent="0.35">
      <c r="E123" s="9"/>
      <c r="F123" s="9"/>
      <c r="G123" s="9"/>
      <c r="H123" s="9"/>
      <c r="I123" s="9"/>
      <c r="J123" s="9"/>
      <c r="K123" s="9"/>
      <c r="L123" s="9"/>
      <c r="N123" s="9"/>
      <c r="R123" s="9"/>
      <c r="W123" s="9"/>
      <c r="AC123" s="9"/>
      <c r="AJ123" s="9"/>
      <c r="AR123" s="9"/>
      <c r="BA123" s="9"/>
    </row>
    <row r="124" spans="5:53" s="8" customFormat="1" x14ac:dyDescent="0.35">
      <c r="E124" s="9"/>
      <c r="F124" s="9"/>
      <c r="G124" s="9"/>
      <c r="H124" s="9"/>
      <c r="I124" s="9"/>
      <c r="J124" s="9"/>
      <c r="K124" s="9"/>
      <c r="L124" s="9"/>
      <c r="N124" s="9"/>
      <c r="R124" s="9"/>
      <c r="W124" s="9"/>
      <c r="AC124" s="9"/>
      <c r="AJ124" s="9"/>
      <c r="AR124" s="9"/>
      <c r="BA124" s="9"/>
    </row>
    <row r="125" spans="5:53" s="8" customFormat="1" x14ac:dyDescent="0.35">
      <c r="E125" s="9"/>
      <c r="F125" s="9"/>
      <c r="G125" s="9"/>
      <c r="H125" s="9"/>
      <c r="I125" s="9"/>
      <c r="J125" s="9"/>
      <c r="K125" s="9"/>
      <c r="L125" s="9"/>
      <c r="N125" s="9"/>
      <c r="R125" s="9"/>
      <c r="W125" s="9"/>
      <c r="AC125" s="9"/>
      <c r="AJ125" s="9"/>
      <c r="AR125" s="9"/>
      <c r="BA125" s="9"/>
    </row>
    <row r="126" spans="5:53" s="8" customFormat="1" x14ac:dyDescent="0.35">
      <c r="E126" s="9"/>
      <c r="F126" s="9"/>
      <c r="G126" s="9"/>
      <c r="H126" s="9"/>
      <c r="I126" s="9"/>
      <c r="J126" s="9"/>
      <c r="K126" s="9"/>
      <c r="L126" s="9"/>
      <c r="N126" s="9"/>
      <c r="R126" s="9"/>
      <c r="W126" s="9"/>
      <c r="AC126" s="9"/>
      <c r="AJ126" s="9"/>
      <c r="AR126" s="9"/>
      <c r="BA126" s="9"/>
    </row>
    <row r="127" spans="5:53" s="8" customFormat="1" x14ac:dyDescent="0.35">
      <c r="E127" s="9"/>
      <c r="F127" s="9"/>
      <c r="G127" s="9"/>
      <c r="H127" s="9"/>
      <c r="I127" s="9"/>
      <c r="J127" s="9"/>
      <c r="K127" s="9"/>
      <c r="L127" s="9"/>
      <c r="N127" s="9"/>
      <c r="R127" s="9"/>
      <c r="W127" s="9"/>
      <c r="AC127" s="9"/>
      <c r="AJ127" s="9"/>
      <c r="AR127" s="9"/>
      <c r="BA127" s="9"/>
    </row>
    <row r="128" spans="5:53" s="8" customFormat="1" x14ac:dyDescent="0.35">
      <c r="E128" s="9"/>
      <c r="F128" s="9"/>
      <c r="G128" s="9"/>
      <c r="H128" s="9"/>
      <c r="I128" s="9"/>
      <c r="J128" s="9"/>
      <c r="K128" s="9"/>
      <c r="L128" s="9"/>
      <c r="N128" s="9"/>
      <c r="R128" s="9"/>
      <c r="W128" s="9"/>
      <c r="AC128" s="9"/>
      <c r="AJ128" s="9"/>
      <c r="AR128" s="9"/>
      <c r="BA128" s="9"/>
    </row>
    <row r="129" spans="5:53" s="8" customFormat="1" x14ac:dyDescent="0.35">
      <c r="E129" s="9"/>
      <c r="F129" s="9"/>
      <c r="G129" s="9"/>
      <c r="H129" s="9"/>
      <c r="I129" s="9"/>
      <c r="J129" s="9"/>
      <c r="K129" s="9"/>
      <c r="L129" s="9"/>
      <c r="N129" s="9"/>
      <c r="R129" s="9"/>
      <c r="W129" s="9"/>
      <c r="AC129" s="9"/>
      <c r="AJ129" s="9"/>
      <c r="AR129" s="9"/>
      <c r="BA129" s="9"/>
    </row>
    <row r="130" spans="5:53" s="8" customFormat="1" x14ac:dyDescent="0.35">
      <c r="E130" s="9"/>
      <c r="F130" s="9"/>
      <c r="G130" s="9"/>
      <c r="H130" s="9"/>
      <c r="I130" s="9"/>
      <c r="J130" s="9"/>
      <c r="K130" s="9"/>
      <c r="L130" s="9"/>
      <c r="N130" s="9"/>
      <c r="R130" s="9"/>
      <c r="W130" s="9"/>
      <c r="AC130" s="9"/>
      <c r="AJ130" s="9"/>
      <c r="AR130" s="9"/>
      <c r="BA130" s="9"/>
    </row>
    <row r="131" spans="5:53" s="8" customFormat="1" x14ac:dyDescent="0.35">
      <c r="E131" s="9"/>
      <c r="F131" s="9"/>
      <c r="G131" s="9"/>
      <c r="H131" s="9"/>
      <c r="I131" s="9"/>
      <c r="J131" s="9"/>
      <c r="K131" s="9"/>
      <c r="L131" s="9"/>
      <c r="N131" s="9"/>
      <c r="R131" s="9"/>
      <c r="W131" s="9"/>
      <c r="AC131" s="9"/>
      <c r="AJ131" s="9"/>
      <c r="AR131" s="9"/>
      <c r="BA131" s="9"/>
    </row>
    <row r="132" spans="5:53" s="8" customFormat="1" x14ac:dyDescent="0.35">
      <c r="E132" s="9"/>
      <c r="F132" s="9"/>
      <c r="G132" s="9"/>
      <c r="H132" s="9"/>
      <c r="I132" s="9"/>
      <c r="J132" s="9"/>
      <c r="K132" s="9"/>
      <c r="L132" s="9"/>
      <c r="N132" s="9"/>
      <c r="R132" s="9"/>
      <c r="W132" s="9"/>
      <c r="AC132" s="9"/>
      <c r="AJ132" s="9"/>
      <c r="AR132" s="9"/>
      <c r="BA132" s="9"/>
    </row>
    <row r="133" spans="5:53" s="8" customFormat="1" x14ac:dyDescent="0.35">
      <c r="E133" s="9"/>
      <c r="F133" s="9"/>
      <c r="G133" s="9"/>
      <c r="H133" s="9"/>
      <c r="I133" s="9"/>
      <c r="J133" s="9"/>
      <c r="K133" s="9"/>
      <c r="L133" s="9"/>
      <c r="N133" s="9"/>
      <c r="R133" s="9"/>
      <c r="W133" s="9"/>
      <c r="AC133" s="9"/>
      <c r="AJ133" s="9"/>
      <c r="AR133" s="9"/>
      <c r="BA133" s="9"/>
    </row>
    <row r="134" spans="5:53" s="8" customFormat="1" x14ac:dyDescent="0.35">
      <c r="E134" s="9"/>
      <c r="F134" s="9"/>
      <c r="G134" s="9"/>
      <c r="H134" s="9"/>
      <c r="I134" s="9"/>
      <c r="J134" s="9"/>
      <c r="K134" s="9"/>
      <c r="L134" s="9"/>
      <c r="N134" s="9"/>
      <c r="R134" s="9"/>
      <c r="W134" s="9"/>
      <c r="AC134" s="9"/>
      <c r="AJ134" s="9"/>
      <c r="AR134" s="9"/>
      <c r="BA134" s="9"/>
    </row>
    <row r="135" spans="5:53" s="8" customFormat="1" x14ac:dyDescent="0.35">
      <c r="E135" s="9"/>
      <c r="F135" s="9"/>
      <c r="G135" s="9"/>
      <c r="H135" s="9"/>
      <c r="I135" s="9"/>
      <c r="J135" s="9"/>
      <c r="K135" s="9"/>
      <c r="L135" s="9"/>
      <c r="N135" s="9"/>
      <c r="R135" s="9"/>
      <c r="W135" s="9"/>
      <c r="AC135" s="9"/>
      <c r="AJ135" s="9"/>
      <c r="AR135" s="9"/>
      <c r="BA135" s="9"/>
    </row>
    <row r="136" spans="5:53" s="8" customFormat="1" x14ac:dyDescent="0.35">
      <c r="E136" s="9"/>
      <c r="F136" s="9"/>
      <c r="G136" s="9"/>
      <c r="H136" s="9"/>
      <c r="I136" s="9"/>
      <c r="J136" s="9"/>
      <c r="K136" s="9"/>
      <c r="L136" s="9"/>
      <c r="N136" s="9"/>
      <c r="R136" s="9"/>
      <c r="W136" s="9"/>
      <c r="AC136" s="9"/>
      <c r="AJ136" s="9"/>
      <c r="AR136" s="9"/>
      <c r="BA136" s="9"/>
    </row>
    <row r="137" spans="5:53" s="8" customFormat="1" x14ac:dyDescent="0.35">
      <c r="E137" s="9"/>
      <c r="F137" s="9"/>
      <c r="G137" s="9"/>
      <c r="H137" s="9"/>
      <c r="I137" s="9"/>
      <c r="J137" s="9"/>
      <c r="K137" s="9"/>
      <c r="L137" s="9"/>
      <c r="N137" s="9"/>
      <c r="R137" s="9"/>
      <c r="W137" s="9"/>
      <c r="AC137" s="9"/>
      <c r="AJ137" s="9"/>
      <c r="AR137" s="9"/>
      <c r="BA137" s="9"/>
    </row>
    <row r="138" spans="5:53" s="8" customFormat="1" x14ac:dyDescent="0.35">
      <c r="E138" s="9"/>
      <c r="F138" s="9"/>
      <c r="G138" s="9"/>
      <c r="H138" s="9"/>
      <c r="I138" s="9"/>
      <c r="J138" s="9"/>
      <c r="K138" s="9"/>
      <c r="L138" s="9"/>
      <c r="N138" s="9"/>
      <c r="R138" s="9"/>
      <c r="W138" s="9"/>
      <c r="AC138" s="9"/>
      <c r="AJ138" s="9"/>
      <c r="AR138" s="9"/>
      <c r="BA138" s="9"/>
    </row>
    <row r="139" spans="5:53" s="8" customFormat="1" x14ac:dyDescent="0.35">
      <c r="E139" s="9"/>
      <c r="F139" s="9"/>
      <c r="G139" s="9"/>
      <c r="H139" s="9"/>
      <c r="I139" s="9"/>
      <c r="J139" s="9"/>
      <c r="K139" s="9"/>
      <c r="L139" s="9"/>
      <c r="N139" s="9"/>
      <c r="R139" s="9"/>
      <c r="W139" s="9"/>
      <c r="AC139" s="9"/>
      <c r="AJ139" s="9"/>
      <c r="AR139" s="9"/>
      <c r="BA139" s="9"/>
    </row>
    <row r="140" spans="5:53" s="8" customFormat="1" x14ac:dyDescent="0.35">
      <c r="E140" s="9"/>
      <c r="F140" s="9"/>
      <c r="G140" s="9"/>
      <c r="H140" s="9"/>
      <c r="I140" s="9"/>
      <c r="J140" s="9"/>
      <c r="K140" s="9"/>
      <c r="L140" s="9"/>
      <c r="N140" s="9"/>
      <c r="R140" s="9"/>
      <c r="W140" s="9"/>
      <c r="AC140" s="9"/>
      <c r="AJ140" s="9"/>
      <c r="AR140" s="9"/>
      <c r="BA140" s="9"/>
    </row>
    <row r="141" spans="5:53" s="8" customFormat="1" x14ac:dyDescent="0.35">
      <c r="E141" s="9"/>
      <c r="F141" s="9"/>
      <c r="G141" s="9"/>
      <c r="H141" s="9"/>
      <c r="I141" s="9"/>
      <c r="J141" s="9"/>
      <c r="K141" s="9"/>
      <c r="L141" s="9"/>
      <c r="N141" s="9"/>
      <c r="R141" s="9"/>
      <c r="W141" s="9"/>
      <c r="AC141" s="9"/>
      <c r="AJ141" s="9"/>
      <c r="AR141" s="9"/>
      <c r="BA141" s="9"/>
    </row>
    <row r="142" spans="5:53" s="8" customFormat="1" x14ac:dyDescent="0.35">
      <c r="E142" s="9"/>
      <c r="F142" s="9"/>
      <c r="G142" s="9"/>
      <c r="H142" s="9"/>
      <c r="I142" s="9"/>
      <c r="J142" s="9"/>
      <c r="K142" s="9"/>
      <c r="L142" s="9"/>
      <c r="N142" s="9"/>
      <c r="R142" s="9"/>
      <c r="W142" s="9"/>
      <c r="AC142" s="9"/>
      <c r="AJ142" s="9"/>
      <c r="AR142" s="9"/>
      <c r="BA142" s="9"/>
    </row>
    <row r="143" spans="5:53" s="8" customFormat="1" x14ac:dyDescent="0.35">
      <c r="E143" s="9"/>
      <c r="F143" s="9"/>
      <c r="G143" s="9"/>
      <c r="H143" s="9"/>
      <c r="I143" s="9"/>
      <c r="J143" s="9"/>
      <c r="K143" s="9"/>
      <c r="L143" s="9"/>
      <c r="N143" s="9"/>
      <c r="R143" s="9"/>
      <c r="W143" s="9"/>
      <c r="AC143" s="9"/>
      <c r="AJ143" s="9"/>
      <c r="AR143" s="9"/>
      <c r="BA143" s="9"/>
    </row>
    <row r="144" spans="5:53" s="8" customFormat="1" x14ac:dyDescent="0.35">
      <c r="E144" s="9"/>
      <c r="F144" s="9"/>
      <c r="G144" s="9"/>
      <c r="H144" s="9"/>
      <c r="I144" s="9"/>
      <c r="J144" s="9"/>
      <c r="K144" s="9"/>
      <c r="L144" s="9"/>
      <c r="N144" s="9"/>
      <c r="R144" s="9"/>
      <c r="W144" s="9"/>
      <c r="AC144" s="9"/>
      <c r="AJ144" s="9"/>
      <c r="AR144" s="9"/>
      <c r="BA144" s="9"/>
    </row>
    <row r="145" spans="5:53" s="8" customFormat="1" x14ac:dyDescent="0.35">
      <c r="E145" s="9"/>
      <c r="F145" s="9"/>
      <c r="G145" s="9"/>
      <c r="H145" s="9"/>
      <c r="I145" s="9"/>
      <c r="J145" s="9"/>
      <c r="K145" s="9"/>
      <c r="L145" s="9"/>
      <c r="N145" s="9"/>
      <c r="R145" s="9"/>
      <c r="W145" s="9"/>
      <c r="AC145" s="9"/>
      <c r="AJ145" s="9"/>
      <c r="AR145" s="9"/>
      <c r="BA145" s="9"/>
    </row>
    <row r="146" spans="5:53" s="8" customFormat="1" x14ac:dyDescent="0.35">
      <c r="E146" s="9"/>
      <c r="F146" s="9"/>
      <c r="G146" s="9"/>
      <c r="H146" s="9"/>
      <c r="I146" s="9"/>
      <c r="J146" s="9"/>
      <c r="K146" s="9"/>
      <c r="L146" s="9"/>
      <c r="N146" s="9"/>
      <c r="R146" s="9"/>
      <c r="W146" s="9"/>
      <c r="AC146" s="9"/>
      <c r="AJ146" s="9"/>
      <c r="AR146" s="9"/>
      <c r="BA146" s="9"/>
    </row>
    <row r="147" spans="5:53" s="8" customFormat="1" x14ac:dyDescent="0.35">
      <c r="E147" s="9"/>
      <c r="F147" s="9"/>
      <c r="G147" s="9"/>
      <c r="H147" s="9"/>
      <c r="I147" s="9"/>
      <c r="J147" s="9"/>
      <c r="K147" s="9"/>
      <c r="L147" s="9"/>
      <c r="N147" s="9"/>
      <c r="R147" s="9"/>
      <c r="W147" s="9"/>
      <c r="AC147" s="9"/>
      <c r="AJ147" s="9"/>
      <c r="AR147" s="9"/>
      <c r="BA147" s="9"/>
    </row>
    <row r="148" spans="5:53" s="8" customFormat="1" x14ac:dyDescent="0.35">
      <c r="E148" s="9"/>
      <c r="F148" s="9"/>
      <c r="G148" s="9"/>
      <c r="H148" s="9"/>
      <c r="I148" s="9"/>
      <c r="J148" s="9"/>
      <c r="K148" s="9"/>
      <c r="L148" s="9"/>
      <c r="N148" s="9"/>
      <c r="R148" s="9"/>
      <c r="W148" s="9"/>
      <c r="AC148" s="9"/>
      <c r="AJ148" s="9"/>
      <c r="AR148" s="9"/>
      <c r="BA148" s="9"/>
    </row>
    <row r="149" spans="5:53" s="8" customFormat="1" x14ac:dyDescent="0.35">
      <c r="E149" s="9"/>
      <c r="F149" s="9"/>
      <c r="G149" s="9"/>
      <c r="H149" s="9"/>
      <c r="I149" s="9"/>
      <c r="J149" s="9"/>
      <c r="K149" s="9"/>
      <c r="L149" s="9"/>
      <c r="N149" s="9"/>
      <c r="R149" s="9"/>
      <c r="W149" s="9"/>
      <c r="AC149" s="9"/>
      <c r="AJ149" s="9"/>
      <c r="AR149" s="9"/>
      <c r="BA149" s="9"/>
    </row>
    <row r="150" spans="5:53" s="8" customFormat="1" x14ac:dyDescent="0.35">
      <c r="E150" s="9"/>
      <c r="F150" s="9"/>
      <c r="G150" s="9"/>
      <c r="H150" s="9"/>
      <c r="I150" s="9"/>
      <c r="J150" s="9"/>
      <c r="K150" s="9"/>
      <c r="L150" s="9"/>
      <c r="N150" s="9"/>
      <c r="R150" s="9"/>
      <c r="W150" s="9"/>
      <c r="AC150" s="9"/>
      <c r="AJ150" s="9"/>
      <c r="AR150" s="9"/>
      <c r="BA150" s="9"/>
    </row>
    <row r="151" spans="5:53" s="8" customFormat="1" x14ac:dyDescent="0.35">
      <c r="E151" s="9"/>
      <c r="F151" s="9"/>
      <c r="G151" s="9"/>
      <c r="H151" s="9"/>
      <c r="I151" s="9"/>
      <c r="J151" s="9"/>
      <c r="K151" s="9"/>
      <c r="L151" s="9"/>
      <c r="N151" s="9"/>
      <c r="R151" s="9"/>
      <c r="W151" s="9"/>
      <c r="AC151" s="9"/>
      <c r="AJ151" s="9"/>
      <c r="AR151" s="9"/>
      <c r="BA151" s="9"/>
    </row>
    <row r="152" spans="5:53" s="8" customFormat="1" x14ac:dyDescent="0.35">
      <c r="E152" s="9"/>
      <c r="F152" s="9"/>
      <c r="G152" s="9"/>
      <c r="H152" s="9"/>
      <c r="I152" s="9"/>
      <c r="J152" s="9"/>
      <c r="K152" s="9"/>
      <c r="L152" s="9"/>
      <c r="N152" s="9"/>
      <c r="R152" s="9"/>
      <c r="W152" s="9"/>
      <c r="AC152" s="9"/>
      <c r="AJ152" s="9"/>
      <c r="AR152" s="9"/>
      <c r="BA152" s="9"/>
    </row>
    <row r="153" spans="5:53" s="8" customFormat="1" x14ac:dyDescent="0.35">
      <c r="E153" s="9"/>
      <c r="F153" s="9"/>
      <c r="G153" s="9"/>
      <c r="H153" s="9"/>
      <c r="I153" s="9"/>
      <c r="J153" s="9"/>
      <c r="K153" s="9"/>
      <c r="L153" s="9"/>
      <c r="N153" s="9"/>
      <c r="R153" s="9"/>
      <c r="W153" s="9"/>
      <c r="AC153" s="9"/>
      <c r="AJ153" s="9"/>
      <c r="AR153" s="9"/>
      <c r="BA153" s="9"/>
    </row>
    <row r="154" spans="5:53" s="8" customFormat="1" x14ac:dyDescent="0.35">
      <c r="E154" s="9"/>
      <c r="F154" s="9"/>
      <c r="G154" s="9"/>
      <c r="H154" s="9"/>
      <c r="I154" s="9"/>
      <c r="J154" s="9"/>
      <c r="K154" s="9"/>
      <c r="L154" s="9"/>
      <c r="N154" s="9"/>
      <c r="R154" s="9"/>
      <c r="W154" s="9"/>
      <c r="AC154" s="9"/>
      <c r="AJ154" s="9"/>
      <c r="AR154" s="9"/>
      <c r="BA154" s="9"/>
    </row>
    <row r="155" spans="5:53" s="8" customFormat="1" x14ac:dyDescent="0.35">
      <c r="E155" s="9"/>
      <c r="F155" s="9"/>
      <c r="G155" s="9"/>
      <c r="H155" s="9"/>
      <c r="I155" s="9"/>
      <c r="J155" s="9"/>
      <c r="K155" s="9"/>
      <c r="L155" s="9"/>
      <c r="N155" s="9"/>
      <c r="R155" s="9"/>
      <c r="W155" s="9"/>
      <c r="AC155" s="9"/>
      <c r="AJ155" s="9"/>
      <c r="AR155" s="9"/>
      <c r="BA155" s="9"/>
    </row>
    <row r="156" spans="5:53" s="8" customFormat="1" x14ac:dyDescent="0.35">
      <c r="E156" s="9"/>
      <c r="F156" s="9"/>
      <c r="G156" s="9"/>
      <c r="H156" s="9"/>
      <c r="I156" s="9"/>
      <c r="J156" s="9"/>
      <c r="K156" s="9"/>
      <c r="L156" s="9"/>
      <c r="N156" s="9"/>
      <c r="R156" s="9"/>
      <c r="W156" s="9"/>
      <c r="AC156" s="9"/>
      <c r="AJ156" s="9"/>
      <c r="AR156" s="9"/>
      <c r="BA156" s="9"/>
    </row>
    <row r="157" spans="5:53" s="8" customFormat="1" x14ac:dyDescent="0.35">
      <c r="E157" s="9"/>
      <c r="F157" s="9"/>
      <c r="G157" s="9"/>
      <c r="H157" s="9"/>
      <c r="I157" s="9"/>
      <c r="J157" s="9"/>
      <c r="K157" s="9"/>
      <c r="L157" s="9"/>
      <c r="N157" s="9"/>
      <c r="R157" s="9"/>
      <c r="W157" s="9"/>
      <c r="AC157" s="9"/>
      <c r="AJ157" s="9"/>
      <c r="AR157" s="9"/>
      <c r="BA157" s="9"/>
    </row>
    <row r="158" spans="5:53" s="8" customFormat="1" x14ac:dyDescent="0.35">
      <c r="E158" s="9"/>
      <c r="F158" s="9"/>
      <c r="G158" s="9"/>
      <c r="H158" s="9"/>
      <c r="I158" s="9"/>
      <c r="J158" s="9"/>
      <c r="K158" s="9"/>
      <c r="L158" s="9"/>
      <c r="N158" s="9"/>
      <c r="R158" s="9"/>
      <c r="W158" s="9"/>
      <c r="AC158" s="9"/>
      <c r="AJ158" s="9"/>
      <c r="AR158" s="9"/>
      <c r="BA158" s="9"/>
    </row>
    <row r="159" spans="5:53" s="8" customFormat="1" x14ac:dyDescent="0.35">
      <c r="E159" s="9"/>
      <c r="F159" s="9"/>
      <c r="G159" s="9"/>
      <c r="H159" s="9"/>
      <c r="I159" s="9"/>
      <c r="J159" s="9"/>
      <c r="K159" s="9"/>
      <c r="L159" s="9"/>
      <c r="N159" s="9"/>
      <c r="R159" s="9"/>
      <c r="W159" s="9"/>
      <c r="AC159" s="9"/>
      <c r="AJ159" s="9"/>
      <c r="AR159" s="9"/>
      <c r="BA159" s="9"/>
    </row>
    <row r="160" spans="5:53" s="8" customFormat="1" x14ac:dyDescent="0.35">
      <c r="E160" s="9"/>
      <c r="F160" s="9"/>
      <c r="G160" s="9"/>
      <c r="H160" s="9"/>
      <c r="I160" s="9"/>
      <c r="J160" s="9"/>
      <c r="K160" s="9"/>
      <c r="L160" s="9"/>
      <c r="N160" s="9"/>
      <c r="R160" s="9"/>
      <c r="W160" s="9"/>
      <c r="AC160" s="9"/>
      <c r="AJ160" s="9"/>
      <c r="AR160" s="9"/>
      <c r="BA160" s="9"/>
    </row>
    <row r="161" spans="5:53" s="8" customFormat="1" x14ac:dyDescent="0.35">
      <c r="E161" s="9"/>
      <c r="F161" s="9"/>
      <c r="G161" s="9"/>
      <c r="H161" s="9"/>
      <c r="I161" s="9"/>
      <c r="J161" s="9"/>
      <c r="K161" s="9"/>
      <c r="L161" s="9"/>
      <c r="N161" s="9"/>
      <c r="R161" s="9"/>
      <c r="W161" s="9"/>
      <c r="AC161" s="9"/>
      <c r="AJ161" s="9"/>
      <c r="AR161" s="9"/>
      <c r="BA161" s="9"/>
    </row>
    <row r="162" spans="5:53" s="8" customFormat="1" x14ac:dyDescent="0.35">
      <c r="E162" s="9"/>
      <c r="F162" s="9"/>
      <c r="G162" s="9"/>
      <c r="H162" s="9"/>
      <c r="I162" s="9"/>
      <c r="J162" s="9"/>
      <c r="K162" s="9"/>
      <c r="L162" s="9"/>
      <c r="N162" s="9"/>
      <c r="R162" s="9"/>
      <c r="W162" s="9"/>
      <c r="AC162" s="9"/>
      <c r="AJ162" s="9"/>
      <c r="AR162" s="9"/>
      <c r="BA162" s="9"/>
    </row>
    <row r="163" spans="5:53" s="8" customFormat="1" x14ac:dyDescent="0.35">
      <c r="E163" s="9"/>
      <c r="F163" s="9"/>
      <c r="G163" s="9"/>
      <c r="H163" s="9"/>
      <c r="I163" s="9"/>
      <c r="J163" s="9"/>
      <c r="K163" s="9"/>
      <c r="L163" s="9"/>
      <c r="N163" s="9"/>
      <c r="R163" s="9"/>
      <c r="W163" s="9"/>
      <c r="AC163" s="9"/>
      <c r="AJ163" s="9"/>
      <c r="AR163" s="9"/>
      <c r="BA163" s="9"/>
    </row>
    <row r="164" spans="5:53" s="8" customFormat="1" x14ac:dyDescent="0.35">
      <c r="E164" s="9"/>
      <c r="F164" s="9"/>
      <c r="G164" s="9"/>
      <c r="H164" s="9"/>
      <c r="I164" s="9"/>
      <c r="J164" s="9"/>
      <c r="K164" s="9"/>
      <c r="L164" s="9"/>
      <c r="N164" s="9"/>
      <c r="R164" s="9"/>
      <c r="W164" s="9"/>
      <c r="AC164" s="9"/>
      <c r="AJ164" s="9"/>
      <c r="AR164" s="9"/>
      <c r="BA164" s="9"/>
    </row>
    <row r="165" spans="5:53" s="8" customFormat="1" x14ac:dyDescent="0.35">
      <c r="E165" s="9"/>
      <c r="F165" s="9"/>
      <c r="G165" s="9"/>
      <c r="H165" s="9"/>
      <c r="I165" s="9"/>
      <c r="J165" s="9"/>
      <c r="K165" s="9"/>
      <c r="L165" s="9"/>
      <c r="N165" s="9"/>
      <c r="R165" s="9"/>
      <c r="W165" s="9"/>
      <c r="AC165" s="9"/>
      <c r="AJ165" s="9"/>
      <c r="AR165" s="9"/>
      <c r="BA165" s="9"/>
    </row>
    <row r="166" spans="5:53" s="8" customFormat="1" x14ac:dyDescent="0.35">
      <c r="E166" s="9"/>
      <c r="F166" s="9"/>
      <c r="G166" s="9"/>
      <c r="H166" s="9"/>
      <c r="I166" s="9"/>
      <c r="J166" s="9"/>
      <c r="K166" s="9"/>
      <c r="L166" s="9"/>
      <c r="N166" s="9"/>
      <c r="R166" s="9"/>
      <c r="W166" s="9"/>
      <c r="AC166" s="9"/>
      <c r="AJ166" s="9"/>
      <c r="AR166" s="9"/>
      <c r="BA166" s="9"/>
    </row>
    <row r="167" spans="5:53" s="8" customFormat="1" x14ac:dyDescent="0.35">
      <c r="E167" s="9"/>
      <c r="F167" s="9"/>
      <c r="G167" s="9"/>
      <c r="H167" s="9"/>
      <c r="I167" s="9"/>
      <c r="J167" s="9"/>
      <c r="K167" s="9"/>
      <c r="L167" s="9"/>
      <c r="N167" s="9"/>
      <c r="R167" s="9"/>
      <c r="W167" s="9"/>
      <c r="AC167" s="9"/>
      <c r="AJ167" s="9"/>
      <c r="AR167" s="9"/>
      <c r="BA167" s="9"/>
    </row>
    <row r="168" spans="5:53" s="8" customFormat="1" x14ac:dyDescent="0.35">
      <c r="E168" s="9"/>
      <c r="F168" s="9"/>
      <c r="G168" s="9"/>
      <c r="H168" s="9"/>
      <c r="I168" s="9"/>
      <c r="J168" s="9"/>
      <c r="K168" s="9"/>
      <c r="L168" s="9"/>
      <c r="N168" s="9"/>
      <c r="R168" s="9"/>
      <c r="W168" s="9"/>
      <c r="AC168" s="9"/>
      <c r="AJ168" s="9"/>
      <c r="AR168" s="9"/>
      <c r="BA168" s="9"/>
    </row>
    <row r="169" spans="5:53" s="8" customFormat="1" x14ac:dyDescent="0.35">
      <c r="E169" s="9"/>
      <c r="F169" s="9"/>
      <c r="G169" s="9"/>
      <c r="H169" s="9"/>
      <c r="I169" s="9"/>
      <c r="J169" s="9"/>
      <c r="K169" s="9"/>
      <c r="L169" s="9"/>
      <c r="N169" s="9"/>
      <c r="R169" s="9"/>
      <c r="W169" s="9"/>
      <c r="AC169" s="9"/>
      <c r="AJ169" s="9"/>
      <c r="AR169" s="9"/>
      <c r="BA169" s="9"/>
    </row>
    <row r="170" spans="5:53" s="8" customFormat="1" x14ac:dyDescent="0.35">
      <c r="E170" s="9"/>
      <c r="F170" s="9"/>
      <c r="G170" s="9"/>
      <c r="H170" s="9"/>
      <c r="I170" s="9"/>
      <c r="J170" s="9"/>
      <c r="K170" s="9"/>
      <c r="L170" s="9"/>
      <c r="N170" s="9"/>
      <c r="R170" s="9"/>
      <c r="W170" s="9"/>
      <c r="AC170" s="9"/>
      <c r="AJ170" s="9"/>
      <c r="AR170" s="9"/>
      <c r="BA170" s="9"/>
    </row>
    <row r="171" spans="5:53" s="8" customFormat="1" x14ac:dyDescent="0.35">
      <c r="E171" s="9"/>
      <c r="F171" s="9"/>
      <c r="G171" s="9"/>
      <c r="H171" s="9"/>
      <c r="I171" s="9"/>
      <c r="J171" s="9"/>
      <c r="K171" s="9"/>
      <c r="L171" s="9"/>
      <c r="N171" s="9"/>
      <c r="R171" s="9"/>
      <c r="W171" s="9"/>
      <c r="AC171" s="9"/>
      <c r="AJ171" s="9"/>
      <c r="AR171" s="9"/>
      <c r="BA171" s="9"/>
    </row>
    <row r="172" spans="5:53" s="8" customFormat="1" x14ac:dyDescent="0.35">
      <c r="E172" s="9"/>
      <c r="F172" s="9"/>
      <c r="G172" s="9"/>
      <c r="H172" s="9"/>
      <c r="I172" s="9"/>
      <c r="J172" s="9"/>
      <c r="K172" s="9"/>
      <c r="L172" s="9"/>
      <c r="N172" s="9"/>
      <c r="R172" s="9"/>
      <c r="W172" s="9"/>
      <c r="AC172" s="9"/>
      <c r="AJ172" s="9"/>
      <c r="AR172" s="9"/>
      <c r="BA172" s="9"/>
    </row>
    <row r="173" spans="5:53" s="8" customFormat="1" x14ac:dyDescent="0.35">
      <c r="E173" s="9"/>
      <c r="F173" s="9"/>
      <c r="G173" s="9"/>
      <c r="H173" s="9"/>
      <c r="I173" s="9"/>
      <c r="J173" s="9"/>
      <c r="K173" s="9"/>
      <c r="L173" s="9"/>
      <c r="N173" s="9"/>
      <c r="R173" s="9"/>
      <c r="W173" s="9"/>
      <c r="AC173" s="9"/>
      <c r="AJ173" s="9"/>
      <c r="AR173" s="9"/>
      <c r="BA173" s="9"/>
    </row>
    <row r="174" spans="5:53" s="8" customFormat="1" x14ac:dyDescent="0.35">
      <c r="E174" s="9"/>
      <c r="F174" s="9"/>
      <c r="G174" s="9"/>
      <c r="H174" s="9"/>
      <c r="I174" s="9"/>
      <c r="J174" s="9"/>
      <c r="K174" s="9"/>
      <c r="L174" s="9"/>
      <c r="N174" s="9"/>
      <c r="R174" s="9"/>
      <c r="W174" s="9"/>
      <c r="AC174" s="9"/>
      <c r="AJ174" s="9"/>
      <c r="AR174" s="9"/>
      <c r="BA174" s="9"/>
    </row>
    <row r="175" spans="5:53" s="8" customFormat="1" x14ac:dyDescent="0.35">
      <c r="E175" s="9"/>
      <c r="F175" s="9"/>
      <c r="G175" s="9"/>
      <c r="H175" s="9"/>
      <c r="I175" s="9"/>
      <c r="J175" s="9"/>
      <c r="K175" s="9"/>
      <c r="L175" s="9"/>
      <c r="N175" s="9"/>
      <c r="R175" s="9"/>
      <c r="W175" s="9"/>
      <c r="AC175" s="9"/>
      <c r="AJ175" s="9"/>
      <c r="AR175" s="9"/>
      <c r="BA175" s="9"/>
    </row>
    <row r="176" spans="5:53" s="8" customFormat="1" x14ac:dyDescent="0.35">
      <c r="E176" s="9"/>
      <c r="F176" s="9"/>
      <c r="G176" s="9"/>
      <c r="H176" s="9"/>
      <c r="I176" s="9"/>
      <c r="J176" s="9"/>
      <c r="K176" s="9"/>
      <c r="L176" s="9"/>
      <c r="N176" s="9"/>
      <c r="R176" s="9"/>
      <c r="W176" s="9"/>
      <c r="AC176" s="9"/>
      <c r="AJ176" s="9"/>
      <c r="AR176" s="9"/>
      <c r="BA176" s="9"/>
    </row>
    <row r="177" spans="5:53" s="8" customFormat="1" x14ac:dyDescent="0.35">
      <c r="E177" s="9"/>
      <c r="F177" s="9"/>
      <c r="G177" s="9"/>
      <c r="H177" s="9"/>
      <c r="I177" s="9"/>
      <c r="J177" s="9"/>
      <c r="K177" s="9"/>
      <c r="L177" s="9"/>
      <c r="N177" s="9"/>
      <c r="R177" s="9"/>
      <c r="W177" s="9"/>
      <c r="AC177" s="9"/>
      <c r="AJ177" s="9"/>
      <c r="AR177" s="9"/>
      <c r="BA177" s="9"/>
    </row>
    <row r="178" spans="5:53" s="8" customFormat="1" x14ac:dyDescent="0.35">
      <c r="E178" s="9"/>
      <c r="F178" s="9"/>
      <c r="G178" s="9"/>
      <c r="H178" s="9"/>
      <c r="I178" s="9"/>
      <c r="J178" s="9"/>
      <c r="K178" s="9"/>
      <c r="L178" s="9"/>
      <c r="N178" s="9"/>
      <c r="R178" s="9"/>
      <c r="W178" s="9"/>
      <c r="AC178" s="9"/>
      <c r="AJ178" s="9"/>
      <c r="AR178" s="9"/>
      <c r="BA178" s="9"/>
    </row>
    <row r="179" spans="5:53" s="8" customFormat="1" x14ac:dyDescent="0.35">
      <c r="E179" s="9"/>
      <c r="F179" s="9"/>
      <c r="G179" s="9"/>
      <c r="H179" s="9"/>
      <c r="I179" s="9"/>
      <c r="J179" s="9"/>
      <c r="K179" s="9"/>
      <c r="L179" s="9"/>
      <c r="N179" s="9"/>
      <c r="R179" s="9"/>
      <c r="W179" s="9"/>
      <c r="AC179" s="9"/>
      <c r="AJ179" s="9"/>
      <c r="AR179" s="9"/>
      <c r="BA179" s="9"/>
    </row>
    <row r="180" spans="5:53" s="8" customFormat="1" x14ac:dyDescent="0.35">
      <c r="E180" s="9"/>
      <c r="F180" s="9"/>
      <c r="G180" s="9"/>
      <c r="H180" s="9"/>
      <c r="I180" s="9"/>
      <c r="J180" s="9"/>
      <c r="K180" s="9"/>
      <c r="L180" s="9"/>
      <c r="N180" s="9"/>
      <c r="R180" s="9"/>
      <c r="W180" s="9"/>
      <c r="AC180" s="9"/>
      <c r="AJ180" s="9"/>
      <c r="AR180" s="9"/>
      <c r="BA180" s="9"/>
    </row>
    <row r="181" spans="5:53" s="8" customFormat="1" x14ac:dyDescent="0.35">
      <c r="E181" s="9"/>
      <c r="F181" s="9"/>
      <c r="G181" s="9"/>
      <c r="H181" s="9"/>
      <c r="I181" s="9"/>
      <c r="J181" s="9"/>
      <c r="K181" s="9"/>
      <c r="L181" s="9"/>
      <c r="N181" s="9"/>
      <c r="R181" s="9"/>
      <c r="W181" s="9"/>
      <c r="AC181" s="9"/>
      <c r="AJ181" s="9"/>
      <c r="AR181" s="9"/>
      <c r="BA181" s="9"/>
    </row>
    <row r="182" spans="5:53" s="8" customFormat="1" x14ac:dyDescent="0.35">
      <c r="E182" s="9"/>
      <c r="F182" s="9"/>
      <c r="G182" s="9"/>
      <c r="H182" s="9"/>
      <c r="I182" s="9"/>
      <c r="J182" s="9"/>
      <c r="K182" s="9"/>
      <c r="L182" s="9"/>
      <c r="N182" s="9"/>
      <c r="R182" s="9"/>
      <c r="W182" s="9"/>
      <c r="AC182" s="9"/>
      <c r="AJ182" s="9"/>
      <c r="AR182" s="9"/>
      <c r="BA182" s="9"/>
    </row>
    <row r="183" spans="5:53" s="8" customFormat="1" x14ac:dyDescent="0.35">
      <c r="E183" s="9"/>
      <c r="F183" s="9"/>
      <c r="G183" s="9"/>
      <c r="H183" s="9"/>
      <c r="I183" s="9"/>
      <c r="J183" s="9"/>
      <c r="K183" s="9"/>
      <c r="L183" s="9"/>
      <c r="N183" s="9"/>
      <c r="R183" s="9"/>
      <c r="W183" s="9"/>
      <c r="AC183" s="9"/>
      <c r="AJ183" s="9"/>
      <c r="AR183" s="9"/>
      <c r="BA183" s="9"/>
    </row>
    <row r="184" spans="5:53" s="8" customFormat="1" x14ac:dyDescent="0.35">
      <c r="E184" s="9"/>
      <c r="F184" s="9"/>
      <c r="G184" s="9"/>
      <c r="H184" s="9"/>
      <c r="I184" s="9"/>
      <c r="J184" s="9"/>
      <c r="K184" s="9"/>
      <c r="L184" s="9"/>
      <c r="N184" s="9"/>
      <c r="R184" s="9"/>
      <c r="W184" s="9"/>
      <c r="AC184" s="9"/>
      <c r="AJ184" s="9"/>
      <c r="AR184" s="9"/>
      <c r="BA184" s="9"/>
    </row>
    <row r="185" spans="5:53" s="8" customFormat="1" x14ac:dyDescent="0.35">
      <c r="E185" s="9"/>
      <c r="F185" s="9"/>
      <c r="G185" s="9"/>
      <c r="H185" s="9"/>
      <c r="I185" s="9"/>
      <c r="J185" s="9"/>
      <c r="K185" s="9"/>
      <c r="L185" s="9"/>
      <c r="N185" s="9"/>
      <c r="R185" s="9"/>
      <c r="W185" s="9"/>
      <c r="AC185" s="9"/>
      <c r="AJ185" s="9"/>
      <c r="AR185" s="9"/>
      <c r="BA185" s="9"/>
    </row>
    <row r="186" spans="5:53" s="8" customFormat="1" x14ac:dyDescent="0.35">
      <c r="E186" s="9"/>
      <c r="F186" s="9"/>
      <c r="G186" s="9"/>
      <c r="H186" s="9"/>
      <c r="I186" s="9"/>
      <c r="J186" s="9"/>
      <c r="K186" s="9"/>
      <c r="L186" s="9"/>
      <c r="N186" s="9"/>
      <c r="R186" s="9"/>
      <c r="W186" s="9"/>
      <c r="AC186" s="9"/>
      <c r="AJ186" s="9"/>
      <c r="AR186" s="9"/>
      <c r="BA186" s="9"/>
    </row>
    <row r="187" spans="5:53" s="8" customFormat="1" x14ac:dyDescent="0.35">
      <c r="E187" s="9"/>
      <c r="F187" s="9"/>
      <c r="G187" s="9"/>
      <c r="H187" s="9"/>
      <c r="I187" s="9"/>
      <c r="J187" s="9"/>
      <c r="K187" s="9"/>
      <c r="L187" s="9"/>
      <c r="N187" s="9"/>
      <c r="R187" s="9"/>
      <c r="W187" s="9"/>
      <c r="AC187" s="9"/>
      <c r="AJ187" s="9"/>
      <c r="AR187" s="9"/>
      <c r="BA187" s="9"/>
    </row>
    <row r="188" spans="5:53" s="8" customFormat="1" x14ac:dyDescent="0.35">
      <c r="E188" s="9"/>
      <c r="F188" s="9"/>
      <c r="G188" s="9"/>
      <c r="H188" s="9"/>
      <c r="I188" s="9"/>
      <c r="J188" s="9"/>
      <c r="K188" s="9"/>
      <c r="L188" s="9"/>
      <c r="N188" s="9"/>
      <c r="R188" s="9"/>
      <c r="W188" s="9"/>
      <c r="AC188" s="9"/>
      <c r="AJ188" s="9"/>
      <c r="AR188" s="9"/>
      <c r="BA188" s="9"/>
    </row>
    <row r="189" spans="5:53" s="8" customFormat="1" x14ac:dyDescent="0.35">
      <c r="E189" s="9"/>
      <c r="F189" s="9"/>
      <c r="G189" s="9"/>
      <c r="H189" s="9"/>
      <c r="I189" s="9"/>
      <c r="J189" s="9"/>
      <c r="K189" s="9"/>
      <c r="L189" s="9"/>
      <c r="N189" s="9"/>
      <c r="R189" s="9"/>
      <c r="W189" s="9"/>
      <c r="AC189" s="9"/>
      <c r="AJ189" s="9"/>
      <c r="AR189" s="9"/>
      <c r="BA189" s="9"/>
    </row>
    <row r="190" spans="5:53" s="8" customFormat="1" x14ac:dyDescent="0.35">
      <c r="E190" s="9"/>
      <c r="F190" s="9"/>
      <c r="G190" s="9"/>
      <c r="H190" s="9"/>
      <c r="I190" s="9"/>
      <c r="J190" s="9"/>
      <c r="K190" s="9"/>
      <c r="L190" s="9"/>
      <c r="N190" s="9"/>
      <c r="R190" s="9"/>
      <c r="W190" s="9"/>
      <c r="AC190" s="9"/>
      <c r="AJ190" s="9"/>
      <c r="AR190" s="9"/>
      <c r="BA190" s="9"/>
    </row>
    <row r="191" spans="5:53" s="8" customFormat="1" x14ac:dyDescent="0.35">
      <c r="E191" s="9"/>
      <c r="F191" s="9"/>
      <c r="G191" s="9"/>
      <c r="H191" s="9"/>
      <c r="I191" s="9"/>
      <c r="J191" s="9"/>
      <c r="K191" s="9"/>
      <c r="L191" s="9"/>
      <c r="N191" s="9"/>
      <c r="R191" s="9"/>
      <c r="W191" s="9"/>
      <c r="AC191" s="9"/>
      <c r="AJ191" s="9"/>
      <c r="AR191" s="9"/>
      <c r="BA191" s="9"/>
    </row>
    <row r="192" spans="5:53" s="8" customFormat="1" x14ac:dyDescent="0.35">
      <c r="E192" s="9"/>
      <c r="F192" s="9"/>
      <c r="G192" s="9"/>
      <c r="H192" s="9"/>
      <c r="I192" s="9"/>
      <c r="J192" s="9"/>
      <c r="K192" s="9"/>
      <c r="L192" s="9"/>
      <c r="N192" s="9"/>
      <c r="R192" s="9"/>
      <c r="W192" s="9"/>
      <c r="AC192" s="9"/>
      <c r="AJ192" s="9"/>
      <c r="AR192" s="9"/>
      <c r="BA192" s="9"/>
    </row>
    <row r="193" spans="1:53" s="8" customFormat="1" x14ac:dyDescent="0.35">
      <c r="E193" s="9"/>
      <c r="F193" s="9"/>
      <c r="G193" s="9"/>
      <c r="H193" s="9"/>
      <c r="I193" s="9"/>
      <c r="J193" s="9"/>
      <c r="K193" s="9"/>
      <c r="L193" s="9"/>
      <c r="N193" s="9"/>
      <c r="R193" s="9"/>
      <c r="W193" s="9"/>
      <c r="AC193" s="9"/>
      <c r="AJ193" s="9"/>
      <c r="AR193" s="9"/>
      <c r="BA193" s="9"/>
    </row>
    <row r="194" spans="1:53" s="8" customFormat="1" x14ac:dyDescent="0.35">
      <c r="E194" s="9"/>
      <c r="F194" s="9"/>
      <c r="G194" s="9"/>
      <c r="H194" s="9"/>
      <c r="I194" s="9"/>
      <c r="J194" s="9"/>
      <c r="K194" s="9"/>
      <c r="L194" s="9"/>
      <c r="N194" s="9"/>
      <c r="R194" s="9"/>
      <c r="W194" s="9"/>
      <c r="AC194" s="9"/>
      <c r="AJ194" s="9"/>
      <c r="AR194" s="9"/>
      <c r="BA194" s="9"/>
    </row>
    <row r="195" spans="1:53" s="8" customFormat="1" x14ac:dyDescent="0.35">
      <c r="E195" s="9"/>
      <c r="F195" s="9"/>
      <c r="G195" s="9"/>
      <c r="H195" s="9"/>
      <c r="I195" s="9"/>
      <c r="J195" s="9"/>
      <c r="K195" s="9"/>
      <c r="L195" s="9"/>
      <c r="N195" s="9"/>
      <c r="R195" s="9"/>
      <c r="W195" s="9"/>
      <c r="AC195" s="9"/>
      <c r="AJ195" s="9"/>
      <c r="AR195" s="9"/>
      <c r="BA195" s="9"/>
    </row>
    <row r="196" spans="1:53" s="8" customFormat="1" x14ac:dyDescent="0.35">
      <c r="E196" s="9"/>
      <c r="F196" s="9"/>
      <c r="G196" s="9"/>
      <c r="H196" s="9"/>
      <c r="I196" s="9"/>
      <c r="J196" s="9"/>
      <c r="K196" s="9"/>
      <c r="L196" s="9"/>
      <c r="N196" s="9"/>
      <c r="R196" s="9"/>
      <c r="W196" s="9"/>
      <c r="AC196" s="9"/>
      <c r="AJ196" s="9"/>
      <c r="AR196" s="9"/>
      <c r="BA196" s="9"/>
    </row>
    <row r="197" spans="1:53" s="8" customFormat="1" x14ac:dyDescent="0.35">
      <c r="A197"/>
      <c r="B197"/>
      <c r="E197" s="9"/>
      <c r="F197" s="9"/>
      <c r="G197" s="9"/>
      <c r="H197" s="9"/>
      <c r="I197" s="9"/>
      <c r="J197" s="9"/>
      <c r="K197" s="9"/>
      <c r="L197" s="9"/>
      <c r="N197" s="9"/>
      <c r="R197" s="9"/>
      <c r="W197" s="9"/>
      <c r="AC197" s="9"/>
      <c r="AJ197" s="9"/>
      <c r="AR197" s="9"/>
      <c r="BA197" s="9"/>
    </row>
    <row r="198" spans="1:53" s="8" customFormat="1" x14ac:dyDescent="0.35">
      <c r="A198"/>
      <c r="B198"/>
      <c r="C198"/>
      <c r="D198"/>
      <c r="E198" s="9"/>
      <c r="F198" s="9"/>
      <c r="G198" s="9"/>
      <c r="H198" s="9"/>
      <c r="I198" s="9"/>
      <c r="J198" s="9"/>
      <c r="K198" s="9"/>
      <c r="L198" s="9"/>
      <c r="N198" s="9"/>
      <c r="R198" s="9"/>
      <c r="W198" s="9"/>
      <c r="AC198" s="9"/>
      <c r="AJ198" s="9"/>
      <c r="AR198" s="9"/>
      <c r="BA198" s="9"/>
    </row>
    <row r="199" spans="1:53" s="8" customFormat="1" x14ac:dyDescent="0.35">
      <c r="A199"/>
      <c r="B199"/>
      <c r="C199"/>
      <c r="D199"/>
      <c r="E199" s="9"/>
      <c r="F199" s="9"/>
      <c r="G199" s="9"/>
      <c r="H199" s="9"/>
      <c r="I199" s="9"/>
      <c r="J199" s="9"/>
      <c r="K199" s="9"/>
      <c r="L199" s="9"/>
      <c r="N199" s="9"/>
      <c r="R199" s="9"/>
      <c r="W199" s="9"/>
      <c r="AC199" s="9"/>
      <c r="AJ199" s="9"/>
      <c r="AR199" s="9"/>
      <c r="BA199" s="9"/>
    </row>
    <row r="200" spans="1:53" s="8" customFormat="1" x14ac:dyDescent="0.35">
      <c r="A200"/>
      <c r="B200"/>
      <c r="C200"/>
      <c r="D200"/>
      <c r="E200" s="9"/>
      <c r="F200" s="9"/>
      <c r="G200" s="9"/>
      <c r="H200" s="9"/>
      <c r="I200" s="9"/>
      <c r="J200" s="9"/>
      <c r="K200" s="9"/>
      <c r="L200" s="9"/>
      <c r="N200" s="9"/>
      <c r="R200" s="9"/>
      <c r="W200" s="9"/>
      <c r="AC200" s="9"/>
      <c r="AJ200" s="9"/>
      <c r="AR200" s="9"/>
      <c r="BA200" s="9"/>
    </row>
    <row r="201" spans="1:53" s="8" customFormat="1" x14ac:dyDescent="0.35">
      <c r="A201"/>
      <c r="B201"/>
      <c r="C201"/>
      <c r="D201"/>
      <c r="E201" s="9"/>
      <c r="F201" s="9"/>
      <c r="G201" s="9"/>
      <c r="H201" s="9"/>
      <c r="I201" s="9"/>
      <c r="J201" s="9"/>
      <c r="K201" s="9"/>
      <c r="L201" s="9"/>
      <c r="N201" s="9"/>
      <c r="R201" s="9"/>
      <c r="W201" s="9"/>
      <c r="AC201" s="9"/>
      <c r="AJ201" s="9"/>
      <c r="AR201" s="9"/>
      <c r="BA201" s="9"/>
    </row>
  </sheetData>
  <autoFilter ref="C17:D20" xr:uid="{00000000-0009-0000-0000-000000000000}"/>
  <mergeCells count="5">
    <mergeCell ref="A1:D1"/>
    <mergeCell ref="A2:D2"/>
    <mergeCell ref="E1:F2"/>
    <mergeCell ref="A7:D7"/>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109"/>
  <sheetViews>
    <sheetView tabSelected="1" zoomScaleNormal="100" workbookViewId="0">
      <pane ySplit="3" topLeftCell="A4" activePane="bottomLeft" state="frozen"/>
      <selection pane="bottomLeft" activeCell="D4" sqref="D4"/>
    </sheetView>
  </sheetViews>
  <sheetFormatPr baseColWidth="10" defaultColWidth="11.54296875" defaultRowHeight="10.5" x14ac:dyDescent="0.35"/>
  <cols>
    <col min="1" max="1" width="3.26953125" style="66" customWidth="1"/>
    <col min="2" max="2" width="11.26953125" style="64" customWidth="1"/>
    <col min="3" max="3" width="9" style="64" customWidth="1"/>
    <col min="4" max="4" width="32.7265625" style="12" bestFit="1" customWidth="1"/>
    <col min="5" max="5" width="5.81640625" style="66" customWidth="1"/>
    <col min="6" max="6" width="65" style="64" customWidth="1"/>
    <col min="7" max="7" width="9" style="12" customWidth="1"/>
    <col min="8" max="8" width="9.453125" style="12" bestFit="1" customWidth="1"/>
    <col min="9" max="9" width="9.453125" style="12" customWidth="1"/>
    <col min="10" max="10" width="10.81640625" style="66" customWidth="1"/>
    <col min="11" max="13" width="36.26953125" style="66" customWidth="1"/>
    <col min="14" max="14" width="21" style="66" customWidth="1"/>
    <col min="15" max="15" width="12.7265625" style="66" customWidth="1"/>
    <col min="16" max="16384" width="11.54296875" style="66"/>
  </cols>
  <sheetData>
    <row r="1" spans="2:20" ht="21" x14ac:dyDescent="0.35">
      <c r="B1" s="51"/>
      <c r="C1" s="62"/>
      <c r="D1" s="47"/>
      <c r="E1" s="48"/>
      <c r="F1" s="48"/>
      <c r="G1" s="47"/>
      <c r="H1" s="48"/>
      <c r="I1" s="48"/>
      <c r="J1" s="48"/>
      <c r="K1" s="48"/>
      <c r="L1" s="48"/>
      <c r="M1" s="48"/>
      <c r="N1" s="48"/>
      <c r="O1" s="48"/>
      <c r="P1" s="49" t="s">
        <v>18</v>
      </c>
      <c r="Q1" s="50"/>
    </row>
    <row r="2" spans="2:20" x14ac:dyDescent="0.35">
      <c r="B2" s="66"/>
      <c r="C2" s="63"/>
      <c r="F2" s="66"/>
      <c r="H2" s="13"/>
      <c r="I2" s="13"/>
    </row>
    <row r="3" spans="2:20" s="11" customFormat="1" ht="21" x14ac:dyDescent="0.35">
      <c r="B3" s="218" t="s">
        <v>0</v>
      </c>
      <c r="C3" s="219" t="s">
        <v>258</v>
      </c>
      <c r="D3" s="220" t="s">
        <v>232</v>
      </c>
      <c r="E3" s="221" t="s">
        <v>21</v>
      </c>
      <c r="F3" s="220" t="s">
        <v>609</v>
      </c>
      <c r="G3" s="220" t="s">
        <v>30</v>
      </c>
      <c r="H3" s="220" t="s">
        <v>19</v>
      </c>
      <c r="I3" s="220" t="s">
        <v>247</v>
      </c>
      <c r="J3" s="220" t="s">
        <v>20</v>
      </c>
      <c r="K3" s="220" t="s">
        <v>404</v>
      </c>
      <c r="L3" s="220" t="s">
        <v>669</v>
      </c>
      <c r="M3" s="220" t="s">
        <v>381</v>
      </c>
      <c r="N3" s="220" t="s">
        <v>517</v>
      </c>
      <c r="O3" s="220" t="s">
        <v>403</v>
      </c>
      <c r="P3" s="220" t="s">
        <v>25</v>
      </c>
      <c r="Q3" s="222" t="s">
        <v>248</v>
      </c>
    </row>
    <row r="4" spans="2:20" ht="50.25" customHeight="1" x14ac:dyDescent="0.35">
      <c r="B4" s="223" t="s">
        <v>3</v>
      </c>
      <c r="C4" s="179" t="s">
        <v>260</v>
      </c>
      <c r="D4" s="151" t="s">
        <v>431</v>
      </c>
      <c r="E4" s="182" t="s">
        <v>22</v>
      </c>
      <c r="F4" s="159" t="s">
        <v>679</v>
      </c>
      <c r="G4" s="182" t="s">
        <v>31</v>
      </c>
      <c r="H4" s="224" t="s">
        <v>40</v>
      </c>
      <c r="I4" s="225"/>
      <c r="J4" s="182"/>
      <c r="K4" s="177"/>
      <c r="L4" s="177"/>
      <c r="M4" s="177"/>
      <c r="N4" s="177"/>
      <c r="O4" s="177"/>
      <c r="P4" s="182"/>
      <c r="Q4" s="226"/>
      <c r="S4" s="264" t="s">
        <v>668</v>
      </c>
      <c r="T4" s="264"/>
    </row>
    <row r="5" spans="2:20" ht="50.25" customHeight="1" x14ac:dyDescent="0.35">
      <c r="B5" s="223" t="s">
        <v>3</v>
      </c>
      <c r="C5" s="212" t="s">
        <v>262</v>
      </c>
      <c r="D5" s="213" t="s">
        <v>432</v>
      </c>
      <c r="E5" s="214" t="s">
        <v>22</v>
      </c>
      <c r="F5" s="215" t="s">
        <v>518</v>
      </c>
      <c r="G5" s="214" t="s">
        <v>31</v>
      </c>
      <c r="H5" s="227" t="s">
        <v>40</v>
      </c>
      <c r="I5" s="228"/>
      <c r="J5" s="214"/>
      <c r="K5" s="216"/>
      <c r="L5" s="216"/>
      <c r="M5" s="216"/>
      <c r="N5" s="216"/>
      <c r="O5" s="216"/>
      <c r="P5" s="214"/>
      <c r="Q5" s="229"/>
    </row>
    <row r="6" spans="2:20" ht="50.25" customHeight="1" x14ac:dyDescent="0.35">
      <c r="B6" s="223" t="s">
        <v>3</v>
      </c>
      <c r="C6" s="179" t="s">
        <v>263</v>
      </c>
      <c r="D6" s="151" t="s">
        <v>433</v>
      </c>
      <c r="E6" s="182" t="s">
        <v>22</v>
      </c>
      <c r="F6" s="156" t="s">
        <v>680</v>
      </c>
      <c r="G6" s="182" t="s">
        <v>31</v>
      </c>
      <c r="H6" s="224" t="s">
        <v>40</v>
      </c>
      <c r="I6" s="230"/>
      <c r="J6" s="182"/>
      <c r="K6" s="177"/>
      <c r="L6" s="177"/>
      <c r="M6" s="177"/>
      <c r="N6" s="177"/>
      <c r="O6" s="177"/>
      <c r="P6" s="182"/>
      <c r="Q6" s="226"/>
    </row>
    <row r="7" spans="2:20" ht="50.25" customHeight="1" x14ac:dyDescent="0.35">
      <c r="B7" s="223" t="s">
        <v>3</v>
      </c>
      <c r="C7" s="212" t="s">
        <v>264</v>
      </c>
      <c r="D7" s="213" t="s">
        <v>231</v>
      </c>
      <c r="E7" s="214" t="s">
        <v>22</v>
      </c>
      <c r="F7" s="217" t="s">
        <v>519</v>
      </c>
      <c r="G7" s="214" t="s">
        <v>31</v>
      </c>
      <c r="H7" s="227" t="s">
        <v>40</v>
      </c>
      <c r="I7" s="228"/>
      <c r="J7" s="214"/>
      <c r="K7" s="216"/>
      <c r="L7" s="216"/>
      <c r="M7" s="216"/>
      <c r="N7" s="216"/>
      <c r="O7" s="216"/>
      <c r="P7" s="214"/>
      <c r="Q7" s="229"/>
    </row>
    <row r="8" spans="2:20" ht="50.25" customHeight="1" x14ac:dyDescent="0.35">
      <c r="B8" s="223" t="s">
        <v>3</v>
      </c>
      <c r="C8" s="179" t="s">
        <v>265</v>
      </c>
      <c r="D8" s="151" t="s">
        <v>434</v>
      </c>
      <c r="E8" s="182" t="s">
        <v>22</v>
      </c>
      <c r="F8" s="156" t="s">
        <v>520</v>
      </c>
      <c r="G8" s="182" t="s">
        <v>31</v>
      </c>
      <c r="H8" s="224" t="s">
        <v>40</v>
      </c>
      <c r="I8" s="230"/>
      <c r="J8" s="182"/>
      <c r="K8" s="177"/>
      <c r="L8" s="177"/>
      <c r="M8" s="177"/>
      <c r="N8" s="177"/>
      <c r="O8" s="177"/>
      <c r="P8" s="182"/>
      <c r="Q8" s="226"/>
    </row>
    <row r="9" spans="2:20" ht="50.25" customHeight="1" x14ac:dyDescent="0.35">
      <c r="B9" s="223" t="s">
        <v>3</v>
      </c>
      <c r="C9" s="212" t="s">
        <v>266</v>
      </c>
      <c r="D9" s="213" t="s">
        <v>435</v>
      </c>
      <c r="E9" s="214" t="s">
        <v>22</v>
      </c>
      <c r="F9" s="215" t="s">
        <v>521</v>
      </c>
      <c r="G9" s="214" t="s">
        <v>31</v>
      </c>
      <c r="H9" s="227" t="s">
        <v>40</v>
      </c>
      <c r="I9" s="228"/>
      <c r="J9" s="214"/>
      <c r="K9" s="216"/>
      <c r="L9" s="216"/>
      <c r="M9" s="216"/>
      <c r="N9" s="216"/>
      <c r="O9" s="216"/>
      <c r="P9" s="214"/>
      <c r="Q9" s="229"/>
    </row>
    <row r="10" spans="2:20" ht="50.25" customHeight="1" x14ac:dyDescent="0.35">
      <c r="B10" s="223" t="s">
        <v>3</v>
      </c>
      <c r="C10" s="179" t="s">
        <v>267</v>
      </c>
      <c r="D10" s="151" t="s">
        <v>436</v>
      </c>
      <c r="E10" s="182" t="s">
        <v>22</v>
      </c>
      <c r="F10" s="156" t="s">
        <v>522</v>
      </c>
      <c r="G10" s="182" t="s">
        <v>31</v>
      </c>
      <c r="H10" s="224" t="s">
        <v>40</v>
      </c>
      <c r="I10" s="230"/>
      <c r="J10" s="182"/>
      <c r="K10" s="177"/>
      <c r="L10" s="177"/>
      <c r="M10" s="177"/>
      <c r="N10" s="177"/>
      <c r="O10" s="177"/>
      <c r="P10" s="182"/>
      <c r="Q10" s="226"/>
    </row>
    <row r="11" spans="2:20" ht="50.25" customHeight="1" x14ac:dyDescent="0.35">
      <c r="B11" s="223" t="s">
        <v>3</v>
      </c>
      <c r="C11" s="212" t="s">
        <v>269</v>
      </c>
      <c r="D11" s="213" t="s">
        <v>437</v>
      </c>
      <c r="E11" s="214" t="s">
        <v>23</v>
      </c>
      <c r="F11" s="215" t="s">
        <v>681</v>
      </c>
      <c r="G11" s="214" t="s">
        <v>31</v>
      </c>
      <c r="H11" s="227" t="s">
        <v>40</v>
      </c>
      <c r="I11" s="228"/>
      <c r="J11" s="214"/>
      <c r="K11" s="216"/>
      <c r="L11" s="216"/>
      <c r="M11" s="216"/>
      <c r="N11" s="216"/>
      <c r="O11" s="216"/>
      <c r="P11" s="214"/>
      <c r="Q11" s="229"/>
    </row>
    <row r="12" spans="2:20" ht="50.25" customHeight="1" x14ac:dyDescent="0.35">
      <c r="B12" s="223" t="s">
        <v>3</v>
      </c>
      <c r="C12" s="179" t="s">
        <v>271</v>
      </c>
      <c r="D12" s="151" t="s">
        <v>438</v>
      </c>
      <c r="E12" s="182" t="s">
        <v>22</v>
      </c>
      <c r="F12" s="159" t="s">
        <v>523</v>
      </c>
      <c r="G12" s="182" t="s">
        <v>31</v>
      </c>
      <c r="H12" s="224" t="s">
        <v>40</v>
      </c>
      <c r="I12" s="230"/>
      <c r="J12" s="182"/>
      <c r="K12" s="177"/>
      <c r="L12" s="177"/>
      <c r="M12" s="177"/>
      <c r="N12" s="177"/>
      <c r="O12" s="177"/>
      <c r="P12" s="182"/>
      <c r="Q12" s="226"/>
    </row>
    <row r="13" spans="2:20" ht="50.25" customHeight="1" x14ac:dyDescent="0.35">
      <c r="B13" s="231" t="s">
        <v>37</v>
      </c>
      <c r="C13" s="180" t="s">
        <v>272</v>
      </c>
      <c r="D13" s="152" t="s">
        <v>421</v>
      </c>
      <c r="E13" s="183" t="s">
        <v>22</v>
      </c>
      <c r="F13" s="158" t="s">
        <v>524</v>
      </c>
      <c r="G13" s="183" t="s">
        <v>31</v>
      </c>
      <c r="H13" s="232" t="s">
        <v>40</v>
      </c>
      <c r="I13" s="233"/>
      <c r="J13" s="183"/>
      <c r="K13" s="178"/>
      <c r="L13" s="178"/>
      <c r="M13" s="178"/>
      <c r="N13" s="178"/>
      <c r="O13" s="178"/>
      <c r="P13" s="183"/>
      <c r="Q13" s="234"/>
    </row>
    <row r="14" spans="2:20" ht="50.25" customHeight="1" x14ac:dyDescent="0.35">
      <c r="B14" s="231" t="s">
        <v>37</v>
      </c>
      <c r="C14" s="179" t="s">
        <v>273</v>
      </c>
      <c r="D14" s="151" t="s">
        <v>422</v>
      </c>
      <c r="E14" s="182" t="s">
        <v>22</v>
      </c>
      <c r="F14" s="159" t="s">
        <v>525</v>
      </c>
      <c r="G14" s="182" t="s">
        <v>31</v>
      </c>
      <c r="H14" s="224" t="s">
        <v>40</v>
      </c>
      <c r="I14" s="230"/>
      <c r="J14" s="182"/>
      <c r="K14" s="177"/>
      <c r="L14" s="177"/>
      <c r="M14" s="177"/>
      <c r="N14" s="177"/>
      <c r="O14" s="177"/>
      <c r="P14" s="182"/>
      <c r="Q14" s="226"/>
    </row>
    <row r="15" spans="2:20" ht="50.25" customHeight="1" x14ac:dyDescent="0.35">
      <c r="B15" s="223" t="s">
        <v>1</v>
      </c>
      <c r="C15" s="180" t="s">
        <v>274</v>
      </c>
      <c r="D15" s="152" t="s">
        <v>439</v>
      </c>
      <c r="E15" s="183" t="s">
        <v>22</v>
      </c>
      <c r="F15" s="158" t="s">
        <v>526</v>
      </c>
      <c r="G15" s="183" t="s">
        <v>31</v>
      </c>
      <c r="H15" s="232" t="s">
        <v>40</v>
      </c>
      <c r="I15" s="233"/>
      <c r="J15" s="183"/>
      <c r="K15" s="178"/>
      <c r="L15" s="178"/>
      <c r="M15" s="178"/>
      <c r="N15" s="178"/>
      <c r="O15" s="178"/>
      <c r="P15" s="183"/>
      <c r="Q15" s="234"/>
    </row>
    <row r="16" spans="2:20" ht="50.25" customHeight="1" x14ac:dyDescent="0.35">
      <c r="B16" s="223" t="s">
        <v>1</v>
      </c>
      <c r="C16" s="179" t="s">
        <v>275</v>
      </c>
      <c r="D16" s="151" t="s">
        <v>440</v>
      </c>
      <c r="E16" s="182" t="s">
        <v>23</v>
      </c>
      <c r="F16" s="156" t="s">
        <v>527</v>
      </c>
      <c r="G16" s="182" t="s">
        <v>31</v>
      </c>
      <c r="H16" s="224" t="s">
        <v>40</v>
      </c>
      <c r="I16" s="230"/>
      <c r="J16" s="182"/>
      <c r="K16" s="177"/>
      <c r="L16" s="177"/>
      <c r="M16" s="177"/>
      <c r="N16" s="177"/>
      <c r="O16" s="177"/>
      <c r="P16" s="182"/>
      <c r="Q16" s="226"/>
    </row>
    <row r="17" spans="2:17" ht="50.25" customHeight="1" x14ac:dyDescent="0.35">
      <c r="B17" s="223" t="s">
        <v>1</v>
      </c>
      <c r="C17" s="180" t="s">
        <v>276</v>
      </c>
      <c r="D17" s="152" t="s">
        <v>441</v>
      </c>
      <c r="E17" s="183" t="s">
        <v>23</v>
      </c>
      <c r="F17" s="158" t="s">
        <v>528</v>
      </c>
      <c r="G17" s="183" t="s">
        <v>31</v>
      </c>
      <c r="H17" s="232" t="s">
        <v>40</v>
      </c>
      <c r="I17" s="233"/>
      <c r="J17" s="183"/>
      <c r="K17" s="178"/>
      <c r="L17" s="178"/>
      <c r="M17" s="178"/>
      <c r="N17" s="178"/>
      <c r="O17" s="178"/>
      <c r="P17" s="183"/>
      <c r="Q17" s="234"/>
    </row>
    <row r="18" spans="2:17" ht="50.25" customHeight="1" x14ac:dyDescent="0.35">
      <c r="B18" s="231" t="s">
        <v>4</v>
      </c>
      <c r="C18" s="179" t="s">
        <v>277</v>
      </c>
      <c r="D18" s="151" t="s">
        <v>442</v>
      </c>
      <c r="E18" s="182" t="s">
        <v>22</v>
      </c>
      <c r="F18" s="156" t="s">
        <v>529</v>
      </c>
      <c r="G18" s="182" t="s">
        <v>31</v>
      </c>
      <c r="H18" s="224" t="s">
        <v>40</v>
      </c>
      <c r="I18" s="230"/>
      <c r="J18" s="182"/>
      <c r="K18" s="177"/>
      <c r="L18" s="177"/>
      <c r="M18" s="177"/>
      <c r="N18" s="177"/>
      <c r="O18" s="177"/>
      <c r="P18" s="182"/>
      <c r="Q18" s="226"/>
    </row>
    <row r="19" spans="2:17" ht="50.25" customHeight="1" x14ac:dyDescent="0.35">
      <c r="B19" s="231" t="s">
        <v>4</v>
      </c>
      <c r="C19" s="212" t="s">
        <v>278</v>
      </c>
      <c r="D19" s="213" t="s">
        <v>443</v>
      </c>
      <c r="E19" s="214" t="s">
        <v>22</v>
      </c>
      <c r="F19" s="215" t="s">
        <v>530</v>
      </c>
      <c r="G19" s="214" t="s">
        <v>31</v>
      </c>
      <c r="H19" s="227" t="s">
        <v>40</v>
      </c>
      <c r="I19" s="228"/>
      <c r="J19" s="214"/>
      <c r="K19" s="216"/>
      <c r="L19" s="216"/>
      <c r="M19" s="216"/>
      <c r="N19" s="216"/>
      <c r="O19" s="216"/>
      <c r="P19" s="214"/>
      <c r="Q19" s="229"/>
    </row>
    <row r="20" spans="2:17" ht="50.25" customHeight="1" x14ac:dyDescent="0.35">
      <c r="B20" s="231" t="s">
        <v>4</v>
      </c>
      <c r="C20" s="179" t="s">
        <v>279</v>
      </c>
      <c r="D20" s="151" t="s">
        <v>444</v>
      </c>
      <c r="E20" s="182" t="s">
        <v>22</v>
      </c>
      <c r="F20" s="156" t="s">
        <v>531</v>
      </c>
      <c r="G20" s="182" t="s">
        <v>31</v>
      </c>
      <c r="H20" s="224" t="s">
        <v>40</v>
      </c>
      <c r="I20" s="230"/>
      <c r="J20" s="182"/>
      <c r="K20" s="177"/>
      <c r="L20" s="177"/>
      <c r="M20" s="177"/>
      <c r="N20" s="177"/>
      <c r="O20" s="177"/>
      <c r="P20" s="182"/>
      <c r="Q20" s="226"/>
    </row>
    <row r="21" spans="2:17" ht="50.25" customHeight="1" x14ac:dyDescent="0.35">
      <c r="B21" s="231" t="s">
        <v>4</v>
      </c>
      <c r="C21" s="212" t="s">
        <v>280</v>
      </c>
      <c r="D21" s="213" t="s">
        <v>445</v>
      </c>
      <c r="E21" s="214" t="s">
        <v>22</v>
      </c>
      <c r="F21" s="215" t="s">
        <v>532</v>
      </c>
      <c r="G21" s="214" t="s">
        <v>31</v>
      </c>
      <c r="H21" s="227" t="s">
        <v>40</v>
      </c>
      <c r="I21" s="228"/>
      <c r="J21" s="214"/>
      <c r="K21" s="216"/>
      <c r="L21" s="216"/>
      <c r="M21" s="216"/>
      <c r="N21" s="216"/>
      <c r="O21" s="216"/>
      <c r="P21" s="214"/>
      <c r="Q21" s="229"/>
    </row>
    <row r="22" spans="2:17" ht="50.25" customHeight="1" x14ac:dyDescent="0.35">
      <c r="B22" s="231" t="s">
        <v>4</v>
      </c>
      <c r="C22" s="179" t="s">
        <v>281</v>
      </c>
      <c r="D22" s="151" t="s">
        <v>446</v>
      </c>
      <c r="E22" s="182" t="s">
        <v>23</v>
      </c>
      <c r="F22" s="156" t="s">
        <v>533</v>
      </c>
      <c r="G22" s="182" t="s">
        <v>31</v>
      </c>
      <c r="H22" s="224" t="s">
        <v>40</v>
      </c>
      <c r="I22" s="230"/>
      <c r="J22" s="182"/>
      <c r="K22" s="177"/>
      <c r="L22" s="177"/>
      <c r="M22" s="177"/>
      <c r="N22" s="177"/>
      <c r="O22" s="177"/>
      <c r="P22" s="182"/>
      <c r="Q22" s="226"/>
    </row>
    <row r="23" spans="2:17" ht="50.25" customHeight="1" x14ac:dyDescent="0.35">
      <c r="B23" s="231" t="s">
        <v>4</v>
      </c>
      <c r="C23" s="212" t="s">
        <v>282</v>
      </c>
      <c r="D23" s="213" t="s">
        <v>447</v>
      </c>
      <c r="E23" s="214" t="s">
        <v>23</v>
      </c>
      <c r="F23" s="215" t="s">
        <v>534</v>
      </c>
      <c r="G23" s="214" t="s">
        <v>31</v>
      </c>
      <c r="H23" s="227" t="s">
        <v>40</v>
      </c>
      <c r="I23" s="228"/>
      <c r="J23" s="214"/>
      <c r="K23" s="216"/>
      <c r="L23" s="216"/>
      <c r="M23" s="216"/>
      <c r="N23" s="216"/>
      <c r="O23" s="216"/>
      <c r="P23" s="214"/>
      <c r="Q23" s="229"/>
    </row>
    <row r="24" spans="2:17" ht="50.25" customHeight="1" x14ac:dyDescent="0.35">
      <c r="B24" s="231" t="s">
        <v>4</v>
      </c>
      <c r="C24" s="181" t="s">
        <v>283</v>
      </c>
      <c r="D24" s="155" t="s">
        <v>448</v>
      </c>
      <c r="E24" s="184" t="s">
        <v>22</v>
      </c>
      <c r="F24" s="235" t="s">
        <v>535</v>
      </c>
      <c r="G24" s="182" t="s">
        <v>31</v>
      </c>
      <c r="H24" s="224" t="s">
        <v>40</v>
      </c>
      <c r="I24" s="230"/>
      <c r="J24" s="182"/>
      <c r="K24" s="177"/>
      <c r="L24" s="177"/>
      <c r="M24" s="177"/>
      <c r="N24" s="177"/>
      <c r="O24" s="177"/>
      <c r="P24" s="182"/>
      <c r="Q24" s="226"/>
    </row>
    <row r="25" spans="2:17" ht="50.25" customHeight="1" x14ac:dyDescent="0.35">
      <c r="B25" s="231" t="s">
        <v>4</v>
      </c>
      <c r="C25" s="212" t="s">
        <v>284</v>
      </c>
      <c r="D25" s="213" t="s">
        <v>449</v>
      </c>
      <c r="E25" s="214" t="s">
        <v>22</v>
      </c>
      <c r="F25" s="217" t="s">
        <v>682</v>
      </c>
      <c r="G25" s="214" t="s">
        <v>31</v>
      </c>
      <c r="H25" s="227" t="s">
        <v>40</v>
      </c>
      <c r="I25" s="228"/>
      <c r="J25" s="214"/>
      <c r="K25" s="216"/>
      <c r="L25" s="216"/>
      <c r="M25" s="216"/>
      <c r="N25" s="216"/>
      <c r="O25" s="216"/>
      <c r="P25" s="214"/>
      <c r="Q25" s="229"/>
    </row>
    <row r="26" spans="2:17" ht="50.25" customHeight="1" x14ac:dyDescent="0.35">
      <c r="B26" s="231" t="s">
        <v>4</v>
      </c>
      <c r="C26" s="179" t="s">
        <v>285</v>
      </c>
      <c r="D26" s="151" t="s">
        <v>450</v>
      </c>
      <c r="E26" s="182" t="s">
        <v>22</v>
      </c>
      <c r="F26" s="159" t="s">
        <v>536</v>
      </c>
      <c r="G26" s="182" t="s">
        <v>31</v>
      </c>
      <c r="H26" s="224" t="s">
        <v>40</v>
      </c>
      <c r="I26" s="230"/>
      <c r="J26" s="182"/>
      <c r="K26" s="177"/>
      <c r="L26" s="177"/>
      <c r="M26" s="177"/>
      <c r="N26" s="177"/>
      <c r="O26" s="177"/>
      <c r="P26" s="182"/>
      <c r="Q26" s="226"/>
    </row>
    <row r="27" spans="2:17" ht="50.25" customHeight="1" x14ac:dyDescent="0.35">
      <c r="B27" s="231" t="s">
        <v>4</v>
      </c>
      <c r="C27" s="180" t="s">
        <v>286</v>
      </c>
      <c r="D27" s="152" t="s">
        <v>451</v>
      </c>
      <c r="E27" s="183" t="s">
        <v>22</v>
      </c>
      <c r="F27" s="154" t="s">
        <v>537</v>
      </c>
      <c r="G27" s="183" t="s">
        <v>31</v>
      </c>
      <c r="H27" s="232" t="s">
        <v>40</v>
      </c>
      <c r="I27" s="233"/>
      <c r="J27" s="183"/>
      <c r="K27" s="178"/>
      <c r="L27" s="178"/>
      <c r="M27" s="178"/>
      <c r="N27" s="178"/>
      <c r="O27" s="178"/>
      <c r="P27" s="183"/>
      <c r="Q27" s="234"/>
    </row>
    <row r="28" spans="2:17" ht="50.25" customHeight="1" x14ac:dyDescent="0.35">
      <c r="B28" s="231" t="s">
        <v>4</v>
      </c>
      <c r="C28" s="179" t="s">
        <v>287</v>
      </c>
      <c r="D28" s="151" t="s">
        <v>452</v>
      </c>
      <c r="E28" s="182" t="s">
        <v>22</v>
      </c>
      <c r="F28" s="159" t="s">
        <v>538</v>
      </c>
      <c r="G28" s="182" t="s">
        <v>31</v>
      </c>
      <c r="H28" s="224" t="s">
        <v>40</v>
      </c>
      <c r="I28" s="230"/>
      <c r="J28" s="182"/>
      <c r="K28" s="177"/>
      <c r="L28" s="177"/>
      <c r="M28" s="177"/>
      <c r="N28" s="177"/>
      <c r="O28" s="177"/>
      <c r="P28" s="182"/>
      <c r="Q28" s="226"/>
    </row>
    <row r="29" spans="2:17" ht="50.25" customHeight="1" x14ac:dyDescent="0.35">
      <c r="B29" s="231" t="s">
        <v>4</v>
      </c>
      <c r="C29" s="180" t="s">
        <v>288</v>
      </c>
      <c r="D29" s="152" t="s">
        <v>453</v>
      </c>
      <c r="E29" s="183" t="s">
        <v>22</v>
      </c>
      <c r="F29" s="158" t="s">
        <v>539</v>
      </c>
      <c r="G29" s="183" t="s">
        <v>31</v>
      </c>
      <c r="H29" s="232" t="s">
        <v>40</v>
      </c>
      <c r="I29" s="233"/>
      <c r="J29" s="183"/>
      <c r="K29" s="178"/>
      <c r="L29" s="178"/>
      <c r="M29" s="178"/>
      <c r="N29" s="178"/>
      <c r="O29" s="178"/>
      <c r="P29" s="183"/>
      <c r="Q29" s="234"/>
    </row>
    <row r="30" spans="2:17" ht="50.25" customHeight="1" x14ac:dyDescent="0.35">
      <c r="B30" s="231" t="s">
        <v>4</v>
      </c>
      <c r="C30" s="179" t="s">
        <v>289</v>
      </c>
      <c r="D30" s="151" t="s">
        <v>454</v>
      </c>
      <c r="E30" s="182" t="s">
        <v>22</v>
      </c>
      <c r="F30" s="156" t="s">
        <v>540</v>
      </c>
      <c r="G30" s="182" t="s">
        <v>31</v>
      </c>
      <c r="H30" s="224" t="s">
        <v>40</v>
      </c>
      <c r="I30" s="230"/>
      <c r="J30" s="182"/>
      <c r="K30" s="177"/>
      <c r="L30" s="177"/>
      <c r="M30" s="177"/>
      <c r="N30" s="177"/>
      <c r="O30" s="177"/>
      <c r="P30" s="182"/>
      <c r="Q30" s="226"/>
    </row>
    <row r="31" spans="2:17" ht="50.25" customHeight="1" x14ac:dyDescent="0.35">
      <c r="B31" s="223" t="s">
        <v>7</v>
      </c>
      <c r="C31" s="180" t="s">
        <v>290</v>
      </c>
      <c r="D31" s="152" t="s">
        <v>455</v>
      </c>
      <c r="E31" s="183" t="s">
        <v>22</v>
      </c>
      <c r="F31" s="158" t="s">
        <v>541</v>
      </c>
      <c r="G31" s="183" t="s">
        <v>31</v>
      </c>
      <c r="H31" s="232" t="s">
        <v>40</v>
      </c>
      <c r="I31" s="233"/>
      <c r="J31" s="183"/>
      <c r="K31" s="178"/>
      <c r="L31" s="178"/>
      <c r="M31" s="178"/>
      <c r="N31" s="178"/>
      <c r="O31" s="178"/>
      <c r="P31" s="183"/>
      <c r="Q31" s="234"/>
    </row>
    <row r="32" spans="2:17" ht="50.25" customHeight="1" x14ac:dyDescent="0.35">
      <c r="B32" s="223" t="s">
        <v>7</v>
      </c>
      <c r="C32" s="179" t="s">
        <v>291</v>
      </c>
      <c r="D32" s="151" t="s">
        <v>456</v>
      </c>
      <c r="E32" s="182" t="s">
        <v>22</v>
      </c>
      <c r="F32" s="159" t="s">
        <v>542</v>
      </c>
      <c r="G32" s="182" t="s">
        <v>31</v>
      </c>
      <c r="H32" s="224" t="s">
        <v>40</v>
      </c>
      <c r="I32" s="230"/>
      <c r="J32" s="182"/>
      <c r="K32" s="177"/>
      <c r="L32" s="177"/>
      <c r="M32" s="177"/>
      <c r="N32" s="177"/>
      <c r="O32" s="177"/>
      <c r="P32" s="182"/>
      <c r="Q32" s="226"/>
    </row>
    <row r="33" spans="2:17" ht="50.25" customHeight="1" x14ac:dyDescent="0.35">
      <c r="B33" s="223" t="s">
        <v>7</v>
      </c>
      <c r="C33" s="180" t="s">
        <v>292</v>
      </c>
      <c r="D33" s="282" t="s">
        <v>671</v>
      </c>
      <c r="E33" s="183" t="s">
        <v>22</v>
      </c>
      <c r="F33" s="154" t="s">
        <v>683</v>
      </c>
      <c r="G33" s="183" t="s">
        <v>31</v>
      </c>
      <c r="H33" s="232" t="s">
        <v>40</v>
      </c>
      <c r="I33" s="233"/>
      <c r="J33" s="183"/>
      <c r="K33" s="178"/>
      <c r="L33" s="178"/>
      <c r="M33" s="178"/>
      <c r="N33" s="178"/>
      <c r="O33" s="178"/>
      <c r="P33" s="183"/>
      <c r="Q33" s="234"/>
    </row>
    <row r="34" spans="2:17" ht="50.25" customHeight="1" x14ac:dyDescent="0.35">
      <c r="B34" s="223" t="s">
        <v>7</v>
      </c>
      <c r="C34" s="179" t="s">
        <v>293</v>
      </c>
      <c r="D34" s="151" t="s">
        <v>457</v>
      </c>
      <c r="E34" s="182" t="s">
        <v>22</v>
      </c>
      <c r="F34" s="159" t="s">
        <v>543</v>
      </c>
      <c r="G34" s="182" t="s">
        <v>31</v>
      </c>
      <c r="H34" s="224" t="s">
        <v>40</v>
      </c>
      <c r="I34" s="230"/>
      <c r="J34" s="182"/>
      <c r="K34" s="177"/>
      <c r="L34" s="177"/>
      <c r="M34" s="177"/>
      <c r="N34" s="177"/>
      <c r="O34" s="177"/>
      <c r="P34" s="182"/>
      <c r="Q34" s="226"/>
    </row>
    <row r="35" spans="2:17" ht="50.25" customHeight="1" x14ac:dyDescent="0.35">
      <c r="B35" s="223" t="s">
        <v>7</v>
      </c>
      <c r="C35" s="180" t="s">
        <v>294</v>
      </c>
      <c r="D35" s="152" t="s">
        <v>458</v>
      </c>
      <c r="E35" s="183" t="s">
        <v>22</v>
      </c>
      <c r="F35" s="158" t="s">
        <v>544</v>
      </c>
      <c r="G35" s="214" t="s">
        <v>31</v>
      </c>
      <c r="H35" s="227" t="s">
        <v>40</v>
      </c>
      <c r="I35" s="228"/>
      <c r="J35" s="214"/>
      <c r="K35" s="216"/>
      <c r="L35" s="216"/>
      <c r="M35" s="216"/>
      <c r="N35" s="216"/>
      <c r="O35" s="216"/>
      <c r="P35" s="214"/>
      <c r="Q35" s="229"/>
    </row>
    <row r="36" spans="2:17" ht="50.25" customHeight="1" x14ac:dyDescent="0.35">
      <c r="B36" s="223" t="s">
        <v>7</v>
      </c>
      <c r="C36" s="179" t="s">
        <v>295</v>
      </c>
      <c r="D36" s="151" t="s">
        <v>233</v>
      </c>
      <c r="E36" s="182" t="s">
        <v>22</v>
      </c>
      <c r="F36" s="159" t="s">
        <v>684</v>
      </c>
      <c r="G36" s="182" t="s">
        <v>31</v>
      </c>
      <c r="H36" s="224" t="s">
        <v>40</v>
      </c>
      <c r="I36" s="230"/>
      <c r="J36" s="182"/>
      <c r="K36" s="177"/>
      <c r="L36" s="177"/>
      <c r="M36" s="177"/>
      <c r="N36" s="177"/>
      <c r="O36" s="177"/>
      <c r="P36" s="182"/>
      <c r="Q36" s="226"/>
    </row>
    <row r="37" spans="2:17" ht="50.25" customHeight="1" x14ac:dyDescent="0.35">
      <c r="B37" s="223" t="s">
        <v>7</v>
      </c>
      <c r="C37" s="180" t="s">
        <v>296</v>
      </c>
      <c r="D37" s="152" t="s">
        <v>459</v>
      </c>
      <c r="E37" s="183" t="s">
        <v>22</v>
      </c>
      <c r="F37" s="158" t="s">
        <v>545</v>
      </c>
      <c r="G37" s="183" t="s">
        <v>31</v>
      </c>
      <c r="H37" s="232" t="s">
        <v>40</v>
      </c>
      <c r="I37" s="233"/>
      <c r="J37" s="183"/>
      <c r="K37" s="178"/>
      <c r="L37" s="178"/>
      <c r="M37" s="178"/>
      <c r="N37" s="178"/>
      <c r="O37" s="178"/>
      <c r="P37" s="183"/>
      <c r="Q37" s="234"/>
    </row>
    <row r="38" spans="2:17" ht="50.25" customHeight="1" x14ac:dyDescent="0.35">
      <c r="B38" s="223" t="s">
        <v>7</v>
      </c>
      <c r="C38" s="179" t="s">
        <v>297</v>
      </c>
      <c r="D38" s="151" t="s">
        <v>460</v>
      </c>
      <c r="E38" s="182" t="s">
        <v>22</v>
      </c>
      <c r="F38" s="156" t="s">
        <v>685</v>
      </c>
      <c r="G38" s="182" t="s">
        <v>31</v>
      </c>
      <c r="H38" s="224" t="s">
        <v>40</v>
      </c>
      <c r="I38" s="230"/>
      <c r="J38" s="182"/>
      <c r="K38" s="177"/>
      <c r="L38" s="177"/>
      <c r="M38" s="177"/>
      <c r="N38" s="177"/>
      <c r="O38" s="177"/>
      <c r="P38" s="182"/>
      <c r="Q38" s="226"/>
    </row>
    <row r="39" spans="2:17" ht="50.25" customHeight="1" x14ac:dyDescent="0.35">
      <c r="B39" s="231" t="s">
        <v>234</v>
      </c>
      <c r="C39" s="180" t="s">
        <v>298</v>
      </c>
      <c r="D39" s="152" t="s">
        <v>626</v>
      </c>
      <c r="E39" s="183" t="s">
        <v>22</v>
      </c>
      <c r="F39" s="158" t="s">
        <v>546</v>
      </c>
      <c r="G39" s="183" t="s">
        <v>31</v>
      </c>
      <c r="H39" s="232" t="s">
        <v>40</v>
      </c>
      <c r="I39" s="233"/>
      <c r="J39" s="183"/>
      <c r="K39" s="178"/>
      <c r="L39" s="178"/>
      <c r="M39" s="178"/>
      <c r="N39" s="178"/>
      <c r="O39" s="178"/>
      <c r="P39" s="183"/>
      <c r="Q39" s="234"/>
    </row>
    <row r="40" spans="2:17" ht="50.25" customHeight="1" x14ac:dyDescent="0.35">
      <c r="B40" s="231" t="s">
        <v>234</v>
      </c>
      <c r="C40" s="179" t="s">
        <v>299</v>
      </c>
      <c r="D40" s="283" t="s">
        <v>672</v>
      </c>
      <c r="E40" s="182" t="s">
        <v>22</v>
      </c>
      <c r="F40" s="159" t="s">
        <v>686</v>
      </c>
      <c r="G40" s="182" t="s">
        <v>31</v>
      </c>
      <c r="H40" s="224" t="s">
        <v>40</v>
      </c>
      <c r="I40" s="230"/>
      <c r="J40" s="182"/>
      <c r="K40" s="177"/>
      <c r="L40" s="177"/>
      <c r="M40" s="177"/>
      <c r="N40" s="177"/>
      <c r="O40" s="177"/>
      <c r="P40" s="182"/>
      <c r="Q40" s="226"/>
    </row>
    <row r="41" spans="2:17" ht="50.25" customHeight="1" x14ac:dyDescent="0.35">
      <c r="B41" s="223" t="s">
        <v>6</v>
      </c>
      <c r="C41" s="180" t="s">
        <v>300</v>
      </c>
      <c r="D41" s="152" t="s">
        <v>461</v>
      </c>
      <c r="E41" s="183" t="s">
        <v>22</v>
      </c>
      <c r="F41" s="154" t="s">
        <v>547</v>
      </c>
      <c r="G41" s="183" t="s">
        <v>31</v>
      </c>
      <c r="H41" s="232" t="s">
        <v>40</v>
      </c>
      <c r="I41" s="236"/>
      <c r="J41" s="183"/>
      <c r="K41" s="178"/>
      <c r="L41" s="178"/>
      <c r="M41" s="178"/>
      <c r="N41" s="178"/>
      <c r="O41" s="178"/>
      <c r="P41" s="183"/>
      <c r="Q41" s="234"/>
    </row>
    <row r="42" spans="2:17" ht="50.25" customHeight="1" x14ac:dyDescent="0.35">
      <c r="B42" s="223" t="s">
        <v>6</v>
      </c>
      <c r="C42" s="179" t="s">
        <v>301</v>
      </c>
      <c r="D42" s="151" t="s">
        <v>462</v>
      </c>
      <c r="E42" s="182" t="s">
        <v>22</v>
      </c>
      <c r="F42" s="156" t="s">
        <v>548</v>
      </c>
      <c r="G42" s="182" t="s">
        <v>31</v>
      </c>
      <c r="H42" s="224" t="s">
        <v>40</v>
      </c>
      <c r="I42" s="230"/>
      <c r="J42" s="182"/>
      <c r="K42" s="177"/>
      <c r="L42" s="177"/>
      <c r="M42" s="177"/>
      <c r="N42" s="177"/>
      <c r="O42" s="177"/>
      <c r="P42" s="182"/>
      <c r="Q42" s="226"/>
    </row>
    <row r="43" spans="2:17" ht="50.25" customHeight="1" x14ac:dyDescent="0.35">
      <c r="B43" s="223" t="s">
        <v>6</v>
      </c>
      <c r="C43" s="180" t="s">
        <v>302</v>
      </c>
      <c r="D43" s="152" t="s">
        <v>463</v>
      </c>
      <c r="E43" s="183" t="s">
        <v>22</v>
      </c>
      <c r="F43" s="153" t="s">
        <v>549</v>
      </c>
      <c r="G43" s="183" t="s">
        <v>31</v>
      </c>
      <c r="H43" s="232" t="s">
        <v>40</v>
      </c>
      <c r="I43" s="233"/>
      <c r="J43" s="183"/>
      <c r="K43" s="178"/>
      <c r="L43" s="178"/>
      <c r="M43" s="178"/>
      <c r="N43" s="178"/>
      <c r="O43" s="178"/>
      <c r="P43" s="183"/>
      <c r="Q43" s="234"/>
    </row>
    <row r="44" spans="2:17" ht="50.25" customHeight="1" x14ac:dyDescent="0.35">
      <c r="B44" s="223" t="s">
        <v>6</v>
      </c>
      <c r="C44" s="179" t="s">
        <v>303</v>
      </c>
      <c r="D44" s="151" t="s">
        <v>464</v>
      </c>
      <c r="E44" s="182" t="s">
        <v>22</v>
      </c>
      <c r="F44" s="156" t="s">
        <v>550</v>
      </c>
      <c r="G44" s="182" t="s">
        <v>31</v>
      </c>
      <c r="H44" s="224" t="s">
        <v>40</v>
      </c>
      <c r="I44" s="230"/>
      <c r="J44" s="182"/>
      <c r="K44" s="177"/>
      <c r="L44" s="177"/>
      <c r="M44" s="177"/>
      <c r="N44" s="177"/>
      <c r="O44" s="177"/>
      <c r="P44" s="182"/>
      <c r="Q44" s="226"/>
    </row>
    <row r="45" spans="2:17" ht="50.25" customHeight="1" x14ac:dyDescent="0.35">
      <c r="B45" s="223" t="s">
        <v>6</v>
      </c>
      <c r="C45" s="180" t="s">
        <v>304</v>
      </c>
      <c r="D45" s="152" t="s">
        <v>465</v>
      </c>
      <c r="E45" s="183" t="s">
        <v>23</v>
      </c>
      <c r="F45" s="158" t="s">
        <v>551</v>
      </c>
      <c r="G45" s="183" t="s">
        <v>31</v>
      </c>
      <c r="H45" s="232" t="s">
        <v>40</v>
      </c>
      <c r="I45" s="233"/>
      <c r="J45" s="183"/>
      <c r="K45" s="178"/>
      <c r="L45" s="178"/>
      <c r="M45" s="178"/>
      <c r="N45" s="178"/>
      <c r="O45" s="178"/>
      <c r="P45" s="183"/>
      <c r="Q45" s="234"/>
    </row>
    <row r="46" spans="2:17" ht="50.25" customHeight="1" x14ac:dyDescent="0.35">
      <c r="B46" s="231" t="s">
        <v>235</v>
      </c>
      <c r="C46" s="179" t="s">
        <v>305</v>
      </c>
      <c r="D46" s="151" t="s">
        <v>466</v>
      </c>
      <c r="E46" s="179" t="s">
        <v>22</v>
      </c>
      <c r="F46" s="159" t="s">
        <v>552</v>
      </c>
      <c r="G46" s="182" t="s">
        <v>31</v>
      </c>
      <c r="H46" s="224" t="s">
        <v>40</v>
      </c>
      <c r="I46" s="230"/>
      <c r="J46" s="182"/>
      <c r="K46" s="177"/>
      <c r="L46" s="177"/>
      <c r="M46" s="177"/>
      <c r="N46" s="177"/>
      <c r="O46" s="177"/>
      <c r="P46" s="182"/>
      <c r="Q46" s="226"/>
    </row>
    <row r="47" spans="2:17" ht="50.25" customHeight="1" x14ac:dyDescent="0.35">
      <c r="B47" s="231" t="s">
        <v>235</v>
      </c>
      <c r="C47" s="180" t="s">
        <v>306</v>
      </c>
      <c r="D47" s="282" t="s">
        <v>687</v>
      </c>
      <c r="E47" s="180" t="s">
        <v>22</v>
      </c>
      <c r="F47" s="158" t="s">
        <v>688</v>
      </c>
      <c r="G47" s="214" t="s">
        <v>31</v>
      </c>
      <c r="H47" s="227" t="s">
        <v>40</v>
      </c>
      <c r="I47" s="228"/>
      <c r="J47" s="214"/>
      <c r="K47" s="216"/>
      <c r="L47" s="216"/>
      <c r="M47" s="216"/>
      <c r="N47" s="216"/>
      <c r="O47" s="216"/>
      <c r="P47" s="214"/>
      <c r="Q47" s="229"/>
    </row>
    <row r="48" spans="2:17" ht="50.25" customHeight="1" x14ac:dyDescent="0.35">
      <c r="B48" s="231" t="s">
        <v>235</v>
      </c>
      <c r="C48" s="179" t="s">
        <v>307</v>
      </c>
      <c r="D48" s="151" t="s">
        <v>467</v>
      </c>
      <c r="E48" s="179" t="s">
        <v>22</v>
      </c>
      <c r="F48" s="156" t="s">
        <v>553</v>
      </c>
      <c r="G48" s="182" t="s">
        <v>31</v>
      </c>
      <c r="H48" s="224" t="s">
        <v>40</v>
      </c>
      <c r="I48" s="230"/>
      <c r="J48" s="182"/>
      <c r="K48" s="177"/>
      <c r="L48" s="177"/>
      <c r="M48" s="177"/>
      <c r="N48" s="177"/>
      <c r="O48" s="177"/>
      <c r="P48" s="182"/>
      <c r="Q48" s="226"/>
    </row>
    <row r="49" spans="2:17" ht="50.25" customHeight="1" x14ac:dyDescent="0.35">
      <c r="B49" s="231" t="s">
        <v>235</v>
      </c>
      <c r="C49" s="180" t="s">
        <v>308</v>
      </c>
      <c r="D49" s="152" t="s">
        <v>468</v>
      </c>
      <c r="E49" s="180" t="s">
        <v>22</v>
      </c>
      <c r="F49" s="154" t="s">
        <v>554</v>
      </c>
      <c r="G49" s="214" t="s">
        <v>31</v>
      </c>
      <c r="H49" s="227" t="s">
        <v>40</v>
      </c>
      <c r="I49" s="228"/>
      <c r="J49" s="214"/>
      <c r="K49" s="216"/>
      <c r="L49" s="216"/>
      <c r="M49" s="216"/>
      <c r="N49" s="216"/>
      <c r="O49" s="216"/>
      <c r="P49" s="214"/>
      <c r="Q49" s="229"/>
    </row>
    <row r="50" spans="2:17" ht="50.25" customHeight="1" x14ac:dyDescent="0.35">
      <c r="B50" s="231" t="s">
        <v>235</v>
      </c>
      <c r="C50" s="179" t="s">
        <v>309</v>
      </c>
      <c r="D50" s="151" t="s">
        <v>469</v>
      </c>
      <c r="E50" s="179" t="s">
        <v>22</v>
      </c>
      <c r="F50" s="159" t="s">
        <v>555</v>
      </c>
      <c r="G50" s="182" t="s">
        <v>31</v>
      </c>
      <c r="H50" s="224" t="s">
        <v>40</v>
      </c>
      <c r="I50" s="230"/>
      <c r="J50" s="182"/>
      <c r="K50" s="177"/>
      <c r="L50" s="177"/>
      <c r="M50" s="177"/>
      <c r="N50" s="177"/>
      <c r="O50" s="177"/>
      <c r="P50" s="182"/>
      <c r="Q50" s="226"/>
    </row>
    <row r="51" spans="2:17" ht="50.25" customHeight="1" x14ac:dyDescent="0.35">
      <c r="B51" s="231" t="s">
        <v>235</v>
      </c>
      <c r="C51" s="180" t="s">
        <v>310</v>
      </c>
      <c r="D51" s="152" t="s">
        <v>470</v>
      </c>
      <c r="E51" s="180" t="s">
        <v>22</v>
      </c>
      <c r="F51" s="158" t="s">
        <v>556</v>
      </c>
      <c r="G51" s="214" t="s">
        <v>31</v>
      </c>
      <c r="H51" s="227" t="s">
        <v>40</v>
      </c>
      <c r="I51" s="228"/>
      <c r="J51" s="214"/>
      <c r="K51" s="216"/>
      <c r="L51" s="216"/>
      <c r="M51" s="216"/>
      <c r="N51" s="216"/>
      <c r="O51" s="216"/>
      <c r="P51" s="214"/>
      <c r="Q51" s="229"/>
    </row>
    <row r="52" spans="2:17" ht="50.25" customHeight="1" x14ac:dyDescent="0.35">
      <c r="B52" s="231" t="s">
        <v>235</v>
      </c>
      <c r="C52" s="179" t="s">
        <v>311</v>
      </c>
      <c r="D52" s="156" t="s">
        <v>471</v>
      </c>
      <c r="E52" s="179" t="s">
        <v>23</v>
      </c>
      <c r="F52" s="156" t="s">
        <v>557</v>
      </c>
      <c r="G52" s="182" t="s">
        <v>31</v>
      </c>
      <c r="H52" s="224" t="s">
        <v>40</v>
      </c>
      <c r="I52" s="230"/>
      <c r="J52" s="182"/>
      <c r="K52" s="177"/>
      <c r="L52" s="177"/>
      <c r="M52" s="177"/>
      <c r="N52" s="177"/>
      <c r="O52" s="177"/>
      <c r="P52" s="182"/>
      <c r="Q52" s="226"/>
    </row>
    <row r="53" spans="2:17" ht="50.25" customHeight="1" x14ac:dyDescent="0.35">
      <c r="B53" s="231" t="s">
        <v>235</v>
      </c>
      <c r="C53" s="180" t="s">
        <v>312</v>
      </c>
      <c r="D53" s="154" t="s">
        <v>423</v>
      </c>
      <c r="E53" s="180" t="s">
        <v>23</v>
      </c>
      <c r="F53" s="158" t="s">
        <v>558</v>
      </c>
      <c r="G53" s="183" t="s">
        <v>31</v>
      </c>
      <c r="H53" s="232" t="s">
        <v>40</v>
      </c>
      <c r="I53" s="233"/>
      <c r="J53" s="183"/>
      <c r="K53" s="178"/>
      <c r="L53" s="178"/>
      <c r="M53" s="178"/>
      <c r="N53" s="178"/>
      <c r="O53" s="178"/>
      <c r="P53" s="183"/>
      <c r="Q53" s="234"/>
    </row>
    <row r="54" spans="2:17" ht="50.25" customHeight="1" x14ac:dyDescent="0.35">
      <c r="B54" s="231" t="s">
        <v>235</v>
      </c>
      <c r="C54" s="179" t="s">
        <v>313</v>
      </c>
      <c r="D54" s="156" t="s">
        <v>472</v>
      </c>
      <c r="E54" s="179" t="s">
        <v>22</v>
      </c>
      <c r="F54" s="159" t="s">
        <v>559</v>
      </c>
      <c r="G54" s="182" t="s">
        <v>31</v>
      </c>
      <c r="H54" s="224" t="s">
        <v>40</v>
      </c>
      <c r="I54" s="230"/>
      <c r="J54" s="182"/>
      <c r="K54" s="177"/>
      <c r="L54" s="177"/>
      <c r="M54" s="177"/>
      <c r="N54" s="177"/>
      <c r="O54" s="177"/>
      <c r="P54" s="182"/>
      <c r="Q54" s="226"/>
    </row>
    <row r="55" spans="2:17" ht="50.25" customHeight="1" x14ac:dyDescent="0.35">
      <c r="B55" s="231" t="s">
        <v>235</v>
      </c>
      <c r="C55" s="180" t="s">
        <v>314</v>
      </c>
      <c r="D55" s="154" t="s">
        <v>473</v>
      </c>
      <c r="E55" s="180" t="s">
        <v>22</v>
      </c>
      <c r="F55" s="158" t="s">
        <v>560</v>
      </c>
      <c r="G55" s="183" t="s">
        <v>31</v>
      </c>
      <c r="H55" s="232" t="s">
        <v>40</v>
      </c>
      <c r="I55" s="233"/>
      <c r="J55" s="183"/>
      <c r="K55" s="178"/>
      <c r="L55" s="178"/>
      <c r="M55" s="178"/>
      <c r="N55" s="178"/>
      <c r="O55" s="178"/>
      <c r="P55" s="183"/>
      <c r="Q55" s="234"/>
    </row>
    <row r="56" spans="2:17" ht="50.25" customHeight="1" x14ac:dyDescent="0.35">
      <c r="B56" s="223" t="s">
        <v>236</v>
      </c>
      <c r="C56" s="179" t="s">
        <v>315</v>
      </c>
      <c r="D56" s="156" t="s">
        <v>474</v>
      </c>
      <c r="E56" s="179" t="s">
        <v>22</v>
      </c>
      <c r="F56" s="159" t="s">
        <v>561</v>
      </c>
      <c r="G56" s="182" t="s">
        <v>31</v>
      </c>
      <c r="H56" s="224" t="s">
        <v>40</v>
      </c>
      <c r="I56" s="230"/>
      <c r="J56" s="182"/>
      <c r="K56" s="177"/>
      <c r="L56" s="177"/>
      <c r="M56" s="177"/>
      <c r="N56" s="177"/>
      <c r="O56" s="177"/>
      <c r="P56" s="182"/>
      <c r="Q56" s="226"/>
    </row>
    <row r="57" spans="2:17" ht="50.25" customHeight="1" x14ac:dyDescent="0.35">
      <c r="B57" s="223" t="s">
        <v>236</v>
      </c>
      <c r="C57" s="212" t="s">
        <v>316</v>
      </c>
      <c r="D57" s="217" t="s">
        <v>475</v>
      </c>
      <c r="E57" s="212" t="s">
        <v>22</v>
      </c>
      <c r="F57" s="215" t="s">
        <v>562</v>
      </c>
      <c r="G57" s="214" t="s">
        <v>31</v>
      </c>
      <c r="H57" s="227" t="s">
        <v>40</v>
      </c>
      <c r="I57" s="228"/>
      <c r="J57" s="214"/>
      <c r="K57" s="216"/>
      <c r="L57" s="216"/>
      <c r="M57" s="216"/>
      <c r="N57" s="216"/>
      <c r="O57" s="216"/>
      <c r="P57" s="214"/>
      <c r="Q57" s="229"/>
    </row>
    <row r="58" spans="2:17" ht="50.25" customHeight="1" x14ac:dyDescent="0.35">
      <c r="B58" s="223" t="s">
        <v>236</v>
      </c>
      <c r="C58" s="179" t="s">
        <v>317</v>
      </c>
      <c r="D58" s="156" t="s">
        <v>476</v>
      </c>
      <c r="E58" s="179" t="s">
        <v>22</v>
      </c>
      <c r="F58" s="159" t="s">
        <v>563</v>
      </c>
      <c r="G58" s="182" t="s">
        <v>31</v>
      </c>
      <c r="H58" s="224" t="s">
        <v>40</v>
      </c>
      <c r="I58" s="230"/>
      <c r="J58" s="182"/>
      <c r="K58" s="177"/>
      <c r="L58" s="177"/>
      <c r="M58" s="177"/>
      <c r="N58" s="177"/>
      <c r="O58" s="177"/>
      <c r="P58" s="182"/>
      <c r="Q58" s="226"/>
    </row>
    <row r="59" spans="2:17" ht="50.25" customHeight="1" x14ac:dyDescent="0.35">
      <c r="B59" s="223" t="s">
        <v>236</v>
      </c>
      <c r="C59" s="212" t="s">
        <v>318</v>
      </c>
      <c r="D59" s="217" t="s">
        <v>477</v>
      </c>
      <c r="E59" s="212" t="s">
        <v>22</v>
      </c>
      <c r="F59" s="215" t="s">
        <v>564</v>
      </c>
      <c r="G59" s="214" t="s">
        <v>31</v>
      </c>
      <c r="H59" s="227" t="s">
        <v>40</v>
      </c>
      <c r="I59" s="228"/>
      <c r="J59" s="214"/>
      <c r="K59" s="216"/>
      <c r="L59" s="216"/>
      <c r="M59" s="216"/>
      <c r="N59" s="216"/>
      <c r="O59" s="216"/>
      <c r="P59" s="214"/>
      <c r="Q59" s="229"/>
    </row>
    <row r="60" spans="2:17" ht="50.25" customHeight="1" x14ac:dyDescent="0.35">
      <c r="B60" s="231" t="s">
        <v>237</v>
      </c>
      <c r="C60" s="179" t="s">
        <v>319</v>
      </c>
      <c r="D60" s="156" t="s">
        <v>478</v>
      </c>
      <c r="E60" s="179" t="s">
        <v>22</v>
      </c>
      <c r="F60" s="159" t="s">
        <v>565</v>
      </c>
      <c r="G60" s="182" t="s">
        <v>31</v>
      </c>
      <c r="H60" s="224" t="s">
        <v>40</v>
      </c>
      <c r="I60" s="230"/>
      <c r="J60" s="182"/>
      <c r="K60" s="177"/>
      <c r="L60" s="177"/>
      <c r="M60" s="177"/>
      <c r="N60" s="177"/>
      <c r="O60" s="177"/>
      <c r="P60" s="182"/>
      <c r="Q60" s="226"/>
    </row>
    <row r="61" spans="2:17" ht="50.25" customHeight="1" x14ac:dyDescent="0.35">
      <c r="B61" s="231" t="s">
        <v>237</v>
      </c>
      <c r="C61" s="212" t="s">
        <v>320</v>
      </c>
      <c r="D61" s="284" t="s">
        <v>673</v>
      </c>
      <c r="E61" s="212" t="s">
        <v>22</v>
      </c>
      <c r="F61" s="215" t="s">
        <v>566</v>
      </c>
      <c r="G61" s="214" t="s">
        <v>31</v>
      </c>
      <c r="H61" s="227" t="s">
        <v>40</v>
      </c>
      <c r="I61" s="228"/>
      <c r="J61" s="214"/>
      <c r="K61" s="216"/>
      <c r="L61" s="216"/>
      <c r="M61" s="216"/>
      <c r="N61" s="216"/>
      <c r="O61" s="216"/>
      <c r="P61" s="214"/>
      <c r="Q61" s="229"/>
    </row>
    <row r="62" spans="2:17" ht="50.25" customHeight="1" x14ac:dyDescent="0.35">
      <c r="B62" s="231" t="s">
        <v>237</v>
      </c>
      <c r="C62" s="179" t="s">
        <v>321</v>
      </c>
      <c r="D62" s="156" t="s">
        <v>479</v>
      </c>
      <c r="E62" s="179" t="s">
        <v>22</v>
      </c>
      <c r="F62" s="159" t="s">
        <v>567</v>
      </c>
      <c r="G62" s="182" t="s">
        <v>31</v>
      </c>
      <c r="H62" s="224" t="s">
        <v>40</v>
      </c>
      <c r="I62" s="230"/>
      <c r="J62" s="182"/>
      <c r="K62" s="177"/>
      <c r="L62" s="177"/>
      <c r="M62" s="177"/>
      <c r="N62" s="177"/>
      <c r="O62" s="177"/>
      <c r="P62" s="182"/>
      <c r="Q62" s="226"/>
    </row>
    <row r="63" spans="2:17" ht="50.25" customHeight="1" x14ac:dyDescent="0.35">
      <c r="B63" s="231" t="s">
        <v>237</v>
      </c>
      <c r="C63" s="212" t="s">
        <v>322</v>
      </c>
      <c r="D63" s="217" t="s">
        <v>480</v>
      </c>
      <c r="E63" s="212" t="s">
        <v>23</v>
      </c>
      <c r="F63" s="215" t="s">
        <v>689</v>
      </c>
      <c r="G63" s="214" t="s">
        <v>31</v>
      </c>
      <c r="H63" s="227" t="s">
        <v>40</v>
      </c>
      <c r="I63" s="228"/>
      <c r="J63" s="214"/>
      <c r="K63" s="216"/>
      <c r="L63" s="216"/>
      <c r="M63" s="216"/>
      <c r="N63" s="216"/>
      <c r="O63" s="216"/>
      <c r="P63" s="214"/>
      <c r="Q63" s="229"/>
    </row>
    <row r="64" spans="2:17" ht="50.25" customHeight="1" x14ac:dyDescent="0.35">
      <c r="B64" s="231" t="s">
        <v>237</v>
      </c>
      <c r="C64" s="179" t="s">
        <v>323</v>
      </c>
      <c r="D64" s="156" t="s">
        <v>481</v>
      </c>
      <c r="E64" s="179" t="s">
        <v>23</v>
      </c>
      <c r="F64" s="159" t="s">
        <v>568</v>
      </c>
      <c r="G64" s="182" t="s">
        <v>31</v>
      </c>
      <c r="H64" s="224" t="s">
        <v>40</v>
      </c>
      <c r="I64" s="230"/>
      <c r="J64" s="182"/>
      <c r="K64" s="177"/>
      <c r="L64" s="177"/>
      <c r="M64" s="177"/>
      <c r="N64" s="177"/>
      <c r="O64" s="177"/>
      <c r="P64" s="182"/>
      <c r="Q64" s="226"/>
    </row>
    <row r="65" spans="2:17" ht="50.25" customHeight="1" x14ac:dyDescent="0.35">
      <c r="B65" s="231" t="s">
        <v>237</v>
      </c>
      <c r="C65" s="180" t="s">
        <v>324</v>
      </c>
      <c r="D65" s="154" t="s">
        <v>482</v>
      </c>
      <c r="E65" s="180" t="s">
        <v>22</v>
      </c>
      <c r="F65" s="158" t="s">
        <v>569</v>
      </c>
      <c r="G65" s="183" t="s">
        <v>31</v>
      </c>
      <c r="H65" s="232" t="s">
        <v>40</v>
      </c>
      <c r="I65" s="233"/>
      <c r="J65" s="183"/>
      <c r="K65" s="178"/>
      <c r="L65" s="178"/>
      <c r="M65" s="178"/>
      <c r="N65" s="178"/>
      <c r="O65" s="178"/>
      <c r="P65" s="183"/>
      <c r="Q65" s="234"/>
    </row>
    <row r="66" spans="2:17" ht="50.25" customHeight="1" x14ac:dyDescent="0.35">
      <c r="B66" s="231" t="s">
        <v>237</v>
      </c>
      <c r="C66" s="179" t="s">
        <v>325</v>
      </c>
      <c r="D66" s="156" t="s">
        <v>483</v>
      </c>
      <c r="E66" s="179" t="s">
        <v>22</v>
      </c>
      <c r="F66" s="159" t="s">
        <v>570</v>
      </c>
      <c r="G66" s="182" t="s">
        <v>31</v>
      </c>
      <c r="H66" s="224" t="s">
        <v>40</v>
      </c>
      <c r="I66" s="230"/>
      <c r="J66" s="182"/>
      <c r="K66" s="177"/>
      <c r="L66" s="177"/>
      <c r="M66" s="177"/>
      <c r="N66" s="177"/>
      <c r="O66" s="177"/>
      <c r="P66" s="182"/>
      <c r="Q66" s="226"/>
    </row>
    <row r="67" spans="2:17" ht="50.25" customHeight="1" x14ac:dyDescent="0.35">
      <c r="B67" s="231" t="s">
        <v>237</v>
      </c>
      <c r="C67" s="180" t="s">
        <v>326</v>
      </c>
      <c r="D67" s="154" t="s">
        <v>424</v>
      </c>
      <c r="E67" s="180" t="s">
        <v>22</v>
      </c>
      <c r="F67" s="154" t="s">
        <v>571</v>
      </c>
      <c r="G67" s="183" t="s">
        <v>31</v>
      </c>
      <c r="H67" s="232" t="s">
        <v>40</v>
      </c>
      <c r="I67" s="233"/>
      <c r="J67" s="183"/>
      <c r="K67" s="178"/>
      <c r="L67" s="178"/>
      <c r="M67" s="178"/>
      <c r="N67" s="178"/>
      <c r="O67" s="178"/>
      <c r="P67" s="183"/>
      <c r="Q67" s="234"/>
    </row>
    <row r="68" spans="2:17" ht="50.25" customHeight="1" x14ac:dyDescent="0.35">
      <c r="B68" s="231" t="s">
        <v>237</v>
      </c>
      <c r="C68" s="179" t="s">
        <v>327</v>
      </c>
      <c r="D68" s="156" t="s">
        <v>484</v>
      </c>
      <c r="E68" s="179" t="s">
        <v>22</v>
      </c>
      <c r="F68" s="159" t="s">
        <v>572</v>
      </c>
      <c r="G68" s="182" t="s">
        <v>31</v>
      </c>
      <c r="H68" s="224" t="s">
        <v>40</v>
      </c>
      <c r="I68" s="230"/>
      <c r="J68" s="182"/>
      <c r="K68" s="177"/>
      <c r="L68" s="177"/>
      <c r="M68" s="177"/>
      <c r="N68" s="177"/>
      <c r="O68" s="177"/>
      <c r="P68" s="182"/>
      <c r="Q68" s="226"/>
    </row>
    <row r="69" spans="2:17" ht="50.25" customHeight="1" x14ac:dyDescent="0.35">
      <c r="B69" s="231" t="s">
        <v>237</v>
      </c>
      <c r="C69" s="180" t="s">
        <v>328</v>
      </c>
      <c r="D69" s="154" t="s">
        <v>485</v>
      </c>
      <c r="E69" s="180" t="s">
        <v>22</v>
      </c>
      <c r="F69" s="158" t="s">
        <v>573</v>
      </c>
      <c r="G69" s="183" t="s">
        <v>31</v>
      </c>
      <c r="H69" s="232" t="s">
        <v>40</v>
      </c>
      <c r="I69" s="233"/>
      <c r="J69" s="183"/>
      <c r="K69" s="178"/>
      <c r="L69" s="178"/>
      <c r="M69" s="178"/>
      <c r="N69" s="178"/>
      <c r="O69" s="178"/>
      <c r="P69" s="183"/>
      <c r="Q69" s="234"/>
    </row>
    <row r="70" spans="2:17" ht="50.25" customHeight="1" x14ac:dyDescent="0.35">
      <c r="B70" s="231" t="s">
        <v>237</v>
      </c>
      <c r="C70" s="179" t="s">
        <v>329</v>
      </c>
      <c r="D70" s="285" t="s">
        <v>674</v>
      </c>
      <c r="E70" s="179" t="s">
        <v>23</v>
      </c>
      <c r="F70" s="159" t="s">
        <v>574</v>
      </c>
      <c r="G70" s="182" t="s">
        <v>31</v>
      </c>
      <c r="H70" s="224" t="s">
        <v>40</v>
      </c>
      <c r="I70" s="230"/>
      <c r="J70" s="182"/>
      <c r="K70" s="177"/>
      <c r="L70" s="177"/>
      <c r="M70" s="177"/>
      <c r="N70" s="177"/>
      <c r="O70" s="177"/>
      <c r="P70" s="182"/>
      <c r="Q70" s="226"/>
    </row>
    <row r="71" spans="2:17" ht="50.25" customHeight="1" x14ac:dyDescent="0.35">
      <c r="B71" s="231" t="s">
        <v>237</v>
      </c>
      <c r="C71" s="180" t="s">
        <v>330</v>
      </c>
      <c r="D71" s="154" t="s">
        <v>486</v>
      </c>
      <c r="E71" s="180" t="s">
        <v>23</v>
      </c>
      <c r="F71" s="158" t="s">
        <v>575</v>
      </c>
      <c r="G71" s="214" t="s">
        <v>31</v>
      </c>
      <c r="H71" s="227" t="s">
        <v>40</v>
      </c>
      <c r="I71" s="228"/>
      <c r="J71" s="214"/>
      <c r="K71" s="216"/>
      <c r="L71" s="216"/>
      <c r="M71" s="216"/>
      <c r="N71" s="216"/>
      <c r="O71" s="216"/>
      <c r="P71" s="214"/>
      <c r="Q71" s="229"/>
    </row>
    <row r="72" spans="2:17" ht="50.25" customHeight="1" x14ac:dyDescent="0.35">
      <c r="B72" s="231" t="s">
        <v>237</v>
      </c>
      <c r="C72" s="179" t="s">
        <v>331</v>
      </c>
      <c r="D72" s="156" t="s">
        <v>487</v>
      </c>
      <c r="E72" s="179" t="s">
        <v>23</v>
      </c>
      <c r="F72" s="159" t="s">
        <v>576</v>
      </c>
      <c r="G72" s="182" t="s">
        <v>31</v>
      </c>
      <c r="H72" s="224" t="s">
        <v>40</v>
      </c>
      <c r="I72" s="230"/>
      <c r="J72" s="182"/>
      <c r="K72" s="177"/>
      <c r="L72" s="177"/>
      <c r="M72" s="177"/>
      <c r="N72" s="177"/>
      <c r="O72" s="177"/>
      <c r="P72" s="182"/>
      <c r="Q72" s="226"/>
    </row>
    <row r="73" spans="2:17" ht="50.25" customHeight="1" x14ac:dyDescent="0.35">
      <c r="B73" s="231" t="s">
        <v>237</v>
      </c>
      <c r="C73" s="180" t="s">
        <v>332</v>
      </c>
      <c r="D73" s="154" t="s">
        <v>425</v>
      </c>
      <c r="E73" s="180" t="s">
        <v>22</v>
      </c>
      <c r="F73" s="158" t="s">
        <v>577</v>
      </c>
      <c r="G73" s="214" t="s">
        <v>31</v>
      </c>
      <c r="H73" s="227" t="s">
        <v>40</v>
      </c>
      <c r="I73" s="228"/>
      <c r="J73" s="214"/>
      <c r="K73" s="216"/>
      <c r="L73" s="216"/>
      <c r="M73" s="216"/>
      <c r="N73" s="216"/>
      <c r="O73" s="216"/>
      <c r="P73" s="214"/>
      <c r="Q73" s="229"/>
    </row>
    <row r="74" spans="2:17" ht="50.25" customHeight="1" x14ac:dyDescent="0.35">
      <c r="B74" s="223" t="s">
        <v>2</v>
      </c>
      <c r="C74" s="179" t="s">
        <v>333</v>
      </c>
      <c r="D74" s="156" t="s">
        <v>488</v>
      </c>
      <c r="E74" s="179" t="s">
        <v>22</v>
      </c>
      <c r="F74" s="156" t="s">
        <v>690</v>
      </c>
      <c r="G74" s="182" t="s">
        <v>31</v>
      </c>
      <c r="H74" s="224" t="s">
        <v>40</v>
      </c>
      <c r="I74" s="230"/>
      <c r="J74" s="182"/>
      <c r="K74" s="177"/>
      <c r="L74" s="177"/>
      <c r="M74" s="177"/>
      <c r="N74" s="177"/>
      <c r="O74" s="177"/>
      <c r="P74" s="182"/>
      <c r="Q74" s="226"/>
    </row>
    <row r="75" spans="2:17" ht="50.25" customHeight="1" x14ac:dyDescent="0.35">
      <c r="B75" s="223" t="s">
        <v>2</v>
      </c>
      <c r="C75" s="180" t="s">
        <v>334</v>
      </c>
      <c r="D75" s="154" t="s">
        <v>489</v>
      </c>
      <c r="E75" s="180" t="s">
        <v>22</v>
      </c>
      <c r="F75" s="158" t="s">
        <v>578</v>
      </c>
      <c r="G75" s="183" t="s">
        <v>31</v>
      </c>
      <c r="H75" s="232" t="s">
        <v>40</v>
      </c>
      <c r="I75" s="233"/>
      <c r="J75" s="183"/>
      <c r="K75" s="178"/>
      <c r="L75" s="178"/>
      <c r="M75" s="178"/>
      <c r="N75" s="178"/>
      <c r="O75" s="178"/>
      <c r="P75" s="183"/>
      <c r="Q75" s="234"/>
    </row>
    <row r="76" spans="2:17" ht="50.25" customHeight="1" x14ac:dyDescent="0.35">
      <c r="B76" s="223" t="s">
        <v>2</v>
      </c>
      <c r="C76" s="179" t="s">
        <v>335</v>
      </c>
      <c r="D76" s="156" t="s">
        <v>516</v>
      </c>
      <c r="E76" s="179" t="s">
        <v>23</v>
      </c>
      <c r="F76" s="159" t="s">
        <v>579</v>
      </c>
      <c r="G76" s="182" t="s">
        <v>31</v>
      </c>
      <c r="H76" s="224" t="s">
        <v>40</v>
      </c>
      <c r="I76" s="230"/>
      <c r="J76" s="182"/>
      <c r="K76" s="177"/>
      <c r="L76" s="177"/>
      <c r="M76" s="177"/>
      <c r="N76" s="177"/>
      <c r="O76" s="177"/>
      <c r="P76" s="182"/>
      <c r="Q76" s="226"/>
    </row>
    <row r="77" spans="2:17" ht="50.25" customHeight="1" x14ac:dyDescent="0.35">
      <c r="B77" s="223" t="s">
        <v>2</v>
      </c>
      <c r="C77" s="180" t="s">
        <v>336</v>
      </c>
      <c r="D77" s="154" t="s">
        <v>426</v>
      </c>
      <c r="E77" s="180" t="s">
        <v>23</v>
      </c>
      <c r="F77" s="158" t="s">
        <v>691</v>
      </c>
      <c r="G77" s="183" t="s">
        <v>31</v>
      </c>
      <c r="H77" s="232" t="s">
        <v>40</v>
      </c>
      <c r="I77" s="233"/>
      <c r="J77" s="183"/>
      <c r="K77" s="178"/>
      <c r="L77" s="178"/>
      <c r="M77" s="178"/>
      <c r="N77" s="178"/>
      <c r="O77" s="178"/>
      <c r="P77" s="183"/>
      <c r="Q77" s="234"/>
    </row>
    <row r="78" spans="2:17" ht="50.25" customHeight="1" x14ac:dyDescent="0.35">
      <c r="B78" s="223" t="s">
        <v>2</v>
      </c>
      <c r="C78" s="179" t="s">
        <v>337</v>
      </c>
      <c r="D78" s="156" t="s">
        <v>490</v>
      </c>
      <c r="E78" s="179" t="s">
        <v>22</v>
      </c>
      <c r="F78" s="159" t="s">
        <v>580</v>
      </c>
      <c r="G78" s="182" t="s">
        <v>31</v>
      </c>
      <c r="H78" s="224" t="s">
        <v>40</v>
      </c>
      <c r="I78" s="230"/>
      <c r="J78" s="182"/>
      <c r="K78" s="177"/>
      <c r="L78" s="177"/>
      <c r="M78" s="177"/>
      <c r="N78" s="177"/>
      <c r="O78" s="177"/>
      <c r="P78" s="182"/>
      <c r="Q78" s="226"/>
    </row>
    <row r="79" spans="2:17" ht="50.25" customHeight="1" x14ac:dyDescent="0.35">
      <c r="B79" s="223" t="s">
        <v>2</v>
      </c>
      <c r="C79" s="212" t="s">
        <v>338</v>
      </c>
      <c r="D79" s="284" t="s">
        <v>675</v>
      </c>
      <c r="E79" s="212" t="s">
        <v>22</v>
      </c>
      <c r="F79" s="215" t="s">
        <v>581</v>
      </c>
      <c r="G79" s="214" t="s">
        <v>31</v>
      </c>
      <c r="H79" s="227" t="s">
        <v>40</v>
      </c>
      <c r="I79" s="228"/>
      <c r="J79" s="214"/>
      <c r="K79" s="216"/>
      <c r="L79" s="216"/>
      <c r="M79" s="216"/>
      <c r="N79" s="216"/>
      <c r="O79" s="216"/>
      <c r="P79" s="214"/>
      <c r="Q79" s="229"/>
    </row>
    <row r="80" spans="2:17" ht="50.25" customHeight="1" x14ac:dyDescent="0.35">
      <c r="B80" s="223" t="s">
        <v>2</v>
      </c>
      <c r="C80" s="179" t="s">
        <v>339</v>
      </c>
      <c r="D80" s="156" t="s">
        <v>427</v>
      </c>
      <c r="E80" s="179" t="s">
        <v>22</v>
      </c>
      <c r="F80" s="159" t="s">
        <v>582</v>
      </c>
      <c r="G80" s="182" t="s">
        <v>31</v>
      </c>
      <c r="H80" s="224" t="s">
        <v>40</v>
      </c>
      <c r="I80" s="230"/>
      <c r="J80" s="182"/>
      <c r="K80" s="177"/>
      <c r="L80" s="177"/>
      <c r="M80" s="177"/>
      <c r="N80" s="177"/>
      <c r="O80" s="177"/>
      <c r="P80" s="182"/>
      <c r="Q80" s="226"/>
    </row>
    <row r="81" spans="2:17" ht="50.25" customHeight="1" x14ac:dyDescent="0.35">
      <c r="B81" s="223" t="s">
        <v>2</v>
      </c>
      <c r="C81" s="212" t="s">
        <v>340</v>
      </c>
      <c r="D81" s="217" t="s">
        <v>491</v>
      </c>
      <c r="E81" s="212" t="s">
        <v>22</v>
      </c>
      <c r="F81" s="215" t="s">
        <v>583</v>
      </c>
      <c r="G81" s="214" t="s">
        <v>31</v>
      </c>
      <c r="H81" s="227" t="s">
        <v>40</v>
      </c>
      <c r="I81" s="228"/>
      <c r="J81" s="214"/>
      <c r="K81" s="216"/>
      <c r="L81" s="216"/>
      <c r="M81" s="216"/>
      <c r="N81" s="216"/>
      <c r="O81" s="216"/>
      <c r="P81" s="214"/>
      <c r="Q81" s="229"/>
    </row>
    <row r="82" spans="2:17" ht="50.25" customHeight="1" x14ac:dyDescent="0.35">
      <c r="B82" s="223" t="s">
        <v>2</v>
      </c>
      <c r="C82" s="179" t="s">
        <v>341</v>
      </c>
      <c r="D82" s="156" t="s">
        <v>492</v>
      </c>
      <c r="E82" s="179" t="s">
        <v>22</v>
      </c>
      <c r="F82" s="156" t="s">
        <v>584</v>
      </c>
      <c r="G82" s="182" t="s">
        <v>31</v>
      </c>
      <c r="H82" s="224" t="s">
        <v>40</v>
      </c>
      <c r="I82" s="230"/>
      <c r="J82" s="182"/>
      <c r="K82" s="177"/>
      <c r="L82" s="177"/>
      <c r="M82" s="177"/>
      <c r="N82" s="177"/>
      <c r="O82" s="177"/>
      <c r="P82" s="182"/>
      <c r="Q82" s="226"/>
    </row>
    <row r="83" spans="2:17" ht="50.25" customHeight="1" x14ac:dyDescent="0.35">
      <c r="B83" s="223" t="s">
        <v>2</v>
      </c>
      <c r="C83" s="180" t="s">
        <v>342</v>
      </c>
      <c r="D83" s="154" t="s">
        <v>493</v>
      </c>
      <c r="E83" s="180" t="s">
        <v>22</v>
      </c>
      <c r="F83" s="154" t="s">
        <v>692</v>
      </c>
      <c r="G83" s="183" t="s">
        <v>31</v>
      </c>
      <c r="H83" s="232" t="s">
        <v>40</v>
      </c>
      <c r="I83" s="233"/>
      <c r="J83" s="183"/>
      <c r="K83" s="178"/>
      <c r="L83" s="178"/>
      <c r="M83" s="178"/>
      <c r="N83" s="178"/>
      <c r="O83" s="178"/>
      <c r="P83" s="183"/>
      <c r="Q83" s="234"/>
    </row>
    <row r="84" spans="2:17" ht="50.25" customHeight="1" x14ac:dyDescent="0.35">
      <c r="B84" s="223" t="s">
        <v>2</v>
      </c>
      <c r="C84" s="179" t="s">
        <v>343</v>
      </c>
      <c r="D84" s="156" t="s">
        <v>494</v>
      </c>
      <c r="E84" s="179" t="s">
        <v>23</v>
      </c>
      <c r="F84" s="159" t="s">
        <v>585</v>
      </c>
      <c r="G84" s="182" t="s">
        <v>31</v>
      </c>
      <c r="H84" s="224" t="s">
        <v>40</v>
      </c>
      <c r="I84" s="230"/>
      <c r="J84" s="182"/>
      <c r="K84" s="177"/>
      <c r="L84" s="177"/>
      <c r="M84" s="177"/>
      <c r="N84" s="177"/>
      <c r="O84" s="177"/>
      <c r="P84" s="182"/>
      <c r="Q84" s="226"/>
    </row>
    <row r="85" spans="2:17" ht="50.25" customHeight="1" x14ac:dyDescent="0.35">
      <c r="B85" s="223" t="s">
        <v>2</v>
      </c>
      <c r="C85" s="212" t="s">
        <v>344</v>
      </c>
      <c r="D85" s="284" t="s">
        <v>676</v>
      </c>
      <c r="E85" s="212" t="s">
        <v>23</v>
      </c>
      <c r="F85" s="217" t="s">
        <v>586</v>
      </c>
      <c r="G85" s="214" t="s">
        <v>31</v>
      </c>
      <c r="H85" s="227" t="s">
        <v>40</v>
      </c>
      <c r="I85" s="228"/>
      <c r="J85" s="214"/>
      <c r="K85" s="216"/>
      <c r="L85" s="216"/>
      <c r="M85" s="216"/>
      <c r="N85" s="216"/>
      <c r="O85" s="216"/>
      <c r="P85" s="214"/>
      <c r="Q85" s="229"/>
    </row>
    <row r="86" spans="2:17" ht="50.25" customHeight="1" x14ac:dyDescent="0.35">
      <c r="B86" s="223" t="s">
        <v>2</v>
      </c>
      <c r="C86" s="179" t="s">
        <v>345</v>
      </c>
      <c r="D86" s="156" t="s">
        <v>495</v>
      </c>
      <c r="E86" s="179" t="s">
        <v>23</v>
      </c>
      <c r="F86" s="159" t="s">
        <v>587</v>
      </c>
      <c r="G86" s="182" t="s">
        <v>31</v>
      </c>
      <c r="H86" s="224" t="s">
        <v>40</v>
      </c>
      <c r="I86" s="230"/>
      <c r="J86" s="182"/>
      <c r="K86" s="177"/>
      <c r="L86" s="177"/>
      <c r="M86" s="177"/>
      <c r="N86" s="177"/>
      <c r="O86" s="177"/>
      <c r="P86" s="182"/>
      <c r="Q86" s="226"/>
    </row>
    <row r="87" spans="2:17" ht="50.25" customHeight="1" x14ac:dyDescent="0.35">
      <c r="B87" s="231" t="s">
        <v>5</v>
      </c>
      <c r="C87" s="180" t="s">
        <v>346</v>
      </c>
      <c r="D87" s="154" t="s">
        <v>238</v>
      </c>
      <c r="E87" s="180" t="s">
        <v>23</v>
      </c>
      <c r="F87" s="154" t="s">
        <v>588</v>
      </c>
      <c r="G87" s="183" t="s">
        <v>31</v>
      </c>
      <c r="H87" s="224" t="s">
        <v>40</v>
      </c>
      <c r="I87" s="233"/>
      <c r="J87" s="183"/>
      <c r="K87" s="178"/>
      <c r="L87" s="178"/>
      <c r="M87" s="178"/>
      <c r="N87" s="178"/>
      <c r="O87" s="178"/>
      <c r="P87" s="183"/>
      <c r="Q87" s="234"/>
    </row>
    <row r="88" spans="2:17" ht="50.25" customHeight="1" x14ac:dyDescent="0.35">
      <c r="B88" s="231" t="s">
        <v>5</v>
      </c>
      <c r="C88" s="179" t="s">
        <v>347</v>
      </c>
      <c r="D88" s="156" t="s">
        <v>496</v>
      </c>
      <c r="E88" s="179" t="s">
        <v>23</v>
      </c>
      <c r="F88" s="159" t="s">
        <v>589</v>
      </c>
      <c r="G88" s="182" t="s">
        <v>31</v>
      </c>
      <c r="H88" s="224" t="s">
        <v>40</v>
      </c>
      <c r="I88" s="230"/>
      <c r="J88" s="182"/>
      <c r="K88" s="177"/>
      <c r="L88" s="177"/>
      <c r="M88" s="177"/>
      <c r="N88" s="177"/>
      <c r="O88" s="177"/>
      <c r="P88" s="182"/>
      <c r="Q88" s="226"/>
    </row>
    <row r="89" spans="2:17" ht="50.25" customHeight="1" x14ac:dyDescent="0.35">
      <c r="B89" s="231" t="s">
        <v>5</v>
      </c>
      <c r="C89" s="212" t="s">
        <v>348</v>
      </c>
      <c r="D89" s="217" t="s">
        <v>497</v>
      </c>
      <c r="E89" s="212" t="s">
        <v>23</v>
      </c>
      <c r="F89" s="215" t="s">
        <v>590</v>
      </c>
      <c r="G89" s="214" t="s">
        <v>31</v>
      </c>
      <c r="H89" s="227" t="s">
        <v>40</v>
      </c>
      <c r="I89" s="228"/>
      <c r="J89" s="214"/>
      <c r="K89" s="216"/>
      <c r="L89" s="216"/>
      <c r="M89" s="216"/>
      <c r="N89" s="216"/>
      <c r="O89" s="216"/>
      <c r="P89" s="214"/>
      <c r="Q89" s="229"/>
    </row>
    <row r="90" spans="2:17" ht="50.25" customHeight="1" x14ac:dyDescent="0.35">
      <c r="B90" s="231" t="s">
        <v>5</v>
      </c>
      <c r="C90" s="179" t="s">
        <v>349</v>
      </c>
      <c r="D90" s="156" t="s">
        <v>498</v>
      </c>
      <c r="E90" s="179" t="s">
        <v>23</v>
      </c>
      <c r="F90" s="159" t="s">
        <v>591</v>
      </c>
      <c r="G90" s="182" t="s">
        <v>31</v>
      </c>
      <c r="H90" s="224" t="s">
        <v>40</v>
      </c>
      <c r="I90" s="230"/>
      <c r="J90" s="182"/>
      <c r="K90" s="177"/>
      <c r="L90" s="177"/>
      <c r="M90" s="177"/>
      <c r="N90" s="177"/>
      <c r="O90" s="177"/>
      <c r="P90" s="182"/>
      <c r="Q90" s="226"/>
    </row>
    <row r="91" spans="2:17" ht="50.25" customHeight="1" x14ac:dyDescent="0.35">
      <c r="B91" s="231" t="s">
        <v>5</v>
      </c>
      <c r="C91" s="180" t="s">
        <v>350</v>
      </c>
      <c r="D91" s="154" t="s">
        <v>239</v>
      </c>
      <c r="E91" s="180" t="s">
        <v>23</v>
      </c>
      <c r="F91" s="158" t="s">
        <v>592</v>
      </c>
      <c r="G91" s="183" t="s">
        <v>31</v>
      </c>
      <c r="H91" s="232" t="s">
        <v>40</v>
      </c>
      <c r="I91" s="233"/>
      <c r="J91" s="183"/>
      <c r="K91" s="178"/>
      <c r="L91" s="178"/>
      <c r="M91" s="178"/>
      <c r="N91" s="178"/>
      <c r="O91" s="178"/>
      <c r="P91" s="183"/>
      <c r="Q91" s="234"/>
    </row>
    <row r="92" spans="2:17" ht="50.25" customHeight="1" x14ac:dyDescent="0.35">
      <c r="B92" s="231" t="s">
        <v>5</v>
      </c>
      <c r="C92" s="179" t="s">
        <v>351</v>
      </c>
      <c r="D92" s="156" t="s">
        <v>499</v>
      </c>
      <c r="E92" s="179" t="s">
        <v>22</v>
      </c>
      <c r="F92" s="156" t="s">
        <v>693</v>
      </c>
      <c r="G92" s="182" t="s">
        <v>31</v>
      </c>
      <c r="H92" s="224" t="s">
        <v>40</v>
      </c>
      <c r="I92" s="230"/>
      <c r="J92" s="182"/>
      <c r="K92" s="177"/>
      <c r="L92" s="177"/>
      <c r="M92" s="177"/>
      <c r="N92" s="177"/>
      <c r="O92" s="177"/>
      <c r="P92" s="182"/>
      <c r="Q92" s="226"/>
    </row>
    <row r="93" spans="2:17" ht="50.25" customHeight="1" x14ac:dyDescent="0.35">
      <c r="B93" s="231" t="s">
        <v>5</v>
      </c>
      <c r="C93" s="180" t="s">
        <v>352</v>
      </c>
      <c r="D93" s="154" t="s">
        <v>500</v>
      </c>
      <c r="E93" s="180" t="s">
        <v>22</v>
      </c>
      <c r="F93" s="158" t="s">
        <v>694</v>
      </c>
      <c r="G93" s="183" t="s">
        <v>31</v>
      </c>
      <c r="H93" s="224" t="s">
        <v>40</v>
      </c>
      <c r="I93" s="233"/>
      <c r="J93" s="183"/>
      <c r="K93" s="178"/>
      <c r="L93" s="178"/>
      <c r="M93" s="178"/>
      <c r="N93" s="178"/>
      <c r="O93" s="178"/>
      <c r="P93" s="183"/>
      <c r="Q93" s="234"/>
    </row>
    <row r="94" spans="2:17" ht="50.25" customHeight="1" x14ac:dyDescent="0.35">
      <c r="B94" s="231" t="s">
        <v>5</v>
      </c>
      <c r="C94" s="179" t="s">
        <v>353</v>
      </c>
      <c r="D94" s="156" t="s">
        <v>501</v>
      </c>
      <c r="E94" s="179" t="s">
        <v>22</v>
      </c>
      <c r="F94" s="159" t="s">
        <v>593</v>
      </c>
      <c r="G94" s="182" t="s">
        <v>31</v>
      </c>
      <c r="H94" s="224" t="s">
        <v>40</v>
      </c>
      <c r="I94" s="230"/>
      <c r="J94" s="182"/>
      <c r="K94" s="177"/>
      <c r="L94" s="177"/>
      <c r="M94" s="177"/>
      <c r="N94" s="177"/>
      <c r="O94" s="177"/>
      <c r="P94" s="182"/>
      <c r="Q94" s="226"/>
    </row>
    <row r="95" spans="2:17" ht="50.25" customHeight="1" x14ac:dyDescent="0.35">
      <c r="B95" s="231" t="s">
        <v>5</v>
      </c>
      <c r="C95" s="212" t="s">
        <v>354</v>
      </c>
      <c r="D95" s="217" t="s">
        <v>502</v>
      </c>
      <c r="E95" s="212" t="s">
        <v>22</v>
      </c>
      <c r="F95" s="217" t="s">
        <v>594</v>
      </c>
      <c r="G95" s="214" t="s">
        <v>31</v>
      </c>
      <c r="H95" s="227" t="s">
        <v>40</v>
      </c>
      <c r="I95" s="228"/>
      <c r="J95" s="214"/>
      <c r="K95" s="216"/>
      <c r="L95" s="216"/>
      <c r="M95" s="216"/>
      <c r="N95" s="216"/>
      <c r="O95" s="216"/>
      <c r="P95" s="214"/>
      <c r="Q95" s="229"/>
    </row>
    <row r="96" spans="2:17" ht="50.25" customHeight="1" x14ac:dyDescent="0.35">
      <c r="B96" s="231" t="s">
        <v>5</v>
      </c>
      <c r="C96" s="179" t="s">
        <v>355</v>
      </c>
      <c r="D96" s="156" t="s">
        <v>503</v>
      </c>
      <c r="E96" s="179" t="s">
        <v>22</v>
      </c>
      <c r="F96" s="156" t="s">
        <v>595</v>
      </c>
      <c r="G96" s="182" t="s">
        <v>31</v>
      </c>
      <c r="H96" s="224" t="s">
        <v>40</v>
      </c>
      <c r="I96" s="230"/>
      <c r="J96" s="182"/>
      <c r="K96" s="177"/>
      <c r="L96" s="177"/>
      <c r="M96" s="177"/>
      <c r="N96" s="177"/>
      <c r="O96" s="177"/>
      <c r="P96" s="182"/>
      <c r="Q96" s="226"/>
    </row>
    <row r="97" spans="2:17" ht="50.25" customHeight="1" x14ac:dyDescent="0.35">
      <c r="B97" s="231" t="s">
        <v>5</v>
      </c>
      <c r="C97" s="212" t="s">
        <v>356</v>
      </c>
      <c r="D97" s="217" t="s">
        <v>504</v>
      </c>
      <c r="E97" s="212" t="s">
        <v>22</v>
      </c>
      <c r="F97" s="215" t="s">
        <v>596</v>
      </c>
      <c r="G97" s="214" t="s">
        <v>31</v>
      </c>
      <c r="H97" s="227" t="s">
        <v>40</v>
      </c>
      <c r="I97" s="228"/>
      <c r="J97" s="214"/>
      <c r="K97" s="216"/>
      <c r="L97" s="216"/>
      <c r="M97" s="216"/>
      <c r="N97" s="216"/>
      <c r="O97" s="216"/>
      <c r="P97" s="214"/>
      <c r="Q97" s="229"/>
    </row>
    <row r="98" spans="2:17" ht="50.25" customHeight="1" x14ac:dyDescent="0.35">
      <c r="B98" s="223" t="s">
        <v>240</v>
      </c>
      <c r="C98" s="179" t="s">
        <v>357</v>
      </c>
      <c r="D98" s="156" t="s">
        <v>505</v>
      </c>
      <c r="E98" s="179" t="s">
        <v>22</v>
      </c>
      <c r="F98" s="156" t="s">
        <v>597</v>
      </c>
      <c r="G98" s="182" t="s">
        <v>31</v>
      </c>
      <c r="H98" s="224" t="s">
        <v>40</v>
      </c>
      <c r="I98" s="230"/>
      <c r="J98" s="182"/>
      <c r="K98" s="177"/>
      <c r="L98" s="177"/>
      <c r="M98" s="177"/>
      <c r="N98" s="177"/>
      <c r="O98" s="177"/>
      <c r="P98" s="182"/>
      <c r="Q98" s="226"/>
    </row>
    <row r="99" spans="2:17" ht="50.25" customHeight="1" x14ac:dyDescent="0.35">
      <c r="B99" s="223" t="s">
        <v>240</v>
      </c>
      <c r="C99" s="212" t="s">
        <v>358</v>
      </c>
      <c r="D99" s="217" t="s">
        <v>506</v>
      </c>
      <c r="E99" s="212" t="s">
        <v>22</v>
      </c>
      <c r="F99" s="215" t="s">
        <v>598</v>
      </c>
      <c r="G99" s="214" t="s">
        <v>31</v>
      </c>
      <c r="H99" s="227" t="s">
        <v>40</v>
      </c>
      <c r="I99" s="228"/>
      <c r="J99" s="214"/>
      <c r="K99" s="216"/>
      <c r="L99" s="216"/>
      <c r="M99" s="216"/>
      <c r="N99" s="216"/>
      <c r="O99" s="216"/>
      <c r="P99" s="214"/>
      <c r="Q99" s="229"/>
    </row>
    <row r="100" spans="2:17" ht="50.25" customHeight="1" x14ac:dyDescent="0.35">
      <c r="B100" s="223" t="s">
        <v>240</v>
      </c>
      <c r="C100" s="179" t="s">
        <v>359</v>
      </c>
      <c r="D100" s="156" t="s">
        <v>507</v>
      </c>
      <c r="E100" s="179" t="s">
        <v>22</v>
      </c>
      <c r="F100" s="156" t="s">
        <v>599</v>
      </c>
      <c r="G100" s="182" t="s">
        <v>31</v>
      </c>
      <c r="H100" s="224" t="s">
        <v>40</v>
      </c>
      <c r="I100" s="230"/>
      <c r="J100" s="182"/>
      <c r="K100" s="177"/>
      <c r="L100" s="177"/>
      <c r="M100" s="177"/>
      <c r="N100" s="177"/>
      <c r="O100" s="177"/>
      <c r="P100" s="182"/>
      <c r="Q100" s="226"/>
    </row>
    <row r="101" spans="2:17" ht="50.25" customHeight="1" x14ac:dyDescent="0.35">
      <c r="B101" s="223" t="s">
        <v>240</v>
      </c>
      <c r="C101" s="180" t="s">
        <v>360</v>
      </c>
      <c r="D101" s="154" t="s">
        <v>241</v>
      </c>
      <c r="E101" s="180" t="s">
        <v>22</v>
      </c>
      <c r="F101" s="154" t="s">
        <v>600</v>
      </c>
      <c r="G101" s="183" t="s">
        <v>31</v>
      </c>
      <c r="H101" s="224" t="s">
        <v>40</v>
      </c>
      <c r="I101" s="233"/>
      <c r="J101" s="183"/>
      <c r="K101" s="178"/>
      <c r="L101" s="178"/>
      <c r="M101" s="178"/>
      <c r="N101" s="178"/>
      <c r="O101" s="178"/>
      <c r="P101" s="183"/>
      <c r="Q101" s="234"/>
    </row>
    <row r="102" spans="2:17" ht="50.25" customHeight="1" x14ac:dyDescent="0.35">
      <c r="B102" s="223" t="s">
        <v>240</v>
      </c>
      <c r="C102" s="179" t="s">
        <v>361</v>
      </c>
      <c r="D102" s="156" t="s">
        <v>508</v>
      </c>
      <c r="E102" s="179" t="s">
        <v>22</v>
      </c>
      <c r="F102" s="156" t="s">
        <v>601</v>
      </c>
      <c r="G102" s="182" t="s">
        <v>31</v>
      </c>
      <c r="H102" s="224" t="s">
        <v>40</v>
      </c>
      <c r="I102" s="230"/>
      <c r="J102" s="182"/>
      <c r="K102" s="177"/>
      <c r="L102" s="177"/>
      <c r="M102" s="177"/>
      <c r="N102" s="177"/>
      <c r="O102" s="177"/>
      <c r="P102" s="182"/>
      <c r="Q102" s="226"/>
    </row>
    <row r="103" spans="2:17" ht="50.25" customHeight="1" x14ac:dyDescent="0.35">
      <c r="B103" s="223" t="s">
        <v>240</v>
      </c>
      <c r="C103" s="212" t="s">
        <v>362</v>
      </c>
      <c r="D103" s="217" t="s">
        <v>509</v>
      </c>
      <c r="E103" s="212" t="s">
        <v>22</v>
      </c>
      <c r="F103" s="217" t="s">
        <v>602</v>
      </c>
      <c r="G103" s="214" t="s">
        <v>31</v>
      </c>
      <c r="H103" s="227" t="s">
        <v>40</v>
      </c>
      <c r="I103" s="228"/>
      <c r="J103" s="214"/>
      <c r="K103" s="216"/>
      <c r="L103" s="216"/>
      <c r="M103" s="216"/>
      <c r="N103" s="216"/>
      <c r="O103" s="216"/>
      <c r="P103" s="214"/>
      <c r="Q103" s="229"/>
    </row>
    <row r="104" spans="2:17" ht="50.25" customHeight="1" x14ac:dyDescent="0.35">
      <c r="B104" s="223" t="s">
        <v>240</v>
      </c>
      <c r="C104" s="179" t="s">
        <v>363</v>
      </c>
      <c r="D104" s="156" t="s">
        <v>510</v>
      </c>
      <c r="E104" s="179" t="s">
        <v>22</v>
      </c>
      <c r="F104" s="159" t="s">
        <v>695</v>
      </c>
      <c r="G104" s="182" t="s">
        <v>31</v>
      </c>
      <c r="H104" s="224" t="s">
        <v>40</v>
      </c>
      <c r="I104" s="230"/>
      <c r="J104" s="182"/>
      <c r="K104" s="177"/>
      <c r="L104" s="177"/>
      <c r="M104" s="177"/>
      <c r="N104" s="177"/>
      <c r="O104" s="177"/>
      <c r="P104" s="182"/>
      <c r="Q104" s="226"/>
    </row>
    <row r="105" spans="2:17" ht="50.25" customHeight="1" x14ac:dyDescent="0.35">
      <c r="B105" s="223" t="s">
        <v>240</v>
      </c>
      <c r="C105" s="212" t="s">
        <v>364</v>
      </c>
      <c r="D105" s="217" t="s">
        <v>511</v>
      </c>
      <c r="E105" s="212" t="s">
        <v>22</v>
      </c>
      <c r="F105" s="217" t="s">
        <v>603</v>
      </c>
      <c r="G105" s="214" t="s">
        <v>31</v>
      </c>
      <c r="H105" s="227" t="s">
        <v>40</v>
      </c>
      <c r="I105" s="228"/>
      <c r="J105" s="214"/>
      <c r="K105" s="216"/>
      <c r="L105" s="216"/>
      <c r="M105" s="216"/>
      <c r="N105" s="216"/>
      <c r="O105" s="216"/>
      <c r="P105" s="214"/>
      <c r="Q105" s="229"/>
    </row>
    <row r="106" spans="2:17" ht="50.25" customHeight="1" x14ac:dyDescent="0.35">
      <c r="B106" s="223" t="s">
        <v>240</v>
      </c>
      <c r="C106" s="179" t="s">
        <v>365</v>
      </c>
      <c r="D106" s="156" t="s">
        <v>515</v>
      </c>
      <c r="E106" s="179" t="s">
        <v>23</v>
      </c>
      <c r="F106" s="159" t="s">
        <v>604</v>
      </c>
      <c r="G106" s="182" t="s">
        <v>31</v>
      </c>
      <c r="H106" s="224" t="s">
        <v>40</v>
      </c>
      <c r="I106" s="230"/>
      <c r="J106" s="182"/>
      <c r="K106" s="177"/>
      <c r="L106" s="177"/>
      <c r="M106" s="177"/>
      <c r="N106" s="177"/>
      <c r="O106" s="177"/>
      <c r="P106" s="182"/>
      <c r="Q106" s="226"/>
    </row>
    <row r="107" spans="2:17" ht="50.25" customHeight="1" x14ac:dyDescent="0.35">
      <c r="B107" s="223" t="s">
        <v>240</v>
      </c>
      <c r="C107" s="212" t="s">
        <v>366</v>
      </c>
      <c r="D107" s="217" t="s">
        <v>512</v>
      </c>
      <c r="E107" s="212" t="s">
        <v>22</v>
      </c>
      <c r="F107" s="215" t="s">
        <v>605</v>
      </c>
      <c r="G107" s="214" t="s">
        <v>31</v>
      </c>
      <c r="H107" s="227" t="s">
        <v>40</v>
      </c>
      <c r="I107" s="228"/>
      <c r="J107" s="214"/>
      <c r="K107" s="216"/>
      <c r="L107" s="216"/>
      <c r="M107" s="216"/>
      <c r="N107" s="216"/>
      <c r="O107" s="216"/>
      <c r="P107" s="214"/>
      <c r="Q107" s="229"/>
    </row>
    <row r="108" spans="2:17" ht="50.25" customHeight="1" x14ac:dyDescent="0.35">
      <c r="B108" s="223" t="s">
        <v>240</v>
      </c>
      <c r="C108" s="179" t="s">
        <v>367</v>
      </c>
      <c r="D108" s="156" t="s">
        <v>513</v>
      </c>
      <c r="E108" s="179" t="s">
        <v>22</v>
      </c>
      <c r="F108" s="159" t="s">
        <v>606</v>
      </c>
      <c r="G108" s="182" t="s">
        <v>31</v>
      </c>
      <c r="H108" s="224" t="s">
        <v>40</v>
      </c>
      <c r="I108" s="230"/>
      <c r="J108" s="182"/>
      <c r="K108" s="177"/>
      <c r="L108" s="177"/>
      <c r="M108" s="177"/>
      <c r="N108" s="177"/>
      <c r="O108" s="177"/>
      <c r="P108" s="182"/>
      <c r="Q108" s="226"/>
    </row>
    <row r="109" spans="2:17" ht="50.25" customHeight="1" x14ac:dyDescent="0.35">
      <c r="B109" s="237" t="s">
        <v>240</v>
      </c>
      <c r="C109" s="238" t="s">
        <v>368</v>
      </c>
      <c r="D109" s="239" t="s">
        <v>514</v>
      </c>
      <c r="E109" s="238" t="s">
        <v>22</v>
      </c>
      <c r="F109" s="240" t="s">
        <v>607</v>
      </c>
      <c r="G109" s="241" t="s">
        <v>31</v>
      </c>
      <c r="H109" s="242" t="s">
        <v>40</v>
      </c>
      <c r="I109" s="243"/>
      <c r="J109" s="241"/>
      <c r="K109" s="244"/>
      <c r="L109" s="244"/>
      <c r="M109" s="244"/>
      <c r="N109" s="244"/>
      <c r="O109" s="244"/>
      <c r="P109" s="241"/>
      <c r="Q109" s="245"/>
    </row>
  </sheetData>
  <mergeCells count="1">
    <mergeCell ref="S4:T4"/>
  </mergeCells>
  <conditionalFormatting sqref="H4:H109">
    <cfRule type="cellIs" dxfId="310" priority="1" operator="equal">
      <formula>"Indéterminé"</formula>
    </cfRule>
    <cfRule type="cellIs" dxfId="309" priority="2" operator="equal">
      <formula>"NA"</formula>
    </cfRule>
    <cfRule type="cellIs" dxfId="308" priority="3" operator="equal">
      <formula>"Invalidé"</formula>
    </cfRule>
    <cfRule type="cellIs" dxfId="307" priority="4" operator="equal">
      <formula>"Validé"</formula>
    </cfRule>
  </conditionalFormatting>
  <dataValidations count="3">
    <dataValidation type="list" allowBlank="1" showInputMessage="1" showErrorMessage="1" sqref="Q4:Q109" xr:uid="{AB043519-2C40-49DA-9A5D-A970356D3C1A}">
      <formula1>Priorité</formula1>
    </dataValidation>
    <dataValidation type="list" allowBlank="1" showInputMessage="1" showErrorMessage="1" sqref="P4:P109" xr:uid="{8C63C4B5-B722-42B7-AA58-F96FB97EDBFE}">
      <formula1>Difficulte</formula1>
    </dataValidation>
    <dataValidation type="list" allowBlank="1" showInputMessage="1" showErrorMessage="1" sqref="H4:H109"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117"/>
  <sheetViews>
    <sheetView showRuler="0" zoomScale="90" zoomScaleNormal="90" zoomScaleSheetLayoutView="100" workbookViewId="0">
      <pane ySplit="10" topLeftCell="A11" activePane="bottomLeft" state="frozenSplit"/>
      <selection activeCell="E2" sqref="E2:K3"/>
      <selection pane="bottomLeft" activeCell="C11" sqref="C11"/>
    </sheetView>
  </sheetViews>
  <sheetFormatPr baseColWidth="10" defaultColWidth="11.453125" defaultRowHeight="14.5" outlineLevelRow="1" x14ac:dyDescent="0.35"/>
  <cols>
    <col min="1" max="1" width="12.7265625" style="8" customWidth="1"/>
    <col min="2" max="2" width="11.26953125" style="8" customWidth="1"/>
    <col min="3" max="3" width="20.54296875" style="8" customWidth="1"/>
    <col min="4" max="4" width="8.54296875" style="8" customWidth="1"/>
    <col min="5" max="5" width="30.81640625" style="8" customWidth="1"/>
    <col min="6" max="6" width="64" style="10" customWidth="1"/>
    <col min="7" max="16" width="12.7265625" style="8" customWidth="1"/>
    <col min="17" max="50" width="11.453125" style="8"/>
    <col min="51" max="16384" width="11.453125" style="98"/>
  </cols>
  <sheetData>
    <row r="1" spans="1:192" ht="47.5" customHeight="1" x14ac:dyDescent="0.35">
      <c r="A1" s="32" t="str">
        <f>Projet!A1</f>
        <v>Audit par critères RGAA 4.1 2021</v>
      </c>
      <c r="B1" s="32"/>
      <c r="C1" s="32"/>
      <c r="D1" s="32"/>
      <c r="E1" s="32"/>
      <c r="F1" s="33"/>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row>
    <row r="2" spans="1:192" ht="35.15" customHeight="1" x14ac:dyDescent="0.35">
      <c r="A2" s="265" t="s">
        <v>242</v>
      </c>
      <c r="B2" s="266"/>
      <c r="C2" s="266"/>
      <c r="D2" s="267"/>
      <c r="E2" s="32"/>
      <c r="F2" s="33"/>
      <c r="G2" s="122" t="s">
        <v>627</v>
      </c>
      <c r="H2" s="122"/>
      <c r="I2" s="122"/>
      <c r="J2" s="58"/>
      <c r="K2" s="58"/>
      <c r="L2" s="58"/>
      <c r="M2" s="58"/>
      <c r="N2" s="58"/>
      <c r="O2" s="58"/>
      <c r="P2" s="58"/>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row>
    <row r="3" spans="1:192" ht="15" customHeight="1" x14ac:dyDescent="0.35">
      <c r="A3" s="58"/>
      <c r="B3" s="59"/>
      <c r="C3" s="59"/>
      <c r="D3" s="60"/>
      <c r="E3" s="32"/>
      <c r="F3" s="33"/>
      <c r="G3" s="61">
        <f>IF(SUM(Value!AG$13:AG$15)=0,0,(Value!AG$13/SUM(Value!AG$13:AG$15))*100)</f>
        <v>0</v>
      </c>
      <c r="H3" s="254"/>
      <c r="I3" s="254"/>
      <c r="J3" s="254"/>
      <c r="K3" s="254"/>
      <c r="L3" s="254"/>
      <c r="M3" s="254"/>
      <c r="N3" s="254"/>
      <c r="O3" s="254"/>
      <c r="P3" s="254"/>
      <c r="Q3" s="254"/>
      <c r="R3" s="254"/>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row>
    <row r="4" spans="1:192" ht="15" customHeight="1" x14ac:dyDescent="0.35">
      <c r="A4" s="58"/>
      <c r="B4" s="121" t="s">
        <v>628</v>
      </c>
      <c r="C4" s="59"/>
      <c r="D4" s="60"/>
      <c r="E4" s="32"/>
      <c r="F4" s="33"/>
      <c r="G4" s="61">
        <f>IF(SUM(Value!AG$13:AG$15)=0,0,(Value!AG$14/SUM(Value!AG$13:AG$15))*100)</f>
        <v>0</v>
      </c>
      <c r="H4" s="254"/>
      <c r="I4" s="254"/>
      <c r="J4" s="254"/>
      <c r="K4" s="254"/>
      <c r="L4" s="254"/>
      <c r="M4" s="254"/>
      <c r="N4" s="254"/>
      <c r="O4" s="254"/>
      <c r="P4" s="254"/>
      <c r="Q4" s="254"/>
      <c r="R4" s="254"/>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row>
    <row r="5" spans="1:192" ht="15" customHeight="1" x14ac:dyDescent="0.35">
      <c r="A5" s="268" t="str">
        <f ca="1">Value!O141</f>
        <v/>
      </c>
      <c r="B5" s="269"/>
      <c r="C5" s="269"/>
      <c r="D5" s="270"/>
      <c r="E5" s="32"/>
      <c r="F5" s="33"/>
      <c r="G5" s="61">
        <f>IF(SUM(Value!AG$13:AG$15)=0,0,(Value!AG$15/SUM(Value!AG$13:AG$15))*100)</f>
        <v>0</v>
      </c>
      <c r="H5" s="254"/>
      <c r="I5" s="254"/>
      <c r="J5" s="254"/>
      <c r="K5" s="254"/>
      <c r="L5" s="254"/>
      <c r="M5" s="254"/>
      <c r="N5" s="254"/>
      <c r="O5" s="254"/>
      <c r="P5" s="254"/>
      <c r="Q5" s="254"/>
      <c r="R5" s="254"/>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row>
    <row r="6" spans="1:192" ht="31.5" customHeight="1" x14ac:dyDescent="0.35">
      <c r="A6" s="271"/>
      <c r="B6" s="272"/>
      <c r="C6" s="272"/>
      <c r="D6" s="273"/>
      <c r="E6" s="34"/>
      <c r="F6" s="34"/>
      <c r="G6" s="35">
        <f>IF(ISERROR(Value!AG$16),"",Value!AG$16)</f>
        <v>0</v>
      </c>
      <c r="H6" s="255"/>
      <c r="I6" s="255"/>
      <c r="J6" s="255"/>
      <c r="K6" s="255"/>
      <c r="L6" s="255"/>
      <c r="M6" s="255"/>
      <c r="N6" s="255"/>
      <c r="O6" s="255"/>
      <c r="P6" s="255"/>
      <c r="Q6" s="255"/>
      <c r="R6" s="255"/>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row>
    <row r="7" spans="1:192" ht="15" customHeight="1" x14ac:dyDescent="0.35">
      <c r="A7" s="271"/>
      <c r="B7" s="272"/>
      <c r="C7" s="272"/>
      <c r="D7" s="273"/>
      <c r="E7" s="34"/>
      <c r="F7" s="34"/>
      <c r="G7" s="36">
        <f>IF(ISERROR(Value!AG$6),"",Value!AG$6)</f>
        <v>0</v>
      </c>
      <c r="H7" s="256"/>
      <c r="I7" s="256"/>
      <c r="J7" s="256"/>
      <c r="K7" s="256"/>
      <c r="L7" s="256"/>
      <c r="M7" s="256"/>
      <c r="N7" s="256"/>
      <c r="O7" s="256"/>
      <c r="P7" s="256"/>
      <c r="Q7" s="256"/>
      <c r="R7" s="25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row>
    <row r="8" spans="1:192" ht="16.899999999999999" customHeight="1" x14ac:dyDescent="0.35">
      <c r="A8" s="271"/>
      <c r="B8" s="272"/>
      <c r="C8" s="272"/>
      <c r="D8" s="273"/>
      <c r="E8" s="34"/>
      <c r="F8" s="34"/>
      <c r="G8" s="36"/>
      <c r="H8" s="36"/>
      <c r="I8" s="36"/>
      <c r="J8" s="36"/>
      <c r="K8" s="36"/>
      <c r="L8" s="36"/>
      <c r="M8" s="36"/>
      <c r="N8" s="36"/>
      <c r="O8" s="36"/>
      <c r="P8" s="3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row>
    <row r="9" spans="1:192" s="99" customFormat="1" ht="22.5" customHeight="1" x14ac:dyDescent="0.35">
      <c r="A9" s="274"/>
      <c r="B9" s="275"/>
      <c r="C9" s="275"/>
      <c r="D9" s="276"/>
      <c r="E9" s="34"/>
      <c r="F9" s="37"/>
      <c r="G9" s="112"/>
      <c r="H9" s="112"/>
      <c r="I9" s="112"/>
      <c r="J9" s="57"/>
      <c r="K9" s="57"/>
      <c r="L9" s="57"/>
      <c r="M9" s="57"/>
      <c r="N9" s="57"/>
      <c r="O9" s="57"/>
      <c r="P9" s="5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row>
    <row r="10" spans="1:192" x14ac:dyDescent="0.35">
      <c r="A10" s="247" t="s">
        <v>0</v>
      </c>
      <c r="B10" s="247" t="s">
        <v>258</v>
      </c>
      <c r="C10" s="247" t="s">
        <v>232</v>
      </c>
      <c r="D10" s="248" t="s">
        <v>21</v>
      </c>
      <c r="E10" s="249" t="s">
        <v>609</v>
      </c>
      <c r="F10" s="2" t="s">
        <v>8</v>
      </c>
      <c r="G10" s="1" t="s">
        <v>415</v>
      </c>
      <c r="H10" s="1" t="s">
        <v>416</v>
      </c>
      <c r="I10" s="1" t="s">
        <v>417</v>
      </c>
      <c r="J10" s="1" t="s">
        <v>225</v>
      </c>
      <c r="K10" s="1" t="s">
        <v>226</v>
      </c>
      <c r="L10" s="1" t="s">
        <v>227</v>
      </c>
      <c r="M10" s="1" t="s">
        <v>228</v>
      </c>
      <c r="N10" s="1" t="s">
        <v>229</v>
      </c>
      <c r="O10" s="1" t="s">
        <v>230</v>
      </c>
      <c r="P10" s="1" t="s">
        <v>48</v>
      </c>
      <c r="Q10" s="1" t="s">
        <v>49</v>
      </c>
      <c r="R10" s="1" t="s">
        <v>50</v>
      </c>
      <c r="S10" s="1" t="s">
        <v>51</v>
      </c>
      <c r="T10" s="1" t="s">
        <v>52</v>
      </c>
      <c r="U10" s="1" t="s">
        <v>53</v>
      </c>
      <c r="V10" s="1" t="s">
        <v>54</v>
      </c>
      <c r="W10" s="1" t="s">
        <v>55</v>
      </c>
      <c r="X10" s="1" t="s">
        <v>56</v>
      </c>
      <c r="Y10" s="1" t="s">
        <v>57</v>
      </c>
      <c r="Z10" s="1" t="s">
        <v>58</v>
      </c>
      <c r="AA10" s="1" t="s">
        <v>59</v>
      </c>
      <c r="AB10" s="1" t="s">
        <v>60</v>
      </c>
      <c r="AC10" s="1" t="s">
        <v>61</v>
      </c>
      <c r="AD10" s="1" t="s">
        <v>62</v>
      </c>
      <c r="AE10" s="1" t="s">
        <v>63</v>
      </c>
      <c r="AF10" s="1" t="s">
        <v>64</v>
      </c>
      <c r="AG10" s="1" t="s">
        <v>65</v>
      </c>
      <c r="AH10" s="1" t="s">
        <v>66</v>
      </c>
      <c r="AI10" s="1" t="s">
        <v>67</v>
      </c>
      <c r="AJ10" s="1" t="s">
        <v>68</v>
      </c>
      <c r="AK10" s="1" t="s">
        <v>69</v>
      </c>
      <c r="AL10" s="1" t="s">
        <v>70</v>
      </c>
      <c r="AM10" s="1" t="s">
        <v>71</v>
      </c>
      <c r="AN10" s="1" t="s">
        <v>72</v>
      </c>
      <c r="AO10" s="1" t="s">
        <v>73</v>
      </c>
      <c r="AP10" s="1" t="s">
        <v>74</v>
      </c>
      <c r="AQ10" s="1" t="s">
        <v>75</v>
      </c>
      <c r="AR10" s="1" t="s">
        <v>76</v>
      </c>
      <c r="AS10" s="1" t="s">
        <v>77</v>
      </c>
      <c r="AT10" s="1" t="s">
        <v>78</v>
      </c>
      <c r="AU10" s="1" t="s">
        <v>79</v>
      </c>
      <c r="AV10" s="1" t="s">
        <v>80</v>
      </c>
      <c r="AW10" s="1" t="s">
        <v>81</v>
      </c>
      <c r="AX10" s="1" t="s">
        <v>82</v>
      </c>
      <c r="AY10" s="1" t="s">
        <v>83</v>
      </c>
      <c r="AZ10" s="1" t="s">
        <v>84</v>
      </c>
      <c r="BA10" s="1" t="s">
        <v>85</v>
      </c>
      <c r="BB10" s="1" t="s">
        <v>86</v>
      </c>
      <c r="BC10" s="1" t="s">
        <v>87</v>
      </c>
      <c r="BD10" s="1" t="s">
        <v>88</v>
      </c>
      <c r="BE10" s="1" t="s">
        <v>89</v>
      </c>
      <c r="BF10" s="1" t="s">
        <v>90</v>
      </c>
      <c r="BG10" s="1" t="s">
        <v>91</v>
      </c>
      <c r="BH10" s="1" t="s">
        <v>92</v>
      </c>
      <c r="BI10" s="1" t="s">
        <v>93</v>
      </c>
      <c r="BJ10" s="1" t="s">
        <v>94</v>
      </c>
      <c r="BK10" s="1" t="s">
        <v>95</v>
      </c>
      <c r="BL10" s="1" t="s">
        <v>96</v>
      </c>
      <c r="BM10" s="1" t="s">
        <v>97</v>
      </c>
      <c r="BN10" s="1" t="s">
        <v>98</v>
      </c>
      <c r="BO10" s="1" t="s">
        <v>99</v>
      </c>
      <c r="BP10" s="1" t="s">
        <v>100</v>
      </c>
      <c r="BQ10" s="1" t="s">
        <v>101</v>
      </c>
      <c r="BR10" s="1" t="s">
        <v>102</v>
      </c>
      <c r="BS10" s="1" t="s">
        <v>103</v>
      </c>
      <c r="BT10" s="1" t="s">
        <v>104</v>
      </c>
      <c r="BU10" s="1" t="s">
        <v>105</v>
      </c>
      <c r="BV10" s="1" t="s">
        <v>106</v>
      </c>
      <c r="BW10" s="1" t="s">
        <v>107</v>
      </c>
      <c r="BX10" s="1" t="s">
        <v>108</v>
      </c>
      <c r="BY10" s="1" t="s">
        <v>109</v>
      </c>
      <c r="BZ10" s="1" t="s">
        <v>110</v>
      </c>
      <c r="CA10" s="1" t="s">
        <v>111</v>
      </c>
      <c r="CB10" s="1" t="s">
        <v>112</v>
      </c>
      <c r="CC10" s="1" t="s">
        <v>113</v>
      </c>
      <c r="CD10" s="1" t="s">
        <v>114</v>
      </c>
      <c r="CE10" s="1" t="s">
        <v>115</v>
      </c>
      <c r="CF10" s="1" t="s">
        <v>116</v>
      </c>
      <c r="CG10" s="1" t="s">
        <v>117</v>
      </c>
      <c r="CH10" s="1" t="s">
        <v>118</v>
      </c>
      <c r="CI10" s="1" t="s">
        <v>119</v>
      </c>
      <c r="CJ10" s="1" t="s">
        <v>120</v>
      </c>
      <c r="CK10" s="1" t="s">
        <v>121</v>
      </c>
      <c r="CL10" s="1" t="s">
        <v>122</v>
      </c>
      <c r="CM10" s="1" t="s">
        <v>123</v>
      </c>
      <c r="CN10" s="1" t="s">
        <v>124</v>
      </c>
      <c r="CO10" s="1" t="s">
        <v>125</v>
      </c>
      <c r="CP10" s="1" t="s">
        <v>126</v>
      </c>
      <c r="CQ10" s="1" t="s">
        <v>127</v>
      </c>
      <c r="CR10" s="1" t="s">
        <v>128</v>
      </c>
      <c r="CS10" s="1" t="s">
        <v>129</v>
      </c>
      <c r="CT10" s="1" t="s">
        <v>130</v>
      </c>
      <c r="CU10" s="1" t="s">
        <v>131</v>
      </c>
      <c r="CV10" s="1" t="s">
        <v>132</v>
      </c>
      <c r="CW10" s="1" t="s">
        <v>133</v>
      </c>
      <c r="CX10" s="1" t="s">
        <v>134</v>
      </c>
      <c r="CY10" s="1" t="s">
        <v>135</v>
      </c>
      <c r="CZ10" s="1" t="s">
        <v>136</v>
      </c>
      <c r="DA10" s="1" t="s">
        <v>137</v>
      </c>
      <c r="DB10" s="1" t="s">
        <v>138</v>
      </c>
      <c r="DC10" s="1" t="s">
        <v>139</v>
      </c>
      <c r="DD10" s="1" t="s">
        <v>140</v>
      </c>
      <c r="DE10" s="1" t="s">
        <v>141</v>
      </c>
      <c r="DF10" s="1" t="s">
        <v>142</v>
      </c>
      <c r="DG10" s="1" t="s">
        <v>143</v>
      </c>
      <c r="DH10" s="1" t="s">
        <v>144</v>
      </c>
      <c r="DI10" s="1" t="s">
        <v>145</v>
      </c>
      <c r="DJ10" s="1" t="s">
        <v>146</v>
      </c>
      <c r="DK10" s="1" t="s">
        <v>147</v>
      </c>
      <c r="DL10" s="1" t="s">
        <v>148</v>
      </c>
      <c r="DM10" s="1" t="s">
        <v>149</v>
      </c>
      <c r="DN10" s="1" t="s">
        <v>150</v>
      </c>
      <c r="DO10" s="1" t="s">
        <v>151</v>
      </c>
      <c r="DP10" s="1" t="s">
        <v>152</v>
      </c>
      <c r="DQ10" s="1" t="s">
        <v>153</v>
      </c>
      <c r="DR10" s="1" t="s">
        <v>154</v>
      </c>
      <c r="DS10" s="1" t="s">
        <v>155</v>
      </c>
      <c r="DT10" s="1" t="s">
        <v>156</v>
      </c>
      <c r="DU10" s="1" t="s">
        <v>157</v>
      </c>
      <c r="DV10" s="1" t="s">
        <v>158</v>
      </c>
      <c r="DW10" s="1" t="s">
        <v>159</v>
      </c>
      <c r="DX10" s="1" t="s">
        <v>160</v>
      </c>
      <c r="DY10" s="1" t="s">
        <v>161</v>
      </c>
      <c r="DZ10" s="1" t="s">
        <v>162</v>
      </c>
      <c r="EA10" s="1" t="s">
        <v>163</v>
      </c>
      <c r="EB10" s="1" t="s">
        <v>164</v>
      </c>
      <c r="EC10" s="1" t="s">
        <v>165</v>
      </c>
      <c r="ED10" s="1" t="s">
        <v>166</v>
      </c>
      <c r="EE10" s="1" t="s">
        <v>167</v>
      </c>
      <c r="EF10" s="1" t="s">
        <v>168</v>
      </c>
      <c r="EG10" s="1" t="s">
        <v>169</v>
      </c>
      <c r="EH10" s="1" t="s">
        <v>170</v>
      </c>
      <c r="EI10" s="1" t="s">
        <v>171</v>
      </c>
      <c r="EJ10" s="1" t="s">
        <v>172</v>
      </c>
      <c r="EK10" s="1" t="s">
        <v>173</v>
      </c>
      <c r="EL10" s="1" t="s">
        <v>174</v>
      </c>
      <c r="EM10" s="1" t="s">
        <v>175</v>
      </c>
      <c r="EN10" s="1" t="s">
        <v>176</v>
      </c>
      <c r="EO10" s="1" t="s">
        <v>177</v>
      </c>
      <c r="EP10" s="1" t="s">
        <v>178</v>
      </c>
      <c r="EQ10" s="1" t="s">
        <v>179</v>
      </c>
      <c r="ER10" s="1" t="s">
        <v>180</v>
      </c>
      <c r="ES10" s="1" t="s">
        <v>181</v>
      </c>
      <c r="ET10" s="1" t="s">
        <v>182</v>
      </c>
      <c r="EU10" s="1" t="s">
        <v>183</v>
      </c>
      <c r="EV10" s="1" t="s">
        <v>184</v>
      </c>
      <c r="EW10" s="1" t="s">
        <v>185</v>
      </c>
      <c r="EX10" s="1" t="s">
        <v>186</v>
      </c>
      <c r="EY10" s="1" t="s">
        <v>187</v>
      </c>
      <c r="EZ10" s="1" t="s">
        <v>188</v>
      </c>
      <c r="FA10" s="1" t="s">
        <v>189</v>
      </c>
      <c r="FB10" s="1" t="s">
        <v>190</v>
      </c>
      <c r="FC10" s="1" t="s">
        <v>191</v>
      </c>
      <c r="FD10" s="1" t="s">
        <v>192</v>
      </c>
      <c r="FE10" s="1" t="s">
        <v>193</v>
      </c>
      <c r="FF10" s="1" t="s">
        <v>194</v>
      </c>
      <c r="FG10" s="1" t="s">
        <v>195</v>
      </c>
      <c r="FH10" s="1" t="s">
        <v>196</v>
      </c>
      <c r="FI10" s="1" t="s">
        <v>197</v>
      </c>
      <c r="FJ10" s="1" t="s">
        <v>198</v>
      </c>
      <c r="FK10" s="1" t="s">
        <v>199</v>
      </c>
      <c r="FL10" s="1" t="s">
        <v>200</v>
      </c>
      <c r="FM10" s="1" t="s">
        <v>201</v>
      </c>
      <c r="FN10" s="1" t="s">
        <v>202</v>
      </c>
      <c r="FO10" s="1" t="s">
        <v>203</v>
      </c>
      <c r="FP10" s="1" t="s">
        <v>204</v>
      </c>
      <c r="FQ10" s="1" t="s">
        <v>205</v>
      </c>
      <c r="FR10" s="1" t="s">
        <v>206</v>
      </c>
      <c r="FS10" s="1" t="s">
        <v>207</v>
      </c>
      <c r="FT10" s="1" t="s">
        <v>208</v>
      </c>
      <c r="FU10" s="1" t="s">
        <v>209</v>
      </c>
      <c r="FV10" s="1" t="s">
        <v>210</v>
      </c>
      <c r="FW10" s="1" t="s">
        <v>211</v>
      </c>
      <c r="FX10" s="1" t="s">
        <v>212</v>
      </c>
      <c r="FY10" s="1" t="s">
        <v>213</v>
      </c>
      <c r="FZ10" s="1" t="s">
        <v>214</v>
      </c>
      <c r="GA10" s="1" t="s">
        <v>215</v>
      </c>
      <c r="GB10" s="1" t="s">
        <v>216</v>
      </c>
      <c r="GC10" s="1" t="s">
        <v>217</v>
      </c>
      <c r="GD10" s="1" t="s">
        <v>218</v>
      </c>
      <c r="GE10" s="1" t="s">
        <v>219</v>
      </c>
      <c r="GF10" s="1" t="s">
        <v>220</v>
      </c>
      <c r="GG10" s="1" t="s">
        <v>221</v>
      </c>
      <c r="GH10" s="1" t="s">
        <v>222</v>
      </c>
      <c r="GI10" s="1" t="s">
        <v>223</v>
      </c>
      <c r="GJ10" s="1" t="s">
        <v>224</v>
      </c>
    </row>
    <row r="11" spans="1:192" ht="50.15" customHeight="1" x14ac:dyDescent="0.35">
      <c r="A11" s="160" t="s">
        <v>3</v>
      </c>
      <c r="B11" s="179" t="s">
        <v>260</v>
      </c>
      <c r="C11" s="151" t="s">
        <v>431</v>
      </c>
      <c r="D11" s="182" t="s">
        <v>22</v>
      </c>
      <c r="E11" s="159" t="s">
        <v>679</v>
      </c>
      <c r="F11" s="230"/>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row>
    <row r="12" spans="1:192" ht="50.15" customHeight="1" outlineLevel="1" x14ac:dyDescent="0.35">
      <c r="A12" s="160" t="s">
        <v>3</v>
      </c>
      <c r="B12" s="212" t="s">
        <v>262</v>
      </c>
      <c r="C12" s="213" t="s">
        <v>432</v>
      </c>
      <c r="D12" s="214" t="s">
        <v>22</v>
      </c>
      <c r="E12" s="215" t="s">
        <v>518</v>
      </c>
      <c r="F12" s="228"/>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row>
    <row r="13" spans="1:192" ht="50.15" customHeight="1" x14ac:dyDescent="0.35">
      <c r="A13" s="160" t="s">
        <v>3</v>
      </c>
      <c r="B13" s="179" t="s">
        <v>263</v>
      </c>
      <c r="C13" s="151" t="s">
        <v>433</v>
      </c>
      <c r="D13" s="182" t="s">
        <v>22</v>
      </c>
      <c r="E13" s="156" t="s">
        <v>680</v>
      </c>
      <c r="F13" s="230"/>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row>
    <row r="14" spans="1:192" ht="50.15" customHeight="1" outlineLevel="1" x14ac:dyDescent="0.35">
      <c r="A14" s="160" t="s">
        <v>3</v>
      </c>
      <c r="B14" s="212" t="s">
        <v>264</v>
      </c>
      <c r="C14" s="213" t="s">
        <v>231</v>
      </c>
      <c r="D14" s="214" t="s">
        <v>22</v>
      </c>
      <c r="E14" s="217" t="s">
        <v>519</v>
      </c>
      <c r="F14" s="228"/>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row>
    <row r="15" spans="1:192" ht="50.15" customHeight="1" outlineLevel="1" x14ac:dyDescent="0.35">
      <c r="A15" s="160" t="s">
        <v>3</v>
      </c>
      <c r="B15" s="179" t="s">
        <v>265</v>
      </c>
      <c r="C15" s="151" t="s">
        <v>434</v>
      </c>
      <c r="D15" s="182" t="s">
        <v>22</v>
      </c>
      <c r="E15" s="156" t="s">
        <v>520</v>
      </c>
      <c r="F15" s="230"/>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1"/>
      <c r="DX15" s="111"/>
      <c r="DY15" s="111"/>
      <c r="DZ15" s="111"/>
      <c r="EA15" s="111"/>
      <c r="EB15" s="111"/>
      <c r="EC15" s="111"/>
      <c r="ED15" s="111"/>
      <c r="EE15" s="111"/>
      <c r="EF15" s="111"/>
      <c r="EG15" s="111"/>
      <c r="EH15" s="111"/>
      <c r="EI15" s="111"/>
      <c r="EJ15" s="111"/>
      <c r="EK15" s="111"/>
      <c r="EL15" s="111"/>
      <c r="EM15" s="111"/>
      <c r="EN15" s="111"/>
      <c r="EO15" s="111"/>
      <c r="EP15" s="111"/>
      <c r="EQ15" s="111"/>
      <c r="ER15" s="111"/>
      <c r="ES15" s="111"/>
      <c r="ET15" s="111"/>
      <c r="EU15" s="111"/>
      <c r="EV15" s="111"/>
      <c r="EW15" s="111"/>
      <c r="EX15" s="111"/>
      <c r="EY15" s="111"/>
      <c r="EZ15" s="111"/>
      <c r="FA15" s="111"/>
      <c r="FB15" s="111"/>
      <c r="FC15" s="111"/>
      <c r="FD15" s="111"/>
      <c r="FE15" s="111"/>
      <c r="FF15" s="111"/>
      <c r="FG15" s="111"/>
      <c r="FH15" s="111"/>
      <c r="FI15" s="111"/>
      <c r="FJ15" s="111"/>
      <c r="FK15" s="111"/>
      <c r="FL15" s="111"/>
      <c r="FM15" s="111"/>
      <c r="FN15" s="111"/>
      <c r="FO15" s="111"/>
      <c r="FP15" s="111"/>
      <c r="FQ15" s="111"/>
      <c r="FR15" s="111"/>
      <c r="FS15" s="111"/>
      <c r="FT15" s="111"/>
      <c r="FU15" s="111"/>
      <c r="FV15" s="111"/>
      <c r="FW15" s="111"/>
      <c r="FX15" s="111"/>
      <c r="FY15" s="111"/>
      <c r="FZ15" s="111"/>
      <c r="GA15" s="111"/>
      <c r="GB15" s="111"/>
      <c r="GC15" s="111"/>
      <c r="GD15" s="111"/>
      <c r="GE15" s="111"/>
      <c r="GF15" s="111"/>
      <c r="GG15" s="111"/>
      <c r="GH15" s="111"/>
      <c r="GI15" s="111"/>
      <c r="GJ15" s="111"/>
    </row>
    <row r="16" spans="1:192" ht="50.15" customHeight="1" outlineLevel="1" x14ac:dyDescent="0.35">
      <c r="A16" s="160" t="s">
        <v>3</v>
      </c>
      <c r="B16" s="212" t="s">
        <v>266</v>
      </c>
      <c r="C16" s="213" t="s">
        <v>435</v>
      </c>
      <c r="D16" s="214" t="s">
        <v>22</v>
      </c>
      <c r="E16" s="215" t="s">
        <v>521</v>
      </c>
      <c r="F16" s="228"/>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row>
    <row r="17" spans="1:192" ht="50.15" customHeight="1" outlineLevel="1" x14ac:dyDescent="0.35">
      <c r="A17" s="160" t="s">
        <v>3</v>
      </c>
      <c r="B17" s="179" t="s">
        <v>267</v>
      </c>
      <c r="C17" s="151" t="s">
        <v>436</v>
      </c>
      <c r="D17" s="182" t="s">
        <v>22</v>
      </c>
      <c r="E17" s="156" t="s">
        <v>522</v>
      </c>
      <c r="F17" s="230"/>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row>
    <row r="18" spans="1:192" ht="50.15" customHeight="1" outlineLevel="1" x14ac:dyDescent="0.35">
      <c r="A18" s="160" t="s">
        <v>3</v>
      </c>
      <c r="B18" s="212" t="s">
        <v>269</v>
      </c>
      <c r="C18" s="213" t="s">
        <v>437</v>
      </c>
      <c r="D18" s="214" t="s">
        <v>23</v>
      </c>
      <c r="E18" s="215" t="s">
        <v>681</v>
      </c>
      <c r="F18" s="228"/>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row>
    <row r="19" spans="1:192" ht="50.15" customHeight="1" outlineLevel="1" x14ac:dyDescent="0.35">
      <c r="A19" s="160" t="s">
        <v>3</v>
      </c>
      <c r="B19" s="179" t="s">
        <v>271</v>
      </c>
      <c r="C19" s="151" t="s">
        <v>438</v>
      </c>
      <c r="D19" s="182" t="s">
        <v>22</v>
      </c>
      <c r="E19" s="159" t="s">
        <v>523</v>
      </c>
      <c r="F19" s="230"/>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row>
    <row r="20" spans="1:192" ht="50.15" customHeight="1" outlineLevel="1" x14ac:dyDescent="0.35">
      <c r="A20" s="161" t="s">
        <v>37</v>
      </c>
      <c r="B20" s="180" t="s">
        <v>272</v>
      </c>
      <c r="C20" s="152" t="s">
        <v>421</v>
      </c>
      <c r="D20" s="183" t="s">
        <v>22</v>
      </c>
      <c r="E20" s="158" t="s">
        <v>524</v>
      </c>
      <c r="F20" s="23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row>
    <row r="21" spans="1:192" ht="50.15" customHeight="1" outlineLevel="1" x14ac:dyDescent="0.35">
      <c r="A21" s="161" t="s">
        <v>37</v>
      </c>
      <c r="B21" s="179" t="s">
        <v>273</v>
      </c>
      <c r="C21" s="151" t="s">
        <v>422</v>
      </c>
      <c r="D21" s="182" t="s">
        <v>22</v>
      </c>
      <c r="E21" s="159" t="s">
        <v>525</v>
      </c>
      <c r="F21" s="230"/>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11"/>
      <c r="GC21" s="111"/>
      <c r="GD21" s="111"/>
      <c r="GE21" s="111"/>
      <c r="GF21" s="111"/>
      <c r="GG21" s="111"/>
      <c r="GH21" s="111"/>
      <c r="GI21" s="111"/>
      <c r="GJ21" s="111"/>
    </row>
    <row r="22" spans="1:192" ht="50.15" customHeight="1" outlineLevel="1" x14ac:dyDescent="0.35">
      <c r="A22" s="160" t="s">
        <v>1</v>
      </c>
      <c r="B22" s="180" t="s">
        <v>274</v>
      </c>
      <c r="C22" s="152" t="s">
        <v>439</v>
      </c>
      <c r="D22" s="183" t="s">
        <v>22</v>
      </c>
      <c r="E22" s="158" t="s">
        <v>526</v>
      </c>
      <c r="F22" s="23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c r="CY22" s="111"/>
      <c r="CZ22" s="111"/>
      <c r="DA22" s="111"/>
      <c r="DB22" s="111"/>
      <c r="DC22" s="111"/>
      <c r="DD22" s="111"/>
      <c r="DE22" s="111"/>
      <c r="DF22" s="111"/>
      <c r="DG22" s="111"/>
      <c r="DH22" s="111"/>
      <c r="DI22" s="111"/>
      <c r="DJ22" s="111"/>
      <c r="DK22" s="111"/>
      <c r="DL22" s="111"/>
      <c r="DM22" s="111"/>
      <c r="DN22" s="111"/>
      <c r="DO22" s="111"/>
      <c r="DP22" s="111"/>
      <c r="DQ22" s="111"/>
      <c r="DR22" s="111"/>
      <c r="DS22" s="111"/>
      <c r="DT22" s="111"/>
      <c r="DU22" s="111"/>
      <c r="DV22" s="111"/>
      <c r="DW22" s="111"/>
      <c r="DX22" s="111"/>
      <c r="DY22" s="111"/>
      <c r="DZ22" s="111"/>
      <c r="EA22" s="111"/>
      <c r="EB22" s="111"/>
      <c r="EC22" s="111"/>
      <c r="ED22" s="111"/>
      <c r="EE22" s="111"/>
      <c r="EF22" s="111"/>
      <c r="EG22" s="111"/>
      <c r="EH22" s="111"/>
      <c r="EI22" s="111"/>
      <c r="EJ22" s="111"/>
      <c r="EK22" s="111"/>
      <c r="EL22" s="111"/>
      <c r="EM22" s="111"/>
      <c r="EN22" s="111"/>
      <c r="EO22" s="111"/>
      <c r="EP22" s="111"/>
      <c r="EQ22" s="111"/>
      <c r="ER22" s="111"/>
      <c r="ES22" s="111"/>
      <c r="ET22" s="111"/>
      <c r="EU22" s="111"/>
      <c r="EV22" s="111"/>
      <c r="EW22" s="111"/>
      <c r="EX22" s="111"/>
      <c r="EY22" s="111"/>
      <c r="EZ22" s="111"/>
      <c r="FA22" s="111"/>
      <c r="FB22" s="111"/>
      <c r="FC22" s="111"/>
      <c r="FD22" s="111"/>
      <c r="FE22" s="111"/>
      <c r="FF22" s="111"/>
      <c r="FG22" s="111"/>
      <c r="FH22" s="111"/>
      <c r="FI22" s="111"/>
      <c r="FJ22" s="111"/>
      <c r="FK22" s="111"/>
      <c r="FL22" s="111"/>
      <c r="FM22" s="111"/>
      <c r="FN22" s="111"/>
      <c r="FO22" s="111"/>
      <c r="FP22" s="111"/>
      <c r="FQ22" s="111"/>
      <c r="FR22" s="111"/>
      <c r="FS22" s="111"/>
      <c r="FT22" s="111"/>
      <c r="FU22" s="111"/>
      <c r="FV22" s="111"/>
      <c r="FW22" s="111"/>
      <c r="FX22" s="111"/>
      <c r="FY22" s="111"/>
      <c r="FZ22" s="111"/>
      <c r="GA22" s="111"/>
      <c r="GB22" s="111"/>
      <c r="GC22" s="111"/>
      <c r="GD22" s="111"/>
      <c r="GE22" s="111"/>
      <c r="GF22" s="111"/>
      <c r="GG22" s="111"/>
      <c r="GH22" s="111"/>
      <c r="GI22" s="111"/>
      <c r="GJ22" s="111"/>
    </row>
    <row r="23" spans="1:192" ht="50.15" customHeight="1" outlineLevel="1" x14ac:dyDescent="0.35">
      <c r="A23" s="160" t="s">
        <v>1</v>
      </c>
      <c r="B23" s="179" t="s">
        <v>275</v>
      </c>
      <c r="C23" s="151" t="s">
        <v>440</v>
      </c>
      <c r="D23" s="182" t="s">
        <v>23</v>
      </c>
      <c r="E23" s="156" t="s">
        <v>527</v>
      </c>
      <c r="F23" s="230"/>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c r="CY23" s="111"/>
      <c r="CZ23" s="111"/>
      <c r="DA23" s="111"/>
      <c r="DB23" s="111"/>
      <c r="DC23" s="111"/>
      <c r="DD23" s="111"/>
      <c r="DE23" s="111"/>
      <c r="DF23" s="111"/>
      <c r="DG23" s="111"/>
      <c r="DH23" s="111"/>
      <c r="DI23" s="111"/>
      <c r="DJ23" s="111"/>
      <c r="DK23" s="111"/>
      <c r="DL23" s="111"/>
      <c r="DM23" s="111"/>
      <c r="DN23" s="111"/>
      <c r="DO23" s="111"/>
      <c r="DP23" s="111"/>
      <c r="DQ23" s="111"/>
      <c r="DR23" s="111"/>
      <c r="DS23" s="111"/>
      <c r="DT23" s="111"/>
      <c r="DU23" s="111"/>
      <c r="DV23" s="111"/>
      <c r="DW23" s="111"/>
      <c r="DX23" s="111"/>
      <c r="DY23" s="111"/>
      <c r="DZ23" s="111"/>
      <c r="EA23" s="111"/>
      <c r="EB23" s="111"/>
      <c r="EC23" s="111"/>
      <c r="ED23" s="111"/>
      <c r="EE23" s="111"/>
      <c r="EF23" s="111"/>
      <c r="EG23" s="111"/>
      <c r="EH23" s="111"/>
      <c r="EI23" s="111"/>
      <c r="EJ23" s="111"/>
      <c r="EK23" s="111"/>
      <c r="EL23" s="111"/>
      <c r="EM23" s="111"/>
      <c r="EN23" s="111"/>
      <c r="EO23" s="111"/>
      <c r="EP23" s="111"/>
      <c r="EQ23" s="111"/>
      <c r="ER23" s="111"/>
      <c r="ES23" s="111"/>
      <c r="ET23" s="111"/>
      <c r="EU23" s="111"/>
      <c r="EV23" s="111"/>
      <c r="EW23" s="111"/>
      <c r="EX23" s="111"/>
      <c r="EY23" s="111"/>
      <c r="EZ23" s="111"/>
      <c r="FA23" s="111"/>
      <c r="FB23" s="111"/>
      <c r="FC23" s="111"/>
      <c r="FD23" s="111"/>
      <c r="FE23" s="111"/>
      <c r="FF23" s="111"/>
      <c r="FG23" s="111"/>
      <c r="FH23" s="111"/>
      <c r="FI23" s="111"/>
      <c r="FJ23" s="111"/>
      <c r="FK23" s="111"/>
      <c r="FL23" s="111"/>
      <c r="FM23" s="111"/>
      <c r="FN23" s="111"/>
      <c r="FO23" s="111"/>
      <c r="FP23" s="111"/>
      <c r="FQ23" s="111"/>
      <c r="FR23" s="111"/>
      <c r="FS23" s="111"/>
      <c r="FT23" s="111"/>
      <c r="FU23" s="111"/>
      <c r="FV23" s="111"/>
      <c r="FW23" s="111"/>
      <c r="FX23" s="111"/>
      <c r="FY23" s="111"/>
      <c r="FZ23" s="111"/>
      <c r="GA23" s="111"/>
      <c r="GB23" s="111"/>
      <c r="GC23" s="111"/>
      <c r="GD23" s="111"/>
      <c r="GE23" s="111"/>
      <c r="GF23" s="111"/>
      <c r="GG23" s="111"/>
      <c r="GH23" s="111"/>
      <c r="GI23" s="111"/>
      <c r="GJ23" s="111"/>
    </row>
    <row r="24" spans="1:192" ht="50.15" customHeight="1" outlineLevel="1" x14ac:dyDescent="0.35">
      <c r="A24" s="160" t="s">
        <v>1</v>
      </c>
      <c r="B24" s="180" t="s">
        <v>276</v>
      </c>
      <c r="C24" s="152" t="s">
        <v>441</v>
      </c>
      <c r="D24" s="183" t="s">
        <v>23</v>
      </c>
      <c r="E24" s="158" t="s">
        <v>528</v>
      </c>
      <c r="F24" s="23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c r="DZ24" s="111"/>
      <c r="EA24" s="111"/>
      <c r="EB24" s="111"/>
      <c r="EC24" s="111"/>
      <c r="ED24" s="111"/>
      <c r="EE24" s="111"/>
      <c r="EF24" s="111"/>
      <c r="EG24" s="111"/>
      <c r="EH24" s="111"/>
      <c r="EI24" s="111"/>
      <c r="EJ24" s="111"/>
      <c r="EK24" s="111"/>
      <c r="EL24" s="111"/>
      <c r="EM24" s="111"/>
      <c r="EN24" s="111"/>
      <c r="EO24" s="111"/>
      <c r="EP24" s="111"/>
      <c r="EQ24" s="111"/>
      <c r="ER24" s="111"/>
      <c r="ES24" s="111"/>
      <c r="ET24" s="111"/>
      <c r="EU24" s="111"/>
      <c r="EV24" s="111"/>
      <c r="EW24" s="111"/>
      <c r="EX24" s="111"/>
      <c r="EY24" s="111"/>
      <c r="EZ24" s="111"/>
      <c r="FA24" s="111"/>
      <c r="FB24" s="111"/>
      <c r="FC24" s="111"/>
      <c r="FD24" s="111"/>
      <c r="FE24" s="111"/>
      <c r="FF24" s="111"/>
      <c r="FG24" s="111"/>
      <c r="FH24" s="111"/>
      <c r="FI24" s="111"/>
      <c r="FJ24" s="111"/>
      <c r="FK24" s="111"/>
      <c r="FL24" s="111"/>
      <c r="FM24" s="111"/>
      <c r="FN24" s="111"/>
      <c r="FO24" s="111"/>
      <c r="FP24" s="111"/>
      <c r="FQ24" s="111"/>
      <c r="FR24" s="111"/>
      <c r="FS24" s="111"/>
      <c r="FT24" s="111"/>
      <c r="FU24" s="111"/>
      <c r="FV24" s="111"/>
      <c r="FW24" s="111"/>
      <c r="FX24" s="111"/>
      <c r="FY24" s="111"/>
      <c r="FZ24" s="111"/>
      <c r="GA24" s="111"/>
      <c r="GB24" s="111"/>
      <c r="GC24" s="111"/>
      <c r="GD24" s="111"/>
      <c r="GE24" s="111"/>
      <c r="GF24" s="111"/>
      <c r="GG24" s="111"/>
      <c r="GH24" s="111"/>
      <c r="GI24" s="111"/>
      <c r="GJ24" s="111"/>
    </row>
    <row r="25" spans="1:192" ht="50.15" customHeight="1" outlineLevel="1" x14ac:dyDescent="0.35">
      <c r="A25" s="161" t="s">
        <v>4</v>
      </c>
      <c r="B25" s="179" t="s">
        <v>277</v>
      </c>
      <c r="C25" s="151" t="s">
        <v>442</v>
      </c>
      <c r="D25" s="182" t="s">
        <v>22</v>
      </c>
      <c r="E25" s="156" t="s">
        <v>529</v>
      </c>
      <c r="F25" s="230"/>
      <c r="G25" s="83"/>
      <c r="H25" s="83"/>
      <c r="I25" s="83"/>
      <c r="J25" s="83"/>
      <c r="K25" s="83"/>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c r="CY25" s="111"/>
      <c r="CZ25" s="111"/>
      <c r="DA25" s="111"/>
      <c r="DB25" s="111"/>
      <c r="DC25" s="111"/>
      <c r="DD25" s="111"/>
      <c r="DE25" s="111"/>
      <c r="DF25" s="111"/>
      <c r="DG25" s="111"/>
      <c r="DH25" s="111"/>
      <c r="DI25" s="111"/>
      <c r="DJ25" s="111"/>
      <c r="DK25" s="111"/>
      <c r="DL25" s="111"/>
      <c r="DM25" s="111"/>
      <c r="DN25" s="111"/>
      <c r="DO25" s="111"/>
      <c r="DP25" s="111"/>
      <c r="DQ25" s="111"/>
      <c r="DR25" s="111"/>
      <c r="DS25" s="111"/>
      <c r="DT25" s="111"/>
      <c r="DU25" s="111"/>
      <c r="DV25" s="111"/>
      <c r="DW25" s="111"/>
      <c r="DX25" s="111"/>
      <c r="DY25" s="111"/>
      <c r="DZ25" s="111"/>
      <c r="EA25" s="111"/>
      <c r="EB25" s="111"/>
      <c r="EC25" s="111"/>
      <c r="ED25" s="111"/>
      <c r="EE25" s="111"/>
      <c r="EF25" s="111"/>
      <c r="EG25" s="111"/>
      <c r="EH25" s="111"/>
      <c r="EI25" s="111"/>
      <c r="EJ25" s="111"/>
      <c r="EK25" s="111"/>
      <c r="EL25" s="111"/>
      <c r="EM25" s="111"/>
      <c r="EN25" s="111"/>
      <c r="EO25" s="111"/>
      <c r="EP25" s="111"/>
      <c r="EQ25" s="111"/>
      <c r="ER25" s="111"/>
      <c r="ES25" s="111"/>
      <c r="ET25" s="111"/>
      <c r="EU25" s="111"/>
      <c r="EV25" s="111"/>
      <c r="EW25" s="111"/>
      <c r="EX25" s="111"/>
      <c r="EY25" s="111"/>
      <c r="EZ25" s="111"/>
      <c r="FA25" s="111"/>
      <c r="FB25" s="111"/>
      <c r="FC25" s="111"/>
      <c r="FD25" s="111"/>
      <c r="FE25" s="111"/>
      <c r="FF25" s="111"/>
      <c r="FG25" s="111"/>
      <c r="FH25" s="111"/>
      <c r="FI25" s="111"/>
      <c r="FJ25" s="111"/>
      <c r="FK25" s="111"/>
      <c r="FL25" s="111"/>
      <c r="FM25" s="111"/>
      <c r="FN25" s="111"/>
      <c r="FO25" s="111"/>
      <c r="FP25" s="111"/>
      <c r="FQ25" s="111"/>
      <c r="FR25" s="111"/>
      <c r="FS25" s="111"/>
      <c r="FT25" s="111"/>
      <c r="FU25" s="111"/>
      <c r="FV25" s="111"/>
      <c r="FW25" s="111"/>
      <c r="FX25" s="111"/>
      <c r="FY25" s="111"/>
      <c r="FZ25" s="111"/>
      <c r="GA25" s="111"/>
      <c r="GB25" s="111"/>
      <c r="GC25" s="111"/>
      <c r="GD25" s="111"/>
      <c r="GE25" s="111"/>
      <c r="GF25" s="111"/>
      <c r="GG25" s="111"/>
      <c r="GH25" s="111"/>
      <c r="GI25" s="111"/>
      <c r="GJ25" s="111"/>
    </row>
    <row r="26" spans="1:192" ht="50.15" customHeight="1" outlineLevel="1" x14ac:dyDescent="0.35">
      <c r="A26" s="161" t="s">
        <v>4</v>
      </c>
      <c r="B26" s="180" t="s">
        <v>278</v>
      </c>
      <c r="C26" s="213" t="s">
        <v>443</v>
      </c>
      <c r="D26" s="214" t="s">
        <v>22</v>
      </c>
      <c r="E26" s="215" t="s">
        <v>530</v>
      </c>
      <c r="F26" s="228"/>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111"/>
      <c r="AZ26" s="111"/>
      <c r="BA26" s="111"/>
      <c r="BB26" s="111"/>
      <c r="BC26" s="111"/>
      <c r="BD26" s="111"/>
      <c r="BE26" s="111"/>
      <c r="BF26" s="111"/>
      <c r="BG26" s="111"/>
      <c r="BH26" s="111"/>
      <c r="BI26" s="111"/>
      <c r="BJ26" s="111"/>
      <c r="BK26" s="111"/>
      <c r="BL26" s="111"/>
      <c r="BM26" s="111"/>
      <c r="BN26" s="111"/>
      <c r="BO26" s="111"/>
      <c r="BP26" s="111"/>
      <c r="BQ26" s="111"/>
      <c r="BR26" s="111"/>
      <c r="BS26" s="111"/>
      <c r="BT26" s="111"/>
      <c r="BU26" s="111"/>
      <c r="BV26" s="111"/>
      <c r="BW26" s="111"/>
      <c r="BX26" s="111"/>
      <c r="BY26" s="111"/>
      <c r="BZ26" s="111"/>
      <c r="CA26" s="111"/>
      <c r="CB26" s="111"/>
      <c r="CC26" s="111"/>
      <c r="CD26" s="111"/>
      <c r="CE26" s="111"/>
      <c r="CF26" s="111"/>
      <c r="CG26" s="111"/>
      <c r="CH26" s="111"/>
      <c r="CI26" s="111"/>
      <c r="CJ26" s="111"/>
      <c r="CK26" s="111"/>
      <c r="CL26" s="111"/>
      <c r="CM26" s="111"/>
      <c r="CN26" s="111"/>
      <c r="CO26" s="111"/>
      <c r="CP26" s="111"/>
      <c r="CQ26" s="111"/>
      <c r="CR26" s="111"/>
      <c r="CS26" s="111"/>
      <c r="CT26" s="111"/>
      <c r="CU26" s="111"/>
      <c r="CV26" s="111"/>
      <c r="CW26" s="111"/>
      <c r="CX26" s="111"/>
      <c r="CY26" s="111"/>
      <c r="CZ26" s="111"/>
      <c r="DA26" s="111"/>
      <c r="DB26" s="111"/>
      <c r="DC26" s="111"/>
      <c r="DD26" s="111"/>
      <c r="DE26" s="111"/>
      <c r="DF26" s="111"/>
      <c r="DG26" s="111"/>
      <c r="DH26" s="111"/>
      <c r="DI26" s="111"/>
      <c r="DJ26" s="111"/>
      <c r="DK26" s="111"/>
      <c r="DL26" s="111"/>
      <c r="DM26" s="111"/>
      <c r="DN26" s="111"/>
      <c r="DO26" s="111"/>
      <c r="DP26" s="111"/>
      <c r="DQ26" s="111"/>
      <c r="DR26" s="111"/>
      <c r="DS26" s="111"/>
      <c r="DT26" s="111"/>
      <c r="DU26" s="111"/>
      <c r="DV26" s="111"/>
      <c r="DW26" s="111"/>
      <c r="DX26" s="111"/>
      <c r="DY26" s="111"/>
      <c r="DZ26" s="111"/>
      <c r="EA26" s="111"/>
      <c r="EB26" s="111"/>
      <c r="EC26" s="111"/>
      <c r="ED26" s="111"/>
      <c r="EE26" s="111"/>
      <c r="EF26" s="111"/>
      <c r="EG26" s="111"/>
      <c r="EH26" s="111"/>
      <c r="EI26" s="111"/>
      <c r="EJ26" s="111"/>
      <c r="EK26" s="111"/>
      <c r="EL26" s="111"/>
      <c r="EM26" s="111"/>
      <c r="EN26" s="111"/>
      <c r="EO26" s="111"/>
      <c r="EP26" s="111"/>
      <c r="EQ26" s="111"/>
      <c r="ER26" s="111"/>
      <c r="ES26" s="111"/>
      <c r="ET26" s="111"/>
      <c r="EU26" s="111"/>
      <c r="EV26" s="111"/>
      <c r="EW26" s="111"/>
      <c r="EX26" s="111"/>
      <c r="EY26" s="111"/>
      <c r="EZ26" s="111"/>
      <c r="FA26" s="111"/>
      <c r="FB26" s="111"/>
      <c r="FC26" s="111"/>
      <c r="FD26" s="111"/>
      <c r="FE26" s="111"/>
      <c r="FF26" s="111"/>
      <c r="FG26" s="111"/>
      <c r="FH26" s="111"/>
      <c r="FI26" s="111"/>
      <c r="FJ26" s="111"/>
      <c r="FK26" s="111"/>
      <c r="FL26" s="111"/>
      <c r="FM26" s="111"/>
      <c r="FN26" s="111"/>
      <c r="FO26" s="111"/>
      <c r="FP26" s="111"/>
      <c r="FQ26" s="111"/>
      <c r="FR26" s="111"/>
      <c r="FS26" s="111"/>
      <c r="FT26" s="111"/>
      <c r="FU26" s="111"/>
      <c r="FV26" s="111"/>
      <c r="FW26" s="111"/>
      <c r="FX26" s="111"/>
      <c r="FY26" s="111"/>
      <c r="FZ26" s="111"/>
      <c r="GA26" s="111"/>
      <c r="GB26" s="111"/>
      <c r="GC26" s="111"/>
      <c r="GD26" s="111"/>
      <c r="GE26" s="111"/>
      <c r="GF26" s="111"/>
      <c r="GG26" s="111"/>
      <c r="GH26" s="111"/>
      <c r="GI26" s="111"/>
      <c r="GJ26" s="111"/>
    </row>
    <row r="27" spans="1:192" ht="50.15" customHeight="1" outlineLevel="1" x14ac:dyDescent="0.35">
      <c r="A27" s="161" t="s">
        <v>4</v>
      </c>
      <c r="B27" s="179" t="s">
        <v>279</v>
      </c>
      <c r="C27" s="151" t="s">
        <v>444</v>
      </c>
      <c r="D27" s="182" t="s">
        <v>22</v>
      </c>
      <c r="E27" s="156" t="s">
        <v>531</v>
      </c>
      <c r="F27" s="230"/>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111"/>
      <c r="AZ27" s="111"/>
      <c r="BA27" s="111"/>
      <c r="BB27" s="111"/>
      <c r="BC27" s="111"/>
      <c r="BD27" s="111"/>
      <c r="BE27" s="111"/>
      <c r="BF27" s="111"/>
      <c r="BG27" s="111"/>
      <c r="BH27" s="111"/>
      <c r="BI27" s="111"/>
      <c r="BJ27" s="111"/>
      <c r="BK27" s="111"/>
      <c r="BL27" s="111"/>
      <c r="BM27" s="111"/>
      <c r="BN27" s="111"/>
      <c r="BO27" s="111"/>
      <c r="BP27" s="111"/>
      <c r="BQ27" s="111"/>
      <c r="BR27" s="111"/>
      <c r="BS27" s="111"/>
      <c r="BT27" s="111"/>
      <c r="BU27" s="111"/>
      <c r="BV27" s="111"/>
      <c r="BW27" s="111"/>
      <c r="BX27" s="111"/>
      <c r="BY27" s="111"/>
      <c r="BZ27" s="111"/>
      <c r="CA27" s="111"/>
      <c r="CB27" s="111"/>
      <c r="CC27" s="111"/>
      <c r="CD27" s="111"/>
      <c r="CE27" s="111"/>
      <c r="CF27" s="111"/>
      <c r="CG27" s="111"/>
      <c r="CH27" s="111"/>
      <c r="CI27" s="111"/>
      <c r="CJ27" s="111"/>
      <c r="CK27" s="111"/>
      <c r="CL27" s="111"/>
      <c r="CM27" s="111"/>
      <c r="CN27" s="111"/>
      <c r="CO27" s="111"/>
      <c r="CP27" s="111"/>
      <c r="CQ27" s="111"/>
      <c r="CR27" s="111"/>
      <c r="CS27" s="111"/>
      <c r="CT27" s="111"/>
      <c r="CU27" s="111"/>
      <c r="CV27" s="111"/>
      <c r="CW27" s="111"/>
      <c r="CX27" s="111"/>
      <c r="CY27" s="111"/>
      <c r="CZ27" s="111"/>
      <c r="DA27" s="111"/>
      <c r="DB27" s="111"/>
      <c r="DC27" s="111"/>
      <c r="DD27" s="111"/>
      <c r="DE27" s="111"/>
      <c r="DF27" s="111"/>
      <c r="DG27" s="111"/>
      <c r="DH27" s="111"/>
      <c r="DI27" s="111"/>
      <c r="DJ27" s="111"/>
      <c r="DK27" s="111"/>
      <c r="DL27" s="111"/>
      <c r="DM27" s="111"/>
      <c r="DN27" s="111"/>
      <c r="DO27" s="111"/>
      <c r="DP27" s="111"/>
      <c r="DQ27" s="111"/>
      <c r="DR27" s="111"/>
      <c r="DS27" s="111"/>
      <c r="DT27" s="111"/>
      <c r="DU27" s="111"/>
      <c r="DV27" s="111"/>
      <c r="DW27" s="111"/>
      <c r="DX27" s="111"/>
      <c r="DY27" s="111"/>
      <c r="DZ27" s="111"/>
      <c r="EA27" s="111"/>
      <c r="EB27" s="111"/>
      <c r="EC27" s="111"/>
      <c r="ED27" s="111"/>
      <c r="EE27" s="111"/>
      <c r="EF27" s="111"/>
      <c r="EG27" s="111"/>
      <c r="EH27" s="111"/>
      <c r="EI27" s="111"/>
      <c r="EJ27" s="111"/>
      <c r="EK27" s="111"/>
      <c r="EL27" s="111"/>
      <c r="EM27" s="111"/>
      <c r="EN27" s="111"/>
      <c r="EO27" s="111"/>
      <c r="EP27" s="111"/>
      <c r="EQ27" s="111"/>
      <c r="ER27" s="111"/>
      <c r="ES27" s="111"/>
      <c r="ET27" s="111"/>
      <c r="EU27" s="111"/>
      <c r="EV27" s="111"/>
      <c r="EW27" s="111"/>
      <c r="EX27" s="111"/>
      <c r="EY27" s="111"/>
      <c r="EZ27" s="111"/>
      <c r="FA27" s="111"/>
      <c r="FB27" s="111"/>
      <c r="FC27" s="111"/>
      <c r="FD27" s="111"/>
      <c r="FE27" s="111"/>
      <c r="FF27" s="111"/>
      <c r="FG27" s="111"/>
      <c r="FH27" s="111"/>
      <c r="FI27" s="111"/>
      <c r="FJ27" s="111"/>
      <c r="FK27" s="111"/>
      <c r="FL27" s="111"/>
      <c r="FM27" s="111"/>
      <c r="FN27" s="111"/>
      <c r="FO27" s="111"/>
      <c r="FP27" s="111"/>
      <c r="FQ27" s="111"/>
      <c r="FR27" s="111"/>
      <c r="FS27" s="111"/>
      <c r="FT27" s="111"/>
      <c r="FU27" s="111"/>
      <c r="FV27" s="111"/>
      <c r="FW27" s="111"/>
      <c r="FX27" s="111"/>
      <c r="FY27" s="111"/>
      <c r="FZ27" s="111"/>
      <c r="GA27" s="111"/>
      <c r="GB27" s="111"/>
      <c r="GC27" s="111"/>
      <c r="GD27" s="111"/>
      <c r="GE27" s="111"/>
      <c r="GF27" s="111"/>
      <c r="GG27" s="111"/>
      <c r="GH27" s="111"/>
      <c r="GI27" s="111"/>
      <c r="GJ27" s="111"/>
    </row>
    <row r="28" spans="1:192" ht="50.15" customHeight="1" outlineLevel="1" x14ac:dyDescent="0.35">
      <c r="A28" s="161" t="s">
        <v>4</v>
      </c>
      <c r="B28" s="180" t="s">
        <v>280</v>
      </c>
      <c r="C28" s="213" t="s">
        <v>445</v>
      </c>
      <c r="D28" s="214" t="s">
        <v>22</v>
      </c>
      <c r="E28" s="215" t="s">
        <v>532</v>
      </c>
      <c r="F28" s="228"/>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111"/>
      <c r="AZ28" s="111"/>
      <c r="BA28" s="111"/>
      <c r="BB28" s="111"/>
      <c r="BC28" s="111"/>
      <c r="BD28" s="111"/>
      <c r="BE28" s="111"/>
      <c r="BF28" s="111"/>
      <c r="BG28" s="111"/>
      <c r="BH28" s="111"/>
      <c r="BI28" s="111"/>
      <c r="BJ28" s="111"/>
      <c r="BK28" s="111"/>
      <c r="BL28" s="111"/>
      <c r="BM28" s="111"/>
      <c r="BN28" s="111"/>
      <c r="BO28" s="111"/>
      <c r="BP28" s="111"/>
      <c r="BQ28" s="111"/>
      <c r="BR28" s="111"/>
      <c r="BS28" s="111"/>
      <c r="BT28" s="111"/>
      <c r="BU28" s="111"/>
      <c r="BV28" s="111"/>
      <c r="BW28" s="111"/>
      <c r="BX28" s="111"/>
      <c r="BY28" s="111"/>
      <c r="BZ28" s="111"/>
      <c r="CA28" s="111"/>
      <c r="CB28" s="111"/>
      <c r="CC28" s="111"/>
      <c r="CD28" s="111"/>
      <c r="CE28" s="111"/>
      <c r="CF28" s="111"/>
      <c r="CG28" s="111"/>
      <c r="CH28" s="111"/>
      <c r="CI28" s="111"/>
      <c r="CJ28" s="111"/>
      <c r="CK28" s="111"/>
      <c r="CL28" s="111"/>
      <c r="CM28" s="111"/>
      <c r="CN28" s="111"/>
      <c r="CO28" s="111"/>
      <c r="CP28" s="111"/>
      <c r="CQ28" s="111"/>
      <c r="CR28" s="111"/>
      <c r="CS28" s="111"/>
      <c r="CT28" s="111"/>
      <c r="CU28" s="111"/>
      <c r="CV28" s="111"/>
      <c r="CW28" s="111"/>
      <c r="CX28" s="111"/>
      <c r="CY28" s="111"/>
      <c r="CZ28" s="111"/>
      <c r="DA28" s="111"/>
      <c r="DB28" s="111"/>
      <c r="DC28" s="111"/>
      <c r="DD28" s="111"/>
      <c r="DE28" s="111"/>
      <c r="DF28" s="111"/>
      <c r="DG28" s="111"/>
      <c r="DH28" s="111"/>
      <c r="DI28" s="111"/>
      <c r="DJ28" s="111"/>
      <c r="DK28" s="111"/>
      <c r="DL28" s="111"/>
      <c r="DM28" s="111"/>
      <c r="DN28" s="111"/>
      <c r="DO28" s="111"/>
      <c r="DP28" s="111"/>
      <c r="DQ28" s="111"/>
      <c r="DR28" s="111"/>
      <c r="DS28" s="111"/>
      <c r="DT28" s="111"/>
      <c r="DU28" s="111"/>
      <c r="DV28" s="111"/>
      <c r="DW28" s="111"/>
      <c r="DX28" s="111"/>
      <c r="DY28" s="111"/>
      <c r="DZ28" s="111"/>
      <c r="EA28" s="111"/>
      <c r="EB28" s="111"/>
      <c r="EC28" s="111"/>
      <c r="ED28" s="111"/>
      <c r="EE28" s="111"/>
      <c r="EF28" s="111"/>
      <c r="EG28" s="111"/>
      <c r="EH28" s="111"/>
      <c r="EI28" s="111"/>
      <c r="EJ28" s="111"/>
      <c r="EK28" s="111"/>
      <c r="EL28" s="111"/>
      <c r="EM28" s="111"/>
      <c r="EN28" s="111"/>
      <c r="EO28" s="111"/>
      <c r="EP28" s="111"/>
      <c r="EQ28" s="111"/>
      <c r="ER28" s="111"/>
      <c r="ES28" s="111"/>
      <c r="ET28" s="111"/>
      <c r="EU28" s="111"/>
      <c r="EV28" s="111"/>
      <c r="EW28" s="111"/>
      <c r="EX28" s="111"/>
      <c r="EY28" s="111"/>
      <c r="EZ28" s="111"/>
      <c r="FA28" s="111"/>
      <c r="FB28" s="111"/>
      <c r="FC28" s="111"/>
      <c r="FD28" s="111"/>
      <c r="FE28" s="111"/>
      <c r="FF28" s="111"/>
      <c r="FG28" s="111"/>
      <c r="FH28" s="111"/>
      <c r="FI28" s="111"/>
      <c r="FJ28" s="111"/>
      <c r="FK28" s="111"/>
      <c r="FL28" s="111"/>
      <c r="FM28" s="111"/>
      <c r="FN28" s="111"/>
      <c r="FO28" s="111"/>
      <c r="FP28" s="111"/>
      <c r="FQ28" s="111"/>
      <c r="FR28" s="111"/>
      <c r="FS28" s="111"/>
      <c r="FT28" s="111"/>
      <c r="FU28" s="111"/>
      <c r="FV28" s="111"/>
      <c r="FW28" s="111"/>
      <c r="FX28" s="111"/>
      <c r="FY28" s="111"/>
      <c r="FZ28" s="111"/>
      <c r="GA28" s="111"/>
      <c r="GB28" s="111"/>
      <c r="GC28" s="111"/>
      <c r="GD28" s="111"/>
      <c r="GE28" s="111"/>
      <c r="GF28" s="111"/>
      <c r="GG28" s="111"/>
      <c r="GH28" s="111"/>
      <c r="GI28" s="111"/>
      <c r="GJ28" s="111"/>
    </row>
    <row r="29" spans="1:192" ht="50.15" customHeight="1" x14ac:dyDescent="0.35">
      <c r="A29" s="161" t="s">
        <v>4</v>
      </c>
      <c r="B29" s="179" t="s">
        <v>281</v>
      </c>
      <c r="C29" s="151" t="s">
        <v>446</v>
      </c>
      <c r="D29" s="182" t="s">
        <v>23</v>
      </c>
      <c r="E29" s="156" t="s">
        <v>533</v>
      </c>
      <c r="F29" s="230"/>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111"/>
      <c r="AZ29" s="111"/>
      <c r="BA29" s="111"/>
      <c r="BB29" s="111"/>
      <c r="BC29" s="111"/>
      <c r="BD29" s="111"/>
      <c r="BE29" s="111"/>
      <c r="BF29" s="111"/>
      <c r="BG29" s="111"/>
      <c r="BH29" s="111"/>
      <c r="BI29" s="111"/>
      <c r="BJ29" s="111"/>
      <c r="BK29" s="111"/>
      <c r="BL29" s="111"/>
      <c r="BM29" s="111"/>
      <c r="BN29" s="111"/>
      <c r="BO29" s="111"/>
      <c r="BP29" s="111"/>
      <c r="BQ29" s="111"/>
      <c r="BR29" s="111"/>
      <c r="BS29" s="111"/>
      <c r="BT29" s="111"/>
      <c r="BU29" s="111"/>
      <c r="BV29" s="111"/>
      <c r="BW29" s="111"/>
      <c r="BX29" s="111"/>
      <c r="BY29" s="111"/>
      <c r="BZ29" s="111"/>
      <c r="CA29" s="111"/>
      <c r="CB29" s="111"/>
      <c r="CC29" s="111"/>
      <c r="CD29" s="111"/>
      <c r="CE29" s="111"/>
      <c r="CF29" s="111"/>
      <c r="CG29" s="111"/>
      <c r="CH29" s="111"/>
      <c r="CI29" s="111"/>
      <c r="CJ29" s="111"/>
      <c r="CK29" s="111"/>
      <c r="CL29" s="111"/>
      <c r="CM29" s="111"/>
      <c r="CN29" s="111"/>
      <c r="CO29" s="111"/>
      <c r="CP29" s="111"/>
      <c r="CQ29" s="111"/>
      <c r="CR29" s="111"/>
      <c r="CS29" s="111"/>
      <c r="CT29" s="111"/>
      <c r="CU29" s="111"/>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1"/>
      <c r="EI29" s="111"/>
      <c r="EJ29" s="111"/>
      <c r="EK29" s="111"/>
      <c r="EL29" s="111"/>
      <c r="EM29" s="111"/>
      <c r="EN29" s="111"/>
      <c r="EO29" s="111"/>
      <c r="EP29" s="111"/>
      <c r="EQ29" s="111"/>
      <c r="ER29" s="111"/>
      <c r="ES29" s="111"/>
      <c r="ET29" s="111"/>
      <c r="EU29" s="111"/>
      <c r="EV29" s="111"/>
      <c r="EW29" s="111"/>
      <c r="EX29" s="111"/>
      <c r="EY29" s="111"/>
      <c r="EZ29" s="111"/>
      <c r="FA29" s="111"/>
      <c r="FB29" s="111"/>
      <c r="FC29" s="111"/>
      <c r="FD29" s="111"/>
      <c r="FE29" s="111"/>
      <c r="FF29" s="111"/>
      <c r="FG29" s="111"/>
      <c r="FH29" s="111"/>
      <c r="FI29" s="111"/>
      <c r="FJ29" s="111"/>
      <c r="FK29" s="111"/>
      <c r="FL29" s="111"/>
      <c r="FM29" s="111"/>
      <c r="FN29" s="111"/>
      <c r="FO29" s="111"/>
      <c r="FP29" s="111"/>
      <c r="FQ29" s="111"/>
      <c r="FR29" s="111"/>
      <c r="FS29" s="111"/>
      <c r="FT29" s="111"/>
      <c r="FU29" s="111"/>
      <c r="FV29" s="111"/>
      <c r="FW29" s="111"/>
      <c r="FX29" s="111"/>
      <c r="FY29" s="111"/>
      <c r="FZ29" s="111"/>
      <c r="GA29" s="111"/>
      <c r="GB29" s="111"/>
      <c r="GC29" s="111"/>
      <c r="GD29" s="111"/>
      <c r="GE29" s="111"/>
      <c r="GF29" s="111"/>
      <c r="GG29" s="111"/>
      <c r="GH29" s="111"/>
      <c r="GI29" s="111"/>
      <c r="GJ29" s="111"/>
    </row>
    <row r="30" spans="1:192" ht="50.15" customHeight="1" outlineLevel="1" x14ac:dyDescent="0.35">
      <c r="A30" s="161" t="s">
        <v>4</v>
      </c>
      <c r="B30" s="180" t="s">
        <v>282</v>
      </c>
      <c r="C30" s="213" t="s">
        <v>447</v>
      </c>
      <c r="D30" s="214" t="s">
        <v>23</v>
      </c>
      <c r="E30" s="215" t="s">
        <v>534</v>
      </c>
      <c r="F30" s="228"/>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111"/>
      <c r="AZ30" s="111"/>
      <c r="BA30" s="111"/>
      <c r="BB30" s="111"/>
      <c r="BC30" s="111"/>
      <c r="BD30" s="111"/>
      <c r="BE30" s="111"/>
      <c r="BF30" s="111"/>
      <c r="BG30" s="111"/>
      <c r="BH30" s="111"/>
      <c r="BI30" s="111"/>
      <c r="BJ30" s="111"/>
      <c r="BK30" s="111"/>
      <c r="BL30" s="111"/>
      <c r="BM30" s="111"/>
      <c r="BN30" s="111"/>
      <c r="BO30" s="111"/>
      <c r="BP30" s="111"/>
      <c r="BQ30" s="111"/>
      <c r="BR30" s="111"/>
      <c r="BS30" s="111"/>
      <c r="BT30" s="111"/>
      <c r="BU30" s="111"/>
      <c r="BV30" s="111"/>
      <c r="BW30" s="111"/>
      <c r="BX30" s="111"/>
      <c r="BY30" s="111"/>
      <c r="BZ30" s="111"/>
      <c r="CA30" s="111"/>
      <c r="CB30" s="111"/>
      <c r="CC30" s="111"/>
      <c r="CD30" s="111"/>
      <c r="CE30" s="111"/>
      <c r="CF30" s="111"/>
      <c r="CG30" s="111"/>
      <c r="CH30" s="111"/>
      <c r="CI30" s="111"/>
      <c r="CJ30" s="111"/>
      <c r="CK30" s="111"/>
      <c r="CL30" s="111"/>
      <c r="CM30" s="111"/>
      <c r="CN30" s="111"/>
      <c r="CO30" s="111"/>
      <c r="CP30" s="111"/>
      <c r="CQ30" s="111"/>
      <c r="CR30" s="111"/>
      <c r="CS30" s="111"/>
      <c r="CT30" s="111"/>
      <c r="CU30" s="111"/>
      <c r="CV30" s="111"/>
      <c r="CW30" s="111"/>
      <c r="CX30" s="111"/>
      <c r="CY30" s="111"/>
      <c r="CZ30" s="111"/>
      <c r="DA30" s="111"/>
      <c r="DB30" s="111"/>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1"/>
      <c r="EI30" s="111"/>
      <c r="EJ30" s="111"/>
      <c r="EK30" s="111"/>
      <c r="EL30" s="111"/>
      <c r="EM30" s="111"/>
      <c r="EN30" s="111"/>
      <c r="EO30" s="111"/>
      <c r="EP30" s="111"/>
      <c r="EQ30" s="111"/>
      <c r="ER30" s="111"/>
      <c r="ES30" s="111"/>
      <c r="ET30" s="111"/>
      <c r="EU30" s="111"/>
      <c r="EV30" s="111"/>
      <c r="EW30" s="111"/>
      <c r="EX30" s="111"/>
      <c r="EY30" s="111"/>
      <c r="EZ30" s="111"/>
      <c r="FA30" s="111"/>
      <c r="FB30" s="111"/>
      <c r="FC30" s="111"/>
      <c r="FD30" s="111"/>
      <c r="FE30" s="111"/>
      <c r="FF30" s="111"/>
      <c r="FG30" s="111"/>
      <c r="FH30" s="111"/>
      <c r="FI30" s="111"/>
      <c r="FJ30" s="111"/>
      <c r="FK30" s="111"/>
      <c r="FL30" s="111"/>
      <c r="FM30" s="111"/>
      <c r="FN30" s="111"/>
      <c r="FO30" s="111"/>
      <c r="FP30" s="111"/>
      <c r="FQ30" s="111"/>
      <c r="FR30" s="111"/>
      <c r="FS30" s="111"/>
      <c r="FT30" s="111"/>
      <c r="FU30" s="111"/>
      <c r="FV30" s="111"/>
      <c r="FW30" s="111"/>
      <c r="FX30" s="111"/>
      <c r="FY30" s="111"/>
      <c r="FZ30" s="111"/>
      <c r="GA30" s="111"/>
      <c r="GB30" s="111"/>
      <c r="GC30" s="111"/>
      <c r="GD30" s="111"/>
      <c r="GE30" s="111"/>
      <c r="GF30" s="111"/>
      <c r="GG30" s="111"/>
      <c r="GH30" s="111"/>
      <c r="GI30" s="111"/>
      <c r="GJ30" s="111"/>
    </row>
    <row r="31" spans="1:192" ht="50.15" customHeight="1" outlineLevel="1" x14ac:dyDescent="0.35">
      <c r="A31" s="161" t="s">
        <v>4</v>
      </c>
      <c r="B31" s="179" t="s">
        <v>283</v>
      </c>
      <c r="C31" s="155" t="s">
        <v>448</v>
      </c>
      <c r="D31" s="184" t="s">
        <v>22</v>
      </c>
      <c r="E31" s="235" t="s">
        <v>535</v>
      </c>
      <c r="F31" s="230"/>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111"/>
      <c r="AZ31" s="111"/>
      <c r="BA31" s="111"/>
      <c r="BB31" s="111"/>
      <c r="BC31" s="111"/>
      <c r="BD31" s="111"/>
      <c r="BE31" s="111"/>
      <c r="BF31" s="111"/>
      <c r="BG31" s="111"/>
      <c r="BH31" s="111"/>
      <c r="BI31" s="111"/>
      <c r="BJ31" s="111"/>
      <c r="BK31" s="111"/>
      <c r="BL31" s="111"/>
      <c r="BM31" s="111"/>
      <c r="BN31" s="111"/>
      <c r="BO31" s="111"/>
      <c r="BP31" s="111"/>
      <c r="BQ31" s="111"/>
      <c r="BR31" s="111"/>
      <c r="BS31" s="111"/>
      <c r="BT31" s="111"/>
      <c r="BU31" s="111"/>
      <c r="BV31" s="111"/>
      <c r="BW31" s="111"/>
      <c r="BX31" s="111"/>
      <c r="BY31" s="111"/>
      <c r="BZ31" s="111"/>
      <c r="CA31" s="111"/>
      <c r="CB31" s="111"/>
      <c r="CC31" s="111"/>
      <c r="CD31" s="111"/>
      <c r="CE31" s="111"/>
      <c r="CF31" s="111"/>
      <c r="CG31" s="111"/>
      <c r="CH31" s="111"/>
      <c r="CI31" s="111"/>
      <c r="CJ31" s="111"/>
      <c r="CK31" s="111"/>
      <c r="CL31" s="111"/>
      <c r="CM31" s="111"/>
      <c r="CN31" s="111"/>
      <c r="CO31" s="111"/>
      <c r="CP31" s="111"/>
      <c r="CQ31" s="111"/>
      <c r="CR31" s="111"/>
      <c r="CS31" s="111"/>
      <c r="CT31" s="111"/>
      <c r="CU31" s="111"/>
      <c r="CV31" s="111"/>
      <c r="CW31" s="111"/>
      <c r="CX31" s="111"/>
      <c r="CY31" s="111"/>
      <c r="CZ31" s="111"/>
      <c r="DA31" s="111"/>
      <c r="DB31" s="111"/>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1"/>
      <c r="EI31" s="111"/>
      <c r="EJ31" s="111"/>
      <c r="EK31" s="111"/>
      <c r="EL31" s="111"/>
      <c r="EM31" s="111"/>
      <c r="EN31" s="111"/>
      <c r="EO31" s="111"/>
      <c r="EP31" s="111"/>
      <c r="EQ31" s="111"/>
      <c r="ER31" s="111"/>
      <c r="ES31" s="111"/>
      <c r="ET31" s="111"/>
      <c r="EU31" s="111"/>
      <c r="EV31" s="111"/>
      <c r="EW31" s="111"/>
      <c r="EX31" s="111"/>
      <c r="EY31" s="111"/>
      <c r="EZ31" s="111"/>
      <c r="FA31" s="111"/>
      <c r="FB31" s="111"/>
      <c r="FC31" s="111"/>
      <c r="FD31" s="111"/>
      <c r="FE31" s="111"/>
      <c r="FF31" s="111"/>
      <c r="FG31" s="111"/>
      <c r="FH31" s="111"/>
      <c r="FI31" s="111"/>
      <c r="FJ31" s="111"/>
      <c r="FK31" s="111"/>
      <c r="FL31" s="111"/>
      <c r="FM31" s="111"/>
      <c r="FN31" s="111"/>
      <c r="FO31" s="111"/>
      <c r="FP31" s="111"/>
      <c r="FQ31" s="111"/>
      <c r="FR31" s="111"/>
      <c r="FS31" s="111"/>
      <c r="FT31" s="111"/>
      <c r="FU31" s="111"/>
      <c r="FV31" s="111"/>
      <c r="FW31" s="111"/>
      <c r="FX31" s="111"/>
      <c r="FY31" s="111"/>
      <c r="FZ31" s="111"/>
      <c r="GA31" s="111"/>
      <c r="GB31" s="111"/>
      <c r="GC31" s="111"/>
      <c r="GD31" s="111"/>
      <c r="GE31" s="111"/>
      <c r="GF31" s="111"/>
      <c r="GG31" s="111"/>
      <c r="GH31" s="111"/>
      <c r="GI31" s="111"/>
      <c r="GJ31" s="111"/>
    </row>
    <row r="32" spans="1:192" ht="50.15" customHeight="1" outlineLevel="1" x14ac:dyDescent="0.35">
      <c r="A32" s="161" t="s">
        <v>4</v>
      </c>
      <c r="B32" s="180" t="s">
        <v>284</v>
      </c>
      <c r="C32" s="213" t="s">
        <v>449</v>
      </c>
      <c r="D32" s="214" t="s">
        <v>22</v>
      </c>
      <c r="E32" s="217" t="s">
        <v>682</v>
      </c>
      <c r="F32" s="228"/>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111"/>
      <c r="AZ32" s="111"/>
      <c r="BA32" s="111"/>
      <c r="BB32" s="111"/>
      <c r="BC32" s="111"/>
      <c r="BD32" s="111"/>
      <c r="BE32" s="111"/>
      <c r="BF32" s="111"/>
      <c r="BG32" s="111"/>
      <c r="BH32" s="111"/>
      <c r="BI32" s="111"/>
      <c r="BJ32" s="111"/>
      <c r="BK32" s="111"/>
      <c r="BL32" s="111"/>
      <c r="BM32" s="111"/>
      <c r="BN32" s="111"/>
      <c r="BO32" s="111"/>
      <c r="BP32" s="111"/>
      <c r="BQ32" s="111"/>
      <c r="BR32" s="111"/>
      <c r="BS32" s="111"/>
      <c r="BT32" s="111"/>
      <c r="BU32" s="111"/>
      <c r="BV32" s="111"/>
      <c r="BW32" s="111"/>
      <c r="BX32" s="111"/>
      <c r="BY32" s="111"/>
      <c r="BZ32" s="111"/>
      <c r="CA32" s="111"/>
      <c r="CB32" s="111"/>
      <c r="CC32" s="111"/>
      <c r="CD32" s="111"/>
      <c r="CE32" s="111"/>
      <c r="CF32" s="111"/>
      <c r="CG32" s="111"/>
      <c r="CH32" s="111"/>
      <c r="CI32" s="111"/>
      <c r="CJ32" s="111"/>
      <c r="CK32" s="111"/>
      <c r="CL32" s="111"/>
      <c r="CM32" s="111"/>
      <c r="CN32" s="111"/>
      <c r="CO32" s="111"/>
      <c r="CP32" s="111"/>
      <c r="CQ32" s="111"/>
      <c r="CR32" s="111"/>
      <c r="CS32" s="111"/>
      <c r="CT32" s="111"/>
      <c r="CU32" s="111"/>
      <c r="CV32" s="111"/>
      <c r="CW32" s="111"/>
      <c r="CX32" s="111"/>
      <c r="CY32" s="111"/>
      <c r="CZ32" s="111"/>
      <c r="DA32" s="111"/>
      <c r="DB32" s="111"/>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1"/>
      <c r="EI32" s="111"/>
      <c r="EJ32" s="111"/>
      <c r="EK32" s="111"/>
      <c r="EL32" s="111"/>
      <c r="EM32" s="111"/>
      <c r="EN32" s="111"/>
      <c r="EO32" s="111"/>
      <c r="EP32" s="111"/>
      <c r="EQ32" s="111"/>
      <c r="ER32" s="111"/>
      <c r="ES32" s="111"/>
      <c r="ET32" s="111"/>
      <c r="EU32" s="111"/>
      <c r="EV32" s="111"/>
      <c r="EW32" s="111"/>
      <c r="EX32" s="111"/>
      <c r="EY32" s="111"/>
      <c r="EZ32" s="111"/>
      <c r="FA32" s="111"/>
      <c r="FB32" s="111"/>
      <c r="FC32" s="111"/>
      <c r="FD32" s="111"/>
      <c r="FE32" s="111"/>
      <c r="FF32" s="111"/>
      <c r="FG32" s="111"/>
      <c r="FH32" s="111"/>
      <c r="FI32" s="111"/>
      <c r="FJ32" s="111"/>
      <c r="FK32" s="111"/>
      <c r="FL32" s="111"/>
      <c r="FM32" s="111"/>
      <c r="FN32" s="111"/>
      <c r="FO32" s="111"/>
      <c r="FP32" s="111"/>
      <c r="FQ32" s="111"/>
      <c r="FR32" s="111"/>
      <c r="FS32" s="111"/>
      <c r="FT32" s="111"/>
      <c r="FU32" s="111"/>
      <c r="FV32" s="111"/>
      <c r="FW32" s="111"/>
      <c r="FX32" s="111"/>
      <c r="FY32" s="111"/>
      <c r="FZ32" s="111"/>
      <c r="GA32" s="111"/>
      <c r="GB32" s="111"/>
      <c r="GC32" s="111"/>
      <c r="GD32" s="111"/>
      <c r="GE32" s="111"/>
      <c r="GF32" s="111"/>
      <c r="GG32" s="111"/>
      <c r="GH32" s="111"/>
      <c r="GI32" s="111"/>
      <c r="GJ32" s="111"/>
    </row>
    <row r="33" spans="1:192" ht="50.15" customHeight="1" outlineLevel="1" x14ac:dyDescent="0.35">
      <c r="A33" s="161" t="s">
        <v>4</v>
      </c>
      <c r="B33" s="179" t="s">
        <v>285</v>
      </c>
      <c r="C33" s="151" t="s">
        <v>450</v>
      </c>
      <c r="D33" s="182" t="s">
        <v>22</v>
      </c>
      <c r="E33" s="159" t="s">
        <v>536</v>
      </c>
      <c r="F33" s="230"/>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111"/>
      <c r="AZ33" s="111"/>
      <c r="BA33" s="111"/>
      <c r="BB33" s="111"/>
      <c r="BC33" s="111"/>
      <c r="BD33" s="111"/>
      <c r="BE33" s="111"/>
      <c r="BF33" s="111"/>
      <c r="BG33" s="111"/>
      <c r="BH33" s="111"/>
      <c r="BI33" s="111"/>
      <c r="BJ33" s="111"/>
      <c r="BK33" s="111"/>
      <c r="BL33" s="111"/>
      <c r="BM33" s="111"/>
      <c r="BN33" s="111"/>
      <c r="BO33" s="111"/>
      <c r="BP33" s="111"/>
      <c r="BQ33" s="111"/>
      <c r="BR33" s="111"/>
      <c r="BS33" s="111"/>
      <c r="BT33" s="111"/>
      <c r="BU33" s="111"/>
      <c r="BV33" s="111"/>
      <c r="BW33" s="111"/>
      <c r="BX33" s="111"/>
      <c r="BY33" s="111"/>
      <c r="BZ33" s="111"/>
      <c r="CA33" s="111"/>
      <c r="CB33" s="111"/>
      <c r="CC33" s="111"/>
      <c r="CD33" s="111"/>
      <c r="CE33" s="111"/>
      <c r="CF33" s="111"/>
      <c r="CG33" s="111"/>
      <c r="CH33" s="111"/>
      <c r="CI33" s="111"/>
      <c r="CJ33" s="111"/>
      <c r="CK33" s="111"/>
      <c r="CL33" s="111"/>
      <c r="CM33" s="111"/>
      <c r="CN33" s="111"/>
      <c r="CO33" s="111"/>
      <c r="CP33" s="111"/>
      <c r="CQ33" s="111"/>
      <c r="CR33" s="111"/>
      <c r="CS33" s="111"/>
      <c r="CT33" s="111"/>
      <c r="CU33" s="111"/>
      <c r="CV33" s="111"/>
      <c r="CW33" s="111"/>
      <c r="CX33" s="111"/>
      <c r="CY33" s="111"/>
      <c r="CZ33" s="111"/>
      <c r="DA33" s="111"/>
      <c r="DB33" s="111"/>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1"/>
      <c r="EI33" s="111"/>
      <c r="EJ33" s="111"/>
      <c r="EK33" s="111"/>
      <c r="EL33" s="111"/>
      <c r="EM33" s="111"/>
      <c r="EN33" s="111"/>
      <c r="EO33" s="111"/>
      <c r="EP33" s="111"/>
      <c r="EQ33" s="111"/>
      <c r="ER33" s="111"/>
      <c r="ES33" s="111"/>
      <c r="ET33" s="111"/>
      <c r="EU33" s="111"/>
      <c r="EV33" s="111"/>
      <c r="EW33" s="111"/>
      <c r="EX33" s="111"/>
      <c r="EY33" s="111"/>
      <c r="EZ33" s="111"/>
      <c r="FA33" s="111"/>
      <c r="FB33" s="111"/>
      <c r="FC33" s="111"/>
      <c r="FD33" s="111"/>
      <c r="FE33" s="111"/>
      <c r="FF33" s="111"/>
      <c r="FG33" s="111"/>
      <c r="FH33" s="111"/>
      <c r="FI33" s="111"/>
      <c r="FJ33" s="111"/>
      <c r="FK33" s="111"/>
      <c r="FL33" s="111"/>
      <c r="FM33" s="111"/>
      <c r="FN33" s="111"/>
      <c r="FO33" s="111"/>
      <c r="FP33" s="111"/>
      <c r="FQ33" s="111"/>
      <c r="FR33" s="111"/>
      <c r="FS33" s="111"/>
      <c r="FT33" s="111"/>
      <c r="FU33" s="111"/>
      <c r="FV33" s="111"/>
      <c r="FW33" s="111"/>
      <c r="FX33" s="111"/>
      <c r="FY33" s="111"/>
      <c r="FZ33" s="111"/>
      <c r="GA33" s="111"/>
      <c r="GB33" s="111"/>
      <c r="GC33" s="111"/>
      <c r="GD33" s="111"/>
      <c r="GE33" s="111"/>
      <c r="GF33" s="111"/>
      <c r="GG33" s="111"/>
      <c r="GH33" s="111"/>
      <c r="GI33" s="111"/>
      <c r="GJ33" s="111"/>
    </row>
    <row r="34" spans="1:192" ht="50.15" customHeight="1" outlineLevel="1" x14ac:dyDescent="0.35">
      <c r="A34" s="161" t="s">
        <v>4</v>
      </c>
      <c r="B34" s="180" t="s">
        <v>286</v>
      </c>
      <c r="C34" s="152" t="s">
        <v>451</v>
      </c>
      <c r="D34" s="183" t="s">
        <v>22</v>
      </c>
      <c r="E34" s="154" t="s">
        <v>537</v>
      </c>
      <c r="F34" s="23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111"/>
      <c r="AZ34" s="111"/>
      <c r="BA34" s="111"/>
      <c r="BB34" s="111"/>
      <c r="BC34" s="111"/>
      <c r="BD34" s="111"/>
      <c r="BE34" s="111"/>
      <c r="BF34" s="111"/>
      <c r="BG34" s="111"/>
      <c r="BH34" s="111"/>
      <c r="BI34" s="111"/>
      <c r="BJ34" s="111"/>
      <c r="BK34" s="111"/>
      <c r="BL34" s="111"/>
      <c r="BM34" s="111"/>
      <c r="BN34" s="111"/>
      <c r="BO34" s="111"/>
      <c r="BP34" s="111"/>
      <c r="BQ34" s="111"/>
      <c r="BR34" s="111"/>
      <c r="BS34" s="111"/>
      <c r="BT34" s="111"/>
      <c r="BU34" s="111"/>
      <c r="BV34" s="111"/>
      <c r="BW34" s="111"/>
      <c r="BX34" s="111"/>
      <c r="BY34" s="111"/>
      <c r="BZ34" s="111"/>
      <c r="CA34" s="111"/>
      <c r="CB34" s="111"/>
      <c r="CC34" s="111"/>
      <c r="CD34" s="111"/>
      <c r="CE34" s="111"/>
      <c r="CF34" s="111"/>
      <c r="CG34" s="111"/>
      <c r="CH34" s="111"/>
      <c r="CI34" s="111"/>
      <c r="CJ34" s="111"/>
      <c r="CK34" s="111"/>
      <c r="CL34" s="111"/>
      <c r="CM34" s="111"/>
      <c r="CN34" s="111"/>
      <c r="CO34" s="111"/>
      <c r="CP34" s="111"/>
      <c r="CQ34" s="111"/>
      <c r="CR34" s="111"/>
      <c r="CS34" s="111"/>
      <c r="CT34" s="111"/>
      <c r="CU34" s="111"/>
      <c r="CV34" s="111"/>
      <c r="CW34" s="111"/>
      <c r="CX34" s="111"/>
      <c r="CY34" s="111"/>
      <c r="CZ34" s="111"/>
      <c r="DA34" s="111"/>
      <c r="DB34" s="111"/>
      <c r="DC34" s="111"/>
      <c r="DD34" s="111"/>
      <c r="DE34" s="111"/>
      <c r="DF34" s="111"/>
      <c r="DG34" s="111"/>
      <c r="DH34" s="111"/>
      <c r="DI34" s="111"/>
      <c r="DJ34" s="111"/>
      <c r="DK34" s="111"/>
      <c r="DL34" s="111"/>
      <c r="DM34" s="111"/>
      <c r="DN34" s="111"/>
      <c r="DO34" s="111"/>
      <c r="DP34" s="111"/>
      <c r="DQ34" s="111"/>
      <c r="DR34" s="111"/>
      <c r="DS34" s="111"/>
      <c r="DT34" s="111"/>
      <c r="DU34" s="111"/>
      <c r="DV34" s="111"/>
      <c r="DW34" s="111"/>
      <c r="DX34" s="111"/>
      <c r="DY34" s="111"/>
      <c r="DZ34" s="111"/>
      <c r="EA34" s="111"/>
      <c r="EB34" s="111"/>
      <c r="EC34" s="111"/>
      <c r="ED34" s="111"/>
      <c r="EE34" s="111"/>
      <c r="EF34" s="111"/>
      <c r="EG34" s="111"/>
      <c r="EH34" s="111"/>
      <c r="EI34" s="111"/>
      <c r="EJ34" s="111"/>
      <c r="EK34" s="111"/>
      <c r="EL34" s="111"/>
      <c r="EM34" s="111"/>
      <c r="EN34" s="111"/>
      <c r="EO34" s="111"/>
      <c r="EP34" s="111"/>
      <c r="EQ34" s="111"/>
      <c r="ER34" s="111"/>
      <c r="ES34" s="111"/>
      <c r="ET34" s="111"/>
      <c r="EU34" s="111"/>
      <c r="EV34" s="111"/>
      <c r="EW34" s="111"/>
      <c r="EX34" s="111"/>
      <c r="EY34" s="111"/>
      <c r="EZ34" s="111"/>
      <c r="FA34" s="111"/>
      <c r="FB34" s="111"/>
      <c r="FC34" s="111"/>
      <c r="FD34" s="111"/>
      <c r="FE34" s="111"/>
      <c r="FF34" s="111"/>
      <c r="FG34" s="111"/>
      <c r="FH34" s="111"/>
      <c r="FI34" s="111"/>
      <c r="FJ34" s="111"/>
      <c r="FK34" s="111"/>
      <c r="FL34" s="111"/>
      <c r="FM34" s="111"/>
      <c r="FN34" s="111"/>
      <c r="FO34" s="111"/>
      <c r="FP34" s="111"/>
      <c r="FQ34" s="111"/>
      <c r="FR34" s="111"/>
      <c r="FS34" s="111"/>
      <c r="FT34" s="111"/>
      <c r="FU34" s="111"/>
      <c r="FV34" s="111"/>
      <c r="FW34" s="111"/>
      <c r="FX34" s="111"/>
      <c r="FY34" s="111"/>
      <c r="FZ34" s="111"/>
      <c r="GA34" s="111"/>
      <c r="GB34" s="111"/>
      <c r="GC34" s="111"/>
      <c r="GD34" s="111"/>
      <c r="GE34" s="111"/>
      <c r="GF34" s="111"/>
      <c r="GG34" s="111"/>
      <c r="GH34" s="111"/>
      <c r="GI34" s="111"/>
      <c r="GJ34" s="111"/>
    </row>
    <row r="35" spans="1:192" ht="50.15" customHeight="1" outlineLevel="1" x14ac:dyDescent="0.35">
      <c r="A35" s="161" t="s">
        <v>4</v>
      </c>
      <c r="B35" s="179" t="s">
        <v>287</v>
      </c>
      <c r="C35" s="151" t="s">
        <v>452</v>
      </c>
      <c r="D35" s="182" t="s">
        <v>22</v>
      </c>
      <c r="E35" s="159" t="s">
        <v>538</v>
      </c>
      <c r="F35" s="230"/>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c r="BV35" s="111"/>
      <c r="BW35" s="111"/>
      <c r="BX35" s="111"/>
      <c r="BY35" s="111"/>
      <c r="BZ35" s="111"/>
      <c r="CA35" s="111"/>
      <c r="CB35" s="111"/>
      <c r="CC35" s="111"/>
      <c r="CD35" s="111"/>
      <c r="CE35" s="111"/>
      <c r="CF35" s="111"/>
      <c r="CG35" s="111"/>
      <c r="CH35" s="111"/>
      <c r="CI35" s="111"/>
      <c r="CJ35" s="111"/>
      <c r="CK35" s="111"/>
      <c r="CL35" s="111"/>
      <c r="CM35" s="111"/>
      <c r="CN35" s="111"/>
      <c r="CO35" s="111"/>
      <c r="CP35" s="111"/>
      <c r="CQ35" s="111"/>
      <c r="CR35" s="111"/>
      <c r="CS35" s="111"/>
      <c r="CT35" s="111"/>
      <c r="CU35" s="111"/>
      <c r="CV35" s="111"/>
      <c r="CW35" s="111"/>
      <c r="CX35" s="111"/>
      <c r="CY35" s="111"/>
      <c r="CZ35" s="111"/>
      <c r="DA35" s="111"/>
      <c r="DB35" s="111"/>
      <c r="DC35" s="111"/>
      <c r="DD35" s="111"/>
      <c r="DE35" s="111"/>
      <c r="DF35" s="111"/>
      <c r="DG35" s="111"/>
      <c r="DH35" s="111"/>
      <c r="DI35" s="111"/>
      <c r="DJ35" s="111"/>
      <c r="DK35" s="111"/>
      <c r="DL35" s="111"/>
      <c r="DM35" s="111"/>
      <c r="DN35" s="111"/>
      <c r="DO35" s="111"/>
      <c r="DP35" s="111"/>
      <c r="DQ35" s="111"/>
      <c r="DR35" s="111"/>
      <c r="DS35" s="111"/>
      <c r="DT35" s="111"/>
      <c r="DU35" s="111"/>
      <c r="DV35" s="111"/>
      <c r="DW35" s="111"/>
      <c r="DX35" s="111"/>
      <c r="DY35" s="111"/>
      <c r="DZ35" s="111"/>
      <c r="EA35" s="111"/>
      <c r="EB35" s="111"/>
      <c r="EC35" s="111"/>
      <c r="ED35" s="111"/>
      <c r="EE35" s="111"/>
      <c r="EF35" s="111"/>
      <c r="EG35" s="111"/>
      <c r="EH35" s="111"/>
      <c r="EI35" s="111"/>
      <c r="EJ35" s="111"/>
      <c r="EK35" s="111"/>
      <c r="EL35" s="111"/>
      <c r="EM35" s="111"/>
      <c r="EN35" s="111"/>
      <c r="EO35" s="111"/>
      <c r="EP35" s="111"/>
      <c r="EQ35" s="111"/>
      <c r="ER35" s="111"/>
      <c r="ES35" s="111"/>
      <c r="ET35" s="111"/>
      <c r="EU35" s="111"/>
      <c r="EV35" s="111"/>
      <c r="EW35" s="111"/>
      <c r="EX35" s="111"/>
      <c r="EY35" s="111"/>
      <c r="EZ35" s="111"/>
      <c r="FA35" s="111"/>
      <c r="FB35" s="111"/>
      <c r="FC35" s="111"/>
      <c r="FD35" s="111"/>
      <c r="FE35" s="111"/>
      <c r="FF35" s="111"/>
      <c r="FG35" s="111"/>
      <c r="FH35" s="111"/>
      <c r="FI35" s="111"/>
      <c r="FJ35" s="111"/>
      <c r="FK35" s="111"/>
      <c r="FL35" s="111"/>
      <c r="FM35" s="111"/>
      <c r="FN35" s="111"/>
      <c r="FO35" s="111"/>
      <c r="FP35" s="111"/>
      <c r="FQ35" s="111"/>
      <c r="FR35" s="111"/>
      <c r="FS35" s="111"/>
      <c r="FT35" s="111"/>
      <c r="FU35" s="111"/>
      <c r="FV35" s="111"/>
      <c r="FW35" s="111"/>
      <c r="FX35" s="111"/>
      <c r="FY35" s="111"/>
      <c r="FZ35" s="111"/>
      <c r="GA35" s="111"/>
      <c r="GB35" s="111"/>
      <c r="GC35" s="111"/>
      <c r="GD35" s="111"/>
      <c r="GE35" s="111"/>
      <c r="GF35" s="111"/>
      <c r="GG35" s="111"/>
      <c r="GH35" s="111"/>
      <c r="GI35" s="111"/>
      <c r="GJ35" s="111"/>
    </row>
    <row r="36" spans="1:192" ht="50.15" customHeight="1" outlineLevel="1" x14ac:dyDescent="0.35">
      <c r="A36" s="161" t="s">
        <v>4</v>
      </c>
      <c r="B36" s="180" t="s">
        <v>288</v>
      </c>
      <c r="C36" s="152" t="s">
        <v>453</v>
      </c>
      <c r="D36" s="183" t="s">
        <v>22</v>
      </c>
      <c r="E36" s="158" t="s">
        <v>539</v>
      </c>
      <c r="F36" s="23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111"/>
      <c r="AZ36" s="111"/>
      <c r="BA36" s="111"/>
      <c r="BB36" s="111"/>
      <c r="BC36" s="111"/>
      <c r="BD36" s="111"/>
      <c r="BE36" s="111"/>
      <c r="BF36" s="111"/>
      <c r="BG36" s="111"/>
      <c r="BH36" s="111"/>
      <c r="BI36" s="111"/>
      <c r="BJ36" s="111"/>
      <c r="BK36" s="111"/>
      <c r="BL36" s="111"/>
      <c r="BM36" s="111"/>
      <c r="BN36" s="111"/>
      <c r="BO36" s="111"/>
      <c r="BP36" s="111"/>
      <c r="BQ36" s="111"/>
      <c r="BR36" s="111"/>
      <c r="BS36" s="111"/>
      <c r="BT36" s="111"/>
      <c r="BU36" s="111"/>
      <c r="BV36" s="111"/>
      <c r="BW36" s="111"/>
      <c r="BX36" s="111"/>
      <c r="BY36" s="111"/>
      <c r="BZ36" s="111"/>
      <c r="CA36" s="111"/>
      <c r="CB36" s="111"/>
      <c r="CC36" s="111"/>
      <c r="CD36" s="111"/>
      <c r="CE36" s="111"/>
      <c r="CF36" s="111"/>
      <c r="CG36" s="111"/>
      <c r="CH36" s="111"/>
      <c r="CI36" s="111"/>
      <c r="CJ36" s="111"/>
      <c r="CK36" s="111"/>
      <c r="CL36" s="111"/>
      <c r="CM36" s="111"/>
      <c r="CN36" s="111"/>
      <c r="CO36" s="111"/>
      <c r="CP36" s="111"/>
      <c r="CQ36" s="111"/>
      <c r="CR36" s="111"/>
      <c r="CS36" s="111"/>
      <c r="CT36" s="111"/>
      <c r="CU36" s="111"/>
      <c r="CV36" s="111"/>
      <c r="CW36" s="111"/>
      <c r="CX36" s="111"/>
      <c r="CY36" s="111"/>
      <c r="CZ36" s="111"/>
      <c r="DA36" s="111"/>
      <c r="DB36" s="111"/>
      <c r="DC36" s="111"/>
      <c r="DD36" s="111"/>
      <c r="DE36" s="111"/>
      <c r="DF36" s="111"/>
      <c r="DG36" s="111"/>
      <c r="DH36" s="111"/>
      <c r="DI36" s="111"/>
      <c r="DJ36" s="111"/>
      <c r="DK36" s="111"/>
      <c r="DL36" s="111"/>
      <c r="DM36" s="111"/>
      <c r="DN36" s="111"/>
      <c r="DO36" s="111"/>
      <c r="DP36" s="111"/>
      <c r="DQ36" s="111"/>
      <c r="DR36" s="111"/>
      <c r="DS36" s="111"/>
      <c r="DT36" s="111"/>
      <c r="DU36" s="111"/>
      <c r="DV36" s="111"/>
      <c r="DW36" s="111"/>
      <c r="DX36" s="111"/>
      <c r="DY36" s="111"/>
      <c r="DZ36" s="111"/>
      <c r="EA36" s="111"/>
      <c r="EB36" s="111"/>
      <c r="EC36" s="111"/>
      <c r="ED36" s="111"/>
      <c r="EE36" s="111"/>
      <c r="EF36" s="111"/>
      <c r="EG36" s="111"/>
      <c r="EH36" s="111"/>
      <c r="EI36" s="111"/>
      <c r="EJ36" s="111"/>
      <c r="EK36" s="111"/>
      <c r="EL36" s="111"/>
      <c r="EM36" s="111"/>
      <c r="EN36" s="111"/>
      <c r="EO36" s="111"/>
      <c r="EP36" s="111"/>
      <c r="EQ36" s="111"/>
      <c r="ER36" s="111"/>
      <c r="ES36" s="111"/>
      <c r="ET36" s="111"/>
      <c r="EU36" s="111"/>
      <c r="EV36" s="111"/>
      <c r="EW36" s="111"/>
      <c r="EX36" s="111"/>
      <c r="EY36" s="111"/>
      <c r="EZ36" s="111"/>
      <c r="FA36" s="111"/>
      <c r="FB36" s="111"/>
      <c r="FC36" s="111"/>
      <c r="FD36" s="111"/>
      <c r="FE36" s="111"/>
      <c r="FF36" s="111"/>
      <c r="FG36" s="111"/>
      <c r="FH36" s="111"/>
      <c r="FI36" s="111"/>
      <c r="FJ36" s="111"/>
      <c r="FK36" s="111"/>
      <c r="FL36" s="111"/>
      <c r="FM36" s="111"/>
      <c r="FN36" s="111"/>
      <c r="FO36" s="111"/>
      <c r="FP36" s="111"/>
      <c r="FQ36" s="111"/>
      <c r="FR36" s="111"/>
      <c r="FS36" s="111"/>
      <c r="FT36" s="111"/>
      <c r="FU36" s="111"/>
      <c r="FV36" s="111"/>
      <c r="FW36" s="111"/>
      <c r="FX36" s="111"/>
      <c r="FY36" s="111"/>
      <c r="FZ36" s="111"/>
      <c r="GA36" s="111"/>
      <c r="GB36" s="111"/>
      <c r="GC36" s="111"/>
      <c r="GD36" s="111"/>
      <c r="GE36" s="111"/>
      <c r="GF36" s="111"/>
      <c r="GG36" s="111"/>
      <c r="GH36" s="111"/>
      <c r="GI36" s="111"/>
      <c r="GJ36" s="111"/>
    </row>
    <row r="37" spans="1:192" ht="50.15" customHeight="1" outlineLevel="1" x14ac:dyDescent="0.35">
      <c r="A37" s="161" t="s">
        <v>4</v>
      </c>
      <c r="B37" s="179" t="s">
        <v>289</v>
      </c>
      <c r="C37" s="151" t="s">
        <v>454</v>
      </c>
      <c r="D37" s="182" t="s">
        <v>22</v>
      </c>
      <c r="E37" s="156" t="s">
        <v>540</v>
      </c>
      <c r="F37" s="230"/>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111"/>
      <c r="AZ37" s="111"/>
      <c r="BA37" s="111"/>
      <c r="BB37" s="111"/>
      <c r="BC37" s="111"/>
      <c r="BD37" s="111"/>
      <c r="BE37" s="111"/>
      <c r="BF37" s="111"/>
      <c r="BG37" s="111"/>
      <c r="BH37" s="111"/>
      <c r="BI37" s="111"/>
      <c r="BJ37" s="111"/>
      <c r="BK37" s="111"/>
      <c r="BL37" s="111"/>
      <c r="BM37" s="111"/>
      <c r="BN37" s="111"/>
      <c r="BO37" s="111"/>
      <c r="BP37" s="111"/>
      <c r="BQ37" s="111"/>
      <c r="BR37" s="111"/>
      <c r="BS37" s="111"/>
      <c r="BT37" s="111"/>
      <c r="BU37" s="111"/>
      <c r="BV37" s="111"/>
      <c r="BW37" s="111"/>
      <c r="BX37" s="111"/>
      <c r="BY37" s="111"/>
      <c r="BZ37" s="111"/>
      <c r="CA37" s="111"/>
      <c r="CB37" s="111"/>
      <c r="CC37" s="111"/>
      <c r="CD37" s="111"/>
      <c r="CE37" s="111"/>
      <c r="CF37" s="111"/>
      <c r="CG37" s="111"/>
      <c r="CH37" s="111"/>
      <c r="CI37" s="111"/>
      <c r="CJ37" s="111"/>
      <c r="CK37" s="111"/>
      <c r="CL37" s="111"/>
      <c r="CM37" s="111"/>
      <c r="CN37" s="111"/>
      <c r="CO37" s="111"/>
      <c r="CP37" s="111"/>
      <c r="CQ37" s="111"/>
      <c r="CR37" s="111"/>
      <c r="CS37" s="111"/>
      <c r="CT37" s="111"/>
      <c r="CU37" s="111"/>
      <c r="CV37" s="111"/>
      <c r="CW37" s="111"/>
      <c r="CX37" s="111"/>
      <c r="CY37" s="111"/>
      <c r="CZ37" s="111"/>
      <c r="DA37" s="111"/>
      <c r="DB37" s="111"/>
      <c r="DC37" s="111"/>
      <c r="DD37" s="111"/>
      <c r="DE37" s="111"/>
      <c r="DF37" s="111"/>
      <c r="DG37" s="111"/>
      <c r="DH37" s="111"/>
      <c r="DI37" s="111"/>
      <c r="DJ37" s="111"/>
      <c r="DK37" s="111"/>
      <c r="DL37" s="111"/>
      <c r="DM37" s="111"/>
      <c r="DN37" s="111"/>
      <c r="DO37" s="111"/>
      <c r="DP37" s="111"/>
      <c r="DQ37" s="111"/>
      <c r="DR37" s="111"/>
      <c r="DS37" s="111"/>
      <c r="DT37" s="111"/>
      <c r="DU37" s="111"/>
      <c r="DV37" s="111"/>
      <c r="DW37" s="111"/>
      <c r="DX37" s="111"/>
      <c r="DY37" s="111"/>
      <c r="DZ37" s="111"/>
      <c r="EA37" s="111"/>
      <c r="EB37" s="111"/>
      <c r="EC37" s="111"/>
      <c r="ED37" s="111"/>
      <c r="EE37" s="111"/>
      <c r="EF37" s="111"/>
      <c r="EG37" s="111"/>
      <c r="EH37" s="111"/>
      <c r="EI37" s="111"/>
      <c r="EJ37" s="111"/>
      <c r="EK37" s="111"/>
      <c r="EL37" s="111"/>
      <c r="EM37" s="111"/>
      <c r="EN37" s="111"/>
      <c r="EO37" s="111"/>
      <c r="EP37" s="111"/>
      <c r="EQ37" s="111"/>
      <c r="ER37" s="111"/>
      <c r="ES37" s="111"/>
      <c r="ET37" s="111"/>
      <c r="EU37" s="111"/>
      <c r="EV37" s="111"/>
      <c r="EW37" s="111"/>
      <c r="EX37" s="111"/>
      <c r="EY37" s="111"/>
      <c r="EZ37" s="111"/>
      <c r="FA37" s="111"/>
      <c r="FB37" s="111"/>
      <c r="FC37" s="111"/>
      <c r="FD37" s="111"/>
      <c r="FE37" s="111"/>
      <c r="FF37" s="111"/>
      <c r="FG37" s="111"/>
      <c r="FH37" s="111"/>
      <c r="FI37" s="111"/>
      <c r="FJ37" s="111"/>
      <c r="FK37" s="111"/>
      <c r="FL37" s="111"/>
      <c r="FM37" s="111"/>
      <c r="FN37" s="111"/>
      <c r="FO37" s="111"/>
      <c r="FP37" s="111"/>
      <c r="FQ37" s="111"/>
      <c r="FR37" s="111"/>
      <c r="FS37" s="111"/>
      <c r="FT37" s="111"/>
      <c r="FU37" s="111"/>
      <c r="FV37" s="111"/>
      <c r="FW37" s="111"/>
      <c r="FX37" s="111"/>
      <c r="FY37" s="111"/>
      <c r="FZ37" s="111"/>
      <c r="GA37" s="111"/>
      <c r="GB37" s="111"/>
      <c r="GC37" s="111"/>
      <c r="GD37" s="111"/>
      <c r="GE37" s="111"/>
      <c r="GF37" s="111"/>
      <c r="GG37" s="111"/>
      <c r="GH37" s="111"/>
      <c r="GI37" s="111"/>
      <c r="GJ37" s="111"/>
    </row>
    <row r="38" spans="1:192" ht="50.15" customHeight="1" outlineLevel="1" x14ac:dyDescent="0.35">
      <c r="A38" s="160" t="s">
        <v>7</v>
      </c>
      <c r="B38" s="180" t="s">
        <v>290</v>
      </c>
      <c r="C38" s="152" t="s">
        <v>455</v>
      </c>
      <c r="D38" s="183" t="s">
        <v>22</v>
      </c>
      <c r="E38" s="158" t="s">
        <v>541</v>
      </c>
      <c r="F38" s="23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111"/>
      <c r="AZ38" s="111"/>
      <c r="BA38" s="111"/>
      <c r="BB38" s="111"/>
      <c r="BC38" s="111"/>
      <c r="BD38" s="111"/>
      <c r="BE38" s="111"/>
      <c r="BF38" s="111"/>
      <c r="BG38" s="111"/>
      <c r="BH38" s="111"/>
      <c r="BI38" s="111"/>
      <c r="BJ38" s="111"/>
      <c r="BK38" s="111"/>
      <c r="BL38" s="111"/>
      <c r="BM38" s="111"/>
      <c r="BN38" s="111"/>
      <c r="BO38" s="111"/>
      <c r="BP38" s="111"/>
      <c r="BQ38" s="111"/>
      <c r="BR38" s="111"/>
      <c r="BS38" s="111"/>
      <c r="BT38" s="111"/>
      <c r="BU38" s="111"/>
      <c r="BV38" s="111"/>
      <c r="BW38" s="111"/>
      <c r="BX38" s="111"/>
      <c r="BY38" s="111"/>
      <c r="BZ38" s="111"/>
      <c r="CA38" s="111"/>
      <c r="CB38" s="111"/>
      <c r="CC38" s="111"/>
      <c r="CD38" s="111"/>
      <c r="CE38" s="111"/>
      <c r="CF38" s="111"/>
      <c r="CG38" s="111"/>
      <c r="CH38" s="111"/>
      <c r="CI38" s="111"/>
      <c r="CJ38" s="111"/>
      <c r="CK38" s="111"/>
      <c r="CL38" s="111"/>
      <c r="CM38" s="111"/>
      <c r="CN38" s="111"/>
      <c r="CO38" s="111"/>
      <c r="CP38" s="111"/>
      <c r="CQ38" s="111"/>
      <c r="CR38" s="111"/>
      <c r="CS38" s="111"/>
      <c r="CT38" s="111"/>
      <c r="CU38" s="111"/>
      <c r="CV38" s="111"/>
      <c r="CW38" s="111"/>
      <c r="CX38" s="111"/>
      <c r="CY38" s="111"/>
      <c r="CZ38" s="111"/>
      <c r="DA38" s="111"/>
      <c r="DB38" s="111"/>
      <c r="DC38" s="111"/>
      <c r="DD38" s="111"/>
      <c r="DE38" s="111"/>
      <c r="DF38" s="111"/>
      <c r="DG38" s="111"/>
      <c r="DH38" s="111"/>
      <c r="DI38" s="111"/>
      <c r="DJ38" s="111"/>
      <c r="DK38" s="111"/>
      <c r="DL38" s="111"/>
      <c r="DM38" s="111"/>
      <c r="DN38" s="111"/>
      <c r="DO38" s="111"/>
      <c r="DP38" s="111"/>
      <c r="DQ38" s="111"/>
      <c r="DR38" s="111"/>
      <c r="DS38" s="111"/>
      <c r="DT38" s="111"/>
      <c r="DU38" s="111"/>
      <c r="DV38" s="111"/>
      <c r="DW38" s="111"/>
      <c r="DX38" s="111"/>
      <c r="DY38" s="111"/>
      <c r="DZ38" s="111"/>
      <c r="EA38" s="111"/>
      <c r="EB38" s="111"/>
      <c r="EC38" s="111"/>
      <c r="ED38" s="111"/>
      <c r="EE38" s="111"/>
      <c r="EF38" s="111"/>
      <c r="EG38" s="111"/>
      <c r="EH38" s="111"/>
      <c r="EI38" s="111"/>
      <c r="EJ38" s="111"/>
      <c r="EK38" s="111"/>
      <c r="EL38" s="111"/>
      <c r="EM38" s="111"/>
      <c r="EN38" s="111"/>
      <c r="EO38" s="111"/>
      <c r="EP38" s="111"/>
      <c r="EQ38" s="111"/>
      <c r="ER38" s="111"/>
      <c r="ES38" s="111"/>
      <c r="ET38" s="111"/>
      <c r="EU38" s="111"/>
      <c r="EV38" s="111"/>
      <c r="EW38" s="111"/>
      <c r="EX38" s="111"/>
      <c r="EY38" s="111"/>
      <c r="EZ38" s="111"/>
      <c r="FA38" s="111"/>
      <c r="FB38" s="111"/>
      <c r="FC38" s="111"/>
      <c r="FD38" s="111"/>
      <c r="FE38" s="111"/>
      <c r="FF38" s="111"/>
      <c r="FG38" s="111"/>
      <c r="FH38" s="111"/>
      <c r="FI38" s="111"/>
      <c r="FJ38" s="111"/>
      <c r="FK38" s="111"/>
      <c r="FL38" s="111"/>
      <c r="FM38" s="111"/>
      <c r="FN38" s="111"/>
      <c r="FO38" s="111"/>
      <c r="FP38" s="111"/>
      <c r="FQ38" s="111"/>
      <c r="FR38" s="111"/>
      <c r="FS38" s="111"/>
      <c r="FT38" s="111"/>
      <c r="FU38" s="111"/>
      <c r="FV38" s="111"/>
      <c r="FW38" s="111"/>
      <c r="FX38" s="111"/>
      <c r="FY38" s="111"/>
      <c r="FZ38" s="111"/>
      <c r="GA38" s="111"/>
      <c r="GB38" s="111"/>
      <c r="GC38" s="111"/>
      <c r="GD38" s="111"/>
      <c r="GE38" s="111"/>
      <c r="GF38" s="111"/>
      <c r="GG38" s="111"/>
      <c r="GH38" s="111"/>
      <c r="GI38" s="111"/>
      <c r="GJ38" s="111"/>
    </row>
    <row r="39" spans="1:192" ht="50.15" customHeight="1" outlineLevel="1" x14ac:dyDescent="0.35">
      <c r="A39" s="160" t="s">
        <v>7</v>
      </c>
      <c r="B39" s="179" t="s">
        <v>291</v>
      </c>
      <c r="C39" s="151" t="s">
        <v>456</v>
      </c>
      <c r="D39" s="182" t="s">
        <v>22</v>
      </c>
      <c r="E39" s="159" t="s">
        <v>542</v>
      </c>
      <c r="F39" s="230"/>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111"/>
      <c r="AZ39" s="111"/>
      <c r="BA39" s="111"/>
      <c r="BB39" s="111"/>
      <c r="BC39" s="111"/>
      <c r="BD39" s="111"/>
      <c r="BE39" s="111"/>
      <c r="BF39" s="111"/>
      <c r="BG39" s="111"/>
      <c r="BH39" s="111"/>
      <c r="BI39" s="111"/>
      <c r="BJ39" s="111"/>
      <c r="BK39" s="111"/>
      <c r="BL39" s="111"/>
      <c r="BM39" s="111"/>
      <c r="BN39" s="111"/>
      <c r="BO39" s="111"/>
      <c r="BP39" s="111"/>
      <c r="BQ39" s="111"/>
      <c r="BR39" s="111"/>
      <c r="BS39" s="111"/>
      <c r="BT39" s="111"/>
      <c r="BU39" s="111"/>
      <c r="BV39" s="111"/>
      <c r="BW39" s="111"/>
      <c r="BX39" s="111"/>
      <c r="BY39" s="111"/>
      <c r="BZ39" s="111"/>
      <c r="CA39" s="111"/>
      <c r="CB39" s="111"/>
      <c r="CC39" s="111"/>
      <c r="CD39" s="111"/>
      <c r="CE39" s="111"/>
      <c r="CF39" s="111"/>
      <c r="CG39" s="111"/>
      <c r="CH39" s="111"/>
      <c r="CI39" s="111"/>
      <c r="CJ39" s="111"/>
      <c r="CK39" s="111"/>
      <c r="CL39" s="111"/>
      <c r="CM39" s="111"/>
      <c r="CN39" s="111"/>
      <c r="CO39" s="111"/>
      <c r="CP39" s="111"/>
      <c r="CQ39" s="111"/>
      <c r="CR39" s="111"/>
      <c r="CS39" s="111"/>
      <c r="CT39" s="111"/>
      <c r="CU39" s="111"/>
      <c r="CV39" s="111"/>
      <c r="CW39" s="111"/>
      <c r="CX39" s="111"/>
      <c r="CY39" s="111"/>
      <c r="CZ39" s="111"/>
      <c r="DA39" s="111"/>
      <c r="DB39" s="111"/>
      <c r="DC39" s="111"/>
      <c r="DD39" s="111"/>
      <c r="DE39" s="111"/>
      <c r="DF39" s="111"/>
      <c r="DG39" s="111"/>
      <c r="DH39" s="111"/>
      <c r="DI39" s="111"/>
      <c r="DJ39" s="111"/>
      <c r="DK39" s="111"/>
      <c r="DL39" s="111"/>
      <c r="DM39" s="111"/>
      <c r="DN39" s="111"/>
      <c r="DO39" s="111"/>
      <c r="DP39" s="111"/>
      <c r="DQ39" s="111"/>
      <c r="DR39" s="111"/>
      <c r="DS39" s="111"/>
      <c r="DT39" s="111"/>
      <c r="DU39" s="111"/>
      <c r="DV39" s="111"/>
      <c r="DW39" s="111"/>
      <c r="DX39" s="111"/>
      <c r="DY39" s="111"/>
      <c r="DZ39" s="111"/>
      <c r="EA39" s="111"/>
      <c r="EB39" s="111"/>
      <c r="EC39" s="111"/>
      <c r="ED39" s="111"/>
      <c r="EE39" s="111"/>
      <c r="EF39" s="111"/>
      <c r="EG39" s="111"/>
      <c r="EH39" s="111"/>
      <c r="EI39" s="111"/>
      <c r="EJ39" s="111"/>
      <c r="EK39" s="111"/>
      <c r="EL39" s="111"/>
      <c r="EM39" s="111"/>
      <c r="EN39" s="111"/>
      <c r="EO39" s="111"/>
      <c r="EP39" s="111"/>
      <c r="EQ39" s="111"/>
      <c r="ER39" s="111"/>
      <c r="ES39" s="111"/>
      <c r="ET39" s="111"/>
      <c r="EU39" s="111"/>
      <c r="EV39" s="111"/>
      <c r="EW39" s="111"/>
      <c r="EX39" s="111"/>
      <c r="EY39" s="111"/>
      <c r="EZ39" s="111"/>
      <c r="FA39" s="111"/>
      <c r="FB39" s="111"/>
      <c r="FC39" s="111"/>
      <c r="FD39" s="111"/>
      <c r="FE39" s="111"/>
      <c r="FF39" s="111"/>
      <c r="FG39" s="111"/>
      <c r="FH39" s="111"/>
      <c r="FI39" s="111"/>
      <c r="FJ39" s="111"/>
      <c r="FK39" s="111"/>
      <c r="FL39" s="111"/>
      <c r="FM39" s="111"/>
      <c r="FN39" s="111"/>
      <c r="FO39" s="111"/>
      <c r="FP39" s="111"/>
      <c r="FQ39" s="111"/>
      <c r="FR39" s="111"/>
      <c r="FS39" s="111"/>
      <c r="FT39" s="111"/>
      <c r="FU39" s="111"/>
      <c r="FV39" s="111"/>
      <c r="FW39" s="111"/>
      <c r="FX39" s="111"/>
      <c r="FY39" s="111"/>
      <c r="FZ39" s="111"/>
      <c r="GA39" s="111"/>
      <c r="GB39" s="111"/>
      <c r="GC39" s="111"/>
      <c r="GD39" s="111"/>
      <c r="GE39" s="111"/>
      <c r="GF39" s="111"/>
      <c r="GG39" s="111"/>
      <c r="GH39" s="111"/>
      <c r="GI39" s="111"/>
      <c r="GJ39" s="111"/>
    </row>
    <row r="40" spans="1:192" ht="50.15" customHeight="1" outlineLevel="1" x14ac:dyDescent="0.35">
      <c r="A40" s="160" t="s">
        <v>7</v>
      </c>
      <c r="B40" s="180" t="s">
        <v>292</v>
      </c>
      <c r="C40" s="282" t="s">
        <v>671</v>
      </c>
      <c r="D40" s="183" t="s">
        <v>22</v>
      </c>
      <c r="E40" s="154" t="s">
        <v>683</v>
      </c>
      <c r="F40" s="23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111"/>
      <c r="AZ40" s="111"/>
      <c r="BA40" s="111"/>
      <c r="BB40" s="111"/>
      <c r="BC40" s="111"/>
      <c r="BD40" s="111"/>
      <c r="BE40" s="111"/>
      <c r="BF40" s="111"/>
      <c r="BG40" s="111"/>
      <c r="BH40" s="111"/>
      <c r="BI40" s="111"/>
      <c r="BJ40" s="111"/>
      <c r="BK40" s="111"/>
      <c r="BL40" s="111"/>
      <c r="BM40" s="111"/>
      <c r="BN40" s="111"/>
      <c r="BO40" s="111"/>
      <c r="BP40" s="111"/>
      <c r="BQ40" s="111"/>
      <c r="BR40" s="111"/>
      <c r="BS40" s="111"/>
      <c r="BT40" s="111"/>
      <c r="BU40" s="111"/>
      <c r="BV40" s="111"/>
      <c r="BW40" s="111"/>
      <c r="BX40" s="111"/>
      <c r="BY40" s="111"/>
      <c r="BZ40" s="111"/>
      <c r="CA40" s="111"/>
      <c r="CB40" s="111"/>
      <c r="CC40" s="111"/>
      <c r="CD40" s="111"/>
      <c r="CE40" s="111"/>
      <c r="CF40" s="111"/>
      <c r="CG40" s="111"/>
      <c r="CH40" s="111"/>
      <c r="CI40" s="111"/>
      <c r="CJ40" s="111"/>
      <c r="CK40" s="111"/>
      <c r="CL40" s="111"/>
      <c r="CM40" s="111"/>
      <c r="CN40" s="111"/>
      <c r="CO40" s="111"/>
      <c r="CP40" s="111"/>
      <c r="CQ40" s="111"/>
      <c r="CR40" s="111"/>
      <c r="CS40" s="111"/>
      <c r="CT40" s="111"/>
      <c r="CU40" s="111"/>
      <c r="CV40" s="111"/>
      <c r="CW40" s="111"/>
      <c r="CX40" s="111"/>
      <c r="CY40" s="111"/>
      <c r="CZ40" s="111"/>
      <c r="DA40" s="111"/>
      <c r="DB40" s="111"/>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1"/>
      <c r="EI40" s="111"/>
      <c r="EJ40" s="111"/>
      <c r="EK40" s="111"/>
      <c r="EL40" s="111"/>
      <c r="EM40" s="111"/>
      <c r="EN40" s="111"/>
      <c r="EO40" s="111"/>
      <c r="EP40" s="111"/>
      <c r="EQ40" s="111"/>
      <c r="ER40" s="111"/>
      <c r="ES40" s="111"/>
      <c r="ET40" s="111"/>
      <c r="EU40" s="111"/>
      <c r="EV40" s="111"/>
      <c r="EW40" s="111"/>
      <c r="EX40" s="111"/>
      <c r="EY40" s="111"/>
      <c r="EZ40" s="111"/>
      <c r="FA40" s="111"/>
      <c r="FB40" s="111"/>
      <c r="FC40" s="111"/>
      <c r="FD40" s="111"/>
      <c r="FE40" s="111"/>
      <c r="FF40" s="111"/>
      <c r="FG40" s="111"/>
      <c r="FH40" s="111"/>
      <c r="FI40" s="111"/>
      <c r="FJ40" s="111"/>
      <c r="FK40" s="111"/>
      <c r="FL40" s="111"/>
      <c r="FM40" s="111"/>
      <c r="FN40" s="111"/>
      <c r="FO40" s="111"/>
      <c r="FP40" s="111"/>
      <c r="FQ40" s="111"/>
      <c r="FR40" s="111"/>
      <c r="FS40" s="111"/>
      <c r="FT40" s="111"/>
      <c r="FU40" s="111"/>
      <c r="FV40" s="111"/>
      <c r="FW40" s="111"/>
      <c r="FX40" s="111"/>
      <c r="FY40" s="111"/>
      <c r="FZ40" s="111"/>
      <c r="GA40" s="111"/>
      <c r="GB40" s="111"/>
      <c r="GC40" s="111"/>
      <c r="GD40" s="111"/>
      <c r="GE40" s="111"/>
      <c r="GF40" s="111"/>
      <c r="GG40" s="111"/>
      <c r="GH40" s="111"/>
      <c r="GI40" s="111"/>
      <c r="GJ40" s="111"/>
    </row>
    <row r="41" spans="1:192" ht="50.15" customHeight="1" outlineLevel="1" x14ac:dyDescent="0.35">
      <c r="A41" s="160" t="s">
        <v>7</v>
      </c>
      <c r="B41" s="179" t="s">
        <v>293</v>
      </c>
      <c r="C41" s="151" t="s">
        <v>457</v>
      </c>
      <c r="D41" s="182" t="s">
        <v>22</v>
      </c>
      <c r="E41" s="159" t="s">
        <v>543</v>
      </c>
      <c r="F41" s="230"/>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1"/>
      <c r="CP41" s="111"/>
      <c r="CQ41" s="111"/>
      <c r="CR41" s="111"/>
      <c r="CS41" s="111"/>
      <c r="CT41" s="111"/>
      <c r="CU41" s="111"/>
      <c r="CV41" s="111"/>
      <c r="CW41" s="111"/>
      <c r="CX41" s="111"/>
      <c r="CY41" s="111"/>
      <c r="CZ41" s="111"/>
      <c r="DA41" s="111"/>
      <c r="DB41" s="111"/>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1"/>
      <c r="EI41" s="111"/>
      <c r="EJ41" s="111"/>
      <c r="EK41" s="111"/>
      <c r="EL41" s="111"/>
      <c r="EM41" s="111"/>
      <c r="EN41" s="111"/>
      <c r="EO41" s="111"/>
      <c r="EP41" s="111"/>
      <c r="EQ41" s="111"/>
      <c r="ER41" s="111"/>
      <c r="ES41" s="111"/>
      <c r="ET41" s="111"/>
      <c r="EU41" s="111"/>
      <c r="EV41" s="111"/>
      <c r="EW41" s="111"/>
      <c r="EX41" s="111"/>
      <c r="EY41" s="111"/>
      <c r="EZ41" s="111"/>
      <c r="FA41" s="111"/>
      <c r="FB41" s="111"/>
      <c r="FC41" s="111"/>
      <c r="FD41" s="111"/>
      <c r="FE41" s="111"/>
      <c r="FF41" s="111"/>
      <c r="FG41" s="111"/>
      <c r="FH41" s="111"/>
      <c r="FI41" s="111"/>
      <c r="FJ41" s="111"/>
      <c r="FK41" s="111"/>
      <c r="FL41" s="111"/>
      <c r="FM41" s="111"/>
      <c r="FN41" s="111"/>
      <c r="FO41" s="111"/>
      <c r="FP41" s="111"/>
      <c r="FQ41" s="111"/>
      <c r="FR41" s="111"/>
      <c r="FS41" s="111"/>
      <c r="FT41" s="111"/>
      <c r="FU41" s="111"/>
      <c r="FV41" s="111"/>
      <c r="FW41" s="111"/>
      <c r="FX41" s="111"/>
      <c r="FY41" s="111"/>
      <c r="FZ41" s="111"/>
      <c r="GA41" s="111"/>
      <c r="GB41" s="111"/>
      <c r="GC41" s="111"/>
      <c r="GD41" s="111"/>
      <c r="GE41" s="111"/>
      <c r="GF41" s="111"/>
      <c r="GG41" s="111"/>
      <c r="GH41" s="111"/>
      <c r="GI41" s="111"/>
      <c r="GJ41" s="111"/>
    </row>
    <row r="42" spans="1:192" ht="50.15" customHeight="1" outlineLevel="1" x14ac:dyDescent="0.35">
      <c r="A42" s="160" t="s">
        <v>7</v>
      </c>
      <c r="B42" s="180" t="s">
        <v>294</v>
      </c>
      <c r="C42" s="152" t="s">
        <v>458</v>
      </c>
      <c r="D42" s="183" t="s">
        <v>22</v>
      </c>
      <c r="E42" s="158" t="s">
        <v>544</v>
      </c>
      <c r="F42" s="228"/>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111"/>
      <c r="AZ42" s="111"/>
      <c r="BA42" s="111"/>
      <c r="BB42" s="111"/>
      <c r="BC42" s="111"/>
      <c r="BD42" s="111"/>
      <c r="BE42" s="111"/>
      <c r="BF42" s="111"/>
      <c r="BG42" s="111"/>
      <c r="BH42" s="111"/>
      <c r="BI42" s="111"/>
      <c r="BJ42" s="111"/>
      <c r="BK42" s="111"/>
      <c r="BL42" s="111"/>
      <c r="BM42" s="111"/>
      <c r="BN42" s="111"/>
      <c r="BO42" s="111"/>
      <c r="BP42" s="111"/>
      <c r="BQ42" s="111"/>
      <c r="BR42" s="111"/>
      <c r="BS42" s="111"/>
      <c r="BT42" s="111"/>
      <c r="BU42" s="111"/>
      <c r="BV42" s="111"/>
      <c r="BW42" s="111"/>
      <c r="BX42" s="111"/>
      <c r="BY42" s="111"/>
      <c r="BZ42" s="111"/>
      <c r="CA42" s="111"/>
      <c r="CB42" s="111"/>
      <c r="CC42" s="111"/>
      <c r="CD42" s="111"/>
      <c r="CE42" s="111"/>
      <c r="CF42" s="111"/>
      <c r="CG42" s="111"/>
      <c r="CH42" s="111"/>
      <c r="CI42" s="111"/>
      <c r="CJ42" s="111"/>
      <c r="CK42" s="111"/>
      <c r="CL42" s="111"/>
      <c r="CM42" s="111"/>
      <c r="CN42" s="111"/>
      <c r="CO42" s="111"/>
      <c r="CP42" s="111"/>
      <c r="CQ42" s="111"/>
      <c r="CR42" s="111"/>
      <c r="CS42" s="111"/>
      <c r="CT42" s="111"/>
      <c r="CU42" s="111"/>
      <c r="CV42" s="111"/>
      <c r="CW42" s="111"/>
      <c r="CX42" s="111"/>
      <c r="CY42" s="111"/>
      <c r="CZ42" s="111"/>
      <c r="DA42" s="111"/>
      <c r="DB42" s="111"/>
      <c r="DC42" s="111"/>
      <c r="DD42" s="111"/>
      <c r="DE42" s="111"/>
      <c r="DF42" s="111"/>
      <c r="DG42" s="111"/>
      <c r="DH42" s="111"/>
      <c r="DI42" s="111"/>
      <c r="DJ42" s="111"/>
      <c r="DK42" s="111"/>
      <c r="DL42" s="111"/>
      <c r="DM42" s="111"/>
      <c r="DN42" s="111"/>
      <c r="DO42" s="111"/>
      <c r="DP42" s="111"/>
      <c r="DQ42" s="111"/>
      <c r="DR42" s="111"/>
      <c r="DS42" s="111"/>
      <c r="DT42" s="111"/>
      <c r="DU42" s="111"/>
      <c r="DV42" s="111"/>
      <c r="DW42" s="111"/>
      <c r="DX42" s="111"/>
      <c r="DY42" s="111"/>
      <c r="DZ42" s="111"/>
      <c r="EA42" s="111"/>
      <c r="EB42" s="111"/>
      <c r="EC42" s="111"/>
      <c r="ED42" s="111"/>
      <c r="EE42" s="111"/>
      <c r="EF42" s="111"/>
      <c r="EG42" s="111"/>
      <c r="EH42" s="111"/>
      <c r="EI42" s="111"/>
      <c r="EJ42" s="111"/>
      <c r="EK42" s="111"/>
      <c r="EL42" s="111"/>
      <c r="EM42" s="111"/>
      <c r="EN42" s="111"/>
      <c r="EO42" s="111"/>
      <c r="EP42" s="111"/>
      <c r="EQ42" s="111"/>
      <c r="ER42" s="111"/>
      <c r="ES42" s="111"/>
      <c r="ET42" s="111"/>
      <c r="EU42" s="111"/>
      <c r="EV42" s="111"/>
      <c r="EW42" s="111"/>
      <c r="EX42" s="111"/>
      <c r="EY42" s="111"/>
      <c r="EZ42" s="111"/>
      <c r="FA42" s="111"/>
      <c r="FB42" s="111"/>
      <c r="FC42" s="111"/>
      <c r="FD42" s="111"/>
      <c r="FE42" s="111"/>
      <c r="FF42" s="111"/>
      <c r="FG42" s="111"/>
      <c r="FH42" s="111"/>
      <c r="FI42" s="111"/>
      <c r="FJ42" s="111"/>
      <c r="FK42" s="111"/>
      <c r="FL42" s="111"/>
      <c r="FM42" s="111"/>
      <c r="FN42" s="111"/>
      <c r="FO42" s="111"/>
      <c r="FP42" s="111"/>
      <c r="FQ42" s="111"/>
      <c r="FR42" s="111"/>
      <c r="FS42" s="111"/>
      <c r="FT42" s="111"/>
      <c r="FU42" s="111"/>
      <c r="FV42" s="111"/>
      <c r="FW42" s="111"/>
      <c r="FX42" s="111"/>
      <c r="FY42" s="111"/>
      <c r="FZ42" s="111"/>
      <c r="GA42" s="111"/>
      <c r="GB42" s="111"/>
      <c r="GC42" s="111"/>
      <c r="GD42" s="111"/>
      <c r="GE42" s="111"/>
      <c r="GF42" s="111"/>
      <c r="GG42" s="111"/>
      <c r="GH42" s="111"/>
      <c r="GI42" s="111"/>
      <c r="GJ42" s="111"/>
    </row>
    <row r="43" spans="1:192" ht="50.15" customHeight="1" outlineLevel="1" x14ac:dyDescent="0.35">
      <c r="A43" s="160" t="s">
        <v>7</v>
      </c>
      <c r="B43" s="179" t="s">
        <v>295</v>
      </c>
      <c r="C43" s="151" t="s">
        <v>233</v>
      </c>
      <c r="D43" s="182" t="s">
        <v>22</v>
      </c>
      <c r="E43" s="159" t="s">
        <v>684</v>
      </c>
      <c r="F43" s="230"/>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111"/>
      <c r="AZ43" s="111"/>
      <c r="BA43" s="111"/>
      <c r="BB43" s="111"/>
      <c r="BC43" s="111"/>
      <c r="BD43" s="111"/>
      <c r="BE43" s="111"/>
      <c r="BF43" s="111"/>
      <c r="BG43" s="111"/>
      <c r="BH43" s="111"/>
      <c r="BI43" s="111"/>
      <c r="BJ43" s="111"/>
      <c r="BK43" s="111"/>
      <c r="BL43" s="111"/>
      <c r="BM43" s="111"/>
      <c r="BN43" s="111"/>
      <c r="BO43" s="111"/>
      <c r="BP43" s="111"/>
      <c r="BQ43" s="111"/>
      <c r="BR43" s="111"/>
      <c r="BS43" s="111"/>
      <c r="BT43" s="111"/>
      <c r="BU43" s="111"/>
      <c r="BV43" s="111"/>
      <c r="BW43" s="111"/>
      <c r="BX43" s="111"/>
      <c r="BY43" s="111"/>
      <c r="BZ43" s="111"/>
      <c r="CA43" s="111"/>
      <c r="CB43" s="111"/>
      <c r="CC43" s="111"/>
      <c r="CD43" s="111"/>
      <c r="CE43" s="111"/>
      <c r="CF43" s="111"/>
      <c r="CG43" s="111"/>
      <c r="CH43" s="111"/>
      <c r="CI43" s="111"/>
      <c r="CJ43" s="111"/>
      <c r="CK43" s="111"/>
      <c r="CL43" s="111"/>
      <c r="CM43" s="111"/>
      <c r="CN43" s="111"/>
      <c r="CO43" s="111"/>
      <c r="CP43" s="111"/>
      <c r="CQ43" s="111"/>
      <c r="CR43" s="111"/>
      <c r="CS43" s="111"/>
      <c r="CT43" s="111"/>
      <c r="CU43" s="111"/>
      <c r="CV43" s="111"/>
      <c r="CW43" s="111"/>
      <c r="CX43" s="111"/>
      <c r="CY43" s="111"/>
      <c r="CZ43" s="111"/>
      <c r="DA43" s="111"/>
      <c r="DB43" s="111"/>
      <c r="DC43" s="111"/>
      <c r="DD43" s="111"/>
      <c r="DE43" s="111"/>
      <c r="DF43" s="111"/>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11"/>
      <c r="EG43" s="111"/>
      <c r="EH43" s="111"/>
      <c r="EI43" s="111"/>
      <c r="EJ43" s="111"/>
      <c r="EK43" s="111"/>
      <c r="EL43" s="111"/>
      <c r="EM43" s="111"/>
      <c r="EN43" s="111"/>
      <c r="EO43" s="111"/>
      <c r="EP43" s="111"/>
      <c r="EQ43" s="111"/>
      <c r="ER43" s="111"/>
      <c r="ES43" s="111"/>
      <c r="ET43" s="111"/>
      <c r="EU43" s="111"/>
      <c r="EV43" s="111"/>
      <c r="EW43" s="111"/>
      <c r="EX43" s="111"/>
      <c r="EY43" s="111"/>
      <c r="EZ43" s="111"/>
      <c r="FA43" s="111"/>
      <c r="FB43" s="111"/>
      <c r="FC43" s="111"/>
      <c r="FD43" s="111"/>
      <c r="FE43" s="111"/>
      <c r="FF43" s="111"/>
      <c r="FG43" s="111"/>
      <c r="FH43" s="111"/>
      <c r="FI43" s="111"/>
      <c r="FJ43" s="111"/>
      <c r="FK43" s="111"/>
      <c r="FL43" s="111"/>
      <c r="FM43" s="111"/>
      <c r="FN43" s="111"/>
      <c r="FO43" s="111"/>
      <c r="FP43" s="111"/>
      <c r="FQ43" s="111"/>
      <c r="FR43" s="111"/>
      <c r="FS43" s="111"/>
      <c r="FT43" s="111"/>
      <c r="FU43" s="111"/>
      <c r="FV43" s="111"/>
      <c r="FW43" s="111"/>
      <c r="FX43" s="111"/>
      <c r="FY43" s="111"/>
      <c r="FZ43" s="111"/>
      <c r="GA43" s="111"/>
      <c r="GB43" s="111"/>
      <c r="GC43" s="111"/>
      <c r="GD43" s="111"/>
      <c r="GE43" s="111"/>
      <c r="GF43" s="111"/>
      <c r="GG43" s="111"/>
      <c r="GH43" s="111"/>
      <c r="GI43" s="111"/>
      <c r="GJ43" s="111"/>
    </row>
    <row r="44" spans="1:192" ht="50.15" customHeight="1" outlineLevel="1" x14ac:dyDescent="0.35">
      <c r="A44" s="160" t="s">
        <v>7</v>
      </c>
      <c r="B44" s="180" t="s">
        <v>296</v>
      </c>
      <c r="C44" s="152" t="s">
        <v>459</v>
      </c>
      <c r="D44" s="183" t="s">
        <v>22</v>
      </c>
      <c r="E44" s="158" t="s">
        <v>545</v>
      </c>
      <c r="F44" s="23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111"/>
      <c r="AZ44" s="111"/>
      <c r="BA44" s="111"/>
      <c r="BB44" s="111"/>
      <c r="BC44" s="111"/>
      <c r="BD44" s="111"/>
      <c r="BE44" s="111"/>
      <c r="BF44" s="111"/>
      <c r="BG44" s="111"/>
      <c r="BH44" s="111"/>
      <c r="BI44" s="111"/>
      <c r="BJ44" s="111"/>
      <c r="BK44" s="111"/>
      <c r="BL44" s="111"/>
      <c r="BM44" s="111"/>
      <c r="BN44" s="111"/>
      <c r="BO44" s="111"/>
      <c r="BP44" s="111"/>
      <c r="BQ44" s="111"/>
      <c r="BR44" s="111"/>
      <c r="BS44" s="111"/>
      <c r="BT44" s="111"/>
      <c r="BU44" s="111"/>
      <c r="BV44" s="111"/>
      <c r="BW44" s="111"/>
      <c r="BX44" s="111"/>
      <c r="BY44" s="111"/>
      <c r="BZ44" s="111"/>
      <c r="CA44" s="111"/>
      <c r="CB44" s="111"/>
      <c r="CC44" s="111"/>
      <c r="CD44" s="111"/>
      <c r="CE44" s="111"/>
      <c r="CF44" s="111"/>
      <c r="CG44" s="111"/>
      <c r="CH44" s="111"/>
      <c r="CI44" s="111"/>
      <c r="CJ44" s="111"/>
      <c r="CK44" s="111"/>
      <c r="CL44" s="111"/>
      <c r="CM44" s="111"/>
      <c r="CN44" s="111"/>
      <c r="CO44" s="111"/>
      <c r="CP44" s="111"/>
      <c r="CQ44" s="111"/>
      <c r="CR44" s="111"/>
      <c r="CS44" s="111"/>
      <c r="CT44" s="111"/>
      <c r="CU44" s="111"/>
      <c r="CV44" s="111"/>
      <c r="CW44" s="111"/>
      <c r="CX44" s="111"/>
      <c r="CY44" s="111"/>
      <c r="CZ44" s="111"/>
      <c r="DA44" s="111"/>
      <c r="DB44" s="111"/>
      <c r="DC44" s="111"/>
      <c r="DD44" s="111"/>
      <c r="DE44" s="111"/>
      <c r="DF44" s="111"/>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11"/>
      <c r="EG44" s="111"/>
      <c r="EH44" s="111"/>
      <c r="EI44" s="111"/>
      <c r="EJ44" s="111"/>
      <c r="EK44" s="111"/>
      <c r="EL44" s="111"/>
      <c r="EM44" s="111"/>
      <c r="EN44" s="111"/>
      <c r="EO44" s="111"/>
      <c r="EP44" s="111"/>
      <c r="EQ44" s="111"/>
      <c r="ER44" s="111"/>
      <c r="ES44" s="111"/>
      <c r="ET44" s="111"/>
      <c r="EU44" s="111"/>
      <c r="EV44" s="111"/>
      <c r="EW44" s="111"/>
      <c r="EX44" s="111"/>
      <c r="EY44" s="111"/>
      <c r="EZ44" s="111"/>
      <c r="FA44" s="111"/>
      <c r="FB44" s="111"/>
      <c r="FC44" s="111"/>
      <c r="FD44" s="111"/>
      <c r="FE44" s="111"/>
      <c r="FF44" s="111"/>
      <c r="FG44" s="111"/>
      <c r="FH44" s="111"/>
      <c r="FI44" s="111"/>
      <c r="FJ44" s="111"/>
      <c r="FK44" s="111"/>
      <c r="FL44" s="111"/>
      <c r="FM44" s="111"/>
      <c r="FN44" s="111"/>
      <c r="FO44" s="111"/>
      <c r="FP44" s="111"/>
      <c r="FQ44" s="111"/>
      <c r="FR44" s="111"/>
      <c r="FS44" s="111"/>
      <c r="FT44" s="111"/>
      <c r="FU44" s="111"/>
      <c r="FV44" s="111"/>
      <c r="FW44" s="111"/>
      <c r="FX44" s="111"/>
      <c r="FY44" s="111"/>
      <c r="FZ44" s="111"/>
      <c r="GA44" s="111"/>
      <c r="GB44" s="111"/>
      <c r="GC44" s="111"/>
      <c r="GD44" s="111"/>
      <c r="GE44" s="111"/>
      <c r="GF44" s="111"/>
      <c r="GG44" s="111"/>
      <c r="GH44" s="111"/>
      <c r="GI44" s="111"/>
      <c r="GJ44" s="111"/>
    </row>
    <row r="45" spans="1:192" ht="50.15" customHeight="1" x14ac:dyDescent="0.35">
      <c r="A45" s="160" t="s">
        <v>7</v>
      </c>
      <c r="B45" s="179" t="s">
        <v>297</v>
      </c>
      <c r="C45" s="151" t="s">
        <v>460</v>
      </c>
      <c r="D45" s="182" t="s">
        <v>22</v>
      </c>
      <c r="E45" s="156" t="s">
        <v>685</v>
      </c>
      <c r="F45" s="230"/>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111"/>
      <c r="AZ45" s="111"/>
      <c r="BA45" s="111"/>
      <c r="BB45" s="111"/>
      <c r="BC45" s="111"/>
      <c r="BD45" s="111"/>
      <c r="BE45" s="111"/>
      <c r="BF45" s="111"/>
      <c r="BG45" s="111"/>
      <c r="BH45" s="111"/>
      <c r="BI45" s="111"/>
      <c r="BJ45" s="111"/>
      <c r="BK45" s="111"/>
      <c r="BL45" s="111"/>
      <c r="BM45" s="111"/>
      <c r="BN45" s="111"/>
      <c r="BO45" s="111"/>
      <c r="BP45" s="111"/>
      <c r="BQ45" s="111"/>
      <c r="BR45" s="111"/>
      <c r="BS45" s="111"/>
      <c r="BT45" s="111"/>
      <c r="BU45" s="111"/>
      <c r="BV45" s="111"/>
      <c r="BW45" s="111"/>
      <c r="BX45" s="111"/>
      <c r="BY45" s="111"/>
      <c r="BZ45" s="111"/>
      <c r="CA45" s="111"/>
      <c r="CB45" s="111"/>
      <c r="CC45" s="111"/>
      <c r="CD45" s="111"/>
      <c r="CE45" s="111"/>
      <c r="CF45" s="111"/>
      <c r="CG45" s="111"/>
      <c r="CH45" s="111"/>
      <c r="CI45" s="111"/>
      <c r="CJ45" s="111"/>
      <c r="CK45" s="111"/>
      <c r="CL45" s="111"/>
      <c r="CM45" s="111"/>
      <c r="CN45" s="111"/>
      <c r="CO45" s="111"/>
      <c r="CP45" s="111"/>
      <c r="CQ45" s="111"/>
      <c r="CR45" s="111"/>
      <c r="CS45" s="111"/>
      <c r="CT45" s="111"/>
      <c r="CU45" s="111"/>
      <c r="CV45" s="111"/>
      <c r="CW45" s="111"/>
      <c r="CX45" s="111"/>
      <c r="CY45" s="111"/>
      <c r="CZ45" s="111"/>
      <c r="DA45" s="111"/>
      <c r="DB45" s="111"/>
      <c r="DC45" s="111"/>
      <c r="DD45" s="111"/>
      <c r="DE45" s="111"/>
      <c r="DF45" s="111"/>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11"/>
      <c r="EG45" s="111"/>
      <c r="EH45" s="111"/>
      <c r="EI45" s="111"/>
      <c r="EJ45" s="111"/>
      <c r="EK45" s="111"/>
      <c r="EL45" s="111"/>
      <c r="EM45" s="111"/>
      <c r="EN45" s="111"/>
      <c r="EO45" s="111"/>
      <c r="EP45" s="111"/>
      <c r="EQ45" s="111"/>
      <c r="ER45" s="111"/>
      <c r="ES45" s="111"/>
      <c r="ET45" s="111"/>
      <c r="EU45" s="111"/>
      <c r="EV45" s="111"/>
      <c r="EW45" s="111"/>
      <c r="EX45" s="111"/>
      <c r="EY45" s="111"/>
      <c r="EZ45" s="111"/>
      <c r="FA45" s="111"/>
      <c r="FB45" s="111"/>
      <c r="FC45" s="111"/>
      <c r="FD45" s="111"/>
      <c r="FE45" s="111"/>
      <c r="FF45" s="111"/>
      <c r="FG45" s="111"/>
      <c r="FH45" s="111"/>
      <c r="FI45" s="111"/>
      <c r="FJ45" s="111"/>
      <c r="FK45" s="111"/>
      <c r="FL45" s="111"/>
      <c r="FM45" s="111"/>
      <c r="FN45" s="111"/>
      <c r="FO45" s="111"/>
      <c r="FP45" s="111"/>
      <c r="FQ45" s="111"/>
      <c r="FR45" s="111"/>
      <c r="FS45" s="111"/>
      <c r="FT45" s="111"/>
      <c r="FU45" s="111"/>
      <c r="FV45" s="111"/>
      <c r="FW45" s="111"/>
      <c r="FX45" s="111"/>
      <c r="FY45" s="111"/>
      <c r="FZ45" s="111"/>
      <c r="GA45" s="111"/>
      <c r="GB45" s="111"/>
      <c r="GC45" s="111"/>
      <c r="GD45" s="111"/>
      <c r="GE45" s="111"/>
      <c r="GF45" s="111"/>
      <c r="GG45" s="111"/>
      <c r="GH45" s="111"/>
      <c r="GI45" s="111"/>
      <c r="GJ45" s="111"/>
    </row>
    <row r="46" spans="1:192" ht="50.15" customHeight="1" outlineLevel="1" x14ac:dyDescent="0.35">
      <c r="A46" s="161" t="s">
        <v>234</v>
      </c>
      <c r="B46" s="180" t="s">
        <v>298</v>
      </c>
      <c r="C46" s="152" t="s">
        <v>626</v>
      </c>
      <c r="D46" s="183" t="s">
        <v>22</v>
      </c>
      <c r="E46" s="158" t="s">
        <v>546</v>
      </c>
      <c r="F46" s="23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111"/>
      <c r="AZ46" s="111"/>
      <c r="BA46" s="111"/>
      <c r="BB46" s="111"/>
      <c r="BC46" s="111"/>
      <c r="BD46" s="111"/>
      <c r="BE46" s="111"/>
      <c r="BF46" s="111"/>
      <c r="BG46" s="111"/>
      <c r="BH46" s="111"/>
      <c r="BI46" s="111"/>
      <c r="BJ46" s="111"/>
      <c r="BK46" s="111"/>
      <c r="BL46" s="111"/>
      <c r="BM46" s="111"/>
      <c r="BN46" s="111"/>
      <c r="BO46" s="111"/>
      <c r="BP46" s="111"/>
      <c r="BQ46" s="111"/>
      <c r="BR46" s="111"/>
      <c r="BS46" s="111"/>
      <c r="BT46" s="111"/>
      <c r="BU46" s="111"/>
      <c r="BV46" s="111"/>
      <c r="BW46" s="111"/>
      <c r="BX46" s="111"/>
      <c r="BY46" s="111"/>
      <c r="BZ46" s="111"/>
      <c r="CA46" s="111"/>
      <c r="CB46" s="111"/>
      <c r="CC46" s="111"/>
      <c r="CD46" s="111"/>
      <c r="CE46" s="111"/>
      <c r="CF46" s="111"/>
      <c r="CG46" s="111"/>
      <c r="CH46" s="111"/>
      <c r="CI46" s="111"/>
      <c r="CJ46" s="111"/>
      <c r="CK46" s="111"/>
      <c r="CL46" s="111"/>
      <c r="CM46" s="111"/>
      <c r="CN46" s="111"/>
      <c r="CO46" s="111"/>
      <c r="CP46" s="111"/>
      <c r="CQ46" s="111"/>
      <c r="CR46" s="111"/>
      <c r="CS46" s="111"/>
      <c r="CT46" s="111"/>
      <c r="CU46" s="111"/>
      <c r="CV46" s="111"/>
      <c r="CW46" s="111"/>
      <c r="CX46" s="111"/>
      <c r="CY46" s="111"/>
      <c r="CZ46" s="111"/>
      <c r="DA46" s="111"/>
      <c r="DB46" s="111"/>
      <c r="DC46" s="111"/>
      <c r="DD46" s="111"/>
      <c r="DE46" s="111"/>
      <c r="DF46" s="111"/>
      <c r="DG46" s="111"/>
      <c r="DH46" s="111"/>
      <c r="DI46" s="111"/>
      <c r="DJ46" s="111"/>
      <c r="DK46" s="111"/>
      <c r="DL46" s="111"/>
      <c r="DM46" s="111"/>
      <c r="DN46" s="111"/>
      <c r="DO46" s="111"/>
      <c r="DP46" s="111"/>
      <c r="DQ46" s="111"/>
      <c r="DR46" s="111"/>
      <c r="DS46" s="111"/>
      <c r="DT46" s="111"/>
      <c r="DU46" s="111"/>
      <c r="DV46" s="111"/>
      <c r="DW46" s="111"/>
      <c r="DX46" s="111"/>
      <c r="DY46" s="111"/>
      <c r="DZ46" s="111"/>
      <c r="EA46" s="111"/>
      <c r="EB46" s="111"/>
      <c r="EC46" s="111"/>
      <c r="ED46" s="111"/>
      <c r="EE46" s="111"/>
      <c r="EF46" s="111"/>
      <c r="EG46" s="111"/>
      <c r="EH46" s="111"/>
      <c r="EI46" s="111"/>
      <c r="EJ46" s="111"/>
      <c r="EK46" s="111"/>
      <c r="EL46" s="111"/>
      <c r="EM46" s="111"/>
      <c r="EN46" s="111"/>
      <c r="EO46" s="111"/>
      <c r="EP46" s="111"/>
      <c r="EQ46" s="111"/>
      <c r="ER46" s="111"/>
      <c r="ES46" s="111"/>
      <c r="ET46" s="111"/>
      <c r="EU46" s="111"/>
      <c r="EV46" s="111"/>
      <c r="EW46" s="111"/>
      <c r="EX46" s="111"/>
      <c r="EY46" s="111"/>
      <c r="EZ46" s="111"/>
      <c r="FA46" s="111"/>
      <c r="FB46" s="111"/>
      <c r="FC46" s="111"/>
      <c r="FD46" s="111"/>
      <c r="FE46" s="111"/>
      <c r="FF46" s="111"/>
      <c r="FG46" s="111"/>
      <c r="FH46" s="111"/>
      <c r="FI46" s="111"/>
      <c r="FJ46" s="111"/>
      <c r="FK46" s="111"/>
      <c r="FL46" s="111"/>
      <c r="FM46" s="111"/>
      <c r="FN46" s="111"/>
      <c r="FO46" s="111"/>
      <c r="FP46" s="111"/>
      <c r="FQ46" s="111"/>
      <c r="FR46" s="111"/>
      <c r="FS46" s="111"/>
      <c r="FT46" s="111"/>
      <c r="FU46" s="111"/>
      <c r="FV46" s="111"/>
      <c r="FW46" s="111"/>
      <c r="FX46" s="111"/>
      <c r="FY46" s="111"/>
      <c r="FZ46" s="111"/>
      <c r="GA46" s="111"/>
      <c r="GB46" s="111"/>
      <c r="GC46" s="111"/>
      <c r="GD46" s="111"/>
      <c r="GE46" s="111"/>
      <c r="GF46" s="111"/>
      <c r="GG46" s="111"/>
      <c r="GH46" s="111"/>
      <c r="GI46" s="111"/>
      <c r="GJ46" s="111"/>
    </row>
    <row r="47" spans="1:192" ht="50.15" customHeight="1" outlineLevel="1" x14ac:dyDescent="0.35">
      <c r="A47" s="161" t="s">
        <v>234</v>
      </c>
      <c r="B47" s="179" t="s">
        <v>299</v>
      </c>
      <c r="C47" s="283" t="s">
        <v>672</v>
      </c>
      <c r="D47" s="182" t="s">
        <v>22</v>
      </c>
      <c r="E47" s="159" t="s">
        <v>686</v>
      </c>
      <c r="F47" s="230"/>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111"/>
      <c r="AZ47" s="111"/>
      <c r="BA47" s="111"/>
      <c r="BB47" s="111"/>
      <c r="BC47" s="111"/>
      <c r="BD47" s="111"/>
      <c r="BE47" s="111"/>
      <c r="BF47" s="111"/>
      <c r="BG47" s="111"/>
      <c r="BH47" s="111"/>
      <c r="BI47" s="111"/>
      <c r="BJ47" s="111"/>
      <c r="BK47" s="111"/>
      <c r="BL47" s="111"/>
      <c r="BM47" s="111"/>
      <c r="BN47" s="111"/>
      <c r="BO47" s="111"/>
      <c r="BP47" s="111"/>
      <c r="BQ47" s="111"/>
      <c r="BR47" s="111"/>
      <c r="BS47" s="111"/>
      <c r="BT47" s="111"/>
      <c r="BU47" s="111"/>
      <c r="BV47" s="111"/>
      <c r="BW47" s="111"/>
      <c r="BX47" s="111"/>
      <c r="BY47" s="111"/>
      <c r="BZ47" s="111"/>
      <c r="CA47" s="111"/>
      <c r="CB47" s="111"/>
      <c r="CC47" s="111"/>
      <c r="CD47" s="111"/>
      <c r="CE47" s="111"/>
      <c r="CF47" s="111"/>
      <c r="CG47" s="111"/>
      <c r="CH47" s="111"/>
      <c r="CI47" s="111"/>
      <c r="CJ47" s="111"/>
      <c r="CK47" s="111"/>
      <c r="CL47" s="111"/>
      <c r="CM47" s="111"/>
      <c r="CN47" s="111"/>
      <c r="CO47" s="111"/>
      <c r="CP47" s="111"/>
      <c r="CQ47" s="111"/>
      <c r="CR47" s="111"/>
      <c r="CS47" s="111"/>
      <c r="CT47" s="111"/>
      <c r="CU47" s="111"/>
      <c r="CV47" s="111"/>
      <c r="CW47" s="111"/>
      <c r="CX47" s="111"/>
      <c r="CY47" s="111"/>
      <c r="CZ47" s="111"/>
      <c r="DA47" s="111"/>
      <c r="DB47" s="111"/>
      <c r="DC47" s="111"/>
      <c r="DD47" s="111"/>
      <c r="DE47" s="111"/>
      <c r="DF47" s="111"/>
      <c r="DG47" s="111"/>
      <c r="DH47" s="111"/>
      <c r="DI47" s="111"/>
      <c r="DJ47" s="111"/>
      <c r="DK47" s="111"/>
      <c r="DL47" s="111"/>
      <c r="DM47" s="111"/>
      <c r="DN47" s="111"/>
      <c r="DO47" s="111"/>
      <c r="DP47" s="111"/>
      <c r="DQ47" s="111"/>
      <c r="DR47" s="111"/>
      <c r="DS47" s="111"/>
      <c r="DT47" s="111"/>
      <c r="DU47" s="111"/>
      <c r="DV47" s="111"/>
      <c r="DW47" s="111"/>
      <c r="DX47" s="111"/>
      <c r="DY47" s="111"/>
      <c r="DZ47" s="111"/>
      <c r="EA47" s="111"/>
      <c r="EB47" s="111"/>
      <c r="EC47" s="111"/>
      <c r="ED47" s="111"/>
      <c r="EE47" s="111"/>
      <c r="EF47" s="111"/>
      <c r="EG47" s="111"/>
      <c r="EH47" s="111"/>
      <c r="EI47" s="111"/>
      <c r="EJ47" s="111"/>
      <c r="EK47" s="111"/>
      <c r="EL47" s="111"/>
      <c r="EM47" s="111"/>
      <c r="EN47" s="111"/>
      <c r="EO47" s="111"/>
      <c r="EP47" s="111"/>
      <c r="EQ47" s="111"/>
      <c r="ER47" s="111"/>
      <c r="ES47" s="111"/>
      <c r="ET47" s="111"/>
      <c r="EU47" s="111"/>
      <c r="EV47" s="111"/>
      <c r="EW47" s="111"/>
      <c r="EX47" s="111"/>
      <c r="EY47" s="111"/>
      <c r="EZ47" s="111"/>
      <c r="FA47" s="111"/>
      <c r="FB47" s="111"/>
      <c r="FC47" s="111"/>
      <c r="FD47" s="111"/>
      <c r="FE47" s="111"/>
      <c r="FF47" s="111"/>
      <c r="FG47" s="111"/>
      <c r="FH47" s="111"/>
      <c r="FI47" s="111"/>
      <c r="FJ47" s="111"/>
      <c r="FK47" s="111"/>
      <c r="FL47" s="111"/>
      <c r="FM47" s="111"/>
      <c r="FN47" s="111"/>
      <c r="FO47" s="111"/>
      <c r="FP47" s="111"/>
      <c r="FQ47" s="111"/>
      <c r="FR47" s="111"/>
      <c r="FS47" s="111"/>
      <c r="FT47" s="111"/>
      <c r="FU47" s="111"/>
      <c r="FV47" s="111"/>
      <c r="FW47" s="111"/>
      <c r="FX47" s="111"/>
      <c r="FY47" s="111"/>
      <c r="FZ47" s="111"/>
      <c r="GA47" s="111"/>
      <c r="GB47" s="111"/>
      <c r="GC47" s="111"/>
      <c r="GD47" s="111"/>
      <c r="GE47" s="111"/>
      <c r="GF47" s="111"/>
      <c r="GG47" s="111"/>
      <c r="GH47" s="111"/>
      <c r="GI47" s="111"/>
      <c r="GJ47" s="111"/>
    </row>
    <row r="48" spans="1:192" ht="50.15" customHeight="1" outlineLevel="1" x14ac:dyDescent="0.35">
      <c r="A48" s="160" t="s">
        <v>6</v>
      </c>
      <c r="B48" s="180" t="s">
        <v>300</v>
      </c>
      <c r="C48" s="152" t="s">
        <v>461</v>
      </c>
      <c r="D48" s="183" t="s">
        <v>22</v>
      </c>
      <c r="E48" s="154" t="s">
        <v>547</v>
      </c>
      <c r="F48" s="23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111"/>
      <c r="AZ48" s="111"/>
      <c r="BA48" s="111"/>
      <c r="BB48" s="111"/>
      <c r="BC48" s="111"/>
      <c r="BD48" s="111"/>
      <c r="BE48" s="111"/>
      <c r="BF48" s="111"/>
      <c r="BG48" s="111"/>
      <c r="BH48" s="111"/>
      <c r="BI48" s="111"/>
      <c r="BJ48" s="111"/>
      <c r="BK48" s="111"/>
      <c r="BL48" s="111"/>
      <c r="BM48" s="111"/>
      <c r="BN48" s="111"/>
      <c r="BO48" s="111"/>
      <c r="BP48" s="111"/>
      <c r="BQ48" s="111"/>
      <c r="BR48" s="111"/>
      <c r="BS48" s="111"/>
      <c r="BT48" s="111"/>
      <c r="BU48" s="111"/>
      <c r="BV48" s="111"/>
      <c r="BW48" s="111"/>
      <c r="BX48" s="111"/>
      <c r="BY48" s="111"/>
      <c r="BZ48" s="111"/>
      <c r="CA48" s="111"/>
      <c r="CB48" s="111"/>
      <c r="CC48" s="111"/>
      <c r="CD48" s="111"/>
      <c r="CE48" s="111"/>
      <c r="CF48" s="111"/>
      <c r="CG48" s="111"/>
      <c r="CH48" s="111"/>
      <c r="CI48" s="111"/>
      <c r="CJ48" s="111"/>
      <c r="CK48" s="111"/>
      <c r="CL48" s="111"/>
      <c r="CM48" s="111"/>
      <c r="CN48" s="111"/>
      <c r="CO48" s="111"/>
      <c r="CP48" s="111"/>
      <c r="CQ48" s="111"/>
      <c r="CR48" s="111"/>
      <c r="CS48" s="111"/>
      <c r="CT48" s="111"/>
      <c r="CU48" s="111"/>
      <c r="CV48" s="111"/>
      <c r="CW48" s="111"/>
      <c r="CX48" s="111"/>
      <c r="CY48" s="111"/>
      <c r="CZ48" s="111"/>
      <c r="DA48" s="111"/>
      <c r="DB48" s="111"/>
      <c r="DC48" s="111"/>
      <c r="DD48" s="111"/>
      <c r="DE48" s="111"/>
      <c r="DF48" s="111"/>
      <c r="DG48" s="111"/>
      <c r="DH48" s="111"/>
      <c r="DI48" s="111"/>
      <c r="DJ48" s="111"/>
      <c r="DK48" s="111"/>
      <c r="DL48" s="111"/>
      <c r="DM48" s="111"/>
      <c r="DN48" s="111"/>
      <c r="DO48" s="111"/>
      <c r="DP48" s="111"/>
      <c r="DQ48" s="111"/>
      <c r="DR48" s="111"/>
      <c r="DS48" s="111"/>
      <c r="DT48" s="111"/>
      <c r="DU48" s="111"/>
      <c r="DV48" s="111"/>
      <c r="DW48" s="111"/>
      <c r="DX48" s="111"/>
      <c r="DY48" s="111"/>
      <c r="DZ48" s="111"/>
      <c r="EA48" s="111"/>
      <c r="EB48" s="111"/>
      <c r="EC48" s="111"/>
      <c r="ED48" s="111"/>
      <c r="EE48" s="111"/>
      <c r="EF48" s="111"/>
      <c r="EG48" s="111"/>
      <c r="EH48" s="111"/>
      <c r="EI48" s="111"/>
      <c r="EJ48" s="111"/>
      <c r="EK48" s="111"/>
      <c r="EL48" s="111"/>
      <c r="EM48" s="111"/>
      <c r="EN48" s="111"/>
      <c r="EO48" s="111"/>
      <c r="EP48" s="111"/>
      <c r="EQ48" s="111"/>
      <c r="ER48" s="111"/>
      <c r="ES48" s="111"/>
      <c r="ET48" s="111"/>
      <c r="EU48" s="111"/>
      <c r="EV48" s="111"/>
      <c r="EW48" s="111"/>
      <c r="EX48" s="111"/>
      <c r="EY48" s="111"/>
      <c r="EZ48" s="111"/>
      <c r="FA48" s="111"/>
      <c r="FB48" s="111"/>
      <c r="FC48" s="111"/>
      <c r="FD48" s="111"/>
      <c r="FE48" s="111"/>
      <c r="FF48" s="111"/>
      <c r="FG48" s="111"/>
      <c r="FH48" s="111"/>
      <c r="FI48" s="111"/>
      <c r="FJ48" s="111"/>
      <c r="FK48" s="111"/>
      <c r="FL48" s="111"/>
      <c r="FM48" s="111"/>
      <c r="FN48" s="111"/>
      <c r="FO48" s="111"/>
      <c r="FP48" s="111"/>
      <c r="FQ48" s="111"/>
      <c r="FR48" s="111"/>
      <c r="FS48" s="111"/>
      <c r="FT48" s="111"/>
      <c r="FU48" s="111"/>
      <c r="FV48" s="111"/>
      <c r="FW48" s="111"/>
      <c r="FX48" s="111"/>
      <c r="FY48" s="111"/>
      <c r="FZ48" s="111"/>
      <c r="GA48" s="111"/>
      <c r="GB48" s="111"/>
      <c r="GC48" s="111"/>
      <c r="GD48" s="111"/>
      <c r="GE48" s="111"/>
      <c r="GF48" s="111"/>
      <c r="GG48" s="111"/>
      <c r="GH48" s="111"/>
      <c r="GI48" s="111"/>
      <c r="GJ48" s="111"/>
    </row>
    <row r="49" spans="1:192" ht="50.15" customHeight="1" outlineLevel="1" x14ac:dyDescent="0.35">
      <c r="A49" s="160" t="s">
        <v>6</v>
      </c>
      <c r="B49" s="179" t="s">
        <v>301</v>
      </c>
      <c r="C49" s="151" t="s">
        <v>462</v>
      </c>
      <c r="D49" s="182" t="s">
        <v>22</v>
      </c>
      <c r="E49" s="156" t="s">
        <v>548</v>
      </c>
      <c r="F49" s="230"/>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111"/>
      <c r="AZ49" s="111"/>
      <c r="BA49" s="111"/>
      <c r="BB49" s="111"/>
      <c r="BC49" s="111"/>
      <c r="BD49" s="111"/>
      <c r="BE49" s="111"/>
      <c r="BF49" s="111"/>
      <c r="BG49" s="111"/>
      <c r="BH49" s="111"/>
      <c r="BI49" s="111"/>
      <c r="BJ49" s="111"/>
      <c r="BK49" s="111"/>
      <c r="BL49" s="111"/>
      <c r="BM49" s="111"/>
      <c r="BN49" s="111"/>
      <c r="BO49" s="111"/>
      <c r="BP49" s="111"/>
      <c r="BQ49" s="111"/>
      <c r="BR49" s="111"/>
      <c r="BS49" s="111"/>
      <c r="BT49" s="111"/>
      <c r="BU49" s="111"/>
      <c r="BV49" s="111"/>
      <c r="BW49" s="111"/>
      <c r="BX49" s="111"/>
      <c r="BY49" s="111"/>
      <c r="BZ49" s="111"/>
      <c r="CA49" s="111"/>
      <c r="CB49" s="111"/>
      <c r="CC49" s="111"/>
      <c r="CD49" s="111"/>
      <c r="CE49" s="111"/>
      <c r="CF49" s="111"/>
      <c r="CG49" s="111"/>
      <c r="CH49" s="111"/>
      <c r="CI49" s="111"/>
      <c r="CJ49" s="111"/>
      <c r="CK49" s="111"/>
      <c r="CL49" s="111"/>
      <c r="CM49" s="111"/>
      <c r="CN49" s="111"/>
      <c r="CO49" s="111"/>
      <c r="CP49" s="111"/>
      <c r="CQ49" s="111"/>
      <c r="CR49" s="111"/>
      <c r="CS49" s="111"/>
      <c r="CT49" s="111"/>
      <c r="CU49" s="111"/>
      <c r="CV49" s="111"/>
      <c r="CW49" s="111"/>
      <c r="CX49" s="111"/>
      <c r="CY49" s="111"/>
      <c r="CZ49" s="111"/>
      <c r="DA49" s="111"/>
      <c r="DB49" s="111"/>
      <c r="DC49" s="111"/>
      <c r="DD49" s="111"/>
      <c r="DE49" s="111"/>
      <c r="DF49" s="111"/>
      <c r="DG49" s="111"/>
      <c r="DH49" s="111"/>
      <c r="DI49" s="111"/>
      <c r="DJ49" s="111"/>
      <c r="DK49" s="111"/>
      <c r="DL49" s="111"/>
      <c r="DM49" s="111"/>
      <c r="DN49" s="111"/>
      <c r="DO49" s="111"/>
      <c r="DP49" s="111"/>
      <c r="DQ49" s="111"/>
      <c r="DR49" s="111"/>
      <c r="DS49" s="111"/>
      <c r="DT49" s="111"/>
      <c r="DU49" s="111"/>
      <c r="DV49" s="111"/>
      <c r="DW49" s="111"/>
      <c r="DX49" s="111"/>
      <c r="DY49" s="111"/>
      <c r="DZ49" s="111"/>
      <c r="EA49" s="111"/>
      <c r="EB49" s="111"/>
      <c r="EC49" s="111"/>
      <c r="ED49" s="111"/>
      <c r="EE49" s="111"/>
      <c r="EF49" s="111"/>
      <c r="EG49" s="111"/>
      <c r="EH49" s="111"/>
      <c r="EI49" s="111"/>
      <c r="EJ49" s="111"/>
      <c r="EK49" s="111"/>
      <c r="EL49" s="111"/>
      <c r="EM49" s="111"/>
      <c r="EN49" s="111"/>
      <c r="EO49" s="111"/>
      <c r="EP49" s="111"/>
      <c r="EQ49" s="111"/>
      <c r="ER49" s="111"/>
      <c r="ES49" s="111"/>
      <c r="ET49" s="111"/>
      <c r="EU49" s="111"/>
      <c r="EV49" s="111"/>
      <c r="EW49" s="111"/>
      <c r="EX49" s="111"/>
      <c r="EY49" s="111"/>
      <c r="EZ49" s="111"/>
      <c r="FA49" s="111"/>
      <c r="FB49" s="111"/>
      <c r="FC49" s="111"/>
      <c r="FD49" s="111"/>
      <c r="FE49" s="111"/>
      <c r="FF49" s="111"/>
      <c r="FG49" s="111"/>
      <c r="FH49" s="111"/>
      <c r="FI49" s="111"/>
      <c r="FJ49" s="111"/>
      <c r="FK49" s="111"/>
      <c r="FL49" s="111"/>
      <c r="FM49" s="111"/>
      <c r="FN49" s="111"/>
      <c r="FO49" s="111"/>
      <c r="FP49" s="111"/>
      <c r="FQ49" s="111"/>
      <c r="FR49" s="111"/>
      <c r="FS49" s="111"/>
      <c r="FT49" s="111"/>
      <c r="FU49" s="111"/>
      <c r="FV49" s="111"/>
      <c r="FW49" s="111"/>
      <c r="FX49" s="111"/>
      <c r="FY49" s="111"/>
      <c r="FZ49" s="111"/>
      <c r="GA49" s="111"/>
      <c r="GB49" s="111"/>
      <c r="GC49" s="111"/>
      <c r="GD49" s="111"/>
      <c r="GE49" s="111"/>
      <c r="GF49" s="111"/>
      <c r="GG49" s="111"/>
      <c r="GH49" s="111"/>
      <c r="GI49" s="111"/>
      <c r="GJ49" s="111"/>
    </row>
    <row r="50" spans="1:192" ht="50.15" customHeight="1" outlineLevel="1" x14ac:dyDescent="0.35">
      <c r="A50" s="160" t="s">
        <v>6</v>
      </c>
      <c r="B50" s="180" t="s">
        <v>302</v>
      </c>
      <c r="C50" s="152" t="s">
        <v>463</v>
      </c>
      <c r="D50" s="183" t="s">
        <v>22</v>
      </c>
      <c r="E50" s="153" t="s">
        <v>549</v>
      </c>
      <c r="F50" s="23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111"/>
      <c r="AZ50" s="111"/>
      <c r="BA50" s="111"/>
      <c r="BB50" s="111"/>
      <c r="BC50" s="111"/>
      <c r="BD50" s="111"/>
      <c r="BE50" s="111"/>
      <c r="BF50" s="111"/>
      <c r="BG50" s="111"/>
      <c r="BH50" s="111"/>
      <c r="BI50" s="111"/>
      <c r="BJ50" s="111"/>
      <c r="BK50" s="111"/>
      <c r="BL50" s="111"/>
      <c r="BM50" s="111"/>
      <c r="BN50" s="111"/>
      <c r="BO50" s="111"/>
      <c r="BP50" s="111"/>
      <c r="BQ50" s="111"/>
      <c r="BR50" s="111"/>
      <c r="BS50" s="111"/>
      <c r="BT50" s="111"/>
      <c r="BU50" s="111"/>
      <c r="BV50" s="111"/>
      <c r="BW50" s="111"/>
      <c r="BX50" s="111"/>
      <c r="BY50" s="111"/>
      <c r="BZ50" s="111"/>
      <c r="CA50" s="111"/>
      <c r="CB50" s="111"/>
      <c r="CC50" s="111"/>
      <c r="CD50" s="111"/>
      <c r="CE50" s="111"/>
      <c r="CF50" s="111"/>
      <c r="CG50" s="111"/>
      <c r="CH50" s="111"/>
      <c r="CI50" s="111"/>
      <c r="CJ50" s="111"/>
      <c r="CK50" s="111"/>
      <c r="CL50" s="111"/>
      <c r="CM50" s="111"/>
      <c r="CN50" s="111"/>
      <c r="CO50" s="111"/>
      <c r="CP50" s="111"/>
      <c r="CQ50" s="111"/>
      <c r="CR50" s="111"/>
      <c r="CS50" s="111"/>
      <c r="CT50" s="111"/>
      <c r="CU50" s="111"/>
      <c r="CV50" s="111"/>
      <c r="CW50" s="111"/>
      <c r="CX50" s="111"/>
      <c r="CY50" s="111"/>
      <c r="CZ50" s="111"/>
      <c r="DA50" s="111"/>
      <c r="DB50" s="111"/>
      <c r="DC50" s="111"/>
      <c r="DD50" s="111"/>
      <c r="DE50" s="111"/>
      <c r="DF50" s="111"/>
      <c r="DG50" s="111"/>
      <c r="DH50" s="111"/>
      <c r="DI50" s="111"/>
      <c r="DJ50" s="111"/>
      <c r="DK50" s="111"/>
      <c r="DL50" s="111"/>
      <c r="DM50" s="111"/>
      <c r="DN50" s="111"/>
      <c r="DO50" s="111"/>
      <c r="DP50" s="111"/>
      <c r="DQ50" s="111"/>
      <c r="DR50" s="111"/>
      <c r="DS50" s="111"/>
      <c r="DT50" s="111"/>
      <c r="DU50" s="111"/>
      <c r="DV50" s="111"/>
      <c r="DW50" s="111"/>
      <c r="DX50" s="111"/>
      <c r="DY50" s="111"/>
      <c r="DZ50" s="111"/>
      <c r="EA50" s="111"/>
      <c r="EB50" s="111"/>
      <c r="EC50" s="111"/>
      <c r="ED50" s="111"/>
      <c r="EE50" s="111"/>
      <c r="EF50" s="111"/>
      <c r="EG50" s="111"/>
      <c r="EH50" s="111"/>
      <c r="EI50" s="111"/>
      <c r="EJ50" s="111"/>
      <c r="EK50" s="111"/>
      <c r="EL50" s="111"/>
      <c r="EM50" s="111"/>
      <c r="EN50" s="111"/>
      <c r="EO50" s="111"/>
      <c r="EP50" s="111"/>
      <c r="EQ50" s="111"/>
      <c r="ER50" s="111"/>
      <c r="ES50" s="111"/>
      <c r="ET50" s="111"/>
      <c r="EU50" s="111"/>
      <c r="EV50" s="111"/>
      <c r="EW50" s="111"/>
      <c r="EX50" s="111"/>
      <c r="EY50" s="111"/>
      <c r="EZ50" s="111"/>
      <c r="FA50" s="111"/>
      <c r="FB50" s="111"/>
      <c r="FC50" s="111"/>
      <c r="FD50" s="111"/>
      <c r="FE50" s="111"/>
      <c r="FF50" s="111"/>
      <c r="FG50" s="111"/>
      <c r="FH50" s="111"/>
      <c r="FI50" s="111"/>
      <c r="FJ50" s="111"/>
      <c r="FK50" s="111"/>
      <c r="FL50" s="111"/>
      <c r="FM50" s="111"/>
      <c r="FN50" s="111"/>
      <c r="FO50" s="111"/>
      <c r="FP50" s="111"/>
      <c r="FQ50" s="111"/>
      <c r="FR50" s="111"/>
      <c r="FS50" s="111"/>
      <c r="FT50" s="111"/>
      <c r="FU50" s="111"/>
      <c r="FV50" s="111"/>
      <c r="FW50" s="111"/>
      <c r="FX50" s="111"/>
      <c r="FY50" s="111"/>
      <c r="FZ50" s="111"/>
      <c r="GA50" s="111"/>
      <c r="GB50" s="111"/>
      <c r="GC50" s="111"/>
      <c r="GD50" s="111"/>
      <c r="GE50" s="111"/>
      <c r="GF50" s="111"/>
      <c r="GG50" s="111"/>
      <c r="GH50" s="111"/>
      <c r="GI50" s="111"/>
      <c r="GJ50" s="111"/>
    </row>
    <row r="51" spans="1:192" ht="50.15" customHeight="1" outlineLevel="1" x14ac:dyDescent="0.35">
      <c r="A51" s="160" t="s">
        <v>6</v>
      </c>
      <c r="B51" s="179" t="s">
        <v>303</v>
      </c>
      <c r="C51" s="151" t="s">
        <v>464</v>
      </c>
      <c r="D51" s="182" t="s">
        <v>22</v>
      </c>
      <c r="E51" s="156" t="s">
        <v>550</v>
      </c>
      <c r="F51" s="230"/>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111"/>
      <c r="AZ51" s="111"/>
      <c r="BA51" s="111"/>
      <c r="BB51" s="111"/>
      <c r="BC51" s="111"/>
      <c r="BD51" s="111"/>
      <c r="BE51" s="111"/>
      <c r="BF51" s="111"/>
      <c r="BG51" s="111"/>
      <c r="BH51" s="111"/>
      <c r="BI51" s="111"/>
      <c r="BJ51" s="111"/>
      <c r="BK51" s="111"/>
      <c r="BL51" s="111"/>
      <c r="BM51" s="111"/>
      <c r="BN51" s="111"/>
      <c r="BO51" s="111"/>
      <c r="BP51" s="111"/>
      <c r="BQ51" s="111"/>
      <c r="BR51" s="111"/>
      <c r="BS51" s="111"/>
      <c r="BT51" s="111"/>
      <c r="BU51" s="111"/>
      <c r="BV51" s="111"/>
      <c r="BW51" s="111"/>
      <c r="BX51" s="111"/>
      <c r="BY51" s="111"/>
      <c r="BZ51" s="111"/>
      <c r="CA51" s="111"/>
      <c r="CB51" s="111"/>
      <c r="CC51" s="111"/>
      <c r="CD51" s="111"/>
      <c r="CE51" s="111"/>
      <c r="CF51" s="111"/>
      <c r="CG51" s="111"/>
      <c r="CH51" s="111"/>
      <c r="CI51" s="111"/>
      <c r="CJ51" s="111"/>
      <c r="CK51" s="111"/>
      <c r="CL51" s="111"/>
      <c r="CM51" s="111"/>
      <c r="CN51" s="111"/>
      <c r="CO51" s="111"/>
      <c r="CP51" s="111"/>
      <c r="CQ51" s="111"/>
      <c r="CR51" s="111"/>
      <c r="CS51" s="111"/>
      <c r="CT51" s="111"/>
      <c r="CU51" s="111"/>
      <c r="CV51" s="111"/>
      <c r="CW51" s="111"/>
      <c r="CX51" s="111"/>
      <c r="CY51" s="111"/>
      <c r="CZ51" s="111"/>
      <c r="DA51" s="111"/>
      <c r="DB51" s="111"/>
      <c r="DC51" s="111"/>
      <c r="DD51" s="111"/>
      <c r="DE51" s="111"/>
      <c r="DF51" s="111"/>
      <c r="DG51" s="111"/>
      <c r="DH51" s="111"/>
      <c r="DI51" s="111"/>
      <c r="DJ51" s="111"/>
      <c r="DK51" s="111"/>
      <c r="DL51" s="111"/>
      <c r="DM51" s="111"/>
      <c r="DN51" s="111"/>
      <c r="DO51" s="111"/>
      <c r="DP51" s="111"/>
      <c r="DQ51" s="111"/>
      <c r="DR51" s="111"/>
      <c r="DS51" s="111"/>
      <c r="DT51" s="111"/>
      <c r="DU51" s="111"/>
      <c r="DV51" s="111"/>
      <c r="DW51" s="111"/>
      <c r="DX51" s="111"/>
      <c r="DY51" s="111"/>
      <c r="DZ51" s="111"/>
      <c r="EA51" s="111"/>
      <c r="EB51" s="111"/>
      <c r="EC51" s="111"/>
      <c r="ED51" s="111"/>
      <c r="EE51" s="111"/>
      <c r="EF51" s="111"/>
      <c r="EG51" s="111"/>
      <c r="EH51" s="111"/>
      <c r="EI51" s="111"/>
      <c r="EJ51" s="111"/>
      <c r="EK51" s="111"/>
      <c r="EL51" s="111"/>
      <c r="EM51" s="111"/>
      <c r="EN51" s="111"/>
      <c r="EO51" s="111"/>
      <c r="EP51" s="111"/>
      <c r="EQ51" s="111"/>
      <c r="ER51" s="111"/>
      <c r="ES51" s="111"/>
      <c r="ET51" s="111"/>
      <c r="EU51" s="111"/>
      <c r="EV51" s="111"/>
      <c r="EW51" s="111"/>
      <c r="EX51" s="111"/>
      <c r="EY51" s="111"/>
      <c r="EZ51" s="111"/>
      <c r="FA51" s="111"/>
      <c r="FB51" s="111"/>
      <c r="FC51" s="111"/>
      <c r="FD51" s="111"/>
      <c r="FE51" s="111"/>
      <c r="FF51" s="111"/>
      <c r="FG51" s="111"/>
      <c r="FH51" s="111"/>
      <c r="FI51" s="111"/>
      <c r="FJ51" s="111"/>
      <c r="FK51" s="111"/>
      <c r="FL51" s="111"/>
      <c r="FM51" s="111"/>
      <c r="FN51" s="111"/>
      <c r="FO51" s="111"/>
      <c r="FP51" s="111"/>
      <c r="FQ51" s="111"/>
      <c r="FR51" s="111"/>
      <c r="FS51" s="111"/>
      <c r="FT51" s="111"/>
      <c r="FU51" s="111"/>
      <c r="FV51" s="111"/>
      <c r="FW51" s="111"/>
      <c r="FX51" s="111"/>
      <c r="FY51" s="111"/>
      <c r="FZ51" s="111"/>
      <c r="GA51" s="111"/>
      <c r="GB51" s="111"/>
      <c r="GC51" s="111"/>
      <c r="GD51" s="111"/>
      <c r="GE51" s="111"/>
      <c r="GF51" s="111"/>
      <c r="GG51" s="111"/>
      <c r="GH51" s="111"/>
      <c r="GI51" s="111"/>
      <c r="GJ51" s="111"/>
    </row>
    <row r="52" spans="1:192" ht="50.15" customHeight="1" outlineLevel="1" x14ac:dyDescent="0.35">
      <c r="A52" s="160" t="s">
        <v>6</v>
      </c>
      <c r="B52" s="180" t="s">
        <v>304</v>
      </c>
      <c r="C52" s="152" t="s">
        <v>465</v>
      </c>
      <c r="D52" s="183" t="s">
        <v>23</v>
      </c>
      <c r="E52" s="158" t="s">
        <v>551</v>
      </c>
      <c r="F52" s="23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111"/>
      <c r="AZ52" s="111"/>
      <c r="BA52" s="111"/>
      <c r="BB52" s="111"/>
      <c r="BC52" s="111"/>
      <c r="BD52" s="111"/>
      <c r="BE52" s="111"/>
      <c r="BF52" s="111"/>
      <c r="BG52" s="111"/>
      <c r="BH52" s="111"/>
      <c r="BI52" s="111"/>
      <c r="BJ52" s="111"/>
      <c r="BK52" s="111"/>
      <c r="BL52" s="111"/>
      <c r="BM52" s="111"/>
      <c r="BN52" s="111"/>
      <c r="BO52" s="111"/>
      <c r="BP52" s="111"/>
      <c r="BQ52" s="111"/>
      <c r="BR52" s="111"/>
      <c r="BS52" s="111"/>
      <c r="BT52" s="111"/>
      <c r="BU52" s="111"/>
      <c r="BV52" s="111"/>
      <c r="BW52" s="111"/>
      <c r="BX52" s="111"/>
      <c r="BY52" s="111"/>
      <c r="BZ52" s="111"/>
      <c r="CA52" s="111"/>
      <c r="CB52" s="111"/>
      <c r="CC52" s="111"/>
      <c r="CD52" s="111"/>
      <c r="CE52" s="111"/>
      <c r="CF52" s="111"/>
      <c r="CG52" s="111"/>
      <c r="CH52" s="111"/>
      <c r="CI52" s="111"/>
      <c r="CJ52" s="111"/>
      <c r="CK52" s="111"/>
      <c r="CL52" s="111"/>
      <c r="CM52" s="111"/>
      <c r="CN52" s="111"/>
      <c r="CO52" s="111"/>
      <c r="CP52" s="111"/>
      <c r="CQ52" s="111"/>
      <c r="CR52" s="111"/>
      <c r="CS52" s="111"/>
      <c r="CT52" s="111"/>
      <c r="CU52" s="111"/>
      <c r="CV52" s="111"/>
      <c r="CW52" s="111"/>
      <c r="CX52" s="111"/>
      <c r="CY52" s="111"/>
      <c r="CZ52" s="111"/>
      <c r="DA52" s="111"/>
      <c r="DB52" s="111"/>
      <c r="DC52" s="111"/>
      <c r="DD52" s="111"/>
      <c r="DE52" s="111"/>
      <c r="DF52" s="111"/>
      <c r="DG52" s="111"/>
      <c r="DH52" s="111"/>
      <c r="DI52" s="111"/>
      <c r="DJ52" s="111"/>
      <c r="DK52" s="111"/>
      <c r="DL52" s="111"/>
      <c r="DM52" s="111"/>
      <c r="DN52" s="111"/>
      <c r="DO52" s="111"/>
      <c r="DP52" s="111"/>
      <c r="DQ52" s="111"/>
      <c r="DR52" s="111"/>
      <c r="DS52" s="111"/>
      <c r="DT52" s="111"/>
      <c r="DU52" s="111"/>
      <c r="DV52" s="111"/>
      <c r="DW52" s="111"/>
      <c r="DX52" s="111"/>
      <c r="DY52" s="111"/>
      <c r="DZ52" s="111"/>
      <c r="EA52" s="111"/>
      <c r="EB52" s="111"/>
      <c r="EC52" s="111"/>
      <c r="ED52" s="111"/>
      <c r="EE52" s="111"/>
      <c r="EF52" s="111"/>
      <c r="EG52" s="111"/>
      <c r="EH52" s="111"/>
      <c r="EI52" s="111"/>
      <c r="EJ52" s="111"/>
      <c r="EK52" s="111"/>
      <c r="EL52" s="111"/>
      <c r="EM52" s="111"/>
      <c r="EN52" s="111"/>
      <c r="EO52" s="111"/>
      <c r="EP52" s="111"/>
      <c r="EQ52" s="111"/>
      <c r="ER52" s="111"/>
      <c r="ES52" s="111"/>
      <c r="ET52" s="111"/>
      <c r="EU52" s="111"/>
      <c r="EV52" s="111"/>
      <c r="EW52" s="111"/>
      <c r="EX52" s="111"/>
      <c r="EY52" s="111"/>
      <c r="EZ52" s="111"/>
      <c r="FA52" s="111"/>
      <c r="FB52" s="111"/>
      <c r="FC52" s="111"/>
      <c r="FD52" s="111"/>
      <c r="FE52" s="111"/>
      <c r="FF52" s="111"/>
      <c r="FG52" s="111"/>
      <c r="FH52" s="111"/>
      <c r="FI52" s="111"/>
      <c r="FJ52" s="111"/>
      <c r="FK52" s="111"/>
      <c r="FL52" s="111"/>
      <c r="FM52" s="111"/>
      <c r="FN52" s="111"/>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row>
    <row r="53" spans="1:192" ht="50.15" customHeight="1" outlineLevel="1" x14ac:dyDescent="0.35">
      <c r="A53" s="161" t="s">
        <v>235</v>
      </c>
      <c r="B53" s="179" t="s">
        <v>305</v>
      </c>
      <c r="C53" s="151" t="s">
        <v>466</v>
      </c>
      <c r="D53" s="179" t="s">
        <v>22</v>
      </c>
      <c r="E53" s="159" t="s">
        <v>552</v>
      </c>
      <c r="F53" s="230"/>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111"/>
      <c r="AZ53" s="111"/>
      <c r="BA53" s="111"/>
      <c r="BB53" s="111"/>
      <c r="BC53" s="111"/>
      <c r="BD53" s="111"/>
      <c r="BE53" s="111"/>
      <c r="BF53" s="111"/>
      <c r="BG53" s="111"/>
      <c r="BH53" s="111"/>
      <c r="BI53" s="111"/>
      <c r="BJ53" s="111"/>
      <c r="BK53" s="111"/>
      <c r="BL53" s="111"/>
      <c r="BM53" s="111"/>
      <c r="BN53" s="111"/>
      <c r="BO53" s="111"/>
      <c r="BP53" s="111"/>
      <c r="BQ53" s="111"/>
      <c r="BR53" s="111"/>
      <c r="BS53" s="111"/>
      <c r="BT53" s="111"/>
      <c r="BU53" s="111"/>
      <c r="BV53" s="111"/>
      <c r="BW53" s="111"/>
      <c r="BX53" s="111"/>
      <c r="BY53" s="111"/>
      <c r="BZ53" s="111"/>
      <c r="CA53" s="111"/>
      <c r="CB53" s="111"/>
      <c r="CC53" s="111"/>
      <c r="CD53" s="111"/>
      <c r="CE53" s="111"/>
      <c r="CF53" s="111"/>
      <c r="CG53" s="111"/>
      <c r="CH53" s="111"/>
      <c r="CI53" s="111"/>
      <c r="CJ53" s="111"/>
      <c r="CK53" s="111"/>
      <c r="CL53" s="111"/>
      <c r="CM53" s="111"/>
      <c r="CN53" s="111"/>
      <c r="CO53" s="111"/>
      <c r="CP53" s="111"/>
      <c r="CQ53" s="111"/>
      <c r="CR53" s="111"/>
      <c r="CS53" s="111"/>
      <c r="CT53" s="111"/>
      <c r="CU53" s="111"/>
      <c r="CV53" s="111"/>
      <c r="CW53" s="111"/>
      <c r="CX53" s="111"/>
      <c r="CY53" s="111"/>
      <c r="CZ53" s="111"/>
      <c r="DA53" s="111"/>
      <c r="DB53" s="111"/>
      <c r="DC53" s="111"/>
      <c r="DD53" s="111"/>
      <c r="DE53" s="111"/>
      <c r="DF53" s="111"/>
      <c r="DG53" s="111"/>
      <c r="DH53" s="111"/>
      <c r="DI53" s="111"/>
      <c r="DJ53" s="111"/>
      <c r="DK53" s="111"/>
      <c r="DL53" s="111"/>
      <c r="DM53" s="111"/>
      <c r="DN53" s="111"/>
      <c r="DO53" s="111"/>
      <c r="DP53" s="111"/>
      <c r="DQ53" s="111"/>
      <c r="DR53" s="111"/>
      <c r="DS53" s="111"/>
      <c r="DT53" s="111"/>
      <c r="DU53" s="111"/>
      <c r="DV53" s="111"/>
      <c r="DW53" s="111"/>
      <c r="DX53" s="111"/>
      <c r="DY53" s="111"/>
      <c r="DZ53" s="111"/>
      <c r="EA53" s="111"/>
      <c r="EB53" s="111"/>
      <c r="EC53" s="111"/>
      <c r="ED53" s="111"/>
      <c r="EE53" s="111"/>
      <c r="EF53" s="111"/>
      <c r="EG53" s="111"/>
      <c r="EH53" s="111"/>
      <c r="EI53" s="111"/>
      <c r="EJ53" s="111"/>
      <c r="EK53" s="111"/>
      <c r="EL53" s="111"/>
      <c r="EM53" s="111"/>
      <c r="EN53" s="111"/>
      <c r="EO53" s="111"/>
      <c r="EP53" s="111"/>
      <c r="EQ53" s="111"/>
      <c r="ER53" s="111"/>
      <c r="ES53" s="111"/>
      <c r="ET53" s="111"/>
      <c r="EU53" s="111"/>
      <c r="EV53" s="111"/>
      <c r="EW53" s="111"/>
      <c r="EX53" s="111"/>
      <c r="EY53" s="111"/>
      <c r="EZ53" s="111"/>
      <c r="FA53" s="111"/>
      <c r="FB53" s="111"/>
      <c r="FC53" s="111"/>
      <c r="FD53" s="111"/>
      <c r="FE53" s="111"/>
      <c r="FF53" s="111"/>
      <c r="FG53" s="111"/>
      <c r="FH53" s="111"/>
      <c r="FI53" s="111"/>
      <c r="FJ53" s="111"/>
      <c r="FK53" s="111"/>
      <c r="FL53" s="111"/>
      <c r="FM53" s="111"/>
      <c r="FN53" s="111"/>
      <c r="FO53" s="111"/>
      <c r="FP53" s="111"/>
      <c r="FQ53" s="111"/>
      <c r="FR53" s="111"/>
      <c r="FS53" s="111"/>
      <c r="FT53" s="111"/>
      <c r="FU53" s="111"/>
      <c r="FV53" s="111"/>
      <c r="FW53" s="111"/>
      <c r="FX53" s="111"/>
      <c r="FY53" s="111"/>
      <c r="FZ53" s="111"/>
      <c r="GA53" s="111"/>
      <c r="GB53" s="111"/>
      <c r="GC53" s="111"/>
      <c r="GD53" s="111"/>
      <c r="GE53" s="111"/>
      <c r="GF53" s="111"/>
      <c r="GG53" s="111"/>
      <c r="GH53" s="111"/>
      <c r="GI53" s="111"/>
      <c r="GJ53" s="111"/>
    </row>
    <row r="54" spans="1:192" ht="50.15" customHeight="1" outlineLevel="1" x14ac:dyDescent="0.35">
      <c r="A54" s="161" t="s">
        <v>235</v>
      </c>
      <c r="B54" s="180" t="s">
        <v>306</v>
      </c>
      <c r="C54" s="282" t="s">
        <v>687</v>
      </c>
      <c r="D54" s="180" t="s">
        <v>22</v>
      </c>
      <c r="E54" s="158" t="s">
        <v>688</v>
      </c>
      <c r="F54" s="228"/>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111"/>
      <c r="AZ54" s="111"/>
      <c r="BA54" s="111"/>
      <c r="BB54" s="111"/>
      <c r="BC54" s="111"/>
      <c r="BD54" s="111"/>
      <c r="BE54" s="111"/>
      <c r="BF54" s="111"/>
      <c r="BG54" s="111"/>
      <c r="BH54" s="111"/>
      <c r="BI54" s="111"/>
      <c r="BJ54" s="111"/>
      <c r="BK54" s="111"/>
      <c r="BL54" s="111"/>
      <c r="BM54" s="111"/>
      <c r="BN54" s="111"/>
      <c r="BO54" s="111"/>
      <c r="BP54" s="111"/>
      <c r="BQ54" s="111"/>
      <c r="BR54" s="111"/>
      <c r="BS54" s="111"/>
      <c r="BT54" s="111"/>
      <c r="BU54" s="111"/>
      <c r="BV54" s="111"/>
      <c r="BW54" s="111"/>
      <c r="BX54" s="111"/>
      <c r="BY54" s="111"/>
      <c r="BZ54" s="111"/>
      <c r="CA54" s="111"/>
      <c r="CB54" s="111"/>
      <c r="CC54" s="111"/>
      <c r="CD54" s="111"/>
      <c r="CE54" s="111"/>
      <c r="CF54" s="111"/>
      <c r="CG54" s="111"/>
      <c r="CH54" s="111"/>
      <c r="CI54" s="111"/>
      <c r="CJ54" s="111"/>
      <c r="CK54" s="111"/>
      <c r="CL54" s="111"/>
      <c r="CM54" s="111"/>
      <c r="CN54" s="111"/>
      <c r="CO54" s="111"/>
      <c r="CP54" s="111"/>
      <c r="CQ54" s="111"/>
      <c r="CR54" s="111"/>
      <c r="CS54" s="111"/>
      <c r="CT54" s="111"/>
      <c r="CU54" s="111"/>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1"/>
      <c r="EI54" s="111"/>
      <c r="EJ54" s="111"/>
      <c r="EK54" s="111"/>
      <c r="EL54" s="111"/>
      <c r="EM54" s="111"/>
      <c r="EN54" s="111"/>
      <c r="EO54" s="111"/>
      <c r="EP54" s="111"/>
      <c r="EQ54" s="111"/>
      <c r="ER54" s="111"/>
      <c r="ES54" s="111"/>
      <c r="ET54" s="111"/>
      <c r="EU54" s="111"/>
      <c r="EV54" s="111"/>
      <c r="EW54" s="111"/>
      <c r="EX54" s="111"/>
      <c r="EY54" s="111"/>
      <c r="EZ54" s="111"/>
      <c r="FA54" s="111"/>
      <c r="FB54" s="111"/>
      <c r="FC54" s="111"/>
      <c r="FD54" s="111"/>
      <c r="FE54" s="111"/>
      <c r="FF54" s="111"/>
      <c r="FG54" s="111"/>
      <c r="FH54" s="111"/>
      <c r="FI54" s="111"/>
      <c r="FJ54" s="111"/>
      <c r="FK54" s="111"/>
      <c r="FL54" s="111"/>
      <c r="FM54" s="111"/>
      <c r="FN54" s="111"/>
      <c r="FO54" s="111"/>
      <c r="FP54" s="111"/>
      <c r="FQ54" s="111"/>
      <c r="FR54" s="111"/>
      <c r="FS54" s="111"/>
      <c r="FT54" s="111"/>
      <c r="FU54" s="111"/>
      <c r="FV54" s="111"/>
      <c r="FW54" s="111"/>
      <c r="FX54" s="111"/>
      <c r="FY54" s="111"/>
      <c r="FZ54" s="111"/>
      <c r="GA54" s="111"/>
      <c r="GB54" s="111"/>
      <c r="GC54" s="111"/>
      <c r="GD54" s="111"/>
      <c r="GE54" s="111"/>
      <c r="GF54" s="111"/>
      <c r="GG54" s="111"/>
      <c r="GH54" s="111"/>
      <c r="GI54" s="111"/>
      <c r="GJ54" s="111"/>
    </row>
    <row r="55" spans="1:192" ht="50.15" customHeight="1" outlineLevel="1" x14ac:dyDescent="0.35">
      <c r="A55" s="161" t="s">
        <v>235</v>
      </c>
      <c r="B55" s="179" t="s">
        <v>307</v>
      </c>
      <c r="C55" s="151" t="s">
        <v>467</v>
      </c>
      <c r="D55" s="179" t="s">
        <v>22</v>
      </c>
      <c r="E55" s="156" t="s">
        <v>553</v>
      </c>
      <c r="F55" s="230"/>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111"/>
      <c r="AZ55" s="111"/>
      <c r="BA55" s="111"/>
      <c r="BB55" s="111"/>
      <c r="BC55" s="111"/>
      <c r="BD55" s="111"/>
      <c r="BE55" s="111"/>
      <c r="BF55" s="111"/>
      <c r="BG55" s="111"/>
      <c r="BH55" s="111"/>
      <c r="BI55" s="111"/>
      <c r="BJ55" s="111"/>
      <c r="BK55" s="111"/>
      <c r="BL55" s="111"/>
      <c r="BM55" s="111"/>
      <c r="BN55" s="111"/>
      <c r="BO55" s="111"/>
      <c r="BP55" s="111"/>
      <c r="BQ55" s="111"/>
      <c r="BR55" s="111"/>
      <c r="BS55" s="111"/>
      <c r="BT55" s="111"/>
      <c r="BU55" s="111"/>
      <c r="BV55" s="111"/>
      <c r="BW55" s="111"/>
      <c r="BX55" s="111"/>
      <c r="BY55" s="111"/>
      <c r="BZ55" s="111"/>
      <c r="CA55" s="111"/>
      <c r="CB55" s="111"/>
      <c r="CC55" s="111"/>
      <c r="CD55" s="111"/>
      <c r="CE55" s="111"/>
      <c r="CF55" s="111"/>
      <c r="CG55" s="111"/>
      <c r="CH55" s="111"/>
      <c r="CI55" s="111"/>
      <c r="CJ55" s="111"/>
      <c r="CK55" s="111"/>
      <c r="CL55" s="111"/>
      <c r="CM55" s="111"/>
      <c r="CN55" s="111"/>
      <c r="CO55" s="111"/>
      <c r="CP55" s="111"/>
      <c r="CQ55" s="111"/>
      <c r="CR55" s="111"/>
      <c r="CS55" s="111"/>
      <c r="CT55" s="111"/>
      <c r="CU55" s="111"/>
      <c r="CV55" s="111"/>
      <c r="CW55" s="111"/>
      <c r="CX55" s="111"/>
      <c r="CY55" s="111"/>
      <c r="CZ55" s="111"/>
      <c r="DA55" s="111"/>
      <c r="DB55" s="111"/>
      <c r="DC55" s="111"/>
      <c r="DD55" s="111"/>
      <c r="DE55" s="111"/>
      <c r="DF55" s="111"/>
      <c r="DG55" s="111"/>
      <c r="DH55" s="111"/>
      <c r="DI55" s="111"/>
      <c r="DJ55" s="111"/>
      <c r="DK55" s="111"/>
      <c r="DL55" s="111"/>
      <c r="DM55" s="111"/>
      <c r="DN55" s="111"/>
      <c r="DO55" s="111"/>
      <c r="DP55" s="111"/>
      <c r="DQ55" s="111"/>
      <c r="DR55" s="111"/>
      <c r="DS55" s="111"/>
      <c r="DT55" s="111"/>
      <c r="DU55" s="111"/>
      <c r="DV55" s="111"/>
      <c r="DW55" s="111"/>
      <c r="DX55" s="111"/>
      <c r="DY55" s="111"/>
      <c r="DZ55" s="111"/>
      <c r="EA55" s="111"/>
      <c r="EB55" s="111"/>
      <c r="EC55" s="111"/>
      <c r="ED55" s="111"/>
      <c r="EE55" s="111"/>
      <c r="EF55" s="111"/>
      <c r="EG55" s="111"/>
      <c r="EH55" s="111"/>
      <c r="EI55" s="111"/>
      <c r="EJ55" s="111"/>
      <c r="EK55" s="111"/>
      <c r="EL55" s="111"/>
      <c r="EM55" s="111"/>
      <c r="EN55" s="111"/>
      <c r="EO55" s="111"/>
      <c r="EP55" s="111"/>
      <c r="EQ55" s="111"/>
      <c r="ER55" s="111"/>
      <c r="ES55" s="111"/>
      <c r="ET55" s="111"/>
      <c r="EU55" s="111"/>
      <c r="EV55" s="111"/>
      <c r="EW55" s="111"/>
      <c r="EX55" s="111"/>
      <c r="EY55" s="111"/>
      <c r="EZ55" s="111"/>
      <c r="FA55" s="111"/>
      <c r="FB55" s="111"/>
      <c r="FC55" s="111"/>
      <c r="FD55" s="111"/>
      <c r="FE55" s="111"/>
      <c r="FF55" s="111"/>
      <c r="FG55" s="111"/>
      <c r="FH55" s="111"/>
      <c r="FI55" s="111"/>
      <c r="FJ55" s="111"/>
      <c r="FK55" s="111"/>
      <c r="FL55" s="111"/>
      <c r="FM55" s="111"/>
      <c r="FN55" s="111"/>
      <c r="FO55" s="111"/>
      <c r="FP55" s="111"/>
      <c r="FQ55" s="111"/>
      <c r="FR55" s="111"/>
      <c r="FS55" s="111"/>
      <c r="FT55" s="111"/>
      <c r="FU55" s="111"/>
      <c r="FV55" s="111"/>
      <c r="FW55" s="111"/>
      <c r="FX55" s="111"/>
      <c r="FY55" s="111"/>
      <c r="FZ55" s="111"/>
      <c r="GA55" s="111"/>
      <c r="GB55" s="111"/>
      <c r="GC55" s="111"/>
      <c r="GD55" s="111"/>
      <c r="GE55" s="111"/>
      <c r="GF55" s="111"/>
      <c r="GG55" s="111"/>
      <c r="GH55" s="111"/>
      <c r="GI55" s="111"/>
      <c r="GJ55" s="111"/>
    </row>
    <row r="56" spans="1:192" ht="50.15" customHeight="1" x14ac:dyDescent="0.35">
      <c r="A56" s="161" t="s">
        <v>235</v>
      </c>
      <c r="B56" s="180" t="s">
        <v>308</v>
      </c>
      <c r="C56" s="152" t="s">
        <v>468</v>
      </c>
      <c r="D56" s="180" t="s">
        <v>22</v>
      </c>
      <c r="E56" s="154" t="s">
        <v>554</v>
      </c>
      <c r="F56" s="228"/>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111"/>
      <c r="AZ56" s="111"/>
      <c r="BA56" s="111"/>
      <c r="BB56" s="111"/>
      <c r="BC56" s="111"/>
      <c r="BD56" s="111"/>
      <c r="BE56" s="111"/>
      <c r="BF56" s="111"/>
      <c r="BG56" s="111"/>
      <c r="BH56" s="111"/>
      <c r="BI56" s="111"/>
      <c r="BJ56" s="111"/>
      <c r="BK56" s="111"/>
      <c r="BL56" s="111"/>
      <c r="BM56" s="111"/>
      <c r="BN56" s="111"/>
      <c r="BO56" s="111"/>
      <c r="BP56" s="111"/>
      <c r="BQ56" s="111"/>
      <c r="BR56" s="111"/>
      <c r="BS56" s="111"/>
      <c r="BT56" s="111"/>
      <c r="BU56" s="111"/>
      <c r="BV56" s="111"/>
      <c r="BW56" s="111"/>
      <c r="BX56" s="111"/>
      <c r="BY56" s="111"/>
      <c r="BZ56" s="111"/>
      <c r="CA56" s="111"/>
      <c r="CB56" s="111"/>
      <c r="CC56" s="111"/>
      <c r="CD56" s="111"/>
      <c r="CE56" s="111"/>
      <c r="CF56" s="111"/>
      <c r="CG56" s="111"/>
      <c r="CH56" s="111"/>
      <c r="CI56" s="111"/>
      <c r="CJ56" s="111"/>
      <c r="CK56" s="111"/>
      <c r="CL56" s="111"/>
      <c r="CM56" s="111"/>
      <c r="CN56" s="111"/>
      <c r="CO56" s="111"/>
      <c r="CP56" s="111"/>
      <c r="CQ56" s="111"/>
      <c r="CR56" s="111"/>
      <c r="CS56" s="111"/>
      <c r="CT56" s="111"/>
      <c r="CU56" s="111"/>
      <c r="CV56" s="111"/>
      <c r="CW56" s="111"/>
      <c r="CX56" s="111"/>
      <c r="CY56" s="111"/>
      <c r="CZ56" s="111"/>
      <c r="DA56" s="111"/>
      <c r="DB56" s="111"/>
      <c r="DC56" s="111"/>
      <c r="DD56" s="111"/>
      <c r="DE56" s="111"/>
      <c r="DF56" s="111"/>
      <c r="DG56" s="111"/>
      <c r="DH56" s="111"/>
      <c r="DI56" s="111"/>
      <c r="DJ56" s="111"/>
      <c r="DK56" s="111"/>
      <c r="DL56" s="111"/>
      <c r="DM56" s="111"/>
      <c r="DN56" s="111"/>
      <c r="DO56" s="111"/>
      <c r="DP56" s="111"/>
      <c r="DQ56" s="111"/>
      <c r="DR56" s="111"/>
      <c r="DS56" s="111"/>
      <c r="DT56" s="111"/>
      <c r="DU56" s="111"/>
      <c r="DV56" s="111"/>
      <c r="DW56" s="111"/>
      <c r="DX56" s="111"/>
      <c r="DY56" s="111"/>
      <c r="DZ56" s="111"/>
      <c r="EA56" s="111"/>
      <c r="EB56" s="111"/>
      <c r="EC56" s="111"/>
      <c r="ED56" s="111"/>
      <c r="EE56" s="111"/>
      <c r="EF56" s="111"/>
      <c r="EG56" s="111"/>
      <c r="EH56" s="111"/>
      <c r="EI56" s="111"/>
      <c r="EJ56" s="111"/>
      <c r="EK56" s="111"/>
      <c r="EL56" s="111"/>
      <c r="EM56" s="111"/>
      <c r="EN56" s="111"/>
      <c r="EO56" s="111"/>
      <c r="EP56" s="111"/>
      <c r="EQ56" s="111"/>
      <c r="ER56" s="111"/>
      <c r="ES56" s="111"/>
      <c r="ET56" s="111"/>
      <c r="EU56" s="111"/>
      <c r="EV56" s="111"/>
      <c r="EW56" s="111"/>
      <c r="EX56" s="111"/>
      <c r="EY56" s="111"/>
      <c r="EZ56" s="111"/>
      <c r="FA56" s="111"/>
      <c r="FB56" s="111"/>
      <c r="FC56" s="111"/>
      <c r="FD56" s="111"/>
      <c r="FE56" s="111"/>
      <c r="FF56" s="111"/>
      <c r="FG56" s="111"/>
      <c r="FH56" s="111"/>
      <c r="FI56" s="111"/>
      <c r="FJ56" s="111"/>
      <c r="FK56" s="111"/>
      <c r="FL56" s="111"/>
      <c r="FM56" s="111"/>
      <c r="FN56" s="111"/>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row>
    <row r="57" spans="1:192" ht="50.15" customHeight="1" outlineLevel="1" x14ac:dyDescent="0.35">
      <c r="A57" s="161" t="s">
        <v>235</v>
      </c>
      <c r="B57" s="179" t="s">
        <v>309</v>
      </c>
      <c r="C57" s="151" t="s">
        <v>469</v>
      </c>
      <c r="D57" s="179" t="s">
        <v>22</v>
      </c>
      <c r="E57" s="159" t="s">
        <v>555</v>
      </c>
      <c r="F57" s="230"/>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111"/>
      <c r="AZ57" s="111"/>
      <c r="BA57" s="111"/>
      <c r="BB57" s="111"/>
      <c r="BC57" s="111"/>
      <c r="BD57" s="111"/>
      <c r="BE57" s="111"/>
      <c r="BF57" s="111"/>
      <c r="BG57" s="111"/>
      <c r="BH57" s="111"/>
      <c r="BI57" s="111"/>
      <c r="BJ57" s="111"/>
      <c r="BK57" s="111"/>
      <c r="BL57" s="111"/>
      <c r="BM57" s="111"/>
      <c r="BN57" s="111"/>
      <c r="BO57" s="111"/>
      <c r="BP57" s="111"/>
      <c r="BQ57" s="111"/>
      <c r="BR57" s="111"/>
      <c r="BS57" s="111"/>
      <c r="BT57" s="111"/>
      <c r="BU57" s="111"/>
      <c r="BV57" s="111"/>
      <c r="BW57" s="111"/>
      <c r="BX57" s="111"/>
      <c r="BY57" s="111"/>
      <c r="BZ57" s="111"/>
      <c r="CA57" s="111"/>
      <c r="CB57" s="111"/>
      <c r="CC57" s="111"/>
      <c r="CD57" s="111"/>
      <c r="CE57" s="111"/>
      <c r="CF57" s="111"/>
      <c r="CG57" s="111"/>
      <c r="CH57" s="111"/>
      <c r="CI57" s="111"/>
      <c r="CJ57" s="111"/>
      <c r="CK57" s="111"/>
      <c r="CL57" s="111"/>
      <c r="CM57" s="111"/>
      <c r="CN57" s="111"/>
      <c r="CO57" s="111"/>
      <c r="CP57" s="111"/>
      <c r="CQ57" s="111"/>
      <c r="CR57" s="111"/>
      <c r="CS57" s="111"/>
      <c r="CT57" s="111"/>
      <c r="CU57" s="111"/>
      <c r="CV57" s="111"/>
      <c r="CW57" s="111"/>
      <c r="CX57" s="111"/>
      <c r="CY57" s="111"/>
      <c r="CZ57" s="111"/>
      <c r="DA57" s="111"/>
      <c r="DB57" s="111"/>
      <c r="DC57" s="111"/>
      <c r="DD57" s="111"/>
      <c r="DE57" s="111"/>
      <c r="DF57" s="111"/>
      <c r="DG57" s="111"/>
      <c r="DH57" s="111"/>
      <c r="DI57" s="111"/>
      <c r="DJ57" s="111"/>
      <c r="DK57" s="111"/>
      <c r="DL57" s="111"/>
      <c r="DM57" s="111"/>
      <c r="DN57" s="111"/>
      <c r="DO57" s="111"/>
      <c r="DP57" s="111"/>
      <c r="DQ57" s="111"/>
      <c r="DR57" s="111"/>
      <c r="DS57" s="111"/>
      <c r="DT57" s="111"/>
      <c r="DU57" s="111"/>
      <c r="DV57" s="111"/>
      <c r="DW57" s="111"/>
      <c r="DX57" s="111"/>
      <c r="DY57" s="111"/>
      <c r="DZ57" s="111"/>
      <c r="EA57" s="111"/>
      <c r="EB57" s="111"/>
      <c r="EC57" s="111"/>
      <c r="ED57" s="111"/>
      <c r="EE57" s="111"/>
      <c r="EF57" s="111"/>
      <c r="EG57" s="111"/>
      <c r="EH57" s="111"/>
      <c r="EI57" s="111"/>
      <c r="EJ57" s="111"/>
      <c r="EK57" s="111"/>
      <c r="EL57" s="111"/>
      <c r="EM57" s="111"/>
      <c r="EN57" s="111"/>
      <c r="EO57" s="111"/>
      <c r="EP57" s="111"/>
      <c r="EQ57" s="111"/>
      <c r="ER57" s="111"/>
      <c r="ES57" s="111"/>
      <c r="ET57" s="111"/>
      <c r="EU57" s="111"/>
      <c r="EV57" s="111"/>
      <c r="EW57" s="111"/>
      <c r="EX57" s="111"/>
      <c r="EY57" s="111"/>
      <c r="EZ57" s="111"/>
      <c r="FA57" s="111"/>
      <c r="FB57" s="111"/>
      <c r="FC57" s="111"/>
      <c r="FD57" s="111"/>
      <c r="FE57" s="111"/>
      <c r="FF57" s="111"/>
      <c r="FG57" s="111"/>
      <c r="FH57" s="111"/>
      <c r="FI57" s="111"/>
      <c r="FJ57" s="111"/>
      <c r="FK57" s="111"/>
      <c r="FL57" s="111"/>
      <c r="FM57" s="111"/>
      <c r="FN57" s="111"/>
      <c r="FO57" s="111"/>
      <c r="FP57" s="111"/>
      <c r="FQ57" s="111"/>
      <c r="FR57" s="111"/>
      <c r="FS57" s="111"/>
      <c r="FT57" s="111"/>
      <c r="FU57" s="111"/>
      <c r="FV57" s="111"/>
      <c r="FW57" s="111"/>
      <c r="FX57" s="111"/>
      <c r="FY57" s="111"/>
      <c r="FZ57" s="111"/>
      <c r="GA57" s="111"/>
      <c r="GB57" s="111"/>
      <c r="GC57" s="111"/>
      <c r="GD57" s="111"/>
      <c r="GE57" s="111"/>
      <c r="GF57" s="111"/>
      <c r="GG57" s="111"/>
      <c r="GH57" s="111"/>
      <c r="GI57" s="111"/>
      <c r="GJ57" s="111"/>
    </row>
    <row r="58" spans="1:192" ht="50.15" customHeight="1" outlineLevel="1" x14ac:dyDescent="0.35">
      <c r="A58" s="161" t="s">
        <v>235</v>
      </c>
      <c r="B58" s="180" t="s">
        <v>310</v>
      </c>
      <c r="C58" s="152" t="s">
        <v>470</v>
      </c>
      <c r="D58" s="180" t="s">
        <v>22</v>
      </c>
      <c r="E58" s="158" t="s">
        <v>556</v>
      </c>
      <c r="F58" s="228"/>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111"/>
      <c r="AZ58" s="111"/>
      <c r="BA58" s="111"/>
      <c r="BB58" s="111"/>
      <c r="BC58" s="111"/>
      <c r="BD58" s="111"/>
      <c r="BE58" s="111"/>
      <c r="BF58" s="111"/>
      <c r="BG58" s="111"/>
      <c r="BH58" s="111"/>
      <c r="BI58" s="111"/>
      <c r="BJ58" s="111"/>
      <c r="BK58" s="111"/>
      <c r="BL58" s="111"/>
      <c r="BM58" s="111"/>
      <c r="BN58" s="111"/>
      <c r="BO58" s="111"/>
      <c r="BP58" s="111"/>
      <c r="BQ58" s="111"/>
      <c r="BR58" s="111"/>
      <c r="BS58" s="111"/>
      <c r="BT58" s="111"/>
      <c r="BU58" s="111"/>
      <c r="BV58" s="111"/>
      <c r="BW58" s="111"/>
      <c r="BX58" s="111"/>
      <c r="BY58" s="111"/>
      <c r="BZ58" s="111"/>
      <c r="CA58" s="111"/>
      <c r="CB58" s="111"/>
      <c r="CC58" s="111"/>
      <c r="CD58" s="111"/>
      <c r="CE58" s="111"/>
      <c r="CF58" s="111"/>
      <c r="CG58" s="111"/>
      <c r="CH58" s="111"/>
      <c r="CI58" s="111"/>
      <c r="CJ58" s="111"/>
      <c r="CK58" s="111"/>
      <c r="CL58" s="111"/>
      <c r="CM58" s="111"/>
      <c r="CN58" s="111"/>
      <c r="CO58" s="111"/>
      <c r="CP58" s="111"/>
      <c r="CQ58" s="111"/>
      <c r="CR58" s="111"/>
      <c r="CS58" s="111"/>
      <c r="CT58" s="111"/>
      <c r="CU58" s="111"/>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1"/>
      <c r="EI58" s="111"/>
      <c r="EJ58" s="111"/>
      <c r="EK58" s="111"/>
      <c r="EL58" s="111"/>
      <c r="EM58" s="111"/>
      <c r="EN58" s="111"/>
      <c r="EO58" s="111"/>
      <c r="EP58" s="111"/>
      <c r="EQ58" s="111"/>
      <c r="ER58" s="111"/>
      <c r="ES58" s="111"/>
      <c r="ET58" s="111"/>
      <c r="EU58" s="111"/>
      <c r="EV58" s="111"/>
      <c r="EW58" s="111"/>
      <c r="EX58" s="111"/>
      <c r="EY58" s="111"/>
      <c r="EZ58" s="111"/>
      <c r="FA58" s="111"/>
      <c r="FB58" s="111"/>
      <c r="FC58" s="111"/>
      <c r="FD58" s="111"/>
      <c r="FE58" s="111"/>
      <c r="FF58" s="111"/>
      <c r="FG58" s="111"/>
      <c r="FH58" s="111"/>
      <c r="FI58" s="111"/>
      <c r="FJ58" s="111"/>
      <c r="FK58" s="111"/>
      <c r="FL58" s="111"/>
      <c r="FM58" s="111"/>
      <c r="FN58" s="111"/>
      <c r="FO58" s="111"/>
      <c r="FP58" s="111"/>
      <c r="FQ58" s="111"/>
      <c r="FR58" s="111"/>
      <c r="FS58" s="111"/>
      <c r="FT58" s="111"/>
      <c r="FU58" s="111"/>
      <c r="FV58" s="111"/>
      <c r="FW58" s="111"/>
      <c r="FX58" s="111"/>
      <c r="FY58" s="111"/>
      <c r="FZ58" s="111"/>
      <c r="GA58" s="111"/>
      <c r="GB58" s="111"/>
      <c r="GC58" s="111"/>
      <c r="GD58" s="111"/>
      <c r="GE58" s="111"/>
      <c r="GF58" s="111"/>
      <c r="GG58" s="111"/>
      <c r="GH58" s="111"/>
      <c r="GI58" s="111"/>
      <c r="GJ58" s="111"/>
    </row>
    <row r="59" spans="1:192" ht="50.15" customHeight="1" outlineLevel="1" x14ac:dyDescent="0.35">
      <c r="A59" s="161" t="s">
        <v>235</v>
      </c>
      <c r="B59" s="179" t="s">
        <v>311</v>
      </c>
      <c r="C59" s="156" t="s">
        <v>471</v>
      </c>
      <c r="D59" s="179" t="s">
        <v>23</v>
      </c>
      <c r="E59" s="156" t="s">
        <v>557</v>
      </c>
      <c r="F59" s="230"/>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111"/>
      <c r="AZ59" s="111"/>
      <c r="BA59" s="111"/>
      <c r="BB59" s="111"/>
      <c r="BC59" s="111"/>
      <c r="BD59" s="111"/>
      <c r="BE59" s="111"/>
      <c r="BF59" s="111"/>
      <c r="BG59" s="111"/>
      <c r="BH59" s="111"/>
      <c r="BI59" s="111"/>
      <c r="BJ59" s="111"/>
      <c r="BK59" s="111"/>
      <c r="BL59" s="111"/>
      <c r="BM59" s="111"/>
      <c r="BN59" s="111"/>
      <c r="BO59" s="111"/>
      <c r="BP59" s="111"/>
      <c r="BQ59" s="111"/>
      <c r="BR59" s="111"/>
      <c r="BS59" s="111"/>
      <c r="BT59" s="111"/>
      <c r="BU59" s="111"/>
      <c r="BV59" s="111"/>
      <c r="BW59" s="111"/>
      <c r="BX59" s="111"/>
      <c r="BY59" s="111"/>
      <c r="BZ59" s="111"/>
      <c r="CA59" s="111"/>
      <c r="CB59" s="111"/>
      <c r="CC59" s="111"/>
      <c r="CD59" s="111"/>
      <c r="CE59" s="111"/>
      <c r="CF59" s="111"/>
      <c r="CG59" s="111"/>
      <c r="CH59" s="111"/>
      <c r="CI59" s="111"/>
      <c r="CJ59" s="111"/>
      <c r="CK59" s="111"/>
      <c r="CL59" s="111"/>
      <c r="CM59" s="111"/>
      <c r="CN59" s="111"/>
      <c r="CO59" s="111"/>
      <c r="CP59" s="111"/>
      <c r="CQ59" s="111"/>
      <c r="CR59" s="111"/>
      <c r="CS59" s="111"/>
      <c r="CT59" s="111"/>
      <c r="CU59" s="111"/>
      <c r="CV59" s="111"/>
      <c r="CW59" s="111"/>
      <c r="CX59" s="111"/>
      <c r="CY59" s="111"/>
      <c r="CZ59" s="111"/>
      <c r="DA59" s="111"/>
      <c r="DB59" s="111"/>
      <c r="DC59" s="111"/>
      <c r="DD59" s="111"/>
      <c r="DE59" s="111"/>
      <c r="DF59" s="111"/>
      <c r="DG59" s="111"/>
      <c r="DH59" s="111"/>
      <c r="DI59" s="111"/>
      <c r="DJ59" s="111"/>
      <c r="DK59" s="111"/>
      <c r="DL59" s="111"/>
      <c r="DM59" s="111"/>
      <c r="DN59" s="111"/>
      <c r="DO59" s="111"/>
      <c r="DP59" s="111"/>
      <c r="DQ59" s="111"/>
      <c r="DR59" s="111"/>
      <c r="DS59" s="111"/>
      <c r="DT59" s="111"/>
      <c r="DU59" s="111"/>
      <c r="DV59" s="111"/>
      <c r="DW59" s="111"/>
      <c r="DX59" s="111"/>
      <c r="DY59" s="111"/>
      <c r="DZ59" s="111"/>
      <c r="EA59" s="111"/>
      <c r="EB59" s="111"/>
      <c r="EC59" s="111"/>
      <c r="ED59" s="111"/>
      <c r="EE59" s="111"/>
      <c r="EF59" s="111"/>
      <c r="EG59" s="111"/>
      <c r="EH59" s="111"/>
      <c r="EI59" s="111"/>
      <c r="EJ59" s="111"/>
      <c r="EK59" s="111"/>
      <c r="EL59" s="111"/>
      <c r="EM59" s="111"/>
      <c r="EN59" s="111"/>
      <c r="EO59" s="111"/>
      <c r="EP59" s="111"/>
      <c r="EQ59" s="111"/>
      <c r="ER59" s="111"/>
      <c r="ES59" s="111"/>
      <c r="ET59" s="111"/>
      <c r="EU59" s="111"/>
      <c r="EV59" s="111"/>
      <c r="EW59" s="111"/>
      <c r="EX59" s="111"/>
      <c r="EY59" s="111"/>
      <c r="EZ59" s="111"/>
      <c r="FA59" s="111"/>
      <c r="FB59" s="111"/>
      <c r="FC59" s="111"/>
      <c r="FD59" s="111"/>
      <c r="FE59" s="111"/>
      <c r="FF59" s="111"/>
      <c r="FG59" s="111"/>
      <c r="FH59" s="111"/>
      <c r="FI59" s="111"/>
      <c r="FJ59" s="111"/>
      <c r="FK59" s="111"/>
      <c r="FL59" s="111"/>
      <c r="FM59" s="111"/>
      <c r="FN59" s="111"/>
      <c r="FO59" s="111"/>
      <c r="FP59" s="111"/>
      <c r="FQ59" s="111"/>
      <c r="FR59" s="111"/>
      <c r="FS59" s="111"/>
      <c r="FT59" s="111"/>
      <c r="FU59" s="111"/>
      <c r="FV59" s="111"/>
      <c r="FW59" s="111"/>
      <c r="FX59" s="111"/>
      <c r="FY59" s="111"/>
      <c r="FZ59" s="111"/>
      <c r="GA59" s="111"/>
      <c r="GB59" s="111"/>
      <c r="GC59" s="111"/>
      <c r="GD59" s="111"/>
      <c r="GE59" s="111"/>
      <c r="GF59" s="111"/>
      <c r="GG59" s="111"/>
      <c r="GH59" s="111"/>
      <c r="GI59" s="111"/>
      <c r="GJ59" s="111"/>
    </row>
    <row r="60" spans="1:192" ht="50.15" customHeight="1" outlineLevel="1" x14ac:dyDescent="0.35">
      <c r="A60" s="161" t="s">
        <v>235</v>
      </c>
      <c r="B60" s="180" t="s">
        <v>312</v>
      </c>
      <c r="C60" s="154" t="s">
        <v>423</v>
      </c>
      <c r="D60" s="180" t="s">
        <v>23</v>
      </c>
      <c r="E60" s="158" t="s">
        <v>558</v>
      </c>
      <c r="F60" s="23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111"/>
      <c r="AZ60" s="111"/>
      <c r="BA60" s="111"/>
      <c r="BB60" s="111"/>
      <c r="BC60" s="111"/>
      <c r="BD60" s="111"/>
      <c r="BE60" s="111"/>
      <c r="BF60" s="111"/>
      <c r="BG60" s="111"/>
      <c r="BH60" s="111"/>
      <c r="BI60" s="111"/>
      <c r="BJ60" s="111"/>
      <c r="BK60" s="111"/>
      <c r="BL60" s="111"/>
      <c r="BM60" s="111"/>
      <c r="BN60" s="111"/>
      <c r="BO60" s="111"/>
      <c r="BP60" s="111"/>
      <c r="BQ60" s="111"/>
      <c r="BR60" s="111"/>
      <c r="BS60" s="111"/>
      <c r="BT60" s="111"/>
      <c r="BU60" s="111"/>
      <c r="BV60" s="111"/>
      <c r="BW60" s="111"/>
      <c r="BX60" s="111"/>
      <c r="BY60" s="111"/>
      <c r="BZ60" s="111"/>
      <c r="CA60" s="111"/>
      <c r="CB60" s="111"/>
      <c r="CC60" s="111"/>
      <c r="CD60" s="111"/>
      <c r="CE60" s="111"/>
      <c r="CF60" s="111"/>
      <c r="CG60" s="111"/>
      <c r="CH60" s="111"/>
      <c r="CI60" s="111"/>
      <c r="CJ60" s="111"/>
      <c r="CK60" s="111"/>
      <c r="CL60" s="111"/>
      <c r="CM60" s="111"/>
      <c r="CN60" s="111"/>
      <c r="CO60" s="111"/>
      <c r="CP60" s="111"/>
      <c r="CQ60" s="111"/>
      <c r="CR60" s="111"/>
      <c r="CS60" s="111"/>
      <c r="CT60" s="111"/>
      <c r="CU60" s="111"/>
      <c r="CV60" s="111"/>
      <c r="CW60" s="111"/>
      <c r="CX60" s="111"/>
      <c r="CY60" s="111"/>
      <c r="CZ60" s="111"/>
      <c r="DA60" s="111"/>
      <c r="DB60" s="111"/>
      <c r="DC60" s="111"/>
      <c r="DD60" s="111"/>
      <c r="DE60" s="111"/>
      <c r="DF60" s="111"/>
      <c r="DG60" s="111"/>
      <c r="DH60" s="111"/>
      <c r="DI60" s="111"/>
      <c r="DJ60" s="111"/>
      <c r="DK60" s="111"/>
      <c r="DL60" s="111"/>
      <c r="DM60" s="111"/>
      <c r="DN60" s="111"/>
      <c r="DO60" s="111"/>
      <c r="DP60" s="111"/>
      <c r="DQ60" s="111"/>
      <c r="DR60" s="111"/>
      <c r="DS60" s="111"/>
      <c r="DT60" s="111"/>
      <c r="DU60" s="111"/>
      <c r="DV60" s="111"/>
      <c r="DW60" s="111"/>
      <c r="DX60" s="111"/>
      <c r="DY60" s="111"/>
      <c r="DZ60" s="111"/>
      <c r="EA60" s="111"/>
      <c r="EB60" s="111"/>
      <c r="EC60" s="111"/>
      <c r="ED60" s="111"/>
      <c r="EE60" s="111"/>
      <c r="EF60" s="111"/>
      <c r="EG60" s="111"/>
      <c r="EH60" s="111"/>
      <c r="EI60" s="111"/>
      <c r="EJ60" s="111"/>
      <c r="EK60" s="111"/>
      <c r="EL60" s="111"/>
      <c r="EM60" s="111"/>
      <c r="EN60" s="111"/>
      <c r="EO60" s="111"/>
      <c r="EP60" s="111"/>
      <c r="EQ60" s="111"/>
      <c r="ER60" s="111"/>
      <c r="ES60" s="111"/>
      <c r="ET60" s="111"/>
      <c r="EU60" s="111"/>
      <c r="EV60" s="111"/>
      <c r="EW60" s="111"/>
      <c r="EX60" s="111"/>
      <c r="EY60" s="111"/>
      <c r="EZ60" s="111"/>
      <c r="FA60" s="111"/>
      <c r="FB60" s="111"/>
      <c r="FC60" s="111"/>
      <c r="FD60" s="111"/>
      <c r="FE60" s="111"/>
      <c r="FF60" s="111"/>
      <c r="FG60" s="111"/>
      <c r="FH60" s="111"/>
      <c r="FI60" s="111"/>
      <c r="FJ60" s="111"/>
      <c r="FK60" s="111"/>
      <c r="FL60" s="111"/>
      <c r="FM60" s="111"/>
      <c r="FN60" s="111"/>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row>
    <row r="61" spans="1:192" ht="50.15" customHeight="1" outlineLevel="1" x14ac:dyDescent="0.35">
      <c r="A61" s="161" t="s">
        <v>235</v>
      </c>
      <c r="B61" s="179" t="s">
        <v>313</v>
      </c>
      <c r="C61" s="156" t="s">
        <v>472</v>
      </c>
      <c r="D61" s="179" t="s">
        <v>22</v>
      </c>
      <c r="E61" s="159" t="s">
        <v>559</v>
      </c>
      <c r="F61" s="230"/>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111"/>
      <c r="AZ61" s="111"/>
      <c r="BA61" s="111"/>
      <c r="BB61" s="111"/>
      <c r="BC61" s="111"/>
      <c r="BD61" s="111"/>
      <c r="BE61" s="111"/>
      <c r="BF61" s="111"/>
      <c r="BG61" s="111"/>
      <c r="BH61" s="111"/>
      <c r="BI61" s="111"/>
      <c r="BJ61" s="111"/>
      <c r="BK61" s="111"/>
      <c r="BL61" s="111"/>
      <c r="BM61" s="111"/>
      <c r="BN61" s="111"/>
      <c r="BO61" s="111"/>
      <c r="BP61" s="111"/>
      <c r="BQ61" s="111"/>
      <c r="BR61" s="111"/>
      <c r="BS61" s="111"/>
      <c r="BT61" s="111"/>
      <c r="BU61" s="111"/>
      <c r="BV61" s="111"/>
      <c r="BW61" s="111"/>
      <c r="BX61" s="111"/>
      <c r="BY61" s="111"/>
      <c r="BZ61" s="111"/>
      <c r="CA61" s="111"/>
      <c r="CB61" s="111"/>
      <c r="CC61" s="111"/>
      <c r="CD61" s="111"/>
      <c r="CE61" s="111"/>
      <c r="CF61" s="111"/>
      <c r="CG61" s="111"/>
      <c r="CH61" s="111"/>
      <c r="CI61" s="111"/>
      <c r="CJ61" s="111"/>
      <c r="CK61" s="111"/>
      <c r="CL61" s="111"/>
      <c r="CM61" s="111"/>
      <c r="CN61" s="111"/>
      <c r="CO61" s="111"/>
      <c r="CP61" s="111"/>
      <c r="CQ61" s="111"/>
      <c r="CR61" s="111"/>
      <c r="CS61" s="111"/>
      <c r="CT61" s="111"/>
      <c r="CU61" s="111"/>
      <c r="CV61" s="111"/>
      <c r="CW61" s="111"/>
      <c r="CX61" s="111"/>
      <c r="CY61" s="111"/>
      <c r="CZ61" s="111"/>
      <c r="DA61" s="111"/>
      <c r="DB61" s="111"/>
      <c r="DC61" s="111"/>
      <c r="DD61" s="111"/>
      <c r="DE61" s="111"/>
      <c r="DF61" s="111"/>
      <c r="DG61" s="111"/>
      <c r="DH61" s="111"/>
      <c r="DI61" s="111"/>
      <c r="DJ61" s="111"/>
      <c r="DK61" s="111"/>
      <c r="DL61" s="111"/>
      <c r="DM61" s="111"/>
      <c r="DN61" s="111"/>
      <c r="DO61" s="111"/>
      <c r="DP61" s="111"/>
      <c r="DQ61" s="111"/>
      <c r="DR61" s="111"/>
      <c r="DS61" s="111"/>
      <c r="DT61" s="111"/>
      <c r="DU61" s="111"/>
      <c r="DV61" s="111"/>
      <c r="DW61" s="111"/>
      <c r="DX61" s="111"/>
      <c r="DY61" s="111"/>
      <c r="DZ61" s="111"/>
      <c r="EA61" s="111"/>
      <c r="EB61" s="111"/>
      <c r="EC61" s="111"/>
      <c r="ED61" s="111"/>
      <c r="EE61" s="111"/>
      <c r="EF61" s="111"/>
      <c r="EG61" s="111"/>
      <c r="EH61" s="111"/>
      <c r="EI61" s="111"/>
      <c r="EJ61" s="111"/>
      <c r="EK61" s="111"/>
      <c r="EL61" s="111"/>
      <c r="EM61" s="111"/>
      <c r="EN61" s="111"/>
      <c r="EO61" s="111"/>
      <c r="EP61" s="111"/>
      <c r="EQ61" s="111"/>
      <c r="ER61" s="111"/>
      <c r="ES61" s="111"/>
      <c r="ET61" s="111"/>
      <c r="EU61" s="111"/>
      <c r="EV61" s="111"/>
      <c r="EW61" s="111"/>
      <c r="EX61" s="111"/>
      <c r="EY61" s="111"/>
      <c r="EZ61" s="111"/>
      <c r="FA61" s="111"/>
      <c r="FB61" s="111"/>
      <c r="FC61" s="111"/>
      <c r="FD61" s="111"/>
      <c r="FE61" s="111"/>
      <c r="FF61" s="111"/>
      <c r="FG61" s="111"/>
      <c r="FH61" s="111"/>
      <c r="FI61" s="111"/>
      <c r="FJ61" s="111"/>
      <c r="FK61" s="111"/>
      <c r="FL61" s="111"/>
      <c r="FM61" s="111"/>
      <c r="FN61" s="111"/>
      <c r="FO61" s="111"/>
      <c r="FP61" s="111"/>
      <c r="FQ61" s="111"/>
      <c r="FR61" s="111"/>
      <c r="FS61" s="111"/>
      <c r="FT61" s="111"/>
      <c r="FU61" s="111"/>
      <c r="FV61" s="111"/>
      <c r="FW61" s="111"/>
      <c r="FX61" s="111"/>
      <c r="FY61" s="111"/>
      <c r="FZ61" s="111"/>
      <c r="GA61" s="111"/>
      <c r="GB61" s="111"/>
      <c r="GC61" s="111"/>
      <c r="GD61" s="111"/>
      <c r="GE61" s="111"/>
      <c r="GF61" s="111"/>
      <c r="GG61" s="111"/>
      <c r="GH61" s="111"/>
      <c r="GI61" s="111"/>
      <c r="GJ61" s="111"/>
    </row>
    <row r="62" spans="1:192" ht="50.15" customHeight="1" outlineLevel="1" x14ac:dyDescent="0.35">
      <c r="A62" s="161" t="s">
        <v>235</v>
      </c>
      <c r="B62" s="180" t="s">
        <v>314</v>
      </c>
      <c r="C62" s="154" t="s">
        <v>473</v>
      </c>
      <c r="D62" s="180" t="s">
        <v>22</v>
      </c>
      <c r="E62" s="158" t="s">
        <v>560</v>
      </c>
      <c r="F62" s="23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111"/>
      <c r="AZ62" s="111"/>
      <c r="BA62" s="111"/>
      <c r="BB62" s="111"/>
      <c r="BC62" s="111"/>
      <c r="BD62" s="111"/>
      <c r="BE62" s="111"/>
      <c r="BF62" s="111"/>
      <c r="BG62" s="111"/>
      <c r="BH62" s="111"/>
      <c r="BI62" s="111"/>
      <c r="BJ62" s="111"/>
      <c r="BK62" s="111"/>
      <c r="BL62" s="111"/>
      <c r="BM62" s="111"/>
      <c r="BN62" s="111"/>
      <c r="BO62" s="111"/>
      <c r="BP62" s="111"/>
      <c r="BQ62" s="111"/>
      <c r="BR62" s="111"/>
      <c r="BS62" s="111"/>
      <c r="BT62" s="111"/>
      <c r="BU62" s="111"/>
      <c r="BV62" s="111"/>
      <c r="BW62" s="111"/>
      <c r="BX62" s="111"/>
      <c r="BY62" s="111"/>
      <c r="BZ62" s="111"/>
      <c r="CA62" s="111"/>
      <c r="CB62" s="111"/>
      <c r="CC62" s="111"/>
      <c r="CD62" s="111"/>
      <c r="CE62" s="111"/>
      <c r="CF62" s="111"/>
      <c r="CG62" s="111"/>
      <c r="CH62" s="111"/>
      <c r="CI62" s="111"/>
      <c r="CJ62" s="111"/>
      <c r="CK62" s="111"/>
      <c r="CL62" s="111"/>
      <c r="CM62" s="111"/>
      <c r="CN62" s="111"/>
      <c r="CO62" s="111"/>
      <c r="CP62" s="111"/>
      <c r="CQ62" s="111"/>
      <c r="CR62" s="111"/>
      <c r="CS62" s="111"/>
      <c r="CT62" s="111"/>
      <c r="CU62" s="111"/>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1"/>
      <c r="EI62" s="111"/>
      <c r="EJ62" s="111"/>
      <c r="EK62" s="111"/>
      <c r="EL62" s="111"/>
      <c r="EM62" s="111"/>
      <c r="EN62" s="111"/>
      <c r="EO62" s="111"/>
      <c r="EP62" s="111"/>
      <c r="EQ62" s="111"/>
      <c r="ER62" s="111"/>
      <c r="ES62" s="111"/>
      <c r="ET62" s="111"/>
      <c r="EU62" s="111"/>
      <c r="EV62" s="111"/>
      <c r="EW62" s="111"/>
      <c r="EX62" s="111"/>
      <c r="EY62" s="111"/>
      <c r="EZ62" s="111"/>
      <c r="FA62" s="111"/>
      <c r="FB62" s="111"/>
      <c r="FC62" s="111"/>
      <c r="FD62" s="111"/>
      <c r="FE62" s="111"/>
      <c r="FF62" s="111"/>
      <c r="FG62" s="111"/>
      <c r="FH62" s="111"/>
      <c r="FI62" s="111"/>
      <c r="FJ62" s="111"/>
      <c r="FK62" s="111"/>
      <c r="FL62" s="111"/>
      <c r="FM62" s="111"/>
      <c r="FN62" s="111"/>
      <c r="FO62" s="111"/>
      <c r="FP62" s="111"/>
      <c r="FQ62" s="111"/>
      <c r="FR62" s="111"/>
      <c r="FS62" s="111"/>
      <c r="FT62" s="111"/>
      <c r="FU62" s="111"/>
      <c r="FV62" s="111"/>
      <c r="FW62" s="111"/>
      <c r="FX62" s="111"/>
      <c r="FY62" s="111"/>
      <c r="FZ62" s="111"/>
      <c r="GA62" s="111"/>
      <c r="GB62" s="111"/>
      <c r="GC62" s="111"/>
      <c r="GD62" s="111"/>
      <c r="GE62" s="111"/>
      <c r="GF62" s="111"/>
      <c r="GG62" s="111"/>
      <c r="GH62" s="111"/>
      <c r="GI62" s="111"/>
      <c r="GJ62" s="111"/>
    </row>
    <row r="63" spans="1:192" ht="50.15" customHeight="1" outlineLevel="1" x14ac:dyDescent="0.35">
      <c r="A63" s="160" t="s">
        <v>236</v>
      </c>
      <c r="B63" s="179" t="s">
        <v>315</v>
      </c>
      <c r="C63" s="156" t="s">
        <v>474</v>
      </c>
      <c r="D63" s="179" t="s">
        <v>22</v>
      </c>
      <c r="E63" s="159" t="s">
        <v>561</v>
      </c>
      <c r="F63" s="230"/>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c r="BW63" s="111"/>
      <c r="BX63" s="111"/>
      <c r="BY63" s="111"/>
      <c r="BZ63" s="111"/>
      <c r="CA63" s="111"/>
      <c r="CB63" s="111"/>
      <c r="CC63" s="111"/>
      <c r="CD63" s="111"/>
      <c r="CE63" s="111"/>
      <c r="CF63" s="111"/>
      <c r="CG63" s="111"/>
      <c r="CH63" s="111"/>
      <c r="CI63" s="111"/>
      <c r="CJ63" s="111"/>
      <c r="CK63" s="111"/>
      <c r="CL63" s="111"/>
      <c r="CM63" s="111"/>
      <c r="CN63" s="111"/>
      <c r="CO63" s="111"/>
      <c r="CP63" s="111"/>
      <c r="CQ63" s="111"/>
      <c r="CR63" s="111"/>
      <c r="CS63" s="111"/>
      <c r="CT63" s="111"/>
      <c r="CU63" s="111"/>
      <c r="CV63" s="111"/>
      <c r="CW63" s="111"/>
      <c r="CX63" s="111"/>
      <c r="CY63" s="111"/>
      <c r="CZ63" s="111"/>
      <c r="DA63" s="111"/>
      <c r="DB63" s="111"/>
      <c r="DC63" s="111"/>
      <c r="DD63" s="111"/>
      <c r="DE63" s="111"/>
      <c r="DF63" s="111"/>
      <c r="DG63" s="111"/>
      <c r="DH63" s="111"/>
      <c r="DI63" s="111"/>
      <c r="DJ63" s="111"/>
      <c r="DK63" s="111"/>
      <c r="DL63" s="111"/>
      <c r="DM63" s="111"/>
      <c r="DN63" s="111"/>
      <c r="DO63" s="111"/>
      <c r="DP63" s="111"/>
      <c r="DQ63" s="111"/>
      <c r="DR63" s="111"/>
      <c r="DS63" s="111"/>
      <c r="DT63" s="111"/>
      <c r="DU63" s="111"/>
      <c r="DV63" s="111"/>
      <c r="DW63" s="111"/>
      <c r="DX63" s="111"/>
      <c r="DY63" s="111"/>
      <c r="DZ63" s="111"/>
      <c r="EA63" s="111"/>
      <c r="EB63" s="111"/>
      <c r="EC63" s="111"/>
      <c r="ED63" s="111"/>
      <c r="EE63" s="111"/>
      <c r="EF63" s="111"/>
      <c r="EG63" s="111"/>
      <c r="EH63" s="111"/>
      <c r="EI63" s="111"/>
      <c r="EJ63" s="111"/>
      <c r="EK63" s="111"/>
      <c r="EL63" s="111"/>
      <c r="EM63" s="111"/>
      <c r="EN63" s="111"/>
      <c r="EO63" s="111"/>
      <c r="EP63" s="111"/>
      <c r="EQ63" s="111"/>
      <c r="ER63" s="111"/>
      <c r="ES63" s="111"/>
      <c r="ET63" s="111"/>
      <c r="EU63" s="111"/>
      <c r="EV63" s="111"/>
      <c r="EW63" s="111"/>
      <c r="EX63" s="111"/>
      <c r="EY63" s="111"/>
      <c r="EZ63" s="111"/>
      <c r="FA63" s="111"/>
      <c r="FB63" s="111"/>
      <c r="FC63" s="111"/>
      <c r="FD63" s="111"/>
      <c r="FE63" s="111"/>
      <c r="FF63" s="111"/>
      <c r="FG63" s="111"/>
      <c r="FH63" s="111"/>
      <c r="FI63" s="111"/>
      <c r="FJ63" s="111"/>
      <c r="FK63" s="111"/>
      <c r="FL63" s="111"/>
      <c r="FM63" s="111"/>
      <c r="FN63" s="111"/>
      <c r="FO63" s="111"/>
      <c r="FP63" s="111"/>
      <c r="FQ63" s="111"/>
      <c r="FR63" s="111"/>
      <c r="FS63" s="111"/>
      <c r="FT63" s="111"/>
      <c r="FU63" s="111"/>
      <c r="FV63" s="111"/>
      <c r="FW63" s="111"/>
      <c r="FX63" s="111"/>
      <c r="FY63" s="111"/>
      <c r="FZ63" s="111"/>
      <c r="GA63" s="111"/>
      <c r="GB63" s="111"/>
      <c r="GC63" s="111"/>
      <c r="GD63" s="111"/>
      <c r="GE63" s="111"/>
      <c r="GF63" s="111"/>
      <c r="GG63" s="111"/>
      <c r="GH63" s="111"/>
      <c r="GI63" s="111"/>
      <c r="GJ63" s="111"/>
    </row>
    <row r="64" spans="1:192" ht="50.15" customHeight="1" outlineLevel="1" x14ac:dyDescent="0.35">
      <c r="A64" s="160" t="s">
        <v>236</v>
      </c>
      <c r="B64" s="180" t="s">
        <v>316</v>
      </c>
      <c r="C64" s="217" t="s">
        <v>475</v>
      </c>
      <c r="D64" s="212" t="s">
        <v>22</v>
      </c>
      <c r="E64" s="215" t="s">
        <v>562</v>
      </c>
      <c r="F64" s="228"/>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c r="CF64" s="111"/>
      <c r="CG64" s="111"/>
      <c r="CH64" s="111"/>
      <c r="CI64" s="111"/>
      <c r="CJ64" s="111"/>
      <c r="CK64" s="111"/>
      <c r="CL64" s="111"/>
      <c r="CM64" s="111"/>
      <c r="CN64" s="111"/>
      <c r="CO64" s="111"/>
      <c r="CP64" s="111"/>
      <c r="CQ64" s="111"/>
      <c r="CR64" s="111"/>
      <c r="CS64" s="111"/>
      <c r="CT64" s="111"/>
      <c r="CU64" s="111"/>
      <c r="CV64" s="111"/>
      <c r="CW64" s="111"/>
      <c r="CX64" s="111"/>
      <c r="CY64" s="111"/>
      <c r="CZ64" s="111"/>
      <c r="DA64" s="111"/>
      <c r="DB64" s="111"/>
      <c r="DC64" s="111"/>
      <c r="DD64" s="111"/>
      <c r="DE64" s="111"/>
      <c r="DF64" s="111"/>
      <c r="DG64" s="111"/>
      <c r="DH64" s="111"/>
      <c r="DI64" s="111"/>
      <c r="DJ64" s="111"/>
      <c r="DK64" s="111"/>
      <c r="DL64" s="111"/>
      <c r="DM64" s="111"/>
      <c r="DN64" s="111"/>
      <c r="DO64" s="111"/>
      <c r="DP64" s="111"/>
      <c r="DQ64" s="111"/>
      <c r="DR64" s="111"/>
      <c r="DS64" s="111"/>
      <c r="DT64" s="111"/>
      <c r="DU64" s="111"/>
      <c r="DV64" s="111"/>
      <c r="DW64" s="111"/>
      <c r="DX64" s="111"/>
      <c r="DY64" s="111"/>
      <c r="DZ64" s="111"/>
      <c r="EA64" s="111"/>
      <c r="EB64" s="111"/>
      <c r="EC64" s="111"/>
      <c r="ED64" s="111"/>
      <c r="EE64" s="111"/>
      <c r="EF64" s="111"/>
      <c r="EG64" s="111"/>
      <c r="EH64" s="111"/>
      <c r="EI64" s="111"/>
      <c r="EJ64" s="111"/>
      <c r="EK64" s="111"/>
      <c r="EL64" s="111"/>
      <c r="EM64" s="111"/>
      <c r="EN64" s="111"/>
      <c r="EO64" s="111"/>
      <c r="EP64" s="111"/>
      <c r="EQ64" s="111"/>
      <c r="ER64" s="111"/>
      <c r="ES64" s="111"/>
      <c r="ET64" s="111"/>
      <c r="EU64" s="111"/>
      <c r="EV64" s="111"/>
      <c r="EW64" s="111"/>
      <c r="EX64" s="111"/>
      <c r="EY64" s="111"/>
      <c r="EZ64" s="111"/>
      <c r="FA64" s="111"/>
      <c r="FB64" s="111"/>
      <c r="FC64" s="111"/>
      <c r="FD64" s="111"/>
      <c r="FE64" s="111"/>
      <c r="FF64" s="111"/>
      <c r="FG64" s="111"/>
      <c r="FH64" s="111"/>
      <c r="FI64" s="111"/>
      <c r="FJ64" s="111"/>
      <c r="FK64" s="111"/>
      <c r="FL64" s="111"/>
      <c r="FM64" s="111"/>
      <c r="FN64" s="111"/>
      <c r="FO64" s="111"/>
      <c r="FP64" s="111"/>
      <c r="FQ64" s="111"/>
      <c r="FR64" s="111"/>
      <c r="FS64" s="111"/>
      <c r="FT64" s="111"/>
      <c r="FU64" s="111"/>
      <c r="FV64" s="111"/>
      <c r="FW64" s="111"/>
      <c r="FX64" s="111"/>
      <c r="FY64" s="111"/>
      <c r="FZ64" s="111"/>
      <c r="GA64" s="111"/>
      <c r="GB64" s="111"/>
      <c r="GC64" s="111"/>
      <c r="GD64" s="111"/>
      <c r="GE64" s="111"/>
      <c r="GF64" s="111"/>
      <c r="GG64" s="111"/>
      <c r="GH64" s="111"/>
      <c r="GI64" s="111"/>
      <c r="GJ64" s="111"/>
    </row>
    <row r="65" spans="1:192" ht="50.15" customHeight="1" outlineLevel="1" x14ac:dyDescent="0.35">
      <c r="A65" s="160" t="s">
        <v>236</v>
      </c>
      <c r="B65" s="179" t="s">
        <v>317</v>
      </c>
      <c r="C65" s="156" t="s">
        <v>476</v>
      </c>
      <c r="D65" s="179" t="s">
        <v>22</v>
      </c>
      <c r="E65" s="159" t="s">
        <v>563</v>
      </c>
      <c r="F65" s="230"/>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c r="CF65" s="111"/>
      <c r="CG65" s="111"/>
      <c r="CH65" s="111"/>
      <c r="CI65" s="111"/>
      <c r="CJ65" s="111"/>
      <c r="CK65" s="111"/>
      <c r="CL65" s="111"/>
      <c r="CM65" s="111"/>
      <c r="CN65" s="111"/>
      <c r="CO65" s="111"/>
      <c r="CP65" s="111"/>
      <c r="CQ65" s="111"/>
      <c r="CR65" s="111"/>
      <c r="CS65" s="111"/>
      <c r="CT65" s="111"/>
      <c r="CU65" s="111"/>
      <c r="CV65" s="111"/>
      <c r="CW65" s="111"/>
      <c r="CX65" s="111"/>
      <c r="CY65" s="111"/>
      <c r="CZ65" s="111"/>
      <c r="DA65" s="111"/>
      <c r="DB65" s="111"/>
      <c r="DC65" s="111"/>
      <c r="DD65" s="111"/>
      <c r="DE65" s="111"/>
      <c r="DF65" s="111"/>
      <c r="DG65" s="111"/>
      <c r="DH65" s="111"/>
      <c r="DI65" s="111"/>
      <c r="DJ65" s="111"/>
      <c r="DK65" s="111"/>
      <c r="DL65" s="111"/>
      <c r="DM65" s="111"/>
      <c r="DN65" s="111"/>
      <c r="DO65" s="111"/>
      <c r="DP65" s="111"/>
      <c r="DQ65" s="111"/>
      <c r="DR65" s="111"/>
      <c r="DS65" s="111"/>
      <c r="DT65" s="111"/>
      <c r="DU65" s="111"/>
      <c r="DV65" s="111"/>
      <c r="DW65" s="111"/>
      <c r="DX65" s="111"/>
      <c r="DY65" s="111"/>
      <c r="DZ65" s="111"/>
      <c r="EA65" s="111"/>
      <c r="EB65" s="111"/>
      <c r="EC65" s="111"/>
      <c r="ED65" s="111"/>
      <c r="EE65" s="111"/>
      <c r="EF65" s="111"/>
      <c r="EG65" s="111"/>
      <c r="EH65" s="111"/>
      <c r="EI65" s="111"/>
      <c r="EJ65" s="111"/>
      <c r="EK65" s="111"/>
      <c r="EL65" s="111"/>
      <c r="EM65" s="111"/>
      <c r="EN65" s="111"/>
      <c r="EO65" s="111"/>
      <c r="EP65" s="111"/>
      <c r="EQ65" s="111"/>
      <c r="ER65" s="111"/>
      <c r="ES65" s="111"/>
      <c r="ET65" s="111"/>
      <c r="EU65" s="111"/>
      <c r="EV65" s="111"/>
      <c r="EW65" s="111"/>
      <c r="EX65" s="111"/>
      <c r="EY65" s="111"/>
      <c r="EZ65" s="111"/>
      <c r="FA65" s="111"/>
      <c r="FB65" s="111"/>
      <c r="FC65" s="111"/>
      <c r="FD65" s="111"/>
      <c r="FE65" s="111"/>
      <c r="FF65" s="111"/>
      <c r="FG65" s="111"/>
      <c r="FH65" s="111"/>
      <c r="FI65" s="111"/>
      <c r="FJ65" s="111"/>
      <c r="FK65" s="111"/>
      <c r="FL65" s="111"/>
      <c r="FM65" s="111"/>
      <c r="FN65" s="111"/>
      <c r="FO65" s="111"/>
      <c r="FP65" s="111"/>
      <c r="FQ65" s="111"/>
      <c r="FR65" s="111"/>
      <c r="FS65" s="111"/>
      <c r="FT65" s="111"/>
      <c r="FU65" s="111"/>
      <c r="FV65" s="111"/>
      <c r="FW65" s="111"/>
      <c r="FX65" s="111"/>
      <c r="FY65" s="111"/>
      <c r="FZ65" s="111"/>
      <c r="GA65" s="111"/>
      <c r="GB65" s="111"/>
      <c r="GC65" s="111"/>
      <c r="GD65" s="111"/>
      <c r="GE65" s="111"/>
      <c r="GF65" s="111"/>
      <c r="GG65" s="111"/>
      <c r="GH65" s="111"/>
      <c r="GI65" s="111"/>
      <c r="GJ65" s="111"/>
    </row>
    <row r="66" spans="1:192" ht="50.15" customHeight="1" outlineLevel="1" x14ac:dyDescent="0.35">
      <c r="A66" s="160" t="s">
        <v>236</v>
      </c>
      <c r="B66" s="180" t="s">
        <v>318</v>
      </c>
      <c r="C66" s="217" t="s">
        <v>477</v>
      </c>
      <c r="D66" s="212" t="s">
        <v>22</v>
      </c>
      <c r="E66" s="215" t="s">
        <v>564</v>
      </c>
      <c r="F66" s="228"/>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c r="CD66" s="111"/>
      <c r="CE66" s="111"/>
      <c r="CF66" s="111"/>
      <c r="CG66" s="111"/>
      <c r="CH66" s="111"/>
      <c r="CI66" s="111"/>
      <c r="CJ66" s="111"/>
      <c r="CK66" s="111"/>
      <c r="CL66" s="111"/>
      <c r="CM66" s="111"/>
      <c r="CN66" s="111"/>
      <c r="CO66" s="111"/>
      <c r="CP66" s="111"/>
      <c r="CQ66" s="111"/>
      <c r="CR66" s="111"/>
      <c r="CS66" s="111"/>
      <c r="CT66" s="111"/>
      <c r="CU66" s="111"/>
      <c r="CV66" s="111"/>
      <c r="CW66" s="111"/>
      <c r="CX66" s="111"/>
      <c r="CY66" s="111"/>
      <c r="CZ66" s="111"/>
      <c r="DA66" s="111"/>
      <c r="DB66" s="111"/>
      <c r="DC66" s="111"/>
      <c r="DD66" s="111"/>
      <c r="DE66" s="111"/>
      <c r="DF66" s="111"/>
      <c r="DG66" s="111"/>
      <c r="DH66" s="111"/>
      <c r="DI66" s="111"/>
      <c r="DJ66" s="111"/>
      <c r="DK66" s="111"/>
      <c r="DL66" s="111"/>
      <c r="DM66" s="111"/>
      <c r="DN66" s="111"/>
      <c r="DO66" s="111"/>
      <c r="DP66" s="111"/>
      <c r="DQ66" s="111"/>
      <c r="DR66" s="111"/>
      <c r="DS66" s="111"/>
      <c r="DT66" s="111"/>
      <c r="DU66" s="111"/>
      <c r="DV66" s="111"/>
      <c r="DW66" s="111"/>
      <c r="DX66" s="111"/>
      <c r="DY66" s="111"/>
      <c r="DZ66" s="111"/>
      <c r="EA66" s="111"/>
      <c r="EB66" s="111"/>
      <c r="EC66" s="111"/>
      <c r="ED66" s="111"/>
      <c r="EE66" s="111"/>
      <c r="EF66" s="111"/>
      <c r="EG66" s="111"/>
      <c r="EH66" s="111"/>
      <c r="EI66" s="111"/>
      <c r="EJ66" s="111"/>
      <c r="EK66" s="111"/>
      <c r="EL66" s="111"/>
      <c r="EM66" s="111"/>
      <c r="EN66" s="111"/>
      <c r="EO66" s="111"/>
      <c r="EP66" s="111"/>
      <c r="EQ66" s="111"/>
      <c r="ER66" s="111"/>
      <c r="ES66" s="111"/>
      <c r="ET66" s="111"/>
      <c r="EU66" s="111"/>
      <c r="EV66" s="111"/>
      <c r="EW66" s="111"/>
      <c r="EX66" s="111"/>
      <c r="EY66" s="111"/>
      <c r="EZ66" s="111"/>
      <c r="FA66" s="111"/>
      <c r="FB66" s="111"/>
      <c r="FC66" s="111"/>
      <c r="FD66" s="111"/>
      <c r="FE66" s="111"/>
      <c r="FF66" s="111"/>
      <c r="FG66" s="111"/>
      <c r="FH66" s="111"/>
      <c r="FI66" s="111"/>
      <c r="FJ66" s="111"/>
      <c r="FK66" s="111"/>
      <c r="FL66" s="111"/>
      <c r="FM66" s="111"/>
      <c r="FN66" s="111"/>
      <c r="FO66" s="111"/>
      <c r="FP66" s="111"/>
      <c r="FQ66" s="111"/>
      <c r="FR66" s="111"/>
      <c r="FS66" s="111"/>
      <c r="FT66" s="111"/>
      <c r="FU66" s="111"/>
      <c r="FV66" s="111"/>
      <c r="FW66" s="111"/>
      <c r="FX66" s="111"/>
      <c r="FY66" s="111"/>
      <c r="FZ66" s="111"/>
      <c r="GA66" s="111"/>
      <c r="GB66" s="111"/>
      <c r="GC66" s="111"/>
      <c r="GD66" s="111"/>
      <c r="GE66" s="111"/>
      <c r="GF66" s="111"/>
      <c r="GG66" s="111"/>
      <c r="GH66" s="111"/>
      <c r="GI66" s="111"/>
      <c r="GJ66" s="111"/>
    </row>
    <row r="67" spans="1:192" ht="50.15" customHeight="1" outlineLevel="1" x14ac:dyDescent="0.35">
      <c r="A67" s="161" t="s">
        <v>237</v>
      </c>
      <c r="B67" s="179" t="s">
        <v>319</v>
      </c>
      <c r="C67" s="156" t="s">
        <v>478</v>
      </c>
      <c r="D67" s="179" t="s">
        <v>22</v>
      </c>
      <c r="E67" s="159" t="s">
        <v>565</v>
      </c>
      <c r="F67" s="230"/>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c r="BW67" s="111"/>
      <c r="BX67" s="111"/>
      <c r="BY67" s="111"/>
      <c r="BZ67" s="111"/>
      <c r="CA67" s="111"/>
      <c r="CB67" s="111"/>
      <c r="CC67" s="111"/>
      <c r="CD67" s="111"/>
      <c r="CE67" s="111"/>
      <c r="CF67" s="111"/>
      <c r="CG67" s="111"/>
      <c r="CH67" s="111"/>
      <c r="CI67" s="111"/>
      <c r="CJ67" s="111"/>
      <c r="CK67" s="111"/>
      <c r="CL67" s="111"/>
      <c r="CM67" s="111"/>
      <c r="CN67" s="111"/>
      <c r="CO67" s="111"/>
      <c r="CP67" s="111"/>
      <c r="CQ67" s="111"/>
      <c r="CR67" s="111"/>
      <c r="CS67" s="111"/>
      <c r="CT67" s="111"/>
      <c r="CU67" s="111"/>
      <c r="CV67" s="111"/>
      <c r="CW67" s="111"/>
      <c r="CX67" s="111"/>
      <c r="CY67" s="111"/>
      <c r="CZ67" s="111"/>
      <c r="DA67" s="111"/>
      <c r="DB67" s="111"/>
      <c r="DC67" s="111"/>
      <c r="DD67" s="111"/>
      <c r="DE67" s="111"/>
      <c r="DF67" s="111"/>
      <c r="DG67" s="111"/>
      <c r="DH67" s="111"/>
      <c r="DI67" s="111"/>
      <c r="DJ67" s="111"/>
      <c r="DK67" s="111"/>
      <c r="DL67" s="111"/>
      <c r="DM67" s="111"/>
      <c r="DN67" s="111"/>
      <c r="DO67" s="111"/>
      <c r="DP67" s="111"/>
      <c r="DQ67" s="111"/>
      <c r="DR67" s="111"/>
      <c r="DS67" s="111"/>
      <c r="DT67" s="111"/>
      <c r="DU67" s="111"/>
      <c r="DV67" s="111"/>
      <c r="DW67" s="111"/>
      <c r="DX67" s="111"/>
      <c r="DY67" s="111"/>
      <c r="DZ67" s="111"/>
      <c r="EA67" s="111"/>
      <c r="EB67" s="111"/>
      <c r="EC67" s="111"/>
      <c r="ED67" s="111"/>
      <c r="EE67" s="111"/>
      <c r="EF67" s="111"/>
      <c r="EG67" s="111"/>
      <c r="EH67" s="111"/>
      <c r="EI67" s="111"/>
      <c r="EJ67" s="111"/>
      <c r="EK67" s="111"/>
      <c r="EL67" s="111"/>
      <c r="EM67" s="111"/>
      <c r="EN67" s="111"/>
      <c r="EO67" s="111"/>
      <c r="EP67" s="111"/>
      <c r="EQ67" s="111"/>
      <c r="ER67" s="111"/>
      <c r="ES67" s="111"/>
      <c r="ET67" s="111"/>
      <c r="EU67" s="111"/>
      <c r="EV67" s="111"/>
      <c r="EW67" s="111"/>
      <c r="EX67" s="111"/>
      <c r="EY67" s="111"/>
      <c r="EZ67" s="111"/>
      <c r="FA67" s="111"/>
      <c r="FB67" s="111"/>
      <c r="FC67" s="111"/>
      <c r="FD67" s="111"/>
      <c r="FE67" s="111"/>
      <c r="FF67" s="111"/>
      <c r="FG67" s="111"/>
      <c r="FH67" s="111"/>
      <c r="FI67" s="111"/>
      <c r="FJ67" s="111"/>
      <c r="FK67" s="111"/>
      <c r="FL67" s="111"/>
      <c r="FM67" s="111"/>
      <c r="FN67" s="111"/>
      <c r="FO67" s="111"/>
      <c r="FP67" s="111"/>
      <c r="FQ67" s="111"/>
      <c r="FR67" s="111"/>
      <c r="FS67" s="111"/>
      <c r="FT67" s="111"/>
      <c r="FU67" s="111"/>
      <c r="FV67" s="111"/>
      <c r="FW67" s="111"/>
      <c r="FX67" s="111"/>
      <c r="FY67" s="111"/>
      <c r="FZ67" s="111"/>
      <c r="GA67" s="111"/>
      <c r="GB67" s="111"/>
      <c r="GC67" s="111"/>
      <c r="GD67" s="111"/>
      <c r="GE67" s="111"/>
      <c r="GF67" s="111"/>
      <c r="GG67" s="111"/>
      <c r="GH67" s="111"/>
      <c r="GI67" s="111"/>
      <c r="GJ67" s="111"/>
    </row>
    <row r="68" spans="1:192" ht="50.15" customHeight="1" outlineLevel="1" x14ac:dyDescent="0.35">
      <c r="A68" s="161" t="s">
        <v>237</v>
      </c>
      <c r="B68" s="180" t="s">
        <v>320</v>
      </c>
      <c r="C68" s="284" t="s">
        <v>673</v>
      </c>
      <c r="D68" s="212" t="s">
        <v>22</v>
      </c>
      <c r="E68" s="215" t="s">
        <v>566</v>
      </c>
      <c r="F68" s="228"/>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111"/>
      <c r="AZ68" s="111"/>
      <c r="BA68" s="111"/>
      <c r="BB68" s="111"/>
      <c r="BC68" s="111"/>
      <c r="BD68" s="111"/>
      <c r="BE68" s="111"/>
      <c r="BF68" s="111"/>
      <c r="BG68" s="111"/>
      <c r="BH68" s="111"/>
      <c r="BI68" s="111"/>
      <c r="BJ68" s="111"/>
      <c r="BK68" s="111"/>
      <c r="BL68" s="111"/>
      <c r="BM68" s="111"/>
      <c r="BN68" s="111"/>
      <c r="BO68" s="111"/>
      <c r="BP68" s="111"/>
      <c r="BQ68" s="111"/>
      <c r="BR68" s="111"/>
      <c r="BS68" s="111"/>
      <c r="BT68" s="111"/>
      <c r="BU68" s="111"/>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111"/>
      <c r="CU68" s="111"/>
      <c r="CV68" s="111"/>
      <c r="CW68" s="111"/>
      <c r="CX68" s="111"/>
      <c r="CY68" s="111"/>
      <c r="CZ68" s="111"/>
      <c r="DA68" s="111"/>
      <c r="DB68" s="111"/>
      <c r="DC68" s="111"/>
      <c r="DD68" s="111"/>
      <c r="DE68" s="111"/>
      <c r="DF68" s="111"/>
      <c r="DG68" s="111"/>
      <c r="DH68" s="111"/>
      <c r="DI68" s="111"/>
      <c r="DJ68" s="111"/>
      <c r="DK68" s="111"/>
      <c r="DL68" s="111"/>
      <c r="DM68" s="111"/>
      <c r="DN68" s="111"/>
      <c r="DO68" s="111"/>
      <c r="DP68" s="111"/>
      <c r="DQ68" s="111"/>
      <c r="DR68" s="111"/>
      <c r="DS68" s="111"/>
      <c r="DT68" s="111"/>
      <c r="DU68" s="111"/>
      <c r="DV68" s="111"/>
      <c r="DW68" s="111"/>
      <c r="DX68" s="111"/>
      <c r="DY68" s="111"/>
      <c r="DZ68" s="111"/>
      <c r="EA68" s="111"/>
      <c r="EB68" s="111"/>
      <c r="EC68" s="111"/>
      <c r="ED68" s="111"/>
      <c r="EE68" s="111"/>
      <c r="EF68" s="111"/>
      <c r="EG68" s="111"/>
      <c r="EH68" s="111"/>
      <c r="EI68" s="111"/>
      <c r="EJ68" s="111"/>
      <c r="EK68" s="111"/>
      <c r="EL68" s="111"/>
      <c r="EM68" s="111"/>
      <c r="EN68" s="111"/>
      <c r="EO68" s="111"/>
      <c r="EP68" s="111"/>
      <c r="EQ68" s="111"/>
      <c r="ER68" s="111"/>
      <c r="ES68" s="111"/>
      <c r="ET68" s="111"/>
      <c r="EU68" s="111"/>
      <c r="EV68" s="111"/>
      <c r="EW68" s="111"/>
      <c r="EX68" s="111"/>
      <c r="EY68" s="111"/>
      <c r="EZ68" s="111"/>
      <c r="FA68" s="111"/>
      <c r="FB68" s="111"/>
      <c r="FC68" s="111"/>
      <c r="FD68" s="111"/>
      <c r="FE68" s="111"/>
      <c r="FF68" s="111"/>
      <c r="FG68" s="111"/>
      <c r="FH68" s="111"/>
      <c r="FI68" s="111"/>
      <c r="FJ68" s="111"/>
      <c r="FK68" s="111"/>
      <c r="FL68" s="111"/>
      <c r="FM68" s="111"/>
      <c r="FN68" s="111"/>
      <c r="FO68" s="111"/>
      <c r="FP68" s="111"/>
      <c r="FQ68" s="111"/>
      <c r="FR68" s="111"/>
      <c r="FS68" s="111"/>
      <c r="FT68" s="111"/>
      <c r="FU68" s="111"/>
      <c r="FV68" s="111"/>
      <c r="FW68" s="111"/>
      <c r="FX68" s="111"/>
      <c r="FY68" s="111"/>
      <c r="FZ68" s="111"/>
      <c r="GA68" s="111"/>
      <c r="GB68" s="111"/>
      <c r="GC68" s="111"/>
      <c r="GD68" s="111"/>
      <c r="GE68" s="111"/>
      <c r="GF68" s="111"/>
      <c r="GG68" s="111"/>
      <c r="GH68" s="111"/>
      <c r="GI68" s="111"/>
      <c r="GJ68" s="111"/>
    </row>
    <row r="69" spans="1:192" ht="50.15" customHeight="1" outlineLevel="1" x14ac:dyDescent="0.35">
      <c r="A69" s="161" t="s">
        <v>237</v>
      </c>
      <c r="B69" s="179" t="s">
        <v>321</v>
      </c>
      <c r="C69" s="156" t="s">
        <v>479</v>
      </c>
      <c r="D69" s="179" t="s">
        <v>22</v>
      </c>
      <c r="E69" s="159" t="s">
        <v>567</v>
      </c>
      <c r="F69" s="230"/>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111"/>
      <c r="AZ69" s="111"/>
      <c r="BA69" s="111"/>
      <c r="BB69" s="111"/>
      <c r="BC69" s="111"/>
      <c r="BD69" s="111"/>
      <c r="BE69" s="111"/>
      <c r="BF69" s="111"/>
      <c r="BG69" s="111"/>
      <c r="BH69" s="111"/>
      <c r="BI69" s="111"/>
      <c r="BJ69" s="111"/>
      <c r="BK69" s="111"/>
      <c r="BL69" s="111"/>
      <c r="BM69" s="111"/>
      <c r="BN69" s="111"/>
      <c r="BO69" s="111"/>
      <c r="BP69" s="111"/>
      <c r="BQ69" s="111"/>
      <c r="BR69" s="111"/>
      <c r="BS69" s="111"/>
      <c r="BT69" s="111"/>
      <c r="BU69" s="111"/>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111"/>
      <c r="CU69" s="111"/>
      <c r="CV69" s="111"/>
      <c r="CW69" s="111"/>
      <c r="CX69" s="111"/>
      <c r="CY69" s="111"/>
      <c r="CZ69" s="111"/>
      <c r="DA69" s="111"/>
      <c r="DB69" s="111"/>
      <c r="DC69" s="111"/>
      <c r="DD69" s="111"/>
      <c r="DE69" s="111"/>
      <c r="DF69" s="111"/>
      <c r="DG69" s="111"/>
      <c r="DH69" s="111"/>
      <c r="DI69" s="111"/>
      <c r="DJ69" s="111"/>
      <c r="DK69" s="111"/>
      <c r="DL69" s="111"/>
      <c r="DM69" s="111"/>
      <c r="DN69" s="111"/>
      <c r="DO69" s="111"/>
      <c r="DP69" s="111"/>
      <c r="DQ69" s="111"/>
      <c r="DR69" s="111"/>
      <c r="DS69" s="111"/>
      <c r="DT69" s="111"/>
      <c r="DU69" s="111"/>
      <c r="DV69" s="111"/>
      <c r="DW69" s="111"/>
      <c r="DX69" s="111"/>
      <c r="DY69" s="111"/>
      <c r="DZ69" s="111"/>
      <c r="EA69" s="111"/>
      <c r="EB69" s="111"/>
      <c r="EC69" s="111"/>
      <c r="ED69" s="111"/>
      <c r="EE69" s="111"/>
      <c r="EF69" s="111"/>
      <c r="EG69" s="111"/>
      <c r="EH69" s="111"/>
      <c r="EI69" s="111"/>
      <c r="EJ69" s="111"/>
      <c r="EK69" s="111"/>
      <c r="EL69" s="111"/>
      <c r="EM69" s="111"/>
      <c r="EN69" s="111"/>
      <c r="EO69" s="111"/>
      <c r="EP69" s="111"/>
      <c r="EQ69" s="111"/>
      <c r="ER69" s="111"/>
      <c r="ES69" s="111"/>
      <c r="ET69" s="111"/>
      <c r="EU69" s="111"/>
      <c r="EV69" s="111"/>
      <c r="EW69" s="111"/>
      <c r="EX69" s="111"/>
      <c r="EY69" s="111"/>
      <c r="EZ69" s="111"/>
      <c r="FA69" s="111"/>
      <c r="FB69" s="111"/>
      <c r="FC69" s="111"/>
      <c r="FD69" s="111"/>
      <c r="FE69" s="111"/>
      <c r="FF69" s="111"/>
      <c r="FG69" s="111"/>
      <c r="FH69" s="111"/>
      <c r="FI69" s="111"/>
      <c r="FJ69" s="111"/>
      <c r="FK69" s="111"/>
      <c r="FL69" s="111"/>
      <c r="FM69" s="111"/>
      <c r="FN69" s="111"/>
      <c r="FO69" s="111"/>
      <c r="FP69" s="111"/>
      <c r="FQ69" s="111"/>
      <c r="FR69" s="111"/>
      <c r="FS69" s="111"/>
      <c r="FT69" s="111"/>
      <c r="FU69" s="111"/>
      <c r="FV69" s="111"/>
      <c r="FW69" s="111"/>
      <c r="FX69" s="111"/>
      <c r="FY69" s="111"/>
      <c r="FZ69" s="111"/>
      <c r="GA69" s="111"/>
      <c r="GB69" s="111"/>
      <c r="GC69" s="111"/>
      <c r="GD69" s="111"/>
      <c r="GE69" s="111"/>
      <c r="GF69" s="111"/>
      <c r="GG69" s="111"/>
      <c r="GH69" s="111"/>
      <c r="GI69" s="111"/>
      <c r="GJ69" s="111"/>
    </row>
    <row r="70" spans="1:192" ht="50.15" customHeight="1" outlineLevel="1" x14ac:dyDescent="0.35">
      <c r="A70" s="161" t="s">
        <v>237</v>
      </c>
      <c r="B70" s="180" t="s">
        <v>322</v>
      </c>
      <c r="C70" s="217" t="s">
        <v>480</v>
      </c>
      <c r="D70" s="212" t="s">
        <v>23</v>
      </c>
      <c r="E70" s="215" t="s">
        <v>689</v>
      </c>
      <c r="F70" s="228"/>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111"/>
      <c r="AZ70" s="111"/>
      <c r="BA70" s="111"/>
      <c r="BB70" s="111"/>
      <c r="BC70" s="111"/>
      <c r="BD70" s="111"/>
      <c r="BE70" s="111"/>
      <c r="BF70" s="111"/>
      <c r="BG70" s="111"/>
      <c r="BH70" s="111"/>
      <c r="BI70" s="111"/>
      <c r="BJ70" s="111"/>
      <c r="BK70" s="111"/>
      <c r="BL70" s="111"/>
      <c r="BM70" s="111"/>
      <c r="BN70" s="111"/>
      <c r="BO70" s="111"/>
      <c r="BP70" s="111"/>
      <c r="BQ70" s="111"/>
      <c r="BR70" s="111"/>
      <c r="BS70" s="111"/>
      <c r="BT70" s="111"/>
      <c r="BU70" s="111"/>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111"/>
      <c r="CU70" s="111"/>
      <c r="CV70" s="111"/>
      <c r="CW70" s="111"/>
      <c r="CX70" s="111"/>
      <c r="CY70" s="111"/>
      <c r="CZ70" s="111"/>
      <c r="DA70" s="111"/>
      <c r="DB70" s="111"/>
      <c r="DC70" s="111"/>
      <c r="DD70" s="111"/>
      <c r="DE70" s="111"/>
      <c r="DF70" s="111"/>
      <c r="DG70" s="111"/>
      <c r="DH70" s="111"/>
      <c r="DI70" s="111"/>
      <c r="DJ70" s="111"/>
      <c r="DK70" s="111"/>
      <c r="DL70" s="111"/>
      <c r="DM70" s="111"/>
      <c r="DN70" s="111"/>
      <c r="DO70" s="111"/>
      <c r="DP70" s="111"/>
      <c r="DQ70" s="111"/>
      <c r="DR70" s="111"/>
      <c r="DS70" s="111"/>
      <c r="DT70" s="111"/>
      <c r="DU70" s="111"/>
      <c r="DV70" s="111"/>
      <c r="DW70" s="111"/>
      <c r="DX70" s="111"/>
      <c r="DY70" s="111"/>
      <c r="DZ70" s="111"/>
      <c r="EA70" s="111"/>
      <c r="EB70" s="111"/>
      <c r="EC70" s="111"/>
      <c r="ED70" s="111"/>
      <c r="EE70" s="111"/>
      <c r="EF70" s="111"/>
      <c r="EG70" s="111"/>
      <c r="EH70" s="111"/>
      <c r="EI70" s="111"/>
      <c r="EJ70" s="111"/>
      <c r="EK70" s="111"/>
      <c r="EL70" s="111"/>
      <c r="EM70" s="111"/>
      <c r="EN70" s="111"/>
      <c r="EO70" s="111"/>
      <c r="EP70" s="111"/>
      <c r="EQ70" s="111"/>
      <c r="ER70" s="111"/>
      <c r="ES70" s="111"/>
      <c r="ET70" s="111"/>
      <c r="EU70" s="111"/>
      <c r="EV70" s="111"/>
      <c r="EW70" s="111"/>
      <c r="EX70" s="111"/>
      <c r="EY70" s="111"/>
      <c r="EZ70" s="111"/>
      <c r="FA70" s="111"/>
      <c r="FB70" s="111"/>
      <c r="FC70" s="111"/>
      <c r="FD70" s="111"/>
      <c r="FE70" s="111"/>
      <c r="FF70" s="111"/>
      <c r="FG70" s="111"/>
      <c r="FH70" s="111"/>
      <c r="FI70" s="111"/>
      <c r="FJ70" s="111"/>
      <c r="FK70" s="111"/>
      <c r="FL70" s="111"/>
      <c r="FM70" s="111"/>
      <c r="FN70" s="111"/>
      <c r="FO70" s="111"/>
      <c r="FP70" s="111"/>
      <c r="FQ70" s="111"/>
      <c r="FR70" s="111"/>
      <c r="FS70" s="111"/>
      <c r="FT70" s="111"/>
      <c r="FU70" s="111"/>
      <c r="FV70" s="111"/>
      <c r="FW70" s="111"/>
      <c r="FX70" s="111"/>
      <c r="FY70" s="111"/>
      <c r="FZ70" s="111"/>
      <c r="GA70" s="111"/>
      <c r="GB70" s="111"/>
      <c r="GC70" s="111"/>
      <c r="GD70" s="111"/>
      <c r="GE70" s="111"/>
      <c r="GF70" s="111"/>
      <c r="GG70" s="111"/>
      <c r="GH70" s="111"/>
      <c r="GI70" s="111"/>
      <c r="GJ70" s="111"/>
    </row>
    <row r="71" spans="1:192" ht="50.15" customHeight="1" outlineLevel="1" x14ac:dyDescent="0.35">
      <c r="A71" s="161" t="s">
        <v>237</v>
      </c>
      <c r="B71" s="179" t="s">
        <v>323</v>
      </c>
      <c r="C71" s="156" t="s">
        <v>481</v>
      </c>
      <c r="D71" s="179" t="s">
        <v>23</v>
      </c>
      <c r="E71" s="159" t="s">
        <v>568</v>
      </c>
      <c r="F71" s="230"/>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111"/>
      <c r="AZ71" s="111"/>
      <c r="BA71" s="111"/>
      <c r="BB71" s="111"/>
      <c r="BC71" s="111"/>
      <c r="BD71" s="111"/>
      <c r="BE71" s="111"/>
      <c r="BF71" s="111"/>
      <c r="BG71" s="111"/>
      <c r="BH71" s="111"/>
      <c r="BI71" s="111"/>
      <c r="BJ71" s="111"/>
      <c r="BK71" s="111"/>
      <c r="BL71" s="111"/>
      <c r="BM71" s="111"/>
      <c r="BN71" s="111"/>
      <c r="BO71" s="111"/>
      <c r="BP71" s="111"/>
      <c r="BQ71" s="111"/>
      <c r="BR71" s="111"/>
      <c r="BS71" s="111"/>
      <c r="BT71" s="111"/>
      <c r="BU71" s="111"/>
      <c r="BV71" s="111"/>
      <c r="BW71" s="111"/>
      <c r="BX71" s="111"/>
      <c r="BY71" s="111"/>
      <c r="BZ71" s="111"/>
      <c r="CA71" s="111"/>
      <c r="CB71" s="111"/>
      <c r="CC71" s="111"/>
      <c r="CD71" s="111"/>
      <c r="CE71" s="111"/>
      <c r="CF71" s="111"/>
      <c r="CG71" s="111"/>
      <c r="CH71" s="111"/>
      <c r="CI71" s="111"/>
      <c r="CJ71" s="111"/>
      <c r="CK71" s="111"/>
      <c r="CL71" s="111"/>
      <c r="CM71" s="111"/>
      <c r="CN71" s="111"/>
      <c r="CO71" s="111"/>
      <c r="CP71" s="111"/>
      <c r="CQ71" s="111"/>
      <c r="CR71" s="111"/>
      <c r="CS71" s="111"/>
      <c r="CT71" s="111"/>
      <c r="CU71" s="111"/>
      <c r="CV71" s="111"/>
      <c r="CW71" s="111"/>
      <c r="CX71" s="111"/>
      <c r="CY71" s="111"/>
      <c r="CZ71" s="111"/>
      <c r="DA71" s="111"/>
      <c r="DB71" s="111"/>
      <c r="DC71" s="111"/>
      <c r="DD71" s="111"/>
      <c r="DE71" s="111"/>
      <c r="DF71" s="111"/>
      <c r="DG71" s="111"/>
      <c r="DH71" s="111"/>
      <c r="DI71" s="111"/>
      <c r="DJ71" s="111"/>
      <c r="DK71" s="111"/>
      <c r="DL71" s="111"/>
      <c r="DM71" s="111"/>
      <c r="DN71" s="111"/>
      <c r="DO71" s="111"/>
      <c r="DP71" s="111"/>
      <c r="DQ71" s="111"/>
      <c r="DR71" s="111"/>
      <c r="DS71" s="111"/>
      <c r="DT71" s="111"/>
      <c r="DU71" s="111"/>
      <c r="DV71" s="111"/>
      <c r="DW71" s="111"/>
      <c r="DX71" s="111"/>
      <c r="DY71" s="111"/>
      <c r="DZ71" s="111"/>
      <c r="EA71" s="111"/>
      <c r="EB71" s="111"/>
      <c r="EC71" s="111"/>
      <c r="ED71" s="111"/>
      <c r="EE71" s="111"/>
      <c r="EF71" s="111"/>
      <c r="EG71" s="111"/>
      <c r="EH71" s="111"/>
      <c r="EI71" s="111"/>
      <c r="EJ71" s="111"/>
      <c r="EK71" s="111"/>
      <c r="EL71" s="111"/>
      <c r="EM71" s="111"/>
      <c r="EN71" s="111"/>
      <c r="EO71" s="111"/>
      <c r="EP71" s="111"/>
      <c r="EQ71" s="111"/>
      <c r="ER71" s="111"/>
      <c r="ES71" s="111"/>
      <c r="ET71" s="111"/>
      <c r="EU71" s="111"/>
      <c r="EV71" s="111"/>
      <c r="EW71" s="111"/>
      <c r="EX71" s="111"/>
      <c r="EY71" s="111"/>
      <c r="EZ71" s="111"/>
      <c r="FA71" s="111"/>
      <c r="FB71" s="111"/>
      <c r="FC71" s="111"/>
      <c r="FD71" s="111"/>
      <c r="FE71" s="111"/>
      <c r="FF71" s="111"/>
      <c r="FG71" s="111"/>
      <c r="FH71" s="111"/>
      <c r="FI71" s="111"/>
      <c r="FJ71" s="111"/>
      <c r="FK71" s="111"/>
      <c r="FL71" s="111"/>
      <c r="FM71" s="111"/>
      <c r="FN71" s="111"/>
      <c r="FO71" s="111"/>
      <c r="FP71" s="111"/>
      <c r="FQ71" s="111"/>
      <c r="FR71" s="111"/>
      <c r="FS71" s="111"/>
      <c r="FT71" s="111"/>
      <c r="FU71" s="111"/>
      <c r="FV71" s="111"/>
      <c r="FW71" s="111"/>
      <c r="FX71" s="111"/>
      <c r="FY71" s="111"/>
      <c r="FZ71" s="111"/>
      <c r="GA71" s="111"/>
      <c r="GB71" s="111"/>
      <c r="GC71" s="111"/>
      <c r="GD71" s="111"/>
      <c r="GE71" s="111"/>
      <c r="GF71" s="111"/>
      <c r="GG71" s="111"/>
      <c r="GH71" s="111"/>
      <c r="GI71" s="111"/>
      <c r="GJ71" s="111"/>
    </row>
    <row r="72" spans="1:192" ht="50.15" customHeight="1" outlineLevel="1" x14ac:dyDescent="0.35">
      <c r="A72" s="161" t="s">
        <v>237</v>
      </c>
      <c r="B72" s="180" t="s">
        <v>324</v>
      </c>
      <c r="C72" s="154" t="s">
        <v>482</v>
      </c>
      <c r="D72" s="180" t="s">
        <v>22</v>
      </c>
      <c r="E72" s="158" t="s">
        <v>569</v>
      </c>
      <c r="F72" s="23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c r="BX72" s="111"/>
      <c r="BY72" s="111"/>
      <c r="BZ72" s="111"/>
      <c r="CA72" s="111"/>
      <c r="CB72" s="111"/>
      <c r="CC72" s="111"/>
      <c r="CD72" s="111"/>
      <c r="CE72" s="111"/>
      <c r="CF72" s="111"/>
      <c r="CG72" s="111"/>
      <c r="CH72" s="111"/>
      <c r="CI72" s="111"/>
      <c r="CJ72" s="111"/>
      <c r="CK72" s="111"/>
      <c r="CL72" s="111"/>
      <c r="CM72" s="111"/>
      <c r="CN72" s="111"/>
      <c r="CO72" s="111"/>
      <c r="CP72" s="111"/>
      <c r="CQ72" s="111"/>
      <c r="CR72" s="111"/>
      <c r="CS72" s="111"/>
      <c r="CT72" s="111"/>
      <c r="CU72" s="111"/>
      <c r="CV72" s="111"/>
      <c r="CW72" s="111"/>
      <c r="CX72" s="111"/>
      <c r="CY72" s="111"/>
      <c r="CZ72" s="111"/>
      <c r="DA72" s="111"/>
      <c r="DB72" s="111"/>
      <c r="DC72" s="111"/>
      <c r="DD72" s="111"/>
      <c r="DE72" s="111"/>
      <c r="DF72" s="111"/>
      <c r="DG72" s="111"/>
      <c r="DH72" s="111"/>
      <c r="DI72" s="111"/>
      <c r="DJ72" s="111"/>
      <c r="DK72" s="111"/>
      <c r="DL72" s="111"/>
      <c r="DM72" s="111"/>
      <c r="DN72" s="111"/>
      <c r="DO72" s="111"/>
      <c r="DP72" s="111"/>
      <c r="DQ72" s="111"/>
      <c r="DR72" s="111"/>
      <c r="DS72" s="111"/>
      <c r="DT72" s="111"/>
      <c r="DU72" s="111"/>
      <c r="DV72" s="111"/>
      <c r="DW72" s="111"/>
      <c r="DX72" s="111"/>
      <c r="DY72" s="111"/>
      <c r="DZ72" s="111"/>
      <c r="EA72" s="111"/>
      <c r="EB72" s="111"/>
      <c r="EC72" s="111"/>
      <c r="ED72" s="111"/>
      <c r="EE72" s="111"/>
      <c r="EF72" s="111"/>
      <c r="EG72" s="111"/>
      <c r="EH72" s="111"/>
      <c r="EI72" s="111"/>
      <c r="EJ72" s="111"/>
      <c r="EK72" s="111"/>
      <c r="EL72" s="111"/>
      <c r="EM72" s="111"/>
      <c r="EN72" s="111"/>
      <c r="EO72" s="111"/>
      <c r="EP72" s="111"/>
      <c r="EQ72" s="111"/>
      <c r="ER72" s="111"/>
      <c r="ES72" s="111"/>
      <c r="ET72" s="111"/>
      <c r="EU72" s="111"/>
      <c r="EV72" s="111"/>
      <c r="EW72" s="111"/>
      <c r="EX72" s="111"/>
      <c r="EY72" s="111"/>
      <c r="EZ72" s="111"/>
      <c r="FA72" s="111"/>
      <c r="FB72" s="111"/>
      <c r="FC72" s="111"/>
      <c r="FD72" s="111"/>
      <c r="FE72" s="111"/>
      <c r="FF72" s="111"/>
      <c r="FG72" s="111"/>
      <c r="FH72" s="111"/>
      <c r="FI72" s="111"/>
      <c r="FJ72" s="111"/>
      <c r="FK72" s="111"/>
      <c r="FL72" s="111"/>
      <c r="FM72" s="111"/>
      <c r="FN72" s="111"/>
      <c r="FO72" s="111"/>
      <c r="FP72" s="111"/>
      <c r="FQ72" s="111"/>
      <c r="FR72" s="111"/>
      <c r="FS72" s="111"/>
      <c r="FT72" s="111"/>
      <c r="FU72" s="111"/>
      <c r="FV72" s="111"/>
      <c r="FW72" s="111"/>
      <c r="FX72" s="111"/>
      <c r="FY72" s="111"/>
      <c r="FZ72" s="111"/>
      <c r="GA72" s="111"/>
      <c r="GB72" s="111"/>
      <c r="GC72" s="111"/>
      <c r="GD72" s="111"/>
      <c r="GE72" s="111"/>
      <c r="GF72" s="111"/>
      <c r="GG72" s="111"/>
      <c r="GH72" s="111"/>
      <c r="GI72" s="111"/>
      <c r="GJ72" s="111"/>
    </row>
    <row r="73" spans="1:192" ht="50.15" customHeight="1" outlineLevel="1" x14ac:dyDescent="0.35">
      <c r="A73" s="161" t="s">
        <v>237</v>
      </c>
      <c r="B73" s="179" t="s">
        <v>325</v>
      </c>
      <c r="C73" s="156" t="s">
        <v>483</v>
      </c>
      <c r="D73" s="179" t="s">
        <v>22</v>
      </c>
      <c r="E73" s="159" t="s">
        <v>570</v>
      </c>
      <c r="F73" s="230"/>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c r="BX73" s="111"/>
      <c r="BY73" s="111"/>
      <c r="BZ73" s="111"/>
      <c r="CA73" s="111"/>
      <c r="CB73" s="111"/>
      <c r="CC73" s="111"/>
      <c r="CD73" s="111"/>
      <c r="CE73" s="111"/>
      <c r="CF73" s="111"/>
      <c r="CG73" s="111"/>
      <c r="CH73" s="111"/>
      <c r="CI73" s="111"/>
      <c r="CJ73" s="111"/>
      <c r="CK73" s="111"/>
      <c r="CL73" s="111"/>
      <c r="CM73" s="111"/>
      <c r="CN73" s="111"/>
      <c r="CO73" s="111"/>
      <c r="CP73" s="111"/>
      <c r="CQ73" s="111"/>
      <c r="CR73" s="111"/>
      <c r="CS73" s="111"/>
      <c r="CT73" s="111"/>
      <c r="CU73" s="111"/>
      <c r="CV73" s="111"/>
      <c r="CW73" s="111"/>
      <c r="CX73" s="111"/>
      <c r="CY73" s="111"/>
      <c r="CZ73" s="111"/>
      <c r="DA73" s="111"/>
      <c r="DB73" s="111"/>
      <c r="DC73" s="111"/>
      <c r="DD73" s="111"/>
      <c r="DE73" s="111"/>
      <c r="DF73" s="111"/>
      <c r="DG73" s="111"/>
      <c r="DH73" s="111"/>
      <c r="DI73" s="111"/>
      <c r="DJ73" s="111"/>
      <c r="DK73" s="111"/>
      <c r="DL73" s="111"/>
      <c r="DM73" s="111"/>
      <c r="DN73" s="111"/>
      <c r="DO73" s="111"/>
      <c r="DP73" s="111"/>
      <c r="DQ73" s="111"/>
      <c r="DR73" s="111"/>
      <c r="DS73" s="111"/>
      <c r="DT73" s="111"/>
      <c r="DU73" s="111"/>
      <c r="DV73" s="111"/>
      <c r="DW73" s="111"/>
      <c r="DX73" s="111"/>
      <c r="DY73" s="111"/>
      <c r="DZ73" s="111"/>
      <c r="EA73" s="111"/>
      <c r="EB73" s="111"/>
      <c r="EC73" s="111"/>
      <c r="ED73" s="111"/>
      <c r="EE73" s="111"/>
      <c r="EF73" s="111"/>
      <c r="EG73" s="111"/>
      <c r="EH73" s="111"/>
      <c r="EI73" s="111"/>
      <c r="EJ73" s="111"/>
      <c r="EK73" s="111"/>
      <c r="EL73" s="111"/>
      <c r="EM73" s="111"/>
      <c r="EN73" s="111"/>
      <c r="EO73" s="111"/>
      <c r="EP73" s="111"/>
      <c r="EQ73" s="111"/>
      <c r="ER73" s="111"/>
      <c r="ES73" s="111"/>
      <c r="ET73" s="111"/>
      <c r="EU73" s="111"/>
      <c r="EV73" s="111"/>
      <c r="EW73" s="111"/>
      <c r="EX73" s="111"/>
      <c r="EY73" s="111"/>
      <c r="EZ73" s="111"/>
      <c r="FA73" s="111"/>
      <c r="FB73" s="111"/>
      <c r="FC73" s="111"/>
      <c r="FD73" s="111"/>
      <c r="FE73" s="111"/>
      <c r="FF73" s="111"/>
      <c r="FG73" s="111"/>
      <c r="FH73" s="111"/>
      <c r="FI73" s="111"/>
      <c r="FJ73" s="111"/>
      <c r="FK73" s="111"/>
      <c r="FL73" s="111"/>
      <c r="FM73" s="111"/>
      <c r="FN73" s="111"/>
      <c r="FO73" s="111"/>
      <c r="FP73" s="111"/>
      <c r="FQ73" s="111"/>
      <c r="FR73" s="111"/>
      <c r="FS73" s="111"/>
      <c r="FT73" s="111"/>
      <c r="FU73" s="111"/>
      <c r="FV73" s="111"/>
      <c r="FW73" s="111"/>
      <c r="FX73" s="111"/>
      <c r="FY73" s="111"/>
      <c r="FZ73" s="111"/>
      <c r="GA73" s="111"/>
      <c r="GB73" s="111"/>
      <c r="GC73" s="111"/>
      <c r="GD73" s="111"/>
      <c r="GE73" s="111"/>
      <c r="GF73" s="111"/>
      <c r="GG73" s="111"/>
      <c r="GH73" s="111"/>
      <c r="GI73" s="111"/>
      <c r="GJ73" s="111"/>
    </row>
    <row r="74" spans="1:192" ht="50.15" customHeight="1" outlineLevel="1" x14ac:dyDescent="0.35">
      <c r="A74" s="161" t="s">
        <v>237</v>
      </c>
      <c r="B74" s="180" t="s">
        <v>326</v>
      </c>
      <c r="C74" s="154" t="s">
        <v>424</v>
      </c>
      <c r="D74" s="180" t="s">
        <v>22</v>
      </c>
      <c r="E74" s="154" t="s">
        <v>571</v>
      </c>
      <c r="F74" s="23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c r="BX74" s="111"/>
      <c r="BY74" s="111"/>
      <c r="BZ74" s="111"/>
      <c r="CA74" s="111"/>
      <c r="CB74" s="111"/>
      <c r="CC74" s="111"/>
      <c r="CD74" s="111"/>
      <c r="CE74" s="111"/>
      <c r="CF74" s="111"/>
      <c r="CG74" s="111"/>
      <c r="CH74" s="111"/>
      <c r="CI74" s="111"/>
      <c r="CJ74" s="111"/>
      <c r="CK74" s="111"/>
      <c r="CL74" s="111"/>
      <c r="CM74" s="111"/>
      <c r="CN74" s="111"/>
      <c r="CO74" s="111"/>
      <c r="CP74" s="111"/>
      <c r="CQ74" s="111"/>
      <c r="CR74" s="111"/>
      <c r="CS74" s="111"/>
      <c r="CT74" s="111"/>
      <c r="CU74" s="111"/>
      <c r="CV74" s="111"/>
      <c r="CW74" s="111"/>
      <c r="CX74" s="111"/>
      <c r="CY74" s="111"/>
      <c r="CZ74" s="111"/>
      <c r="DA74" s="111"/>
      <c r="DB74" s="111"/>
      <c r="DC74" s="111"/>
      <c r="DD74" s="111"/>
      <c r="DE74" s="111"/>
      <c r="DF74" s="111"/>
      <c r="DG74" s="111"/>
      <c r="DH74" s="111"/>
      <c r="DI74" s="111"/>
      <c r="DJ74" s="111"/>
      <c r="DK74" s="111"/>
      <c r="DL74" s="111"/>
      <c r="DM74" s="111"/>
      <c r="DN74" s="111"/>
      <c r="DO74" s="111"/>
      <c r="DP74" s="111"/>
      <c r="DQ74" s="111"/>
      <c r="DR74" s="111"/>
      <c r="DS74" s="111"/>
      <c r="DT74" s="111"/>
      <c r="DU74" s="111"/>
      <c r="DV74" s="111"/>
      <c r="DW74" s="111"/>
      <c r="DX74" s="111"/>
      <c r="DY74" s="111"/>
      <c r="DZ74" s="111"/>
      <c r="EA74" s="111"/>
      <c r="EB74" s="111"/>
      <c r="EC74" s="111"/>
      <c r="ED74" s="111"/>
      <c r="EE74" s="111"/>
      <c r="EF74" s="111"/>
      <c r="EG74" s="111"/>
      <c r="EH74" s="111"/>
      <c r="EI74" s="111"/>
      <c r="EJ74" s="111"/>
      <c r="EK74" s="111"/>
      <c r="EL74" s="111"/>
      <c r="EM74" s="111"/>
      <c r="EN74" s="111"/>
      <c r="EO74" s="111"/>
      <c r="EP74" s="111"/>
      <c r="EQ74" s="111"/>
      <c r="ER74" s="111"/>
      <c r="ES74" s="111"/>
      <c r="ET74" s="111"/>
      <c r="EU74" s="111"/>
      <c r="EV74" s="111"/>
      <c r="EW74" s="111"/>
      <c r="EX74" s="111"/>
      <c r="EY74" s="111"/>
      <c r="EZ74" s="111"/>
      <c r="FA74" s="111"/>
      <c r="FB74" s="111"/>
      <c r="FC74" s="111"/>
      <c r="FD74" s="111"/>
      <c r="FE74" s="111"/>
      <c r="FF74" s="111"/>
      <c r="FG74" s="111"/>
      <c r="FH74" s="111"/>
      <c r="FI74" s="111"/>
      <c r="FJ74" s="111"/>
      <c r="FK74" s="111"/>
      <c r="FL74" s="111"/>
      <c r="FM74" s="111"/>
      <c r="FN74" s="111"/>
      <c r="FO74" s="111"/>
      <c r="FP74" s="111"/>
      <c r="FQ74" s="111"/>
      <c r="FR74" s="111"/>
      <c r="FS74" s="111"/>
      <c r="FT74" s="111"/>
      <c r="FU74" s="111"/>
      <c r="FV74" s="111"/>
      <c r="FW74" s="111"/>
      <c r="FX74" s="111"/>
      <c r="FY74" s="111"/>
      <c r="FZ74" s="111"/>
      <c r="GA74" s="111"/>
      <c r="GB74" s="111"/>
      <c r="GC74" s="111"/>
      <c r="GD74" s="111"/>
      <c r="GE74" s="111"/>
      <c r="GF74" s="111"/>
      <c r="GG74" s="111"/>
      <c r="GH74" s="111"/>
      <c r="GI74" s="111"/>
      <c r="GJ74" s="111"/>
    </row>
    <row r="75" spans="1:192" ht="50.15" customHeight="1" outlineLevel="1" x14ac:dyDescent="0.35">
      <c r="A75" s="161" t="s">
        <v>237</v>
      </c>
      <c r="B75" s="179" t="s">
        <v>327</v>
      </c>
      <c r="C75" s="156" t="s">
        <v>484</v>
      </c>
      <c r="D75" s="179" t="s">
        <v>22</v>
      </c>
      <c r="E75" s="159" t="s">
        <v>572</v>
      </c>
      <c r="F75" s="230"/>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c r="BW75" s="111"/>
      <c r="BX75" s="111"/>
      <c r="BY75" s="111"/>
      <c r="BZ75" s="111"/>
      <c r="CA75" s="111"/>
      <c r="CB75" s="111"/>
      <c r="CC75" s="111"/>
      <c r="CD75" s="111"/>
      <c r="CE75" s="111"/>
      <c r="CF75" s="111"/>
      <c r="CG75" s="111"/>
      <c r="CH75" s="111"/>
      <c r="CI75" s="111"/>
      <c r="CJ75" s="111"/>
      <c r="CK75" s="111"/>
      <c r="CL75" s="111"/>
      <c r="CM75" s="111"/>
      <c r="CN75" s="111"/>
      <c r="CO75" s="111"/>
      <c r="CP75" s="111"/>
      <c r="CQ75" s="111"/>
      <c r="CR75" s="111"/>
      <c r="CS75" s="111"/>
      <c r="CT75" s="111"/>
      <c r="CU75" s="111"/>
      <c r="CV75" s="111"/>
      <c r="CW75" s="111"/>
      <c r="CX75" s="111"/>
      <c r="CY75" s="111"/>
      <c r="CZ75" s="111"/>
      <c r="DA75" s="111"/>
      <c r="DB75" s="111"/>
      <c r="DC75" s="111"/>
      <c r="DD75" s="111"/>
      <c r="DE75" s="111"/>
      <c r="DF75" s="111"/>
      <c r="DG75" s="111"/>
      <c r="DH75" s="111"/>
      <c r="DI75" s="111"/>
      <c r="DJ75" s="111"/>
      <c r="DK75" s="111"/>
      <c r="DL75" s="111"/>
      <c r="DM75" s="111"/>
      <c r="DN75" s="111"/>
      <c r="DO75" s="111"/>
      <c r="DP75" s="111"/>
      <c r="DQ75" s="111"/>
      <c r="DR75" s="111"/>
      <c r="DS75" s="111"/>
      <c r="DT75" s="111"/>
      <c r="DU75" s="111"/>
      <c r="DV75" s="111"/>
      <c r="DW75" s="111"/>
      <c r="DX75" s="111"/>
      <c r="DY75" s="111"/>
      <c r="DZ75" s="111"/>
      <c r="EA75" s="111"/>
      <c r="EB75" s="111"/>
      <c r="EC75" s="111"/>
      <c r="ED75" s="111"/>
      <c r="EE75" s="111"/>
      <c r="EF75" s="111"/>
      <c r="EG75" s="111"/>
      <c r="EH75" s="111"/>
      <c r="EI75" s="111"/>
      <c r="EJ75" s="111"/>
      <c r="EK75" s="111"/>
      <c r="EL75" s="111"/>
      <c r="EM75" s="111"/>
      <c r="EN75" s="111"/>
      <c r="EO75" s="111"/>
      <c r="EP75" s="111"/>
      <c r="EQ75" s="111"/>
      <c r="ER75" s="111"/>
      <c r="ES75" s="111"/>
      <c r="ET75" s="111"/>
      <c r="EU75" s="111"/>
      <c r="EV75" s="111"/>
      <c r="EW75" s="111"/>
      <c r="EX75" s="111"/>
      <c r="EY75" s="111"/>
      <c r="EZ75" s="111"/>
      <c r="FA75" s="111"/>
      <c r="FB75" s="111"/>
      <c r="FC75" s="111"/>
      <c r="FD75" s="111"/>
      <c r="FE75" s="111"/>
      <c r="FF75" s="111"/>
      <c r="FG75" s="111"/>
      <c r="FH75" s="111"/>
      <c r="FI75" s="111"/>
      <c r="FJ75" s="111"/>
      <c r="FK75" s="111"/>
      <c r="FL75" s="111"/>
      <c r="FM75" s="111"/>
      <c r="FN75" s="111"/>
      <c r="FO75" s="111"/>
      <c r="FP75" s="111"/>
      <c r="FQ75" s="111"/>
      <c r="FR75" s="111"/>
      <c r="FS75" s="111"/>
      <c r="FT75" s="111"/>
      <c r="FU75" s="111"/>
      <c r="FV75" s="111"/>
      <c r="FW75" s="111"/>
      <c r="FX75" s="111"/>
      <c r="FY75" s="111"/>
      <c r="FZ75" s="111"/>
      <c r="GA75" s="111"/>
      <c r="GB75" s="111"/>
      <c r="GC75" s="111"/>
      <c r="GD75" s="111"/>
      <c r="GE75" s="111"/>
      <c r="GF75" s="111"/>
      <c r="GG75" s="111"/>
      <c r="GH75" s="111"/>
      <c r="GI75" s="111"/>
      <c r="GJ75" s="111"/>
    </row>
    <row r="76" spans="1:192" ht="50.15" customHeight="1" outlineLevel="1" x14ac:dyDescent="0.35">
      <c r="A76" s="161" t="s">
        <v>237</v>
      </c>
      <c r="B76" s="180" t="s">
        <v>328</v>
      </c>
      <c r="C76" s="154" t="s">
        <v>485</v>
      </c>
      <c r="D76" s="180" t="s">
        <v>22</v>
      </c>
      <c r="E76" s="158" t="s">
        <v>573</v>
      </c>
      <c r="F76" s="23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c r="BU76" s="111"/>
      <c r="BV76" s="111"/>
      <c r="BW76" s="111"/>
      <c r="BX76" s="111"/>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111"/>
      <c r="CU76" s="111"/>
      <c r="CV76" s="111"/>
      <c r="CW76" s="111"/>
      <c r="CX76" s="111"/>
      <c r="CY76" s="111"/>
      <c r="CZ76" s="111"/>
      <c r="DA76" s="111"/>
      <c r="DB76" s="111"/>
      <c r="DC76" s="111"/>
      <c r="DD76" s="111"/>
      <c r="DE76" s="111"/>
      <c r="DF76" s="111"/>
      <c r="DG76" s="111"/>
      <c r="DH76" s="111"/>
      <c r="DI76" s="111"/>
      <c r="DJ76" s="111"/>
      <c r="DK76" s="111"/>
      <c r="DL76" s="111"/>
      <c r="DM76" s="111"/>
      <c r="DN76" s="111"/>
      <c r="DO76" s="111"/>
      <c r="DP76" s="111"/>
      <c r="DQ76" s="111"/>
      <c r="DR76" s="111"/>
      <c r="DS76" s="111"/>
      <c r="DT76" s="111"/>
      <c r="DU76" s="111"/>
      <c r="DV76" s="111"/>
      <c r="DW76" s="111"/>
      <c r="DX76" s="111"/>
      <c r="DY76" s="111"/>
      <c r="DZ76" s="111"/>
      <c r="EA76" s="111"/>
      <c r="EB76" s="111"/>
      <c r="EC76" s="111"/>
      <c r="ED76" s="111"/>
      <c r="EE76" s="111"/>
      <c r="EF76" s="111"/>
      <c r="EG76" s="111"/>
      <c r="EH76" s="111"/>
      <c r="EI76" s="111"/>
      <c r="EJ76" s="111"/>
      <c r="EK76" s="111"/>
      <c r="EL76" s="111"/>
      <c r="EM76" s="111"/>
      <c r="EN76" s="111"/>
      <c r="EO76" s="111"/>
      <c r="EP76" s="111"/>
      <c r="EQ76" s="111"/>
      <c r="ER76" s="111"/>
      <c r="ES76" s="111"/>
      <c r="ET76" s="111"/>
      <c r="EU76" s="111"/>
      <c r="EV76" s="111"/>
      <c r="EW76" s="111"/>
      <c r="EX76" s="111"/>
      <c r="EY76" s="111"/>
      <c r="EZ76" s="111"/>
      <c r="FA76" s="111"/>
      <c r="FB76" s="111"/>
      <c r="FC76" s="111"/>
      <c r="FD76" s="111"/>
      <c r="FE76" s="111"/>
      <c r="FF76" s="111"/>
      <c r="FG76" s="111"/>
      <c r="FH76" s="111"/>
      <c r="FI76" s="111"/>
      <c r="FJ76" s="111"/>
      <c r="FK76" s="111"/>
      <c r="FL76" s="111"/>
      <c r="FM76" s="111"/>
      <c r="FN76" s="111"/>
      <c r="FO76" s="111"/>
      <c r="FP76" s="111"/>
      <c r="FQ76" s="111"/>
      <c r="FR76" s="111"/>
      <c r="FS76" s="111"/>
      <c r="FT76" s="111"/>
      <c r="FU76" s="111"/>
      <c r="FV76" s="111"/>
      <c r="FW76" s="111"/>
      <c r="FX76" s="111"/>
      <c r="FY76" s="111"/>
      <c r="FZ76" s="111"/>
      <c r="GA76" s="111"/>
      <c r="GB76" s="111"/>
      <c r="GC76" s="111"/>
      <c r="GD76" s="111"/>
      <c r="GE76" s="111"/>
      <c r="GF76" s="111"/>
      <c r="GG76" s="111"/>
      <c r="GH76" s="111"/>
      <c r="GI76" s="111"/>
      <c r="GJ76" s="111"/>
    </row>
    <row r="77" spans="1:192" ht="50.15" customHeight="1" outlineLevel="1" x14ac:dyDescent="0.35">
      <c r="A77" s="161" t="s">
        <v>237</v>
      </c>
      <c r="B77" s="179" t="s">
        <v>329</v>
      </c>
      <c r="C77" s="285" t="s">
        <v>674</v>
      </c>
      <c r="D77" s="179" t="s">
        <v>23</v>
      </c>
      <c r="E77" s="159" t="s">
        <v>574</v>
      </c>
      <c r="F77" s="230"/>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c r="BU77" s="111"/>
      <c r="BV77" s="111"/>
      <c r="BW77" s="111"/>
      <c r="BX77" s="111"/>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111"/>
      <c r="CU77" s="111"/>
      <c r="CV77" s="111"/>
      <c r="CW77" s="111"/>
      <c r="CX77" s="111"/>
      <c r="CY77" s="111"/>
      <c r="CZ77" s="111"/>
      <c r="DA77" s="111"/>
      <c r="DB77" s="111"/>
      <c r="DC77" s="111"/>
      <c r="DD77" s="111"/>
      <c r="DE77" s="111"/>
      <c r="DF77" s="111"/>
      <c r="DG77" s="111"/>
      <c r="DH77" s="111"/>
      <c r="DI77" s="111"/>
      <c r="DJ77" s="111"/>
      <c r="DK77" s="111"/>
      <c r="DL77" s="111"/>
      <c r="DM77" s="111"/>
      <c r="DN77" s="111"/>
      <c r="DO77" s="111"/>
      <c r="DP77" s="111"/>
      <c r="DQ77" s="111"/>
      <c r="DR77" s="111"/>
      <c r="DS77" s="111"/>
      <c r="DT77" s="111"/>
      <c r="DU77" s="111"/>
      <c r="DV77" s="111"/>
      <c r="DW77" s="111"/>
      <c r="DX77" s="111"/>
      <c r="DY77" s="111"/>
      <c r="DZ77" s="111"/>
      <c r="EA77" s="111"/>
      <c r="EB77" s="111"/>
      <c r="EC77" s="111"/>
      <c r="ED77" s="111"/>
      <c r="EE77" s="111"/>
      <c r="EF77" s="111"/>
      <c r="EG77" s="111"/>
      <c r="EH77" s="111"/>
      <c r="EI77" s="111"/>
      <c r="EJ77" s="111"/>
      <c r="EK77" s="111"/>
      <c r="EL77" s="111"/>
      <c r="EM77" s="111"/>
      <c r="EN77" s="111"/>
      <c r="EO77" s="111"/>
      <c r="EP77" s="111"/>
      <c r="EQ77" s="111"/>
      <c r="ER77" s="111"/>
      <c r="ES77" s="111"/>
      <c r="ET77" s="111"/>
      <c r="EU77" s="111"/>
      <c r="EV77" s="111"/>
      <c r="EW77" s="111"/>
      <c r="EX77" s="111"/>
      <c r="EY77" s="111"/>
      <c r="EZ77" s="111"/>
      <c r="FA77" s="111"/>
      <c r="FB77" s="111"/>
      <c r="FC77" s="111"/>
      <c r="FD77" s="111"/>
      <c r="FE77" s="111"/>
      <c r="FF77" s="111"/>
      <c r="FG77" s="111"/>
      <c r="FH77" s="111"/>
      <c r="FI77" s="111"/>
      <c r="FJ77" s="111"/>
      <c r="FK77" s="111"/>
      <c r="FL77" s="111"/>
      <c r="FM77" s="111"/>
      <c r="FN77" s="111"/>
      <c r="FO77" s="111"/>
      <c r="FP77" s="111"/>
      <c r="FQ77" s="111"/>
      <c r="FR77" s="111"/>
      <c r="FS77" s="111"/>
      <c r="FT77" s="111"/>
      <c r="FU77" s="111"/>
      <c r="FV77" s="111"/>
      <c r="FW77" s="111"/>
      <c r="FX77" s="111"/>
      <c r="FY77" s="111"/>
      <c r="FZ77" s="111"/>
      <c r="GA77" s="111"/>
      <c r="GB77" s="111"/>
      <c r="GC77" s="111"/>
      <c r="GD77" s="111"/>
      <c r="GE77" s="111"/>
      <c r="GF77" s="111"/>
      <c r="GG77" s="111"/>
      <c r="GH77" s="111"/>
      <c r="GI77" s="111"/>
      <c r="GJ77" s="111"/>
    </row>
    <row r="78" spans="1:192" ht="50.15" customHeight="1" outlineLevel="1" x14ac:dyDescent="0.35">
      <c r="A78" s="161" t="s">
        <v>237</v>
      </c>
      <c r="B78" s="180" t="s">
        <v>330</v>
      </c>
      <c r="C78" s="154" t="s">
        <v>486</v>
      </c>
      <c r="D78" s="180" t="s">
        <v>23</v>
      </c>
      <c r="E78" s="158" t="s">
        <v>575</v>
      </c>
      <c r="F78" s="228"/>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c r="BU78" s="111"/>
      <c r="BV78" s="111"/>
      <c r="BW78" s="111"/>
      <c r="BX78" s="111"/>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111"/>
      <c r="CU78" s="111"/>
      <c r="CV78" s="111"/>
      <c r="CW78" s="111"/>
      <c r="CX78" s="111"/>
      <c r="CY78" s="111"/>
      <c r="CZ78" s="111"/>
      <c r="DA78" s="111"/>
      <c r="DB78" s="111"/>
      <c r="DC78" s="111"/>
      <c r="DD78" s="111"/>
      <c r="DE78" s="111"/>
      <c r="DF78" s="111"/>
      <c r="DG78" s="111"/>
      <c r="DH78" s="111"/>
      <c r="DI78" s="111"/>
      <c r="DJ78" s="111"/>
      <c r="DK78" s="111"/>
      <c r="DL78" s="111"/>
      <c r="DM78" s="111"/>
      <c r="DN78" s="111"/>
      <c r="DO78" s="111"/>
      <c r="DP78" s="111"/>
      <c r="DQ78" s="111"/>
      <c r="DR78" s="111"/>
      <c r="DS78" s="111"/>
      <c r="DT78" s="111"/>
      <c r="DU78" s="111"/>
      <c r="DV78" s="111"/>
      <c r="DW78" s="111"/>
      <c r="DX78" s="111"/>
      <c r="DY78" s="111"/>
      <c r="DZ78" s="111"/>
      <c r="EA78" s="111"/>
      <c r="EB78" s="111"/>
      <c r="EC78" s="111"/>
      <c r="ED78" s="111"/>
      <c r="EE78" s="111"/>
      <c r="EF78" s="111"/>
      <c r="EG78" s="111"/>
      <c r="EH78" s="111"/>
      <c r="EI78" s="111"/>
      <c r="EJ78" s="111"/>
      <c r="EK78" s="111"/>
      <c r="EL78" s="111"/>
      <c r="EM78" s="111"/>
      <c r="EN78" s="111"/>
      <c r="EO78" s="111"/>
      <c r="EP78" s="111"/>
      <c r="EQ78" s="111"/>
      <c r="ER78" s="111"/>
      <c r="ES78" s="111"/>
      <c r="ET78" s="111"/>
      <c r="EU78" s="111"/>
      <c r="EV78" s="111"/>
      <c r="EW78" s="111"/>
      <c r="EX78" s="111"/>
      <c r="EY78" s="111"/>
      <c r="EZ78" s="111"/>
      <c r="FA78" s="111"/>
      <c r="FB78" s="111"/>
      <c r="FC78" s="111"/>
      <c r="FD78" s="111"/>
      <c r="FE78" s="111"/>
      <c r="FF78" s="111"/>
      <c r="FG78" s="111"/>
      <c r="FH78" s="111"/>
      <c r="FI78" s="111"/>
      <c r="FJ78" s="111"/>
      <c r="FK78" s="111"/>
      <c r="FL78" s="111"/>
      <c r="FM78" s="111"/>
      <c r="FN78" s="111"/>
      <c r="FO78" s="111"/>
      <c r="FP78" s="111"/>
      <c r="FQ78" s="111"/>
      <c r="FR78" s="111"/>
      <c r="FS78" s="111"/>
      <c r="FT78" s="111"/>
      <c r="FU78" s="111"/>
      <c r="FV78" s="111"/>
      <c r="FW78" s="111"/>
      <c r="FX78" s="111"/>
      <c r="FY78" s="111"/>
      <c r="FZ78" s="111"/>
      <c r="GA78" s="111"/>
      <c r="GB78" s="111"/>
      <c r="GC78" s="111"/>
      <c r="GD78" s="111"/>
      <c r="GE78" s="111"/>
      <c r="GF78" s="111"/>
      <c r="GG78" s="111"/>
      <c r="GH78" s="111"/>
      <c r="GI78" s="111"/>
      <c r="GJ78" s="111"/>
    </row>
    <row r="79" spans="1:192" ht="50.15" customHeight="1" outlineLevel="1" x14ac:dyDescent="0.35">
      <c r="A79" s="161" t="s">
        <v>237</v>
      </c>
      <c r="B79" s="179" t="s">
        <v>331</v>
      </c>
      <c r="C79" s="156" t="s">
        <v>487</v>
      </c>
      <c r="D79" s="179" t="s">
        <v>23</v>
      </c>
      <c r="E79" s="159" t="s">
        <v>576</v>
      </c>
      <c r="F79" s="230"/>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c r="BU79" s="111"/>
      <c r="BV79" s="111"/>
      <c r="BW79" s="111"/>
      <c r="BX79" s="111"/>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111"/>
      <c r="CU79" s="111"/>
      <c r="CV79" s="111"/>
      <c r="CW79" s="111"/>
      <c r="CX79" s="111"/>
      <c r="CY79" s="111"/>
      <c r="CZ79" s="111"/>
      <c r="DA79" s="111"/>
      <c r="DB79" s="111"/>
      <c r="DC79" s="111"/>
      <c r="DD79" s="111"/>
      <c r="DE79" s="111"/>
      <c r="DF79" s="111"/>
      <c r="DG79" s="111"/>
      <c r="DH79" s="111"/>
      <c r="DI79" s="111"/>
      <c r="DJ79" s="111"/>
      <c r="DK79" s="111"/>
      <c r="DL79" s="111"/>
      <c r="DM79" s="111"/>
      <c r="DN79" s="111"/>
      <c r="DO79" s="111"/>
      <c r="DP79" s="111"/>
      <c r="DQ79" s="111"/>
      <c r="DR79" s="111"/>
      <c r="DS79" s="111"/>
      <c r="DT79" s="111"/>
      <c r="DU79" s="111"/>
      <c r="DV79" s="111"/>
      <c r="DW79" s="111"/>
      <c r="DX79" s="111"/>
      <c r="DY79" s="111"/>
      <c r="DZ79" s="111"/>
      <c r="EA79" s="111"/>
      <c r="EB79" s="111"/>
      <c r="EC79" s="111"/>
      <c r="ED79" s="111"/>
      <c r="EE79" s="111"/>
      <c r="EF79" s="111"/>
      <c r="EG79" s="111"/>
      <c r="EH79" s="111"/>
      <c r="EI79" s="111"/>
      <c r="EJ79" s="111"/>
      <c r="EK79" s="111"/>
      <c r="EL79" s="111"/>
      <c r="EM79" s="111"/>
      <c r="EN79" s="111"/>
      <c r="EO79" s="111"/>
      <c r="EP79" s="111"/>
      <c r="EQ79" s="111"/>
      <c r="ER79" s="111"/>
      <c r="ES79" s="111"/>
      <c r="ET79" s="111"/>
      <c r="EU79" s="111"/>
      <c r="EV79" s="111"/>
      <c r="EW79" s="111"/>
      <c r="EX79" s="111"/>
      <c r="EY79" s="111"/>
      <c r="EZ79" s="111"/>
      <c r="FA79" s="111"/>
      <c r="FB79" s="111"/>
      <c r="FC79" s="111"/>
      <c r="FD79" s="111"/>
      <c r="FE79" s="111"/>
      <c r="FF79" s="111"/>
      <c r="FG79" s="111"/>
      <c r="FH79" s="111"/>
      <c r="FI79" s="111"/>
      <c r="FJ79" s="111"/>
      <c r="FK79" s="111"/>
      <c r="FL79" s="111"/>
      <c r="FM79" s="111"/>
      <c r="FN79" s="111"/>
      <c r="FO79" s="111"/>
      <c r="FP79" s="111"/>
      <c r="FQ79" s="111"/>
      <c r="FR79" s="111"/>
      <c r="FS79" s="111"/>
      <c r="FT79" s="111"/>
      <c r="FU79" s="111"/>
      <c r="FV79" s="111"/>
      <c r="FW79" s="111"/>
      <c r="FX79" s="111"/>
      <c r="FY79" s="111"/>
      <c r="FZ79" s="111"/>
      <c r="GA79" s="111"/>
      <c r="GB79" s="111"/>
      <c r="GC79" s="111"/>
      <c r="GD79" s="111"/>
      <c r="GE79" s="111"/>
      <c r="GF79" s="111"/>
      <c r="GG79" s="111"/>
      <c r="GH79" s="111"/>
      <c r="GI79" s="111"/>
      <c r="GJ79" s="111"/>
    </row>
    <row r="80" spans="1:192" ht="50.15" customHeight="1" outlineLevel="1" x14ac:dyDescent="0.35">
      <c r="A80" s="161" t="s">
        <v>237</v>
      </c>
      <c r="B80" s="180" t="s">
        <v>332</v>
      </c>
      <c r="C80" s="154" t="s">
        <v>425</v>
      </c>
      <c r="D80" s="180" t="s">
        <v>22</v>
      </c>
      <c r="E80" s="158" t="s">
        <v>577</v>
      </c>
      <c r="F80" s="228"/>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111"/>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111"/>
      <c r="CU80" s="111"/>
      <c r="CV80" s="111"/>
      <c r="CW80" s="111"/>
      <c r="CX80" s="111"/>
      <c r="CY80" s="111"/>
      <c r="CZ80" s="111"/>
      <c r="DA80" s="111"/>
      <c r="DB80" s="111"/>
      <c r="DC80" s="111"/>
      <c r="DD80" s="111"/>
      <c r="DE80" s="111"/>
      <c r="DF80" s="111"/>
      <c r="DG80" s="111"/>
      <c r="DH80" s="111"/>
      <c r="DI80" s="111"/>
      <c r="DJ80" s="111"/>
      <c r="DK80" s="111"/>
      <c r="DL80" s="111"/>
      <c r="DM80" s="111"/>
      <c r="DN80" s="111"/>
      <c r="DO80" s="111"/>
      <c r="DP80" s="111"/>
      <c r="DQ80" s="111"/>
      <c r="DR80" s="111"/>
      <c r="DS80" s="111"/>
      <c r="DT80" s="111"/>
      <c r="DU80" s="111"/>
      <c r="DV80" s="111"/>
      <c r="DW80" s="111"/>
      <c r="DX80" s="111"/>
      <c r="DY80" s="111"/>
      <c r="DZ80" s="111"/>
      <c r="EA80" s="111"/>
      <c r="EB80" s="111"/>
      <c r="EC80" s="111"/>
      <c r="ED80" s="111"/>
      <c r="EE80" s="111"/>
      <c r="EF80" s="111"/>
      <c r="EG80" s="111"/>
      <c r="EH80" s="111"/>
      <c r="EI80" s="111"/>
      <c r="EJ80" s="111"/>
      <c r="EK80" s="111"/>
      <c r="EL80" s="111"/>
      <c r="EM80" s="111"/>
      <c r="EN80" s="111"/>
      <c r="EO80" s="111"/>
      <c r="EP80" s="111"/>
      <c r="EQ80" s="111"/>
      <c r="ER80" s="111"/>
      <c r="ES80" s="111"/>
      <c r="ET80" s="111"/>
      <c r="EU80" s="111"/>
      <c r="EV80" s="111"/>
      <c r="EW80" s="111"/>
      <c r="EX80" s="111"/>
      <c r="EY80" s="111"/>
      <c r="EZ80" s="111"/>
      <c r="FA80" s="111"/>
      <c r="FB80" s="111"/>
      <c r="FC80" s="111"/>
      <c r="FD80" s="111"/>
      <c r="FE80" s="111"/>
      <c r="FF80" s="111"/>
      <c r="FG80" s="111"/>
      <c r="FH80" s="111"/>
      <c r="FI80" s="111"/>
      <c r="FJ80" s="111"/>
      <c r="FK80" s="111"/>
      <c r="FL80" s="111"/>
      <c r="FM80" s="111"/>
      <c r="FN80" s="111"/>
      <c r="FO80" s="111"/>
      <c r="FP80" s="111"/>
      <c r="FQ80" s="111"/>
      <c r="FR80" s="111"/>
      <c r="FS80" s="111"/>
      <c r="FT80" s="111"/>
      <c r="FU80" s="111"/>
      <c r="FV80" s="111"/>
      <c r="FW80" s="111"/>
      <c r="FX80" s="111"/>
      <c r="FY80" s="111"/>
      <c r="FZ80" s="111"/>
      <c r="GA80" s="111"/>
      <c r="GB80" s="111"/>
      <c r="GC80" s="111"/>
      <c r="GD80" s="111"/>
      <c r="GE80" s="111"/>
      <c r="GF80" s="111"/>
      <c r="GG80" s="111"/>
      <c r="GH80" s="111"/>
      <c r="GI80" s="111"/>
      <c r="GJ80" s="111"/>
    </row>
    <row r="81" spans="1:192" ht="50.15" customHeight="1" outlineLevel="1" x14ac:dyDescent="0.35">
      <c r="A81" s="160" t="s">
        <v>2</v>
      </c>
      <c r="B81" s="179" t="s">
        <v>333</v>
      </c>
      <c r="C81" s="156" t="s">
        <v>488</v>
      </c>
      <c r="D81" s="179" t="s">
        <v>22</v>
      </c>
      <c r="E81" s="156" t="s">
        <v>690</v>
      </c>
      <c r="F81" s="230"/>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111"/>
      <c r="CU81" s="111"/>
      <c r="CV81" s="111"/>
      <c r="CW81" s="111"/>
      <c r="CX81" s="111"/>
      <c r="CY81" s="111"/>
      <c r="CZ81" s="111"/>
      <c r="DA81" s="111"/>
      <c r="DB81" s="111"/>
      <c r="DC81" s="111"/>
      <c r="DD81" s="111"/>
      <c r="DE81" s="111"/>
      <c r="DF81" s="111"/>
      <c r="DG81" s="111"/>
      <c r="DH81" s="111"/>
      <c r="DI81" s="111"/>
      <c r="DJ81" s="111"/>
      <c r="DK81" s="111"/>
      <c r="DL81" s="111"/>
      <c r="DM81" s="111"/>
      <c r="DN81" s="111"/>
      <c r="DO81" s="111"/>
      <c r="DP81" s="111"/>
      <c r="DQ81" s="111"/>
      <c r="DR81" s="111"/>
      <c r="DS81" s="111"/>
      <c r="DT81" s="111"/>
      <c r="DU81" s="111"/>
      <c r="DV81" s="111"/>
      <c r="DW81" s="111"/>
      <c r="DX81" s="111"/>
      <c r="DY81" s="111"/>
      <c r="DZ81" s="111"/>
      <c r="EA81" s="111"/>
      <c r="EB81" s="111"/>
      <c r="EC81" s="111"/>
      <c r="ED81" s="111"/>
      <c r="EE81" s="111"/>
      <c r="EF81" s="111"/>
      <c r="EG81" s="111"/>
      <c r="EH81" s="111"/>
      <c r="EI81" s="111"/>
      <c r="EJ81" s="111"/>
      <c r="EK81" s="111"/>
      <c r="EL81" s="111"/>
      <c r="EM81" s="111"/>
      <c r="EN81" s="111"/>
      <c r="EO81" s="111"/>
      <c r="EP81" s="111"/>
      <c r="EQ81" s="111"/>
      <c r="ER81" s="111"/>
      <c r="ES81" s="111"/>
      <c r="ET81" s="111"/>
      <c r="EU81" s="111"/>
      <c r="EV81" s="111"/>
      <c r="EW81" s="111"/>
      <c r="EX81" s="111"/>
      <c r="EY81" s="111"/>
      <c r="EZ81" s="111"/>
      <c r="FA81" s="111"/>
      <c r="FB81" s="111"/>
      <c r="FC81" s="111"/>
      <c r="FD81" s="111"/>
      <c r="FE81" s="111"/>
      <c r="FF81" s="111"/>
      <c r="FG81" s="111"/>
      <c r="FH81" s="111"/>
      <c r="FI81" s="111"/>
      <c r="FJ81" s="111"/>
      <c r="FK81" s="111"/>
      <c r="FL81" s="111"/>
      <c r="FM81" s="111"/>
      <c r="FN81" s="111"/>
      <c r="FO81" s="111"/>
      <c r="FP81" s="111"/>
      <c r="FQ81" s="111"/>
      <c r="FR81" s="111"/>
      <c r="FS81" s="111"/>
      <c r="FT81" s="111"/>
      <c r="FU81" s="111"/>
      <c r="FV81" s="111"/>
      <c r="FW81" s="111"/>
      <c r="FX81" s="111"/>
      <c r="FY81" s="111"/>
      <c r="FZ81" s="111"/>
      <c r="GA81" s="111"/>
      <c r="GB81" s="111"/>
      <c r="GC81" s="111"/>
      <c r="GD81" s="111"/>
      <c r="GE81" s="111"/>
      <c r="GF81" s="111"/>
      <c r="GG81" s="111"/>
      <c r="GH81" s="111"/>
      <c r="GI81" s="111"/>
      <c r="GJ81" s="111"/>
    </row>
    <row r="82" spans="1:192" ht="50.15" customHeight="1" outlineLevel="1" x14ac:dyDescent="0.35">
      <c r="A82" s="160" t="s">
        <v>2</v>
      </c>
      <c r="B82" s="180" t="s">
        <v>334</v>
      </c>
      <c r="C82" s="154" t="s">
        <v>489</v>
      </c>
      <c r="D82" s="180" t="s">
        <v>22</v>
      </c>
      <c r="E82" s="158" t="s">
        <v>578</v>
      </c>
      <c r="F82" s="23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111"/>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111"/>
      <c r="CU82" s="111"/>
      <c r="CV82" s="111"/>
      <c r="CW82" s="111"/>
      <c r="CX82" s="111"/>
      <c r="CY82" s="111"/>
      <c r="CZ82" s="111"/>
      <c r="DA82" s="111"/>
      <c r="DB82" s="111"/>
      <c r="DC82" s="111"/>
      <c r="DD82" s="111"/>
      <c r="DE82" s="111"/>
      <c r="DF82" s="111"/>
      <c r="DG82" s="111"/>
      <c r="DH82" s="111"/>
      <c r="DI82" s="111"/>
      <c r="DJ82" s="111"/>
      <c r="DK82" s="111"/>
      <c r="DL82" s="111"/>
      <c r="DM82" s="111"/>
      <c r="DN82" s="111"/>
      <c r="DO82" s="111"/>
      <c r="DP82" s="111"/>
      <c r="DQ82" s="111"/>
      <c r="DR82" s="111"/>
      <c r="DS82" s="111"/>
      <c r="DT82" s="111"/>
      <c r="DU82" s="111"/>
      <c r="DV82" s="111"/>
      <c r="DW82" s="111"/>
      <c r="DX82" s="111"/>
      <c r="DY82" s="111"/>
      <c r="DZ82" s="111"/>
      <c r="EA82" s="111"/>
      <c r="EB82" s="111"/>
      <c r="EC82" s="111"/>
      <c r="ED82" s="111"/>
      <c r="EE82" s="111"/>
      <c r="EF82" s="111"/>
      <c r="EG82" s="111"/>
      <c r="EH82" s="111"/>
      <c r="EI82" s="111"/>
      <c r="EJ82" s="111"/>
      <c r="EK82" s="111"/>
      <c r="EL82" s="111"/>
      <c r="EM82" s="111"/>
      <c r="EN82" s="111"/>
      <c r="EO82" s="111"/>
      <c r="EP82" s="111"/>
      <c r="EQ82" s="111"/>
      <c r="ER82" s="111"/>
      <c r="ES82" s="111"/>
      <c r="ET82" s="111"/>
      <c r="EU82" s="111"/>
      <c r="EV82" s="111"/>
      <c r="EW82" s="111"/>
      <c r="EX82" s="111"/>
      <c r="EY82" s="111"/>
      <c r="EZ82" s="111"/>
      <c r="FA82" s="111"/>
      <c r="FB82" s="111"/>
      <c r="FC82" s="111"/>
      <c r="FD82" s="111"/>
      <c r="FE82" s="111"/>
      <c r="FF82" s="111"/>
      <c r="FG82" s="111"/>
      <c r="FH82" s="111"/>
      <c r="FI82" s="111"/>
      <c r="FJ82" s="111"/>
      <c r="FK82" s="111"/>
      <c r="FL82" s="111"/>
      <c r="FM82" s="111"/>
      <c r="FN82" s="111"/>
      <c r="FO82" s="111"/>
      <c r="FP82" s="111"/>
      <c r="FQ82" s="111"/>
      <c r="FR82" s="111"/>
      <c r="FS82" s="111"/>
      <c r="FT82" s="111"/>
      <c r="FU82" s="111"/>
      <c r="FV82" s="111"/>
      <c r="FW82" s="111"/>
      <c r="FX82" s="111"/>
      <c r="FY82" s="111"/>
      <c r="FZ82" s="111"/>
      <c r="GA82" s="111"/>
      <c r="GB82" s="111"/>
      <c r="GC82" s="111"/>
      <c r="GD82" s="111"/>
      <c r="GE82" s="111"/>
      <c r="GF82" s="111"/>
      <c r="GG82" s="111"/>
      <c r="GH82" s="111"/>
      <c r="GI82" s="111"/>
      <c r="GJ82" s="111"/>
    </row>
    <row r="83" spans="1:192" ht="50.15" customHeight="1" outlineLevel="1" x14ac:dyDescent="0.35">
      <c r="A83" s="160" t="s">
        <v>2</v>
      </c>
      <c r="B83" s="179" t="s">
        <v>335</v>
      </c>
      <c r="C83" s="156" t="s">
        <v>516</v>
      </c>
      <c r="D83" s="179" t="s">
        <v>23</v>
      </c>
      <c r="E83" s="159" t="s">
        <v>579</v>
      </c>
      <c r="F83" s="230"/>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111"/>
      <c r="CU83" s="111"/>
      <c r="CV83" s="111"/>
      <c r="CW83" s="111"/>
      <c r="CX83" s="111"/>
      <c r="CY83" s="111"/>
      <c r="CZ83" s="111"/>
      <c r="DA83" s="111"/>
      <c r="DB83" s="111"/>
      <c r="DC83" s="111"/>
      <c r="DD83" s="111"/>
      <c r="DE83" s="111"/>
      <c r="DF83" s="111"/>
      <c r="DG83" s="111"/>
      <c r="DH83" s="111"/>
      <c r="DI83" s="111"/>
      <c r="DJ83" s="111"/>
      <c r="DK83" s="111"/>
      <c r="DL83" s="111"/>
      <c r="DM83" s="111"/>
      <c r="DN83" s="111"/>
      <c r="DO83" s="111"/>
      <c r="DP83" s="111"/>
      <c r="DQ83" s="111"/>
      <c r="DR83" s="111"/>
      <c r="DS83" s="111"/>
      <c r="DT83" s="111"/>
      <c r="DU83" s="111"/>
      <c r="DV83" s="111"/>
      <c r="DW83" s="111"/>
      <c r="DX83" s="111"/>
      <c r="DY83" s="111"/>
      <c r="DZ83" s="111"/>
      <c r="EA83" s="111"/>
      <c r="EB83" s="111"/>
      <c r="EC83" s="111"/>
      <c r="ED83" s="111"/>
      <c r="EE83" s="111"/>
      <c r="EF83" s="111"/>
      <c r="EG83" s="111"/>
      <c r="EH83" s="111"/>
      <c r="EI83" s="111"/>
      <c r="EJ83" s="111"/>
      <c r="EK83" s="111"/>
      <c r="EL83" s="111"/>
      <c r="EM83" s="111"/>
      <c r="EN83" s="111"/>
      <c r="EO83" s="111"/>
      <c r="EP83" s="111"/>
      <c r="EQ83" s="111"/>
      <c r="ER83" s="111"/>
      <c r="ES83" s="111"/>
      <c r="ET83" s="111"/>
      <c r="EU83" s="111"/>
      <c r="EV83" s="111"/>
      <c r="EW83" s="111"/>
      <c r="EX83" s="111"/>
      <c r="EY83" s="111"/>
      <c r="EZ83" s="111"/>
      <c r="FA83" s="111"/>
      <c r="FB83" s="111"/>
      <c r="FC83" s="111"/>
      <c r="FD83" s="111"/>
      <c r="FE83" s="111"/>
      <c r="FF83" s="111"/>
      <c r="FG83" s="111"/>
      <c r="FH83" s="111"/>
      <c r="FI83" s="111"/>
      <c r="FJ83" s="111"/>
      <c r="FK83" s="111"/>
      <c r="FL83" s="111"/>
      <c r="FM83" s="111"/>
      <c r="FN83" s="111"/>
      <c r="FO83" s="111"/>
      <c r="FP83" s="111"/>
      <c r="FQ83" s="111"/>
      <c r="FR83" s="111"/>
      <c r="FS83" s="111"/>
      <c r="FT83" s="111"/>
      <c r="FU83" s="111"/>
      <c r="FV83" s="111"/>
      <c r="FW83" s="111"/>
      <c r="FX83" s="111"/>
      <c r="FY83" s="111"/>
      <c r="FZ83" s="111"/>
      <c r="GA83" s="111"/>
      <c r="GB83" s="111"/>
      <c r="GC83" s="111"/>
      <c r="GD83" s="111"/>
      <c r="GE83" s="111"/>
      <c r="GF83" s="111"/>
      <c r="GG83" s="111"/>
      <c r="GH83" s="111"/>
      <c r="GI83" s="111"/>
      <c r="GJ83" s="111"/>
    </row>
    <row r="84" spans="1:192" ht="50.15" customHeight="1" outlineLevel="1" x14ac:dyDescent="0.35">
      <c r="A84" s="160" t="s">
        <v>2</v>
      </c>
      <c r="B84" s="180" t="s">
        <v>336</v>
      </c>
      <c r="C84" s="154" t="s">
        <v>426</v>
      </c>
      <c r="D84" s="180" t="s">
        <v>23</v>
      </c>
      <c r="E84" s="158" t="s">
        <v>691</v>
      </c>
      <c r="F84" s="23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111"/>
      <c r="CU84" s="111"/>
      <c r="CV84" s="111"/>
      <c r="CW84" s="111"/>
      <c r="CX84" s="111"/>
      <c r="CY84" s="111"/>
      <c r="CZ84" s="111"/>
      <c r="DA84" s="111"/>
      <c r="DB84" s="111"/>
      <c r="DC84" s="111"/>
      <c r="DD84" s="111"/>
      <c r="DE84" s="111"/>
      <c r="DF84" s="111"/>
      <c r="DG84" s="111"/>
      <c r="DH84" s="111"/>
      <c r="DI84" s="111"/>
      <c r="DJ84" s="111"/>
      <c r="DK84" s="111"/>
      <c r="DL84" s="111"/>
      <c r="DM84" s="111"/>
      <c r="DN84" s="111"/>
      <c r="DO84" s="111"/>
      <c r="DP84" s="111"/>
      <c r="DQ84" s="111"/>
      <c r="DR84" s="111"/>
      <c r="DS84" s="111"/>
      <c r="DT84" s="111"/>
      <c r="DU84" s="111"/>
      <c r="DV84" s="111"/>
      <c r="DW84" s="111"/>
      <c r="DX84" s="111"/>
      <c r="DY84" s="111"/>
      <c r="DZ84" s="111"/>
      <c r="EA84" s="111"/>
      <c r="EB84" s="111"/>
      <c r="EC84" s="111"/>
      <c r="ED84" s="111"/>
      <c r="EE84" s="111"/>
      <c r="EF84" s="111"/>
      <c r="EG84" s="111"/>
      <c r="EH84" s="111"/>
      <c r="EI84" s="111"/>
      <c r="EJ84" s="111"/>
      <c r="EK84" s="111"/>
      <c r="EL84" s="111"/>
      <c r="EM84" s="111"/>
      <c r="EN84" s="111"/>
      <c r="EO84" s="111"/>
      <c r="EP84" s="111"/>
      <c r="EQ84" s="111"/>
      <c r="ER84" s="111"/>
      <c r="ES84" s="111"/>
      <c r="ET84" s="111"/>
      <c r="EU84" s="111"/>
      <c r="EV84" s="111"/>
      <c r="EW84" s="111"/>
      <c r="EX84" s="111"/>
      <c r="EY84" s="111"/>
      <c r="EZ84" s="111"/>
      <c r="FA84" s="111"/>
      <c r="FB84" s="111"/>
      <c r="FC84" s="111"/>
      <c r="FD84" s="111"/>
      <c r="FE84" s="111"/>
      <c r="FF84" s="111"/>
      <c r="FG84" s="111"/>
      <c r="FH84" s="111"/>
      <c r="FI84" s="111"/>
      <c r="FJ84" s="111"/>
      <c r="FK84" s="111"/>
      <c r="FL84" s="111"/>
      <c r="FM84" s="111"/>
      <c r="FN84" s="111"/>
      <c r="FO84" s="111"/>
      <c r="FP84" s="111"/>
      <c r="FQ84" s="111"/>
      <c r="FR84" s="111"/>
      <c r="FS84" s="111"/>
      <c r="FT84" s="111"/>
      <c r="FU84" s="111"/>
      <c r="FV84" s="111"/>
      <c r="FW84" s="111"/>
      <c r="FX84" s="111"/>
      <c r="FY84" s="111"/>
      <c r="FZ84" s="111"/>
      <c r="GA84" s="111"/>
      <c r="GB84" s="111"/>
      <c r="GC84" s="111"/>
      <c r="GD84" s="111"/>
      <c r="GE84" s="111"/>
      <c r="GF84" s="111"/>
      <c r="GG84" s="111"/>
      <c r="GH84" s="111"/>
      <c r="GI84" s="111"/>
      <c r="GJ84" s="111"/>
    </row>
    <row r="85" spans="1:192" ht="50.15" customHeight="1" outlineLevel="1" x14ac:dyDescent="0.35">
      <c r="A85" s="160" t="s">
        <v>2</v>
      </c>
      <c r="B85" s="179" t="s">
        <v>337</v>
      </c>
      <c r="C85" s="156" t="s">
        <v>490</v>
      </c>
      <c r="D85" s="179" t="s">
        <v>22</v>
      </c>
      <c r="E85" s="159" t="s">
        <v>580</v>
      </c>
      <c r="F85" s="230"/>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111"/>
      <c r="CU85" s="111"/>
      <c r="CV85" s="111"/>
      <c r="CW85" s="111"/>
      <c r="CX85" s="111"/>
      <c r="CY85" s="111"/>
      <c r="CZ85" s="111"/>
      <c r="DA85" s="111"/>
      <c r="DB85" s="111"/>
      <c r="DC85" s="111"/>
      <c r="DD85" s="111"/>
      <c r="DE85" s="111"/>
      <c r="DF85" s="111"/>
      <c r="DG85" s="111"/>
      <c r="DH85" s="111"/>
      <c r="DI85" s="111"/>
      <c r="DJ85" s="111"/>
      <c r="DK85" s="111"/>
      <c r="DL85" s="111"/>
      <c r="DM85" s="111"/>
      <c r="DN85" s="111"/>
      <c r="DO85" s="111"/>
      <c r="DP85" s="111"/>
      <c r="DQ85" s="111"/>
      <c r="DR85" s="111"/>
      <c r="DS85" s="111"/>
      <c r="DT85" s="111"/>
      <c r="DU85" s="111"/>
      <c r="DV85" s="111"/>
      <c r="DW85" s="111"/>
      <c r="DX85" s="111"/>
      <c r="DY85" s="111"/>
      <c r="DZ85" s="111"/>
      <c r="EA85" s="111"/>
      <c r="EB85" s="111"/>
      <c r="EC85" s="111"/>
      <c r="ED85" s="111"/>
      <c r="EE85" s="111"/>
      <c r="EF85" s="111"/>
      <c r="EG85" s="111"/>
      <c r="EH85" s="111"/>
      <c r="EI85" s="111"/>
      <c r="EJ85" s="111"/>
      <c r="EK85" s="111"/>
      <c r="EL85" s="111"/>
      <c r="EM85" s="111"/>
      <c r="EN85" s="111"/>
      <c r="EO85" s="111"/>
      <c r="EP85" s="111"/>
      <c r="EQ85" s="111"/>
      <c r="ER85" s="111"/>
      <c r="ES85" s="111"/>
      <c r="ET85" s="111"/>
      <c r="EU85" s="111"/>
      <c r="EV85" s="111"/>
      <c r="EW85" s="111"/>
      <c r="EX85" s="111"/>
      <c r="EY85" s="111"/>
      <c r="EZ85" s="111"/>
      <c r="FA85" s="111"/>
      <c r="FB85" s="111"/>
      <c r="FC85" s="111"/>
      <c r="FD85" s="111"/>
      <c r="FE85" s="111"/>
      <c r="FF85" s="111"/>
      <c r="FG85" s="111"/>
      <c r="FH85" s="111"/>
      <c r="FI85" s="111"/>
      <c r="FJ85" s="111"/>
      <c r="FK85" s="111"/>
      <c r="FL85" s="111"/>
      <c r="FM85" s="111"/>
      <c r="FN85" s="111"/>
      <c r="FO85" s="111"/>
      <c r="FP85" s="111"/>
      <c r="FQ85" s="111"/>
      <c r="FR85" s="111"/>
      <c r="FS85" s="111"/>
      <c r="FT85" s="111"/>
      <c r="FU85" s="111"/>
      <c r="FV85" s="111"/>
      <c r="FW85" s="111"/>
      <c r="FX85" s="111"/>
      <c r="FY85" s="111"/>
      <c r="FZ85" s="111"/>
      <c r="GA85" s="111"/>
      <c r="GB85" s="111"/>
      <c r="GC85" s="111"/>
      <c r="GD85" s="111"/>
      <c r="GE85" s="111"/>
      <c r="GF85" s="111"/>
      <c r="GG85" s="111"/>
      <c r="GH85" s="111"/>
      <c r="GI85" s="111"/>
      <c r="GJ85" s="111"/>
    </row>
    <row r="86" spans="1:192" ht="50.15" customHeight="1" outlineLevel="1" x14ac:dyDescent="0.35">
      <c r="A86" s="160" t="s">
        <v>2</v>
      </c>
      <c r="B86" s="180" t="s">
        <v>338</v>
      </c>
      <c r="C86" s="284" t="s">
        <v>675</v>
      </c>
      <c r="D86" s="212" t="s">
        <v>22</v>
      </c>
      <c r="E86" s="215" t="s">
        <v>581</v>
      </c>
      <c r="F86" s="228"/>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111"/>
      <c r="CU86" s="111"/>
      <c r="CV86" s="111"/>
      <c r="CW86" s="111"/>
      <c r="CX86" s="111"/>
      <c r="CY86" s="111"/>
      <c r="CZ86" s="111"/>
      <c r="DA86" s="111"/>
      <c r="DB86" s="111"/>
      <c r="DC86" s="111"/>
      <c r="DD86" s="111"/>
      <c r="DE86" s="111"/>
      <c r="DF86" s="111"/>
      <c r="DG86" s="111"/>
      <c r="DH86" s="111"/>
      <c r="DI86" s="111"/>
      <c r="DJ86" s="111"/>
      <c r="DK86" s="111"/>
      <c r="DL86" s="111"/>
      <c r="DM86" s="111"/>
      <c r="DN86" s="111"/>
      <c r="DO86" s="111"/>
      <c r="DP86" s="111"/>
      <c r="DQ86" s="111"/>
      <c r="DR86" s="111"/>
      <c r="DS86" s="111"/>
      <c r="DT86" s="111"/>
      <c r="DU86" s="111"/>
      <c r="DV86" s="111"/>
      <c r="DW86" s="111"/>
      <c r="DX86" s="111"/>
      <c r="DY86" s="111"/>
      <c r="DZ86" s="111"/>
      <c r="EA86" s="111"/>
      <c r="EB86" s="111"/>
      <c r="EC86" s="111"/>
      <c r="ED86" s="111"/>
      <c r="EE86" s="111"/>
      <c r="EF86" s="111"/>
      <c r="EG86" s="111"/>
      <c r="EH86" s="111"/>
      <c r="EI86" s="111"/>
      <c r="EJ86" s="111"/>
      <c r="EK86" s="111"/>
      <c r="EL86" s="111"/>
      <c r="EM86" s="111"/>
      <c r="EN86" s="111"/>
      <c r="EO86" s="111"/>
      <c r="EP86" s="111"/>
      <c r="EQ86" s="111"/>
      <c r="ER86" s="111"/>
      <c r="ES86" s="111"/>
      <c r="ET86" s="111"/>
      <c r="EU86" s="111"/>
      <c r="EV86" s="111"/>
      <c r="EW86" s="111"/>
      <c r="EX86" s="111"/>
      <c r="EY86" s="111"/>
      <c r="EZ86" s="111"/>
      <c r="FA86" s="111"/>
      <c r="FB86" s="111"/>
      <c r="FC86" s="111"/>
      <c r="FD86" s="111"/>
      <c r="FE86" s="111"/>
      <c r="FF86" s="111"/>
      <c r="FG86" s="111"/>
      <c r="FH86" s="111"/>
      <c r="FI86" s="111"/>
      <c r="FJ86" s="111"/>
      <c r="FK86" s="111"/>
      <c r="FL86" s="111"/>
      <c r="FM86" s="111"/>
      <c r="FN86" s="111"/>
      <c r="FO86" s="111"/>
      <c r="FP86" s="111"/>
      <c r="FQ86" s="111"/>
      <c r="FR86" s="111"/>
      <c r="FS86" s="111"/>
      <c r="FT86" s="111"/>
      <c r="FU86" s="111"/>
      <c r="FV86" s="111"/>
      <c r="FW86" s="111"/>
      <c r="FX86" s="111"/>
      <c r="FY86" s="111"/>
      <c r="FZ86" s="111"/>
      <c r="GA86" s="111"/>
      <c r="GB86" s="111"/>
      <c r="GC86" s="111"/>
      <c r="GD86" s="111"/>
      <c r="GE86" s="111"/>
      <c r="GF86" s="111"/>
      <c r="GG86" s="111"/>
      <c r="GH86" s="111"/>
      <c r="GI86" s="111"/>
      <c r="GJ86" s="111"/>
    </row>
    <row r="87" spans="1:192" ht="50.15" customHeight="1" outlineLevel="1" x14ac:dyDescent="0.35">
      <c r="A87" s="160" t="s">
        <v>2</v>
      </c>
      <c r="B87" s="179" t="s">
        <v>339</v>
      </c>
      <c r="C87" s="156" t="s">
        <v>427</v>
      </c>
      <c r="D87" s="179" t="s">
        <v>22</v>
      </c>
      <c r="E87" s="159" t="s">
        <v>582</v>
      </c>
      <c r="F87" s="230"/>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c r="BX87" s="111"/>
      <c r="BY87" s="111"/>
      <c r="BZ87" s="111"/>
      <c r="CA87" s="111"/>
      <c r="CB87" s="111"/>
      <c r="CC87" s="111"/>
      <c r="CD87" s="111"/>
      <c r="CE87" s="111"/>
      <c r="CF87" s="111"/>
      <c r="CG87" s="111"/>
      <c r="CH87" s="111"/>
      <c r="CI87" s="111"/>
      <c r="CJ87" s="111"/>
      <c r="CK87" s="111"/>
      <c r="CL87" s="111"/>
      <c r="CM87" s="111"/>
      <c r="CN87" s="111"/>
      <c r="CO87" s="111"/>
      <c r="CP87" s="111"/>
      <c r="CQ87" s="111"/>
      <c r="CR87" s="111"/>
      <c r="CS87" s="111"/>
      <c r="CT87" s="111"/>
      <c r="CU87" s="111"/>
      <c r="CV87" s="111"/>
      <c r="CW87" s="111"/>
      <c r="CX87" s="111"/>
      <c r="CY87" s="111"/>
      <c r="CZ87" s="111"/>
      <c r="DA87" s="111"/>
      <c r="DB87" s="111"/>
      <c r="DC87" s="111"/>
      <c r="DD87" s="111"/>
      <c r="DE87" s="111"/>
      <c r="DF87" s="111"/>
      <c r="DG87" s="111"/>
      <c r="DH87" s="111"/>
      <c r="DI87" s="111"/>
      <c r="DJ87" s="111"/>
      <c r="DK87" s="111"/>
      <c r="DL87" s="111"/>
      <c r="DM87" s="111"/>
      <c r="DN87" s="111"/>
      <c r="DO87" s="111"/>
      <c r="DP87" s="111"/>
      <c r="DQ87" s="111"/>
      <c r="DR87" s="111"/>
      <c r="DS87" s="111"/>
      <c r="DT87" s="111"/>
      <c r="DU87" s="111"/>
      <c r="DV87" s="111"/>
      <c r="DW87" s="111"/>
      <c r="DX87" s="111"/>
      <c r="DY87" s="111"/>
      <c r="DZ87" s="111"/>
      <c r="EA87" s="111"/>
      <c r="EB87" s="111"/>
      <c r="EC87" s="111"/>
      <c r="ED87" s="111"/>
      <c r="EE87" s="111"/>
      <c r="EF87" s="111"/>
      <c r="EG87" s="111"/>
      <c r="EH87" s="111"/>
      <c r="EI87" s="111"/>
      <c r="EJ87" s="111"/>
      <c r="EK87" s="111"/>
      <c r="EL87" s="111"/>
      <c r="EM87" s="111"/>
      <c r="EN87" s="111"/>
      <c r="EO87" s="111"/>
      <c r="EP87" s="111"/>
      <c r="EQ87" s="111"/>
      <c r="ER87" s="111"/>
      <c r="ES87" s="111"/>
      <c r="ET87" s="111"/>
      <c r="EU87" s="111"/>
      <c r="EV87" s="111"/>
      <c r="EW87" s="111"/>
      <c r="EX87" s="111"/>
      <c r="EY87" s="111"/>
      <c r="EZ87" s="111"/>
      <c r="FA87" s="111"/>
      <c r="FB87" s="111"/>
      <c r="FC87" s="111"/>
      <c r="FD87" s="111"/>
      <c r="FE87" s="111"/>
      <c r="FF87" s="111"/>
      <c r="FG87" s="111"/>
      <c r="FH87" s="111"/>
      <c r="FI87" s="111"/>
      <c r="FJ87" s="111"/>
      <c r="FK87" s="111"/>
      <c r="FL87" s="111"/>
      <c r="FM87" s="111"/>
      <c r="FN87" s="111"/>
      <c r="FO87" s="111"/>
      <c r="FP87" s="111"/>
      <c r="FQ87" s="111"/>
      <c r="FR87" s="111"/>
      <c r="FS87" s="111"/>
      <c r="FT87" s="111"/>
      <c r="FU87" s="111"/>
      <c r="FV87" s="111"/>
      <c r="FW87" s="111"/>
      <c r="FX87" s="111"/>
      <c r="FY87" s="111"/>
      <c r="FZ87" s="111"/>
      <c r="GA87" s="111"/>
      <c r="GB87" s="111"/>
      <c r="GC87" s="111"/>
      <c r="GD87" s="111"/>
      <c r="GE87" s="111"/>
      <c r="GF87" s="111"/>
      <c r="GG87" s="111"/>
      <c r="GH87" s="111"/>
      <c r="GI87" s="111"/>
      <c r="GJ87" s="111"/>
    </row>
    <row r="88" spans="1:192" ht="50.15" customHeight="1" outlineLevel="1" x14ac:dyDescent="0.35">
      <c r="A88" s="160" t="s">
        <v>2</v>
      </c>
      <c r="B88" s="180" t="s">
        <v>340</v>
      </c>
      <c r="C88" s="217" t="s">
        <v>491</v>
      </c>
      <c r="D88" s="212" t="s">
        <v>22</v>
      </c>
      <c r="E88" s="215" t="s">
        <v>583</v>
      </c>
      <c r="F88" s="228"/>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c r="CD88" s="111"/>
      <c r="CE88" s="111"/>
      <c r="CF88" s="111"/>
      <c r="CG88" s="111"/>
      <c r="CH88" s="111"/>
      <c r="CI88" s="111"/>
      <c r="CJ88" s="111"/>
      <c r="CK88" s="111"/>
      <c r="CL88" s="111"/>
      <c r="CM88" s="111"/>
      <c r="CN88" s="111"/>
      <c r="CO88" s="111"/>
      <c r="CP88" s="111"/>
      <c r="CQ88" s="111"/>
      <c r="CR88" s="111"/>
      <c r="CS88" s="111"/>
      <c r="CT88" s="111"/>
      <c r="CU88" s="111"/>
      <c r="CV88" s="111"/>
      <c r="CW88" s="111"/>
      <c r="CX88" s="111"/>
      <c r="CY88" s="111"/>
      <c r="CZ88" s="111"/>
      <c r="DA88" s="111"/>
      <c r="DB88" s="111"/>
      <c r="DC88" s="111"/>
      <c r="DD88" s="111"/>
      <c r="DE88" s="111"/>
      <c r="DF88" s="111"/>
      <c r="DG88" s="111"/>
      <c r="DH88" s="111"/>
      <c r="DI88" s="111"/>
      <c r="DJ88" s="111"/>
      <c r="DK88" s="111"/>
      <c r="DL88" s="111"/>
      <c r="DM88" s="111"/>
      <c r="DN88" s="111"/>
      <c r="DO88" s="111"/>
      <c r="DP88" s="111"/>
      <c r="DQ88" s="111"/>
      <c r="DR88" s="111"/>
      <c r="DS88" s="111"/>
      <c r="DT88" s="111"/>
      <c r="DU88" s="111"/>
      <c r="DV88" s="111"/>
      <c r="DW88" s="111"/>
      <c r="DX88" s="111"/>
      <c r="DY88" s="111"/>
      <c r="DZ88" s="111"/>
      <c r="EA88" s="111"/>
      <c r="EB88" s="111"/>
      <c r="EC88" s="111"/>
      <c r="ED88" s="111"/>
      <c r="EE88" s="111"/>
      <c r="EF88" s="111"/>
      <c r="EG88" s="111"/>
      <c r="EH88" s="111"/>
      <c r="EI88" s="111"/>
      <c r="EJ88" s="111"/>
      <c r="EK88" s="111"/>
      <c r="EL88" s="111"/>
      <c r="EM88" s="111"/>
      <c r="EN88" s="111"/>
      <c r="EO88" s="111"/>
      <c r="EP88" s="111"/>
      <c r="EQ88" s="111"/>
      <c r="ER88" s="111"/>
      <c r="ES88" s="111"/>
      <c r="ET88" s="111"/>
      <c r="EU88" s="111"/>
      <c r="EV88" s="111"/>
      <c r="EW88" s="111"/>
      <c r="EX88" s="111"/>
      <c r="EY88" s="111"/>
      <c r="EZ88" s="111"/>
      <c r="FA88" s="111"/>
      <c r="FB88" s="111"/>
      <c r="FC88" s="111"/>
      <c r="FD88" s="111"/>
      <c r="FE88" s="111"/>
      <c r="FF88" s="111"/>
      <c r="FG88" s="111"/>
      <c r="FH88" s="111"/>
      <c r="FI88" s="111"/>
      <c r="FJ88" s="111"/>
      <c r="FK88" s="111"/>
      <c r="FL88" s="111"/>
      <c r="FM88" s="111"/>
      <c r="FN88" s="111"/>
      <c r="FO88" s="111"/>
      <c r="FP88" s="111"/>
      <c r="FQ88" s="111"/>
      <c r="FR88" s="111"/>
      <c r="FS88" s="111"/>
      <c r="FT88" s="111"/>
      <c r="FU88" s="111"/>
      <c r="FV88" s="111"/>
      <c r="FW88" s="111"/>
      <c r="FX88" s="111"/>
      <c r="FY88" s="111"/>
      <c r="FZ88" s="111"/>
      <c r="GA88" s="111"/>
      <c r="GB88" s="111"/>
      <c r="GC88" s="111"/>
      <c r="GD88" s="111"/>
      <c r="GE88" s="111"/>
      <c r="GF88" s="111"/>
      <c r="GG88" s="111"/>
      <c r="GH88" s="111"/>
      <c r="GI88" s="111"/>
      <c r="GJ88" s="111"/>
    </row>
    <row r="89" spans="1:192" ht="50.15" customHeight="1" outlineLevel="1" x14ac:dyDescent="0.35">
      <c r="A89" s="160" t="s">
        <v>2</v>
      </c>
      <c r="B89" s="179" t="s">
        <v>341</v>
      </c>
      <c r="C89" s="156" t="s">
        <v>492</v>
      </c>
      <c r="D89" s="179" t="s">
        <v>22</v>
      </c>
      <c r="E89" s="156" t="s">
        <v>584</v>
      </c>
      <c r="F89" s="230"/>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c r="CB89" s="111"/>
      <c r="CC89" s="111"/>
      <c r="CD89" s="111"/>
      <c r="CE89" s="111"/>
      <c r="CF89" s="111"/>
      <c r="CG89" s="111"/>
      <c r="CH89" s="111"/>
      <c r="CI89" s="111"/>
      <c r="CJ89" s="111"/>
      <c r="CK89" s="111"/>
      <c r="CL89" s="111"/>
      <c r="CM89" s="111"/>
      <c r="CN89" s="111"/>
      <c r="CO89" s="111"/>
      <c r="CP89" s="111"/>
      <c r="CQ89" s="111"/>
      <c r="CR89" s="111"/>
      <c r="CS89" s="111"/>
      <c r="CT89" s="111"/>
      <c r="CU89" s="111"/>
      <c r="CV89" s="111"/>
      <c r="CW89" s="111"/>
      <c r="CX89" s="111"/>
      <c r="CY89" s="111"/>
      <c r="CZ89" s="111"/>
      <c r="DA89" s="111"/>
      <c r="DB89" s="111"/>
      <c r="DC89" s="111"/>
      <c r="DD89" s="111"/>
      <c r="DE89" s="111"/>
      <c r="DF89" s="111"/>
      <c r="DG89" s="111"/>
      <c r="DH89" s="111"/>
      <c r="DI89" s="111"/>
      <c r="DJ89" s="111"/>
      <c r="DK89" s="111"/>
      <c r="DL89" s="111"/>
      <c r="DM89" s="111"/>
      <c r="DN89" s="111"/>
      <c r="DO89" s="111"/>
      <c r="DP89" s="111"/>
      <c r="DQ89" s="111"/>
      <c r="DR89" s="111"/>
      <c r="DS89" s="111"/>
      <c r="DT89" s="111"/>
      <c r="DU89" s="111"/>
      <c r="DV89" s="111"/>
      <c r="DW89" s="111"/>
      <c r="DX89" s="111"/>
      <c r="DY89" s="111"/>
      <c r="DZ89" s="111"/>
      <c r="EA89" s="111"/>
      <c r="EB89" s="111"/>
      <c r="EC89" s="111"/>
      <c r="ED89" s="111"/>
      <c r="EE89" s="111"/>
      <c r="EF89" s="111"/>
      <c r="EG89" s="111"/>
      <c r="EH89" s="111"/>
      <c r="EI89" s="111"/>
      <c r="EJ89" s="111"/>
      <c r="EK89" s="111"/>
      <c r="EL89" s="111"/>
      <c r="EM89" s="111"/>
      <c r="EN89" s="111"/>
      <c r="EO89" s="111"/>
      <c r="EP89" s="111"/>
      <c r="EQ89" s="111"/>
      <c r="ER89" s="111"/>
      <c r="ES89" s="111"/>
      <c r="ET89" s="111"/>
      <c r="EU89" s="111"/>
      <c r="EV89" s="111"/>
      <c r="EW89" s="111"/>
      <c r="EX89" s="111"/>
      <c r="EY89" s="111"/>
      <c r="EZ89" s="111"/>
      <c r="FA89" s="111"/>
      <c r="FB89" s="111"/>
      <c r="FC89" s="111"/>
      <c r="FD89" s="111"/>
      <c r="FE89" s="111"/>
      <c r="FF89" s="111"/>
      <c r="FG89" s="111"/>
      <c r="FH89" s="111"/>
      <c r="FI89" s="111"/>
      <c r="FJ89" s="111"/>
      <c r="FK89" s="111"/>
      <c r="FL89" s="111"/>
      <c r="FM89" s="111"/>
      <c r="FN89" s="111"/>
      <c r="FO89" s="111"/>
      <c r="FP89" s="111"/>
      <c r="FQ89" s="111"/>
      <c r="FR89" s="111"/>
      <c r="FS89" s="111"/>
      <c r="FT89" s="111"/>
      <c r="FU89" s="111"/>
      <c r="FV89" s="111"/>
      <c r="FW89" s="111"/>
      <c r="FX89" s="111"/>
      <c r="FY89" s="111"/>
      <c r="FZ89" s="111"/>
      <c r="GA89" s="111"/>
      <c r="GB89" s="111"/>
      <c r="GC89" s="111"/>
      <c r="GD89" s="111"/>
      <c r="GE89" s="111"/>
      <c r="GF89" s="111"/>
      <c r="GG89" s="111"/>
      <c r="GH89" s="111"/>
      <c r="GI89" s="111"/>
      <c r="GJ89" s="111"/>
    </row>
    <row r="90" spans="1:192" ht="50.15" customHeight="1" x14ac:dyDescent="0.35">
      <c r="A90" s="160" t="s">
        <v>2</v>
      </c>
      <c r="B90" s="180" t="s">
        <v>342</v>
      </c>
      <c r="C90" s="154" t="s">
        <v>493</v>
      </c>
      <c r="D90" s="180" t="s">
        <v>22</v>
      </c>
      <c r="E90" s="154" t="s">
        <v>692</v>
      </c>
      <c r="F90" s="23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c r="CB90" s="111"/>
      <c r="CC90" s="111"/>
      <c r="CD90" s="111"/>
      <c r="CE90" s="111"/>
      <c r="CF90" s="111"/>
      <c r="CG90" s="111"/>
      <c r="CH90" s="111"/>
      <c r="CI90" s="111"/>
      <c r="CJ90" s="111"/>
      <c r="CK90" s="111"/>
      <c r="CL90" s="111"/>
      <c r="CM90" s="111"/>
      <c r="CN90" s="111"/>
      <c r="CO90" s="111"/>
      <c r="CP90" s="111"/>
      <c r="CQ90" s="111"/>
      <c r="CR90" s="111"/>
      <c r="CS90" s="111"/>
      <c r="CT90" s="111"/>
      <c r="CU90" s="111"/>
      <c r="CV90" s="111"/>
      <c r="CW90" s="111"/>
      <c r="CX90" s="111"/>
      <c r="CY90" s="111"/>
      <c r="CZ90" s="111"/>
      <c r="DA90" s="111"/>
      <c r="DB90" s="111"/>
      <c r="DC90" s="111"/>
      <c r="DD90" s="111"/>
      <c r="DE90" s="111"/>
      <c r="DF90" s="111"/>
      <c r="DG90" s="111"/>
      <c r="DH90" s="111"/>
      <c r="DI90" s="111"/>
      <c r="DJ90" s="111"/>
      <c r="DK90" s="111"/>
      <c r="DL90" s="111"/>
      <c r="DM90" s="111"/>
      <c r="DN90" s="111"/>
      <c r="DO90" s="111"/>
      <c r="DP90" s="111"/>
      <c r="DQ90" s="111"/>
      <c r="DR90" s="111"/>
      <c r="DS90" s="111"/>
      <c r="DT90" s="111"/>
      <c r="DU90" s="111"/>
      <c r="DV90" s="111"/>
      <c r="DW90" s="111"/>
      <c r="DX90" s="111"/>
      <c r="DY90" s="111"/>
      <c r="DZ90" s="111"/>
      <c r="EA90" s="111"/>
      <c r="EB90" s="111"/>
      <c r="EC90" s="111"/>
      <c r="ED90" s="111"/>
      <c r="EE90" s="111"/>
      <c r="EF90" s="111"/>
      <c r="EG90" s="111"/>
      <c r="EH90" s="111"/>
      <c r="EI90" s="111"/>
      <c r="EJ90" s="111"/>
      <c r="EK90" s="111"/>
      <c r="EL90" s="111"/>
      <c r="EM90" s="111"/>
      <c r="EN90" s="111"/>
      <c r="EO90" s="111"/>
      <c r="EP90" s="111"/>
      <c r="EQ90" s="111"/>
      <c r="ER90" s="111"/>
      <c r="ES90" s="111"/>
      <c r="ET90" s="111"/>
      <c r="EU90" s="111"/>
      <c r="EV90" s="111"/>
      <c r="EW90" s="111"/>
      <c r="EX90" s="111"/>
      <c r="EY90" s="111"/>
      <c r="EZ90" s="111"/>
      <c r="FA90" s="111"/>
      <c r="FB90" s="111"/>
      <c r="FC90" s="111"/>
      <c r="FD90" s="111"/>
      <c r="FE90" s="111"/>
      <c r="FF90" s="111"/>
      <c r="FG90" s="111"/>
      <c r="FH90" s="111"/>
      <c r="FI90" s="111"/>
      <c r="FJ90" s="111"/>
      <c r="FK90" s="111"/>
      <c r="FL90" s="111"/>
      <c r="FM90" s="111"/>
      <c r="FN90" s="111"/>
      <c r="FO90" s="111"/>
      <c r="FP90" s="111"/>
      <c r="FQ90" s="111"/>
      <c r="FR90" s="111"/>
      <c r="FS90" s="111"/>
      <c r="FT90" s="111"/>
      <c r="FU90" s="111"/>
      <c r="FV90" s="111"/>
      <c r="FW90" s="111"/>
      <c r="FX90" s="111"/>
      <c r="FY90" s="111"/>
      <c r="FZ90" s="111"/>
      <c r="GA90" s="111"/>
      <c r="GB90" s="111"/>
      <c r="GC90" s="111"/>
      <c r="GD90" s="111"/>
      <c r="GE90" s="111"/>
      <c r="GF90" s="111"/>
      <c r="GG90" s="111"/>
      <c r="GH90" s="111"/>
      <c r="GI90" s="111"/>
      <c r="GJ90" s="111"/>
    </row>
    <row r="91" spans="1:192" ht="50.15" customHeight="1" outlineLevel="1" x14ac:dyDescent="0.35">
      <c r="A91" s="160" t="s">
        <v>2</v>
      </c>
      <c r="B91" s="179" t="s">
        <v>343</v>
      </c>
      <c r="C91" s="156" t="s">
        <v>494</v>
      </c>
      <c r="D91" s="179" t="s">
        <v>23</v>
      </c>
      <c r="E91" s="159" t="s">
        <v>585</v>
      </c>
      <c r="F91" s="230"/>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111"/>
      <c r="AZ91" s="111"/>
      <c r="BA91" s="111"/>
      <c r="BB91" s="111"/>
      <c r="BC91" s="111"/>
      <c r="BD91" s="111"/>
      <c r="BE91" s="111"/>
      <c r="BF91" s="111"/>
      <c r="BG91" s="111"/>
      <c r="BH91" s="111"/>
      <c r="BI91" s="111"/>
      <c r="BJ91" s="111"/>
      <c r="BK91" s="111"/>
      <c r="BL91" s="111"/>
      <c r="BM91" s="111"/>
      <c r="BN91" s="111"/>
      <c r="BO91" s="111"/>
      <c r="BP91" s="111"/>
      <c r="BQ91" s="111"/>
      <c r="BR91" s="111"/>
      <c r="BS91" s="111"/>
      <c r="BT91" s="111"/>
      <c r="BU91" s="111"/>
      <c r="BV91" s="111"/>
      <c r="BW91" s="111"/>
      <c r="BX91" s="111"/>
      <c r="BY91" s="111"/>
      <c r="BZ91" s="111"/>
      <c r="CA91" s="111"/>
      <c r="CB91" s="111"/>
      <c r="CC91" s="111"/>
      <c r="CD91" s="111"/>
      <c r="CE91" s="111"/>
      <c r="CF91" s="111"/>
      <c r="CG91" s="111"/>
      <c r="CH91" s="111"/>
      <c r="CI91" s="111"/>
      <c r="CJ91" s="111"/>
      <c r="CK91" s="111"/>
      <c r="CL91" s="111"/>
      <c r="CM91" s="111"/>
      <c r="CN91" s="111"/>
      <c r="CO91" s="111"/>
      <c r="CP91" s="111"/>
      <c r="CQ91" s="111"/>
      <c r="CR91" s="111"/>
      <c r="CS91" s="111"/>
      <c r="CT91" s="111"/>
      <c r="CU91" s="111"/>
      <c r="CV91" s="111"/>
      <c r="CW91" s="111"/>
      <c r="CX91" s="111"/>
      <c r="CY91" s="111"/>
      <c r="CZ91" s="111"/>
      <c r="DA91" s="111"/>
      <c r="DB91" s="111"/>
      <c r="DC91" s="111"/>
      <c r="DD91" s="111"/>
      <c r="DE91" s="111"/>
      <c r="DF91" s="111"/>
      <c r="DG91" s="111"/>
      <c r="DH91" s="111"/>
      <c r="DI91" s="111"/>
      <c r="DJ91" s="111"/>
      <c r="DK91" s="111"/>
      <c r="DL91" s="111"/>
      <c r="DM91" s="111"/>
      <c r="DN91" s="111"/>
      <c r="DO91" s="111"/>
      <c r="DP91" s="111"/>
      <c r="DQ91" s="111"/>
      <c r="DR91" s="111"/>
      <c r="DS91" s="111"/>
      <c r="DT91" s="111"/>
      <c r="DU91" s="111"/>
      <c r="DV91" s="111"/>
      <c r="DW91" s="111"/>
      <c r="DX91" s="111"/>
      <c r="DY91" s="111"/>
      <c r="DZ91" s="111"/>
      <c r="EA91" s="111"/>
      <c r="EB91" s="111"/>
      <c r="EC91" s="111"/>
      <c r="ED91" s="111"/>
      <c r="EE91" s="111"/>
      <c r="EF91" s="111"/>
      <c r="EG91" s="111"/>
      <c r="EH91" s="111"/>
      <c r="EI91" s="111"/>
      <c r="EJ91" s="111"/>
      <c r="EK91" s="111"/>
      <c r="EL91" s="111"/>
      <c r="EM91" s="111"/>
      <c r="EN91" s="111"/>
      <c r="EO91" s="111"/>
      <c r="EP91" s="111"/>
      <c r="EQ91" s="111"/>
      <c r="ER91" s="111"/>
      <c r="ES91" s="111"/>
      <c r="ET91" s="111"/>
      <c r="EU91" s="111"/>
      <c r="EV91" s="111"/>
      <c r="EW91" s="111"/>
      <c r="EX91" s="111"/>
      <c r="EY91" s="111"/>
      <c r="EZ91" s="111"/>
      <c r="FA91" s="111"/>
      <c r="FB91" s="111"/>
      <c r="FC91" s="111"/>
      <c r="FD91" s="111"/>
      <c r="FE91" s="111"/>
      <c r="FF91" s="111"/>
      <c r="FG91" s="111"/>
      <c r="FH91" s="111"/>
      <c r="FI91" s="111"/>
      <c r="FJ91" s="111"/>
      <c r="FK91" s="111"/>
      <c r="FL91" s="111"/>
      <c r="FM91" s="111"/>
      <c r="FN91" s="111"/>
      <c r="FO91" s="111"/>
      <c r="FP91" s="111"/>
      <c r="FQ91" s="111"/>
      <c r="FR91" s="111"/>
      <c r="FS91" s="111"/>
      <c r="FT91" s="111"/>
      <c r="FU91" s="111"/>
      <c r="FV91" s="111"/>
      <c r="FW91" s="111"/>
      <c r="FX91" s="111"/>
      <c r="FY91" s="111"/>
      <c r="FZ91" s="111"/>
      <c r="GA91" s="111"/>
      <c r="GB91" s="111"/>
      <c r="GC91" s="111"/>
      <c r="GD91" s="111"/>
      <c r="GE91" s="111"/>
      <c r="GF91" s="111"/>
      <c r="GG91" s="111"/>
      <c r="GH91" s="111"/>
      <c r="GI91" s="111"/>
      <c r="GJ91" s="111"/>
    </row>
    <row r="92" spans="1:192" ht="50.15" customHeight="1" outlineLevel="1" x14ac:dyDescent="0.35">
      <c r="A92" s="160" t="s">
        <v>2</v>
      </c>
      <c r="B92" s="180" t="s">
        <v>344</v>
      </c>
      <c r="C92" s="284" t="s">
        <v>676</v>
      </c>
      <c r="D92" s="212" t="s">
        <v>23</v>
      </c>
      <c r="E92" s="217" t="s">
        <v>586</v>
      </c>
      <c r="F92" s="228"/>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111"/>
      <c r="AZ92" s="111"/>
      <c r="BA92" s="111"/>
      <c r="BB92" s="111"/>
      <c r="BC92" s="111"/>
      <c r="BD92" s="111"/>
      <c r="BE92" s="111"/>
      <c r="BF92" s="111"/>
      <c r="BG92" s="111"/>
      <c r="BH92" s="111"/>
      <c r="BI92" s="111"/>
      <c r="BJ92" s="111"/>
      <c r="BK92" s="111"/>
      <c r="BL92" s="111"/>
      <c r="BM92" s="111"/>
      <c r="BN92" s="111"/>
      <c r="BO92" s="111"/>
      <c r="BP92" s="111"/>
      <c r="BQ92" s="111"/>
      <c r="BR92" s="111"/>
      <c r="BS92" s="111"/>
      <c r="BT92" s="111"/>
      <c r="BU92" s="111"/>
      <c r="BV92" s="111"/>
      <c r="BW92" s="111"/>
      <c r="BX92" s="111"/>
      <c r="BY92" s="111"/>
      <c r="BZ92" s="111"/>
      <c r="CA92" s="111"/>
      <c r="CB92" s="111"/>
      <c r="CC92" s="111"/>
      <c r="CD92" s="111"/>
      <c r="CE92" s="111"/>
      <c r="CF92" s="111"/>
      <c r="CG92" s="111"/>
      <c r="CH92" s="111"/>
      <c r="CI92" s="111"/>
      <c r="CJ92" s="111"/>
      <c r="CK92" s="111"/>
      <c r="CL92" s="111"/>
      <c r="CM92" s="111"/>
      <c r="CN92" s="111"/>
      <c r="CO92" s="111"/>
      <c r="CP92" s="111"/>
      <c r="CQ92" s="111"/>
      <c r="CR92" s="111"/>
      <c r="CS92" s="111"/>
      <c r="CT92" s="111"/>
      <c r="CU92" s="111"/>
      <c r="CV92" s="111"/>
      <c r="CW92" s="111"/>
      <c r="CX92" s="111"/>
      <c r="CY92" s="111"/>
      <c r="CZ92" s="111"/>
      <c r="DA92" s="111"/>
      <c r="DB92" s="111"/>
      <c r="DC92" s="111"/>
      <c r="DD92" s="111"/>
      <c r="DE92" s="111"/>
      <c r="DF92" s="111"/>
      <c r="DG92" s="111"/>
      <c r="DH92" s="111"/>
      <c r="DI92" s="111"/>
      <c r="DJ92" s="111"/>
      <c r="DK92" s="111"/>
      <c r="DL92" s="111"/>
      <c r="DM92" s="111"/>
      <c r="DN92" s="111"/>
      <c r="DO92" s="111"/>
      <c r="DP92" s="111"/>
      <c r="DQ92" s="111"/>
      <c r="DR92" s="111"/>
      <c r="DS92" s="111"/>
      <c r="DT92" s="111"/>
      <c r="DU92" s="111"/>
      <c r="DV92" s="111"/>
      <c r="DW92" s="111"/>
      <c r="DX92" s="111"/>
      <c r="DY92" s="111"/>
      <c r="DZ92" s="111"/>
      <c r="EA92" s="111"/>
      <c r="EB92" s="111"/>
      <c r="EC92" s="111"/>
      <c r="ED92" s="111"/>
      <c r="EE92" s="111"/>
      <c r="EF92" s="111"/>
      <c r="EG92" s="111"/>
      <c r="EH92" s="111"/>
      <c r="EI92" s="111"/>
      <c r="EJ92" s="111"/>
      <c r="EK92" s="111"/>
      <c r="EL92" s="111"/>
      <c r="EM92" s="111"/>
      <c r="EN92" s="111"/>
      <c r="EO92" s="111"/>
      <c r="EP92" s="111"/>
      <c r="EQ92" s="111"/>
      <c r="ER92" s="111"/>
      <c r="ES92" s="111"/>
      <c r="ET92" s="111"/>
      <c r="EU92" s="111"/>
      <c r="EV92" s="111"/>
      <c r="EW92" s="111"/>
      <c r="EX92" s="111"/>
      <c r="EY92" s="111"/>
      <c r="EZ92" s="111"/>
      <c r="FA92" s="111"/>
      <c r="FB92" s="111"/>
      <c r="FC92" s="111"/>
      <c r="FD92" s="111"/>
      <c r="FE92" s="111"/>
      <c r="FF92" s="111"/>
      <c r="FG92" s="111"/>
      <c r="FH92" s="111"/>
      <c r="FI92" s="111"/>
      <c r="FJ92" s="111"/>
      <c r="FK92" s="111"/>
      <c r="FL92" s="111"/>
      <c r="FM92" s="111"/>
      <c r="FN92" s="111"/>
      <c r="FO92" s="111"/>
      <c r="FP92" s="111"/>
      <c r="FQ92" s="111"/>
      <c r="FR92" s="111"/>
      <c r="FS92" s="111"/>
      <c r="FT92" s="111"/>
      <c r="FU92" s="111"/>
      <c r="FV92" s="111"/>
      <c r="FW92" s="111"/>
      <c r="FX92" s="111"/>
      <c r="FY92" s="111"/>
      <c r="FZ92" s="111"/>
      <c r="GA92" s="111"/>
      <c r="GB92" s="111"/>
      <c r="GC92" s="111"/>
      <c r="GD92" s="111"/>
      <c r="GE92" s="111"/>
      <c r="GF92" s="111"/>
      <c r="GG92" s="111"/>
      <c r="GH92" s="111"/>
      <c r="GI92" s="111"/>
      <c r="GJ92" s="111"/>
    </row>
    <row r="93" spans="1:192" ht="50.15" customHeight="1" outlineLevel="1" x14ac:dyDescent="0.35">
      <c r="A93" s="160" t="s">
        <v>2</v>
      </c>
      <c r="B93" s="179" t="s">
        <v>345</v>
      </c>
      <c r="C93" s="156" t="s">
        <v>495</v>
      </c>
      <c r="D93" s="179" t="s">
        <v>23</v>
      </c>
      <c r="E93" s="159" t="s">
        <v>587</v>
      </c>
      <c r="F93" s="230"/>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111"/>
      <c r="AZ93" s="111"/>
      <c r="BA93" s="111"/>
      <c r="BB93" s="111"/>
      <c r="BC93" s="111"/>
      <c r="BD93" s="111"/>
      <c r="BE93" s="111"/>
      <c r="BF93" s="111"/>
      <c r="BG93" s="111"/>
      <c r="BH93" s="111"/>
      <c r="BI93" s="111"/>
      <c r="BJ93" s="111"/>
      <c r="BK93" s="111"/>
      <c r="BL93" s="111"/>
      <c r="BM93" s="111"/>
      <c r="BN93" s="111"/>
      <c r="BO93" s="111"/>
      <c r="BP93" s="111"/>
      <c r="BQ93" s="111"/>
      <c r="BR93" s="111"/>
      <c r="BS93" s="111"/>
      <c r="BT93" s="111"/>
      <c r="BU93" s="111"/>
      <c r="BV93" s="111"/>
      <c r="BW93" s="111"/>
      <c r="BX93" s="111"/>
      <c r="BY93" s="111"/>
      <c r="BZ93" s="111"/>
      <c r="CA93" s="111"/>
      <c r="CB93" s="111"/>
      <c r="CC93" s="111"/>
      <c r="CD93" s="111"/>
      <c r="CE93" s="111"/>
      <c r="CF93" s="111"/>
      <c r="CG93" s="111"/>
      <c r="CH93" s="111"/>
      <c r="CI93" s="111"/>
      <c r="CJ93" s="111"/>
      <c r="CK93" s="111"/>
      <c r="CL93" s="111"/>
      <c r="CM93" s="111"/>
      <c r="CN93" s="111"/>
      <c r="CO93" s="111"/>
      <c r="CP93" s="111"/>
      <c r="CQ93" s="111"/>
      <c r="CR93" s="111"/>
      <c r="CS93" s="111"/>
      <c r="CT93" s="111"/>
      <c r="CU93" s="111"/>
      <c r="CV93" s="111"/>
      <c r="CW93" s="111"/>
      <c r="CX93" s="111"/>
      <c r="CY93" s="111"/>
      <c r="CZ93" s="111"/>
      <c r="DA93" s="111"/>
      <c r="DB93" s="111"/>
      <c r="DC93" s="111"/>
      <c r="DD93" s="111"/>
      <c r="DE93" s="111"/>
      <c r="DF93" s="111"/>
      <c r="DG93" s="111"/>
      <c r="DH93" s="111"/>
      <c r="DI93" s="111"/>
      <c r="DJ93" s="111"/>
      <c r="DK93" s="111"/>
      <c r="DL93" s="111"/>
      <c r="DM93" s="111"/>
      <c r="DN93" s="111"/>
      <c r="DO93" s="111"/>
      <c r="DP93" s="111"/>
      <c r="DQ93" s="111"/>
      <c r="DR93" s="111"/>
      <c r="DS93" s="111"/>
      <c r="DT93" s="111"/>
      <c r="DU93" s="111"/>
      <c r="DV93" s="111"/>
      <c r="DW93" s="111"/>
      <c r="DX93" s="111"/>
      <c r="DY93" s="111"/>
      <c r="DZ93" s="111"/>
      <c r="EA93" s="111"/>
      <c r="EB93" s="111"/>
      <c r="EC93" s="111"/>
      <c r="ED93" s="111"/>
      <c r="EE93" s="111"/>
      <c r="EF93" s="111"/>
      <c r="EG93" s="111"/>
      <c r="EH93" s="111"/>
      <c r="EI93" s="111"/>
      <c r="EJ93" s="111"/>
      <c r="EK93" s="111"/>
      <c r="EL93" s="111"/>
      <c r="EM93" s="111"/>
      <c r="EN93" s="111"/>
      <c r="EO93" s="111"/>
      <c r="EP93" s="111"/>
      <c r="EQ93" s="111"/>
      <c r="ER93" s="111"/>
      <c r="ES93" s="111"/>
      <c r="ET93" s="111"/>
      <c r="EU93" s="111"/>
      <c r="EV93" s="111"/>
      <c r="EW93" s="111"/>
      <c r="EX93" s="111"/>
      <c r="EY93" s="111"/>
      <c r="EZ93" s="111"/>
      <c r="FA93" s="111"/>
      <c r="FB93" s="111"/>
      <c r="FC93" s="111"/>
      <c r="FD93" s="111"/>
      <c r="FE93" s="111"/>
      <c r="FF93" s="111"/>
      <c r="FG93" s="111"/>
      <c r="FH93" s="111"/>
      <c r="FI93" s="111"/>
      <c r="FJ93" s="111"/>
      <c r="FK93" s="111"/>
      <c r="FL93" s="111"/>
      <c r="FM93" s="111"/>
      <c r="FN93" s="111"/>
      <c r="FO93" s="111"/>
      <c r="FP93" s="111"/>
      <c r="FQ93" s="111"/>
      <c r="FR93" s="111"/>
      <c r="FS93" s="111"/>
      <c r="FT93" s="111"/>
      <c r="FU93" s="111"/>
      <c r="FV93" s="111"/>
      <c r="FW93" s="111"/>
      <c r="FX93" s="111"/>
      <c r="FY93" s="111"/>
      <c r="FZ93" s="111"/>
      <c r="GA93" s="111"/>
      <c r="GB93" s="111"/>
      <c r="GC93" s="111"/>
      <c r="GD93" s="111"/>
      <c r="GE93" s="111"/>
      <c r="GF93" s="111"/>
      <c r="GG93" s="111"/>
      <c r="GH93" s="111"/>
      <c r="GI93" s="111"/>
      <c r="GJ93" s="111"/>
    </row>
    <row r="94" spans="1:192" ht="50.15" customHeight="1" outlineLevel="1" x14ac:dyDescent="0.35">
      <c r="A94" s="161" t="s">
        <v>5</v>
      </c>
      <c r="B94" s="180" t="s">
        <v>346</v>
      </c>
      <c r="C94" s="154" t="s">
        <v>238</v>
      </c>
      <c r="D94" s="180" t="s">
        <v>23</v>
      </c>
      <c r="E94" s="154" t="s">
        <v>588</v>
      </c>
      <c r="F94" s="23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111"/>
      <c r="AZ94" s="111"/>
      <c r="BA94" s="111"/>
      <c r="BB94" s="111"/>
      <c r="BC94" s="111"/>
      <c r="BD94" s="111"/>
      <c r="BE94" s="111"/>
      <c r="BF94" s="111"/>
      <c r="BG94" s="111"/>
      <c r="BH94" s="111"/>
      <c r="BI94" s="111"/>
      <c r="BJ94" s="111"/>
      <c r="BK94" s="111"/>
      <c r="BL94" s="111"/>
      <c r="BM94" s="111"/>
      <c r="BN94" s="111"/>
      <c r="BO94" s="111"/>
      <c r="BP94" s="111"/>
      <c r="BQ94" s="111"/>
      <c r="BR94" s="111"/>
      <c r="BS94" s="111"/>
      <c r="BT94" s="111"/>
      <c r="BU94" s="111"/>
      <c r="BV94" s="111"/>
      <c r="BW94" s="111"/>
      <c r="BX94" s="111"/>
      <c r="BY94" s="111"/>
      <c r="BZ94" s="111"/>
      <c r="CA94" s="111"/>
      <c r="CB94" s="111"/>
      <c r="CC94" s="111"/>
      <c r="CD94" s="111"/>
      <c r="CE94" s="111"/>
      <c r="CF94" s="111"/>
      <c r="CG94" s="111"/>
      <c r="CH94" s="111"/>
      <c r="CI94" s="111"/>
      <c r="CJ94" s="111"/>
      <c r="CK94" s="111"/>
      <c r="CL94" s="111"/>
      <c r="CM94" s="111"/>
      <c r="CN94" s="111"/>
      <c r="CO94" s="111"/>
      <c r="CP94" s="111"/>
      <c r="CQ94" s="111"/>
      <c r="CR94" s="111"/>
      <c r="CS94" s="111"/>
      <c r="CT94" s="111"/>
      <c r="CU94" s="111"/>
      <c r="CV94" s="111"/>
      <c r="CW94" s="111"/>
      <c r="CX94" s="111"/>
      <c r="CY94" s="111"/>
      <c r="CZ94" s="111"/>
      <c r="DA94" s="111"/>
      <c r="DB94" s="111"/>
      <c r="DC94" s="111"/>
      <c r="DD94" s="111"/>
      <c r="DE94" s="111"/>
      <c r="DF94" s="111"/>
      <c r="DG94" s="111"/>
      <c r="DH94" s="111"/>
      <c r="DI94" s="111"/>
      <c r="DJ94" s="111"/>
      <c r="DK94" s="111"/>
      <c r="DL94" s="111"/>
      <c r="DM94" s="111"/>
      <c r="DN94" s="111"/>
      <c r="DO94" s="111"/>
      <c r="DP94" s="111"/>
      <c r="DQ94" s="111"/>
      <c r="DR94" s="111"/>
      <c r="DS94" s="111"/>
      <c r="DT94" s="111"/>
      <c r="DU94" s="111"/>
      <c r="DV94" s="111"/>
      <c r="DW94" s="111"/>
      <c r="DX94" s="111"/>
      <c r="DY94" s="111"/>
      <c r="DZ94" s="111"/>
      <c r="EA94" s="111"/>
      <c r="EB94" s="111"/>
      <c r="EC94" s="111"/>
      <c r="ED94" s="111"/>
      <c r="EE94" s="111"/>
      <c r="EF94" s="111"/>
      <c r="EG94" s="111"/>
      <c r="EH94" s="111"/>
      <c r="EI94" s="111"/>
      <c r="EJ94" s="111"/>
      <c r="EK94" s="111"/>
      <c r="EL94" s="111"/>
      <c r="EM94" s="111"/>
      <c r="EN94" s="111"/>
      <c r="EO94" s="111"/>
      <c r="EP94" s="111"/>
      <c r="EQ94" s="111"/>
      <c r="ER94" s="111"/>
      <c r="ES94" s="111"/>
      <c r="ET94" s="111"/>
      <c r="EU94" s="111"/>
      <c r="EV94" s="111"/>
      <c r="EW94" s="111"/>
      <c r="EX94" s="111"/>
      <c r="EY94" s="111"/>
      <c r="EZ94" s="111"/>
      <c r="FA94" s="111"/>
      <c r="FB94" s="111"/>
      <c r="FC94" s="111"/>
      <c r="FD94" s="111"/>
      <c r="FE94" s="111"/>
      <c r="FF94" s="111"/>
      <c r="FG94" s="111"/>
      <c r="FH94" s="111"/>
      <c r="FI94" s="111"/>
      <c r="FJ94" s="111"/>
      <c r="FK94" s="111"/>
      <c r="FL94" s="111"/>
      <c r="FM94" s="111"/>
      <c r="FN94" s="111"/>
      <c r="FO94" s="111"/>
      <c r="FP94" s="111"/>
      <c r="FQ94" s="111"/>
      <c r="FR94" s="111"/>
      <c r="FS94" s="111"/>
      <c r="FT94" s="111"/>
      <c r="FU94" s="111"/>
      <c r="FV94" s="111"/>
      <c r="FW94" s="111"/>
      <c r="FX94" s="111"/>
      <c r="FY94" s="111"/>
      <c r="FZ94" s="111"/>
      <c r="GA94" s="111"/>
      <c r="GB94" s="111"/>
      <c r="GC94" s="111"/>
      <c r="GD94" s="111"/>
      <c r="GE94" s="111"/>
      <c r="GF94" s="111"/>
      <c r="GG94" s="111"/>
      <c r="GH94" s="111"/>
      <c r="GI94" s="111"/>
      <c r="GJ94" s="111"/>
    </row>
    <row r="95" spans="1:192" ht="50.15" customHeight="1" outlineLevel="1" x14ac:dyDescent="0.35">
      <c r="A95" s="161" t="s">
        <v>5</v>
      </c>
      <c r="B95" s="179" t="s">
        <v>347</v>
      </c>
      <c r="C95" s="156" t="s">
        <v>496</v>
      </c>
      <c r="D95" s="179" t="s">
        <v>23</v>
      </c>
      <c r="E95" s="159" t="s">
        <v>589</v>
      </c>
      <c r="F95" s="230"/>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111"/>
      <c r="AZ95" s="111"/>
      <c r="BA95" s="111"/>
      <c r="BB95" s="111"/>
      <c r="BC95" s="111"/>
      <c r="BD95" s="111"/>
      <c r="BE95" s="111"/>
      <c r="BF95" s="111"/>
      <c r="BG95" s="111"/>
      <c r="BH95" s="111"/>
      <c r="BI95" s="111"/>
      <c r="BJ95" s="111"/>
      <c r="BK95" s="111"/>
      <c r="BL95" s="111"/>
      <c r="BM95" s="111"/>
      <c r="BN95" s="111"/>
      <c r="BO95" s="111"/>
      <c r="BP95" s="111"/>
      <c r="BQ95" s="111"/>
      <c r="BR95" s="111"/>
      <c r="BS95" s="111"/>
      <c r="BT95" s="111"/>
      <c r="BU95" s="111"/>
      <c r="BV95" s="111"/>
      <c r="BW95" s="111"/>
      <c r="BX95" s="111"/>
      <c r="BY95" s="111"/>
      <c r="BZ95" s="111"/>
      <c r="CA95" s="111"/>
      <c r="CB95" s="111"/>
      <c r="CC95" s="111"/>
      <c r="CD95" s="111"/>
      <c r="CE95" s="111"/>
      <c r="CF95" s="111"/>
      <c r="CG95" s="111"/>
      <c r="CH95" s="111"/>
      <c r="CI95" s="111"/>
      <c r="CJ95" s="111"/>
      <c r="CK95" s="111"/>
      <c r="CL95" s="111"/>
      <c r="CM95" s="111"/>
      <c r="CN95" s="111"/>
      <c r="CO95" s="111"/>
      <c r="CP95" s="111"/>
      <c r="CQ95" s="111"/>
      <c r="CR95" s="111"/>
      <c r="CS95" s="111"/>
      <c r="CT95" s="111"/>
      <c r="CU95" s="111"/>
      <c r="CV95" s="111"/>
      <c r="CW95" s="111"/>
      <c r="CX95" s="111"/>
      <c r="CY95" s="111"/>
      <c r="CZ95" s="111"/>
      <c r="DA95" s="111"/>
      <c r="DB95" s="111"/>
      <c r="DC95" s="111"/>
      <c r="DD95" s="111"/>
      <c r="DE95" s="111"/>
      <c r="DF95" s="111"/>
      <c r="DG95" s="111"/>
      <c r="DH95" s="111"/>
      <c r="DI95" s="111"/>
      <c r="DJ95" s="111"/>
      <c r="DK95" s="111"/>
      <c r="DL95" s="111"/>
      <c r="DM95" s="111"/>
      <c r="DN95" s="111"/>
      <c r="DO95" s="111"/>
      <c r="DP95" s="111"/>
      <c r="DQ95" s="111"/>
      <c r="DR95" s="111"/>
      <c r="DS95" s="111"/>
      <c r="DT95" s="111"/>
      <c r="DU95" s="111"/>
      <c r="DV95" s="111"/>
      <c r="DW95" s="111"/>
      <c r="DX95" s="111"/>
      <c r="DY95" s="111"/>
      <c r="DZ95" s="111"/>
      <c r="EA95" s="111"/>
      <c r="EB95" s="111"/>
      <c r="EC95" s="111"/>
      <c r="ED95" s="111"/>
      <c r="EE95" s="111"/>
      <c r="EF95" s="111"/>
      <c r="EG95" s="111"/>
      <c r="EH95" s="111"/>
      <c r="EI95" s="111"/>
      <c r="EJ95" s="111"/>
      <c r="EK95" s="111"/>
      <c r="EL95" s="111"/>
      <c r="EM95" s="111"/>
      <c r="EN95" s="111"/>
      <c r="EO95" s="111"/>
      <c r="EP95" s="111"/>
      <c r="EQ95" s="111"/>
      <c r="ER95" s="111"/>
      <c r="ES95" s="111"/>
      <c r="ET95" s="111"/>
      <c r="EU95" s="111"/>
      <c r="EV95" s="111"/>
      <c r="EW95" s="111"/>
      <c r="EX95" s="111"/>
      <c r="EY95" s="111"/>
      <c r="EZ95" s="111"/>
      <c r="FA95" s="111"/>
      <c r="FB95" s="111"/>
      <c r="FC95" s="111"/>
      <c r="FD95" s="111"/>
      <c r="FE95" s="111"/>
      <c r="FF95" s="111"/>
      <c r="FG95" s="111"/>
      <c r="FH95" s="111"/>
      <c r="FI95" s="111"/>
      <c r="FJ95" s="111"/>
      <c r="FK95" s="111"/>
      <c r="FL95" s="111"/>
      <c r="FM95" s="111"/>
      <c r="FN95" s="111"/>
      <c r="FO95" s="111"/>
      <c r="FP95" s="111"/>
      <c r="FQ95" s="111"/>
      <c r="FR95" s="111"/>
      <c r="FS95" s="111"/>
      <c r="FT95" s="111"/>
      <c r="FU95" s="111"/>
      <c r="FV95" s="111"/>
      <c r="FW95" s="111"/>
      <c r="FX95" s="111"/>
      <c r="FY95" s="111"/>
      <c r="FZ95" s="111"/>
      <c r="GA95" s="111"/>
      <c r="GB95" s="111"/>
      <c r="GC95" s="111"/>
      <c r="GD95" s="111"/>
      <c r="GE95" s="111"/>
      <c r="GF95" s="111"/>
      <c r="GG95" s="111"/>
      <c r="GH95" s="111"/>
      <c r="GI95" s="111"/>
      <c r="GJ95" s="111"/>
    </row>
    <row r="96" spans="1:192" ht="50.15" customHeight="1" outlineLevel="1" x14ac:dyDescent="0.35">
      <c r="A96" s="161" t="s">
        <v>5</v>
      </c>
      <c r="B96" s="180" t="s">
        <v>348</v>
      </c>
      <c r="C96" s="217" t="s">
        <v>497</v>
      </c>
      <c r="D96" s="212" t="s">
        <v>23</v>
      </c>
      <c r="E96" s="215" t="s">
        <v>590</v>
      </c>
      <c r="F96" s="228"/>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111"/>
      <c r="AZ96" s="111"/>
      <c r="BA96" s="111"/>
      <c r="BB96" s="111"/>
      <c r="BC96" s="111"/>
      <c r="BD96" s="111"/>
      <c r="BE96" s="111"/>
      <c r="BF96" s="111"/>
      <c r="BG96" s="111"/>
      <c r="BH96" s="111"/>
      <c r="BI96" s="111"/>
      <c r="BJ96" s="111"/>
      <c r="BK96" s="111"/>
      <c r="BL96" s="111"/>
      <c r="BM96" s="111"/>
      <c r="BN96" s="111"/>
      <c r="BO96" s="111"/>
      <c r="BP96" s="111"/>
      <c r="BQ96" s="111"/>
      <c r="BR96" s="111"/>
      <c r="BS96" s="111"/>
      <c r="BT96" s="111"/>
      <c r="BU96" s="111"/>
      <c r="BV96" s="111"/>
      <c r="BW96" s="111"/>
      <c r="BX96" s="111"/>
      <c r="BY96" s="111"/>
      <c r="BZ96" s="111"/>
      <c r="CA96" s="111"/>
      <c r="CB96" s="111"/>
      <c r="CC96" s="111"/>
      <c r="CD96" s="111"/>
      <c r="CE96" s="111"/>
      <c r="CF96" s="111"/>
      <c r="CG96" s="111"/>
      <c r="CH96" s="111"/>
      <c r="CI96" s="111"/>
      <c r="CJ96" s="111"/>
      <c r="CK96" s="111"/>
      <c r="CL96" s="111"/>
      <c r="CM96" s="111"/>
      <c r="CN96" s="111"/>
      <c r="CO96" s="111"/>
      <c r="CP96" s="111"/>
      <c r="CQ96" s="111"/>
      <c r="CR96" s="111"/>
      <c r="CS96" s="111"/>
      <c r="CT96" s="111"/>
      <c r="CU96" s="111"/>
      <c r="CV96" s="111"/>
      <c r="CW96" s="111"/>
      <c r="CX96" s="111"/>
      <c r="CY96" s="111"/>
      <c r="CZ96" s="111"/>
      <c r="DA96" s="111"/>
      <c r="DB96" s="111"/>
      <c r="DC96" s="111"/>
      <c r="DD96" s="111"/>
      <c r="DE96" s="111"/>
      <c r="DF96" s="111"/>
      <c r="DG96" s="111"/>
      <c r="DH96" s="111"/>
      <c r="DI96" s="111"/>
      <c r="DJ96" s="111"/>
      <c r="DK96" s="111"/>
      <c r="DL96" s="111"/>
      <c r="DM96" s="111"/>
      <c r="DN96" s="111"/>
      <c r="DO96" s="111"/>
      <c r="DP96" s="111"/>
      <c r="DQ96" s="111"/>
      <c r="DR96" s="111"/>
      <c r="DS96" s="111"/>
      <c r="DT96" s="111"/>
      <c r="DU96" s="111"/>
      <c r="DV96" s="111"/>
      <c r="DW96" s="111"/>
      <c r="DX96" s="111"/>
      <c r="DY96" s="111"/>
      <c r="DZ96" s="111"/>
      <c r="EA96" s="111"/>
      <c r="EB96" s="111"/>
      <c r="EC96" s="111"/>
      <c r="ED96" s="111"/>
      <c r="EE96" s="111"/>
      <c r="EF96" s="111"/>
      <c r="EG96" s="111"/>
      <c r="EH96" s="111"/>
      <c r="EI96" s="111"/>
      <c r="EJ96" s="111"/>
      <c r="EK96" s="111"/>
      <c r="EL96" s="111"/>
      <c r="EM96" s="111"/>
      <c r="EN96" s="111"/>
      <c r="EO96" s="111"/>
      <c r="EP96" s="111"/>
      <c r="EQ96" s="111"/>
      <c r="ER96" s="111"/>
      <c r="ES96" s="111"/>
      <c r="ET96" s="111"/>
      <c r="EU96" s="111"/>
      <c r="EV96" s="111"/>
      <c r="EW96" s="111"/>
      <c r="EX96" s="111"/>
      <c r="EY96" s="111"/>
      <c r="EZ96" s="111"/>
      <c r="FA96" s="111"/>
      <c r="FB96" s="111"/>
      <c r="FC96" s="111"/>
      <c r="FD96" s="111"/>
      <c r="FE96" s="111"/>
      <c r="FF96" s="111"/>
      <c r="FG96" s="111"/>
      <c r="FH96" s="111"/>
      <c r="FI96" s="111"/>
      <c r="FJ96" s="111"/>
      <c r="FK96" s="111"/>
      <c r="FL96" s="111"/>
      <c r="FM96" s="111"/>
      <c r="FN96" s="111"/>
      <c r="FO96" s="111"/>
      <c r="FP96" s="111"/>
      <c r="FQ96" s="111"/>
      <c r="FR96" s="111"/>
      <c r="FS96" s="111"/>
      <c r="FT96" s="111"/>
      <c r="FU96" s="111"/>
      <c r="FV96" s="111"/>
      <c r="FW96" s="111"/>
      <c r="FX96" s="111"/>
      <c r="FY96" s="111"/>
      <c r="FZ96" s="111"/>
      <c r="GA96" s="111"/>
      <c r="GB96" s="111"/>
      <c r="GC96" s="111"/>
      <c r="GD96" s="111"/>
      <c r="GE96" s="111"/>
      <c r="GF96" s="111"/>
      <c r="GG96" s="111"/>
      <c r="GH96" s="111"/>
      <c r="GI96" s="111"/>
      <c r="GJ96" s="111"/>
    </row>
    <row r="97" spans="1:192" ht="50.15" customHeight="1" outlineLevel="1" x14ac:dyDescent="0.35">
      <c r="A97" s="161" t="s">
        <v>5</v>
      </c>
      <c r="B97" s="179" t="s">
        <v>349</v>
      </c>
      <c r="C97" s="156" t="s">
        <v>498</v>
      </c>
      <c r="D97" s="179" t="s">
        <v>23</v>
      </c>
      <c r="E97" s="159" t="s">
        <v>591</v>
      </c>
      <c r="F97" s="230"/>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111"/>
      <c r="AZ97" s="111"/>
      <c r="BA97" s="111"/>
      <c r="BB97" s="111"/>
      <c r="BC97" s="111"/>
      <c r="BD97" s="111"/>
      <c r="BE97" s="111"/>
      <c r="BF97" s="111"/>
      <c r="BG97" s="111"/>
      <c r="BH97" s="111"/>
      <c r="BI97" s="111"/>
      <c r="BJ97" s="111"/>
      <c r="BK97" s="111"/>
      <c r="BL97" s="111"/>
      <c r="BM97" s="111"/>
      <c r="BN97" s="111"/>
      <c r="BO97" s="111"/>
      <c r="BP97" s="111"/>
      <c r="BQ97" s="111"/>
      <c r="BR97" s="111"/>
      <c r="BS97" s="111"/>
      <c r="BT97" s="111"/>
      <c r="BU97" s="111"/>
      <c r="BV97" s="111"/>
      <c r="BW97" s="111"/>
      <c r="BX97" s="111"/>
      <c r="BY97" s="111"/>
      <c r="BZ97" s="111"/>
      <c r="CA97" s="111"/>
      <c r="CB97" s="111"/>
      <c r="CC97" s="111"/>
      <c r="CD97" s="111"/>
      <c r="CE97" s="111"/>
      <c r="CF97" s="111"/>
      <c r="CG97" s="111"/>
      <c r="CH97" s="111"/>
      <c r="CI97" s="111"/>
      <c r="CJ97" s="111"/>
      <c r="CK97" s="111"/>
      <c r="CL97" s="111"/>
      <c r="CM97" s="111"/>
      <c r="CN97" s="111"/>
      <c r="CO97" s="111"/>
      <c r="CP97" s="111"/>
      <c r="CQ97" s="111"/>
      <c r="CR97" s="111"/>
      <c r="CS97" s="111"/>
      <c r="CT97" s="111"/>
      <c r="CU97" s="111"/>
      <c r="CV97" s="111"/>
      <c r="CW97" s="111"/>
      <c r="CX97" s="111"/>
      <c r="CY97" s="111"/>
      <c r="CZ97" s="111"/>
      <c r="DA97" s="111"/>
      <c r="DB97" s="111"/>
      <c r="DC97" s="111"/>
      <c r="DD97" s="111"/>
      <c r="DE97" s="111"/>
      <c r="DF97" s="111"/>
      <c r="DG97" s="111"/>
      <c r="DH97" s="111"/>
      <c r="DI97" s="111"/>
      <c r="DJ97" s="111"/>
      <c r="DK97" s="111"/>
      <c r="DL97" s="111"/>
      <c r="DM97" s="111"/>
      <c r="DN97" s="111"/>
      <c r="DO97" s="111"/>
      <c r="DP97" s="111"/>
      <c r="DQ97" s="111"/>
      <c r="DR97" s="111"/>
      <c r="DS97" s="111"/>
      <c r="DT97" s="111"/>
      <c r="DU97" s="111"/>
      <c r="DV97" s="111"/>
      <c r="DW97" s="111"/>
      <c r="DX97" s="111"/>
      <c r="DY97" s="111"/>
      <c r="DZ97" s="111"/>
      <c r="EA97" s="111"/>
      <c r="EB97" s="111"/>
      <c r="EC97" s="111"/>
      <c r="ED97" s="111"/>
      <c r="EE97" s="111"/>
      <c r="EF97" s="111"/>
      <c r="EG97" s="111"/>
      <c r="EH97" s="111"/>
      <c r="EI97" s="111"/>
      <c r="EJ97" s="111"/>
      <c r="EK97" s="111"/>
      <c r="EL97" s="111"/>
      <c r="EM97" s="111"/>
      <c r="EN97" s="111"/>
      <c r="EO97" s="111"/>
      <c r="EP97" s="111"/>
      <c r="EQ97" s="111"/>
      <c r="ER97" s="111"/>
      <c r="ES97" s="111"/>
      <c r="ET97" s="111"/>
      <c r="EU97" s="111"/>
      <c r="EV97" s="111"/>
      <c r="EW97" s="111"/>
      <c r="EX97" s="111"/>
      <c r="EY97" s="111"/>
      <c r="EZ97" s="111"/>
      <c r="FA97" s="111"/>
      <c r="FB97" s="111"/>
      <c r="FC97" s="111"/>
      <c r="FD97" s="111"/>
      <c r="FE97" s="111"/>
      <c r="FF97" s="111"/>
      <c r="FG97" s="111"/>
      <c r="FH97" s="111"/>
      <c r="FI97" s="111"/>
      <c r="FJ97" s="111"/>
      <c r="FK97" s="111"/>
      <c r="FL97" s="111"/>
      <c r="FM97" s="111"/>
      <c r="FN97" s="111"/>
      <c r="FO97" s="111"/>
      <c r="FP97" s="111"/>
      <c r="FQ97" s="111"/>
      <c r="FR97" s="111"/>
      <c r="FS97" s="111"/>
      <c r="FT97" s="111"/>
      <c r="FU97" s="111"/>
      <c r="FV97" s="111"/>
      <c r="FW97" s="111"/>
      <c r="FX97" s="111"/>
      <c r="FY97" s="111"/>
      <c r="FZ97" s="111"/>
      <c r="GA97" s="111"/>
      <c r="GB97" s="111"/>
      <c r="GC97" s="111"/>
      <c r="GD97" s="111"/>
      <c r="GE97" s="111"/>
      <c r="GF97" s="111"/>
      <c r="GG97" s="111"/>
      <c r="GH97" s="111"/>
      <c r="GI97" s="111"/>
      <c r="GJ97" s="111"/>
    </row>
    <row r="98" spans="1:192" ht="50.15" customHeight="1" outlineLevel="1" x14ac:dyDescent="0.35">
      <c r="A98" s="161" t="s">
        <v>5</v>
      </c>
      <c r="B98" s="180" t="s">
        <v>350</v>
      </c>
      <c r="C98" s="154" t="s">
        <v>239</v>
      </c>
      <c r="D98" s="180" t="s">
        <v>23</v>
      </c>
      <c r="E98" s="158" t="s">
        <v>592</v>
      </c>
      <c r="F98" s="23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111"/>
      <c r="AZ98" s="111"/>
      <c r="BA98" s="111"/>
      <c r="BB98" s="111"/>
      <c r="BC98" s="111"/>
      <c r="BD98" s="111"/>
      <c r="BE98" s="111"/>
      <c r="BF98" s="111"/>
      <c r="BG98" s="111"/>
      <c r="BH98" s="111"/>
      <c r="BI98" s="111"/>
      <c r="BJ98" s="111"/>
      <c r="BK98" s="111"/>
      <c r="BL98" s="111"/>
      <c r="BM98" s="111"/>
      <c r="BN98" s="111"/>
      <c r="BO98" s="111"/>
      <c r="BP98" s="111"/>
      <c r="BQ98" s="111"/>
      <c r="BR98" s="111"/>
      <c r="BS98" s="111"/>
      <c r="BT98" s="111"/>
      <c r="BU98" s="111"/>
      <c r="BV98" s="111"/>
      <c r="BW98" s="111"/>
      <c r="BX98" s="111"/>
      <c r="BY98" s="111"/>
      <c r="BZ98" s="111"/>
      <c r="CA98" s="111"/>
      <c r="CB98" s="111"/>
      <c r="CC98" s="111"/>
      <c r="CD98" s="111"/>
      <c r="CE98" s="111"/>
      <c r="CF98" s="111"/>
      <c r="CG98" s="111"/>
      <c r="CH98" s="111"/>
      <c r="CI98" s="111"/>
      <c r="CJ98" s="111"/>
      <c r="CK98" s="111"/>
      <c r="CL98" s="111"/>
      <c r="CM98" s="111"/>
      <c r="CN98" s="111"/>
      <c r="CO98" s="111"/>
      <c r="CP98" s="111"/>
      <c r="CQ98" s="111"/>
      <c r="CR98" s="111"/>
      <c r="CS98" s="111"/>
      <c r="CT98" s="111"/>
      <c r="CU98" s="111"/>
      <c r="CV98" s="111"/>
      <c r="CW98" s="111"/>
      <c r="CX98" s="111"/>
      <c r="CY98" s="111"/>
      <c r="CZ98" s="111"/>
      <c r="DA98" s="111"/>
      <c r="DB98" s="111"/>
      <c r="DC98" s="111"/>
      <c r="DD98" s="111"/>
      <c r="DE98" s="111"/>
      <c r="DF98" s="111"/>
      <c r="DG98" s="111"/>
      <c r="DH98" s="111"/>
      <c r="DI98" s="111"/>
      <c r="DJ98" s="111"/>
      <c r="DK98" s="111"/>
      <c r="DL98" s="111"/>
      <c r="DM98" s="111"/>
      <c r="DN98" s="111"/>
      <c r="DO98" s="111"/>
      <c r="DP98" s="111"/>
      <c r="DQ98" s="111"/>
      <c r="DR98" s="111"/>
      <c r="DS98" s="111"/>
      <c r="DT98" s="111"/>
      <c r="DU98" s="111"/>
      <c r="DV98" s="111"/>
      <c r="DW98" s="111"/>
      <c r="DX98" s="111"/>
      <c r="DY98" s="111"/>
      <c r="DZ98" s="111"/>
      <c r="EA98" s="111"/>
      <c r="EB98" s="111"/>
      <c r="EC98" s="111"/>
      <c r="ED98" s="111"/>
      <c r="EE98" s="111"/>
      <c r="EF98" s="111"/>
      <c r="EG98" s="111"/>
      <c r="EH98" s="111"/>
      <c r="EI98" s="111"/>
      <c r="EJ98" s="111"/>
      <c r="EK98" s="111"/>
      <c r="EL98" s="111"/>
      <c r="EM98" s="111"/>
      <c r="EN98" s="111"/>
      <c r="EO98" s="111"/>
      <c r="EP98" s="111"/>
      <c r="EQ98" s="111"/>
      <c r="ER98" s="111"/>
      <c r="ES98" s="111"/>
      <c r="ET98" s="111"/>
      <c r="EU98" s="111"/>
      <c r="EV98" s="111"/>
      <c r="EW98" s="111"/>
      <c r="EX98" s="111"/>
      <c r="EY98" s="111"/>
      <c r="EZ98" s="111"/>
      <c r="FA98" s="111"/>
      <c r="FB98" s="111"/>
      <c r="FC98" s="111"/>
      <c r="FD98" s="111"/>
      <c r="FE98" s="111"/>
      <c r="FF98" s="111"/>
      <c r="FG98" s="111"/>
      <c r="FH98" s="111"/>
      <c r="FI98" s="111"/>
      <c r="FJ98" s="111"/>
      <c r="FK98" s="111"/>
      <c r="FL98" s="111"/>
      <c r="FM98" s="111"/>
      <c r="FN98" s="111"/>
      <c r="FO98" s="111"/>
      <c r="FP98" s="111"/>
      <c r="FQ98" s="111"/>
      <c r="FR98" s="111"/>
      <c r="FS98" s="111"/>
      <c r="FT98" s="111"/>
      <c r="FU98" s="111"/>
      <c r="FV98" s="111"/>
      <c r="FW98" s="111"/>
      <c r="FX98" s="111"/>
      <c r="FY98" s="111"/>
      <c r="FZ98" s="111"/>
      <c r="GA98" s="111"/>
      <c r="GB98" s="111"/>
      <c r="GC98" s="111"/>
      <c r="GD98" s="111"/>
      <c r="GE98" s="111"/>
      <c r="GF98" s="111"/>
      <c r="GG98" s="111"/>
      <c r="GH98" s="111"/>
      <c r="GI98" s="111"/>
      <c r="GJ98" s="111"/>
    </row>
    <row r="99" spans="1:192" ht="50.15" customHeight="1" outlineLevel="1" x14ac:dyDescent="0.35">
      <c r="A99" s="161" t="s">
        <v>5</v>
      </c>
      <c r="B99" s="179" t="s">
        <v>351</v>
      </c>
      <c r="C99" s="156" t="s">
        <v>499</v>
      </c>
      <c r="D99" s="179" t="s">
        <v>22</v>
      </c>
      <c r="E99" s="156" t="s">
        <v>693</v>
      </c>
      <c r="F99" s="230"/>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111"/>
      <c r="AZ99" s="111"/>
      <c r="BA99" s="111"/>
      <c r="BB99" s="111"/>
      <c r="BC99" s="111"/>
      <c r="BD99" s="111"/>
      <c r="BE99" s="111"/>
      <c r="BF99" s="111"/>
      <c r="BG99" s="111"/>
      <c r="BH99" s="111"/>
      <c r="BI99" s="111"/>
      <c r="BJ99" s="111"/>
      <c r="BK99" s="111"/>
      <c r="BL99" s="111"/>
      <c r="BM99" s="111"/>
      <c r="BN99" s="111"/>
      <c r="BO99" s="111"/>
      <c r="BP99" s="111"/>
      <c r="BQ99" s="111"/>
      <c r="BR99" s="111"/>
      <c r="BS99" s="111"/>
      <c r="BT99" s="111"/>
      <c r="BU99" s="111"/>
      <c r="BV99" s="111"/>
      <c r="BW99" s="111"/>
      <c r="BX99" s="111"/>
      <c r="BY99" s="111"/>
      <c r="BZ99" s="111"/>
      <c r="CA99" s="111"/>
      <c r="CB99" s="111"/>
      <c r="CC99" s="111"/>
      <c r="CD99" s="111"/>
      <c r="CE99" s="111"/>
      <c r="CF99" s="111"/>
      <c r="CG99" s="111"/>
      <c r="CH99" s="111"/>
      <c r="CI99" s="111"/>
      <c r="CJ99" s="111"/>
      <c r="CK99" s="111"/>
      <c r="CL99" s="111"/>
      <c r="CM99" s="111"/>
      <c r="CN99" s="111"/>
      <c r="CO99" s="111"/>
      <c r="CP99" s="111"/>
      <c r="CQ99" s="111"/>
      <c r="CR99" s="111"/>
      <c r="CS99" s="111"/>
      <c r="CT99" s="111"/>
      <c r="CU99" s="111"/>
      <c r="CV99" s="111"/>
      <c r="CW99" s="111"/>
      <c r="CX99" s="111"/>
      <c r="CY99" s="111"/>
      <c r="CZ99" s="111"/>
      <c r="DA99" s="111"/>
      <c r="DB99" s="111"/>
      <c r="DC99" s="111"/>
      <c r="DD99" s="111"/>
      <c r="DE99" s="111"/>
      <c r="DF99" s="111"/>
      <c r="DG99" s="111"/>
      <c r="DH99" s="111"/>
      <c r="DI99" s="111"/>
      <c r="DJ99" s="111"/>
      <c r="DK99" s="111"/>
      <c r="DL99" s="111"/>
      <c r="DM99" s="111"/>
      <c r="DN99" s="111"/>
      <c r="DO99" s="111"/>
      <c r="DP99" s="111"/>
      <c r="DQ99" s="111"/>
      <c r="DR99" s="111"/>
      <c r="DS99" s="111"/>
      <c r="DT99" s="111"/>
      <c r="DU99" s="111"/>
      <c r="DV99" s="111"/>
      <c r="DW99" s="111"/>
      <c r="DX99" s="111"/>
      <c r="DY99" s="111"/>
      <c r="DZ99" s="111"/>
      <c r="EA99" s="111"/>
      <c r="EB99" s="111"/>
      <c r="EC99" s="111"/>
      <c r="ED99" s="111"/>
      <c r="EE99" s="111"/>
      <c r="EF99" s="111"/>
      <c r="EG99" s="111"/>
      <c r="EH99" s="111"/>
      <c r="EI99" s="111"/>
      <c r="EJ99" s="111"/>
      <c r="EK99" s="111"/>
      <c r="EL99" s="111"/>
      <c r="EM99" s="111"/>
      <c r="EN99" s="111"/>
      <c r="EO99" s="111"/>
      <c r="EP99" s="111"/>
      <c r="EQ99" s="111"/>
      <c r="ER99" s="111"/>
      <c r="ES99" s="111"/>
      <c r="ET99" s="111"/>
      <c r="EU99" s="111"/>
      <c r="EV99" s="111"/>
      <c r="EW99" s="111"/>
      <c r="EX99" s="111"/>
      <c r="EY99" s="111"/>
      <c r="EZ99" s="111"/>
      <c r="FA99" s="111"/>
      <c r="FB99" s="111"/>
      <c r="FC99" s="111"/>
      <c r="FD99" s="111"/>
      <c r="FE99" s="111"/>
      <c r="FF99" s="111"/>
      <c r="FG99" s="111"/>
      <c r="FH99" s="111"/>
      <c r="FI99" s="111"/>
      <c r="FJ99" s="111"/>
      <c r="FK99" s="111"/>
      <c r="FL99" s="111"/>
      <c r="FM99" s="111"/>
      <c r="FN99" s="111"/>
      <c r="FO99" s="111"/>
      <c r="FP99" s="111"/>
      <c r="FQ99" s="111"/>
      <c r="FR99" s="111"/>
      <c r="FS99" s="111"/>
      <c r="FT99" s="111"/>
      <c r="FU99" s="111"/>
      <c r="FV99" s="111"/>
      <c r="FW99" s="111"/>
      <c r="FX99" s="111"/>
      <c r="FY99" s="111"/>
      <c r="FZ99" s="111"/>
      <c r="GA99" s="111"/>
      <c r="GB99" s="111"/>
      <c r="GC99" s="111"/>
      <c r="GD99" s="111"/>
      <c r="GE99" s="111"/>
      <c r="GF99" s="111"/>
      <c r="GG99" s="111"/>
      <c r="GH99" s="111"/>
      <c r="GI99" s="111"/>
      <c r="GJ99" s="111"/>
    </row>
    <row r="100" spans="1:192" ht="50.15" customHeight="1" outlineLevel="1" x14ac:dyDescent="0.35">
      <c r="A100" s="161" t="s">
        <v>5</v>
      </c>
      <c r="B100" s="180" t="s">
        <v>352</v>
      </c>
      <c r="C100" s="154" t="s">
        <v>500</v>
      </c>
      <c r="D100" s="180" t="s">
        <v>22</v>
      </c>
      <c r="E100" s="158" t="s">
        <v>694</v>
      </c>
      <c r="F100" s="23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111"/>
      <c r="AZ100" s="111"/>
      <c r="BA100" s="111"/>
      <c r="BB100" s="111"/>
      <c r="BC100" s="111"/>
      <c r="BD100" s="111"/>
      <c r="BE100" s="111"/>
      <c r="BF100" s="111"/>
      <c r="BG100" s="111"/>
      <c r="BH100" s="111"/>
      <c r="BI100" s="111"/>
      <c r="BJ100" s="111"/>
      <c r="BK100" s="111"/>
      <c r="BL100" s="111"/>
      <c r="BM100" s="111"/>
      <c r="BN100" s="111"/>
      <c r="BO100" s="111"/>
      <c r="BP100" s="111"/>
      <c r="BQ100" s="111"/>
      <c r="BR100" s="111"/>
      <c r="BS100" s="111"/>
      <c r="BT100" s="111"/>
      <c r="BU100" s="111"/>
      <c r="BV100" s="111"/>
      <c r="BW100" s="111"/>
      <c r="BX100" s="111"/>
      <c r="BY100" s="111"/>
      <c r="BZ100" s="111"/>
      <c r="CA100" s="111"/>
      <c r="CB100" s="111"/>
      <c r="CC100" s="111"/>
      <c r="CD100" s="111"/>
      <c r="CE100" s="111"/>
      <c r="CF100" s="111"/>
      <c r="CG100" s="111"/>
      <c r="CH100" s="111"/>
      <c r="CI100" s="111"/>
      <c r="CJ100" s="111"/>
      <c r="CK100" s="111"/>
      <c r="CL100" s="111"/>
      <c r="CM100" s="111"/>
      <c r="CN100" s="111"/>
      <c r="CO100" s="111"/>
      <c r="CP100" s="111"/>
      <c r="CQ100" s="111"/>
      <c r="CR100" s="111"/>
      <c r="CS100" s="111"/>
      <c r="CT100" s="111"/>
      <c r="CU100" s="111"/>
      <c r="CV100" s="111"/>
      <c r="CW100" s="111"/>
      <c r="CX100" s="111"/>
      <c r="CY100" s="111"/>
      <c r="CZ100" s="111"/>
      <c r="DA100" s="111"/>
      <c r="DB100" s="111"/>
      <c r="DC100" s="111"/>
      <c r="DD100" s="111"/>
      <c r="DE100" s="111"/>
      <c r="DF100" s="111"/>
      <c r="DG100" s="111"/>
      <c r="DH100" s="111"/>
      <c r="DI100" s="111"/>
      <c r="DJ100" s="111"/>
      <c r="DK100" s="111"/>
      <c r="DL100" s="111"/>
      <c r="DM100" s="111"/>
      <c r="DN100" s="111"/>
      <c r="DO100" s="111"/>
      <c r="DP100" s="111"/>
      <c r="DQ100" s="111"/>
      <c r="DR100" s="111"/>
      <c r="DS100" s="111"/>
      <c r="DT100" s="111"/>
      <c r="DU100" s="111"/>
      <c r="DV100" s="111"/>
      <c r="DW100" s="111"/>
      <c r="DX100" s="111"/>
      <c r="DY100" s="111"/>
      <c r="DZ100" s="111"/>
      <c r="EA100" s="111"/>
      <c r="EB100" s="111"/>
      <c r="EC100" s="111"/>
      <c r="ED100" s="111"/>
      <c r="EE100" s="111"/>
      <c r="EF100" s="111"/>
      <c r="EG100" s="111"/>
      <c r="EH100" s="111"/>
      <c r="EI100" s="111"/>
      <c r="EJ100" s="111"/>
      <c r="EK100" s="111"/>
      <c r="EL100" s="111"/>
      <c r="EM100" s="111"/>
      <c r="EN100" s="111"/>
      <c r="EO100" s="111"/>
      <c r="EP100" s="111"/>
      <c r="EQ100" s="111"/>
      <c r="ER100" s="111"/>
      <c r="ES100" s="111"/>
      <c r="ET100" s="111"/>
      <c r="EU100" s="111"/>
      <c r="EV100" s="111"/>
      <c r="EW100" s="111"/>
      <c r="EX100" s="111"/>
      <c r="EY100" s="111"/>
      <c r="EZ100" s="111"/>
      <c r="FA100" s="111"/>
      <c r="FB100" s="111"/>
      <c r="FC100" s="111"/>
      <c r="FD100" s="111"/>
      <c r="FE100" s="111"/>
      <c r="FF100" s="111"/>
      <c r="FG100" s="111"/>
      <c r="FH100" s="111"/>
      <c r="FI100" s="111"/>
      <c r="FJ100" s="111"/>
      <c r="FK100" s="111"/>
      <c r="FL100" s="111"/>
      <c r="FM100" s="111"/>
      <c r="FN100" s="111"/>
      <c r="FO100" s="111"/>
      <c r="FP100" s="111"/>
      <c r="FQ100" s="111"/>
      <c r="FR100" s="111"/>
      <c r="FS100" s="111"/>
      <c r="FT100" s="111"/>
      <c r="FU100" s="111"/>
      <c r="FV100" s="111"/>
      <c r="FW100" s="111"/>
      <c r="FX100" s="111"/>
      <c r="FY100" s="111"/>
      <c r="FZ100" s="111"/>
      <c r="GA100" s="111"/>
      <c r="GB100" s="111"/>
      <c r="GC100" s="111"/>
      <c r="GD100" s="111"/>
      <c r="GE100" s="111"/>
      <c r="GF100" s="111"/>
      <c r="GG100" s="111"/>
      <c r="GH100" s="111"/>
      <c r="GI100" s="111"/>
      <c r="GJ100" s="111"/>
    </row>
    <row r="101" spans="1:192" ht="50.15" customHeight="1" outlineLevel="1" x14ac:dyDescent="0.35">
      <c r="A101" s="161" t="s">
        <v>5</v>
      </c>
      <c r="B101" s="179" t="s">
        <v>353</v>
      </c>
      <c r="C101" s="156" t="s">
        <v>501</v>
      </c>
      <c r="D101" s="179" t="s">
        <v>22</v>
      </c>
      <c r="E101" s="159" t="s">
        <v>593</v>
      </c>
      <c r="F101" s="230"/>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111"/>
      <c r="AZ101" s="111"/>
      <c r="BA101" s="111"/>
      <c r="BB101" s="111"/>
      <c r="BC101" s="111"/>
      <c r="BD101" s="111"/>
      <c r="BE101" s="111"/>
      <c r="BF101" s="111"/>
      <c r="BG101" s="111"/>
      <c r="BH101" s="111"/>
      <c r="BI101" s="111"/>
      <c r="BJ101" s="111"/>
      <c r="BK101" s="111"/>
      <c r="BL101" s="111"/>
      <c r="BM101" s="111"/>
      <c r="BN101" s="111"/>
      <c r="BO101" s="111"/>
      <c r="BP101" s="111"/>
      <c r="BQ101" s="111"/>
      <c r="BR101" s="111"/>
      <c r="BS101" s="111"/>
      <c r="BT101" s="111"/>
      <c r="BU101" s="111"/>
      <c r="BV101" s="111"/>
      <c r="BW101" s="111"/>
      <c r="BX101" s="111"/>
      <c r="BY101" s="111"/>
      <c r="BZ101" s="111"/>
      <c r="CA101" s="111"/>
      <c r="CB101" s="111"/>
      <c r="CC101" s="111"/>
      <c r="CD101" s="111"/>
      <c r="CE101" s="111"/>
      <c r="CF101" s="111"/>
      <c r="CG101" s="111"/>
      <c r="CH101" s="111"/>
      <c r="CI101" s="111"/>
      <c r="CJ101" s="111"/>
      <c r="CK101" s="111"/>
      <c r="CL101" s="111"/>
      <c r="CM101" s="111"/>
      <c r="CN101" s="111"/>
      <c r="CO101" s="111"/>
      <c r="CP101" s="111"/>
      <c r="CQ101" s="111"/>
      <c r="CR101" s="111"/>
      <c r="CS101" s="111"/>
      <c r="CT101" s="111"/>
      <c r="CU101" s="111"/>
      <c r="CV101" s="111"/>
      <c r="CW101" s="111"/>
      <c r="CX101" s="111"/>
      <c r="CY101" s="111"/>
      <c r="CZ101" s="111"/>
      <c r="DA101" s="111"/>
      <c r="DB101" s="111"/>
      <c r="DC101" s="111"/>
      <c r="DD101" s="111"/>
      <c r="DE101" s="111"/>
      <c r="DF101" s="111"/>
      <c r="DG101" s="111"/>
      <c r="DH101" s="111"/>
      <c r="DI101" s="111"/>
      <c r="DJ101" s="111"/>
      <c r="DK101" s="111"/>
      <c r="DL101" s="111"/>
      <c r="DM101" s="111"/>
      <c r="DN101" s="111"/>
      <c r="DO101" s="111"/>
      <c r="DP101" s="111"/>
      <c r="DQ101" s="111"/>
      <c r="DR101" s="111"/>
      <c r="DS101" s="111"/>
      <c r="DT101" s="111"/>
      <c r="DU101" s="111"/>
      <c r="DV101" s="111"/>
      <c r="DW101" s="111"/>
      <c r="DX101" s="111"/>
      <c r="DY101" s="111"/>
      <c r="DZ101" s="111"/>
      <c r="EA101" s="111"/>
      <c r="EB101" s="111"/>
      <c r="EC101" s="111"/>
      <c r="ED101" s="111"/>
      <c r="EE101" s="111"/>
      <c r="EF101" s="111"/>
      <c r="EG101" s="111"/>
      <c r="EH101" s="111"/>
      <c r="EI101" s="111"/>
      <c r="EJ101" s="111"/>
      <c r="EK101" s="111"/>
      <c r="EL101" s="111"/>
      <c r="EM101" s="111"/>
      <c r="EN101" s="111"/>
      <c r="EO101" s="111"/>
      <c r="EP101" s="111"/>
      <c r="EQ101" s="111"/>
      <c r="ER101" s="111"/>
      <c r="ES101" s="111"/>
      <c r="ET101" s="111"/>
      <c r="EU101" s="111"/>
      <c r="EV101" s="111"/>
      <c r="EW101" s="111"/>
      <c r="EX101" s="111"/>
      <c r="EY101" s="111"/>
      <c r="EZ101" s="111"/>
      <c r="FA101" s="111"/>
      <c r="FB101" s="111"/>
      <c r="FC101" s="111"/>
      <c r="FD101" s="111"/>
      <c r="FE101" s="111"/>
      <c r="FF101" s="111"/>
      <c r="FG101" s="111"/>
      <c r="FH101" s="111"/>
      <c r="FI101" s="111"/>
      <c r="FJ101" s="111"/>
      <c r="FK101" s="111"/>
      <c r="FL101" s="111"/>
      <c r="FM101" s="111"/>
      <c r="FN101" s="111"/>
      <c r="FO101" s="111"/>
      <c r="FP101" s="111"/>
      <c r="FQ101" s="111"/>
      <c r="FR101" s="111"/>
      <c r="FS101" s="111"/>
      <c r="FT101" s="111"/>
      <c r="FU101" s="111"/>
      <c r="FV101" s="111"/>
      <c r="FW101" s="111"/>
      <c r="FX101" s="111"/>
      <c r="FY101" s="111"/>
      <c r="FZ101" s="111"/>
      <c r="GA101" s="111"/>
      <c r="GB101" s="111"/>
      <c r="GC101" s="111"/>
      <c r="GD101" s="111"/>
      <c r="GE101" s="111"/>
      <c r="GF101" s="111"/>
      <c r="GG101" s="111"/>
      <c r="GH101" s="111"/>
      <c r="GI101" s="111"/>
      <c r="GJ101" s="111"/>
    </row>
    <row r="102" spans="1:192" ht="50.15" customHeight="1" outlineLevel="1" x14ac:dyDescent="0.35">
      <c r="A102" s="161" t="s">
        <v>5</v>
      </c>
      <c r="B102" s="180" t="s">
        <v>354</v>
      </c>
      <c r="C102" s="217" t="s">
        <v>502</v>
      </c>
      <c r="D102" s="212" t="s">
        <v>22</v>
      </c>
      <c r="E102" s="217" t="s">
        <v>594</v>
      </c>
      <c r="F102" s="228"/>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111"/>
      <c r="AZ102" s="111"/>
      <c r="BA102" s="111"/>
      <c r="BB102" s="111"/>
      <c r="BC102" s="111"/>
      <c r="BD102" s="111"/>
      <c r="BE102" s="111"/>
      <c r="BF102" s="111"/>
      <c r="BG102" s="111"/>
      <c r="BH102" s="111"/>
      <c r="BI102" s="111"/>
      <c r="BJ102" s="111"/>
      <c r="BK102" s="111"/>
      <c r="BL102" s="111"/>
      <c r="BM102" s="111"/>
      <c r="BN102" s="111"/>
      <c r="BO102" s="111"/>
      <c r="BP102" s="111"/>
      <c r="BQ102" s="111"/>
      <c r="BR102" s="111"/>
      <c r="BS102" s="111"/>
      <c r="BT102" s="111"/>
      <c r="BU102" s="111"/>
      <c r="BV102" s="111"/>
      <c r="BW102" s="111"/>
      <c r="BX102" s="111"/>
      <c r="BY102" s="111"/>
      <c r="BZ102" s="111"/>
      <c r="CA102" s="111"/>
      <c r="CB102" s="111"/>
      <c r="CC102" s="111"/>
      <c r="CD102" s="111"/>
      <c r="CE102" s="111"/>
      <c r="CF102" s="111"/>
      <c r="CG102" s="111"/>
      <c r="CH102" s="111"/>
      <c r="CI102" s="111"/>
      <c r="CJ102" s="111"/>
      <c r="CK102" s="111"/>
      <c r="CL102" s="111"/>
      <c r="CM102" s="111"/>
      <c r="CN102" s="111"/>
      <c r="CO102" s="111"/>
      <c r="CP102" s="111"/>
      <c r="CQ102" s="111"/>
      <c r="CR102" s="111"/>
      <c r="CS102" s="111"/>
      <c r="CT102" s="111"/>
      <c r="CU102" s="111"/>
      <c r="CV102" s="111"/>
      <c r="CW102" s="111"/>
      <c r="CX102" s="111"/>
      <c r="CY102" s="111"/>
      <c r="CZ102" s="111"/>
      <c r="DA102" s="111"/>
      <c r="DB102" s="111"/>
      <c r="DC102" s="111"/>
      <c r="DD102" s="111"/>
      <c r="DE102" s="111"/>
      <c r="DF102" s="111"/>
      <c r="DG102" s="111"/>
      <c r="DH102" s="111"/>
      <c r="DI102" s="111"/>
      <c r="DJ102" s="111"/>
      <c r="DK102" s="111"/>
      <c r="DL102" s="111"/>
      <c r="DM102" s="111"/>
      <c r="DN102" s="111"/>
      <c r="DO102" s="111"/>
      <c r="DP102" s="111"/>
      <c r="DQ102" s="111"/>
      <c r="DR102" s="111"/>
      <c r="DS102" s="111"/>
      <c r="DT102" s="111"/>
      <c r="DU102" s="111"/>
      <c r="DV102" s="111"/>
      <c r="DW102" s="111"/>
      <c r="DX102" s="111"/>
      <c r="DY102" s="111"/>
      <c r="DZ102" s="111"/>
      <c r="EA102" s="111"/>
      <c r="EB102" s="111"/>
      <c r="EC102" s="111"/>
      <c r="ED102" s="111"/>
      <c r="EE102" s="111"/>
      <c r="EF102" s="111"/>
      <c r="EG102" s="111"/>
      <c r="EH102" s="111"/>
      <c r="EI102" s="111"/>
      <c r="EJ102" s="111"/>
      <c r="EK102" s="111"/>
      <c r="EL102" s="111"/>
      <c r="EM102" s="111"/>
      <c r="EN102" s="111"/>
      <c r="EO102" s="111"/>
      <c r="EP102" s="111"/>
      <c r="EQ102" s="111"/>
      <c r="ER102" s="111"/>
      <c r="ES102" s="111"/>
      <c r="ET102" s="111"/>
      <c r="EU102" s="111"/>
      <c r="EV102" s="111"/>
      <c r="EW102" s="111"/>
      <c r="EX102" s="111"/>
      <c r="EY102" s="111"/>
      <c r="EZ102" s="111"/>
      <c r="FA102" s="111"/>
      <c r="FB102" s="111"/>
      <c r="FC102" s="111"/>
      <c r="FD102" s="111"/>
      <c r="FE102" s="111"/>
      <c r="FF102" s="111"/>
      <c r="FG102" s="111"/>
      <c r="FH102" s="111"/>
      <c r="FI102" s="111"/>
      <c r="FJ102" s="111"/>
      <c r="FK102" s="111"/>
      <c r="FL102" s="111"/>
      <c r="FM102" s="111"/>
      <c r="FN102" s="111"/>
      <c r="FO102" s="111"/>
      <c r="FP102" s="111"/>
      <c r="FQ102" s="111"/>
      <c r="FR102" s="111"/>
      <c r="FS102" s="111"/>
      <c r="FT102" s="111"/>
      <c r="FU102" s="111"/>
      <c r="FV102" s="111"/>
      <c r="FW102" s="111"/>
      <c r="FX102" s="111"/>
      <c r="FY102" s="111"/>
      <c r="FZ102" s="111"/>
      <c r="GA102" s="111"/>
      <c r="GB102" s="111"/>
      <c r="GC102" s="111"/>
      <c r="GD102" s="111"/>
      <c r="GE102" s="111"/>
      <c r="GF102" s="111"/>
      <c r="GG102" s="111"/>
      <c r="GH102" s="111"/>
      <c r="GI102" s="111"/>
      <c r="GJ102" s="111"/>
    </row>
    <row r="103" spans="1:192" ht="50.15" customHeight="1" outlineLevel="1" x14ac:dyDescent="0.35">
      <c r="A103" s="161" t="s">
        <v>5</v>
      </c>
      <c r="B103" s="179" t="s">
        <v>355</v>
      </c>
      <c r="C103" s="156" t="s">
        <v>503</v>
      </c>
      <c r="D103" s="179" t="s">
        <v>22</v>
      </c>
      <c r="E103" s="156" t="s">
        <v>595</v>
      </c>
      <c r="F103" s="230"/>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111"/>
      <c r="AZ103" s="111"/>
      <c r="BA103" s="111"/>
      <c r="BB103" s="111"/>
      <c r="BC103" s="111"/>
      <c r="BD103" s="111"/>
      <c r="BE103" s="111"/>
      <c r="BF103" s="111"/>
      <c r="BG103" s="111"/>
      <c r="BH103" s="111"/>
      <c r="BI103" s="111"/>
      <c r="BJ103" s="111"/>
      <c r="BK103" s="111"/>
      <c r="BL103" s="111"/>
      <c r="BM103" s="111"/>
      <c r="BN103" s="111"/>
      <c r="BO103" s="111"/>
      <c r="BP103" s="111"/>
      <c r="BQ103" s="111"/>
      <c r="BR103" s="111"/>
      <c r="BS103" s="111"/>
      <c r="BT103" s="111"/>
      <c r="BU103" s="111"/>
      <c r="BV103" s="111"/>
      <c r="BW103" s="111"/>
      <c r="BX103" s="111"/>
      <c r="BY103" s="111"/>
      <c r="BZ103" s="111"/>
      <c r="CA103" s="111"/>
      <c r="CB103" s="111"/>
      <c r="CC103" s="111"/>
      <c r="CD103" s="111"/>
      <c r="CE103" s="111"/>
      <c r="CF103" s="111"/>
      <c r="CG103" s="111"/>
      <c r="CH103" s="111"/>
      <c r="CI103" s="111"/>
      <c r="CJ103" s="111"/>
      <c r="CK103" s="111"/>
      <c r="CL103" s="111"/>
      <c r="CM103" s="111"/>
      <c r="CN103" s="111"/>
      <c r="CO103" s="111"/>
      <c r="CP103" s="111"/>
      <c r="CQ103" s="111"/>
      <c r="CR103" s="111"/>
      <c r="CS103" s="111"/>
      <c r="CT103" s="111"/>
      <c r="CU103" s="111"/>
      <c r="CV103" s="111"/>
      <c r="CW103" s="111"/>
      <c r="CX103" s="111"/>
      <c r="CY103" s="111"/>
      <c r="CZ103" s="111"/>
      <c r="DA103" s="111"/>
      <c r="DB103" s="111"/>
      <c r="DC103" s="111"/>
      <c r="DD103" s="111"/>
      <c r="DE103" s="111"/>
      <c r="DF103" s="111"/>
      <c r="DG103" s="111"/>
      <c r="DH103" s="111"/>
      <c r="DI103" s="111"/>
      <c r="DJ103" s="111"/>
      <c r="DK103" s="111"/>
      <c r="DL103" s="111"/>
      <c r="DM103" s="111"/>
      <c r="DN103" s="111"/>
      <c r="DO103" s="111"/>
      <c r="DP103" s="111"/>
      <c r="DQ103" s="111"/>
      <c r="DR103" s="111"/>
      <c r="DS103" s="111"/>
      <c r="DT103" s="111"/>
      <c r="DU103" s="111"/>
      <c r="DV103" s="111"/>
      <c r="DW103" s="111"/>
      <c r="DX103" s="111"/>
      <c r="DY103" s="111"/>
      <c r="DZ103" s="111"/>
      <c r="EA103" s="111"/>
      <c r="EB103" s="111"/>
      <c r="EC103" s="111"/>
      <c r="ED103" s="111"/>
      <c r="EE103" s="111"/>
      <c r="EF103" s="111"/>
      <c r="EG103" s="111"/>
      <c r="EH103" s="111"/>
      <c r="EI103" s="111"/>
      <c r="EJ103" s="111"/>
      <c r="EK103" s="111"/>
      <c r="EL103" s="111"/>
      <c r="EM103" s="111"/>
      <c r="EN103" s="111"/>
      <c r="EO103" s="111"/>
      <c r="EP103" s="111"/>
      <c r="EQ103" s="111"/>
      <c r="ER103" s="111"/>
      <c r="ES103" s="111"/>
      <c r="ET103" s="111"/>
      <c r="EU103" s="111"/>
      <c r="EV103" s="111"/>
      <c r="EW103" s="111"/>
      <c r="EX103" s="111"/>
      <c r="EY103" s="111"/>
      <c r="EZ103" s="111"/>
      <c r="FA103" s="111"/>
      <c r="FB103" s="111"/>
      <c r="FC103" s="111"/>
      <c r="FD103" s="111"/>
      <c r="FE103" s="111"/>
      <c r="FF103" s="111"/>
      <c r="FG103" s="111"/>
      <c r="FH103" s="111"/>
      <c r="FI103" s="111"/>
      <c r="FJ103" s="111"/>
      <c r="FK103" s="111"/>
      <c r="FL103" s="111"/>
      <c r="FM103" s="111"/>
      <c r="FN103" s="111"/>
      <c r="FO103" s="111"/>
      <c r="FP103" s="111"/>
      <c r="FQ103" s="111"/>
      <c r="FR103" s="111"/>
      <c r="FS103" s="111"/>
      <c r="FT103" s="111"/>
      <c r="FU103" s="111"/>
      <c r="FV103" s="111"/>
      <c r="FW103" s="111"/>
      <c r="FX103" s="111"/>
      <c r="FY103" s="111"/>
      <c r="FZ103" s="111"/>
      <c r="GA103" s="111"/>
      <c r="GB103" s="111"/>
      <c r="GC103" s="111"/>
      <c r="GD103" s="111"/>
      <c r="GE103" s="111"/>
      <c r="GF103" s="111"/>
      <c r="GG103" s="111"/>
      <c r="GH103" s="111"/>
      <c r="GI103" s="111"/>
      <c r="GJ103" s="111"/>
    </row>
    <row r="104" spans="1:192" ht="50.15" customHeight="1" outlineLevel="1" x14ac:dyDescent="0.35">
      <c r="A104" s="161" t="s">
        <v>5</v>
      </c>
      <c r="B104" s="180" t="s">
        <v>356</v>
      </c>
      <c r="C104" s="217" t="s">
        <v>504</v>
      </c>
      <c r="D104" s="212" t="s">
        <v>22</v>
      </c>
      <c r="E104" s="215" t="s">
        <v>596</v>
      </c>
      <c r="F104" s="228"/>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111"/>
      <c r="AZ104" s="111"/>
      <c r="BA104" s="111"/>
      <c r="BB104" s="111"/>
      <c r="BC104" s="111"/>
      <c r="BD104" s="111"/>
      <c r="BE104" s="111"/>
      <c r="BF104" s="111"/>
      <c r="BG104" s="111"/>
      <c r="BH104" s="111"/>
      <c r="BI104" s="111"/>
      <c r="BJ104" s="111"/>
      <c r="BK104" s="111"/>
      <c r="BL104" s="111"/>
      <c r="BM104" s="111"/>
      <c r="BN104" s="111"/>
      <c r="BO104" s="111"/>
      <c r="BP104" s="111"/>
      <c r="BQ104" s="111"/>
      <c r="BR104" s="111"/>
      <c r="BS104" s="111"/>
      <c r="BT104" s="111"/>
      <c r="BU104" s="111"/>
      <c r="BV104" s="111"/>
      <c r="BW104" s="111"/>
      <c r="BX104" s="111"/>
      <c r="BY104" s="111"/>
      <c r="BZ104" s="111"/>
      <c r="CA104" s="111"/>
      <c r="CB104" s="111"/>
      <c r="CC104" s="111"/>
      <c r="CD104" s="111"/>
      <c r="CE104" s="111"/>
      <c r="CF104" s="111"/>
      <c r="CG104" s="111"/>
      <c r="CH104" s="111"/>
      <c r="CI104" s="111"/>
      <c r="CJ104" s="111"/>
      <c r="CK104" s="111"/>
      <c r="CL104" s="111"/>
      <c r="CM104" s="111"/>
      <c r="CN104" s="111"/>
      <c r="CO104" s="111"/>
      <c r="CP104" s="111"/>
      <c r="CQ104" s="111"/>
      <c r="CR104" s="111"/>
      <c r="CS104" s="111"/>
      <c r="CT104" s="111"/>
      <c r="CU104" s="111"/>
      <c r="CV104" s="111"/>
      <c r="CW104" s="111"/>
      <c r="CX104" s="111"/>
      <c r="CY104" s="111"/>
      <c r="CZ104" s="111"/>
      <c r="DA104" s="111"/>
      <c r="DB104" s="111"/>
      <c r="DC104" s="111"/>
      <c r="DD104" s="111"/>
      <c r="DE104" s="111"/>
      <c r="DF104" s="111"/>
      <c r="DG104" s="111"/>
      <c r="DH104" s="111"/>
      <c r="DI104" s="111"/>
      <c r="DJ104" s="111"/>
      <c r="DK104" s="111"/>
      <c r="DL104" s="111"/>
      <c r="DM104" s="111"/>
      <c r="DN104" s="111"/>
      <c r="DO104" s="111"/>
      <c r="DP104" s="111"/>
      <c r="DQ104" s="111"/>
      <c r="DR104" s="111"/>
      <c r="DS104" s="111"/>
      <c r="DT104" s="111"/>
      <c r="DU104" s="111"/>
      <c r="DV104" s="111"/>
      <c r="DW104" s="111"/>
      <c r="DX104" s="111"/>
      <c r="DY104" s="111"/>
      <c r="DZ104" s="111"/>
      <c r="EA104" s="111"/>
      <c r="EB104" s="111"/>
      <c r="EC104" s="111"/>
      <c r="ED104" s="111"/>
      <c r="EE104" s="111"/>
      <c r="EF104" s="111"/>
      <c r="EG104" s="111"/>
      <c r="EH104" s="111"/>
      <c r="EI104" s="111"/>
      <c r="EJ104" s="111"/>
      <c r="EK104" s="111"/>
      <c r="EL104" s="111"/>
      <c r="EM104" s="111"/>
      <c r="EN104" s="111"/>
      <c r="EO104" s="111"/>
      <c r="EP104" s="111"/>
      <c r="EQ104" s="111"/>
      <c r="ER104" s="111"/>
      <c r="ES104" s="111"/>
      <c r="ET104" s="111"/>
      <c r="EU104" s="111"/>
      <c r="EV104" s="111"/>
      <c r="EW104" s="111"/>
      <c r="EX104" s="111"/>
      <c r="EY104" s="111"/>
      <c r="EZ104" s="111"/>
      <c r="FA104" s="111"/>
      <c r="FB104" s="111"/>
      <c r="FC104" s="111"/>
      <c r="FD104" s="111"/>
      <c r="FE104" s="111"/>
      <c r="FF104" s="111"/>
      <c r="FG104" s="111"/>
      <c r="FH104" s="111"/>
      <c r="FI104" s="111"/>
      <c r="FJ104" s="111"/>
      <c r="FK104" s="111"/>
      <c r="FL104" s="111"/>
      <c r="FM104" s="111"/>
      <c r="FN104" s="111"/>
      <c r="FO104" s="111"/>
      <c r="FP104" s="111"/>
      <c r="FQ104" s="111"/>
      <c r="FR104" s="111"/>
      <c r="FS104" s="111"/>
      <c r="FT104" s="111"/>
      <c r="FU104" s="111"/>
      <c r="FV104" s="111"/>
      <c r="FW104" s="111"/>
      <c r="FX104" s="111"/>
      <c r="FY104" s="111"/>
      <c r="FZ104" s="111"/>
      <c r="GA104" s="111"/>
      <c r="GB104" s="111"/>
      <c r="GC104" s="111"/>
      <c r="GD104" s="111"/>
      <c r="GE104" s="111"/>
      <c r="GF104" s="111"/>
      <c r="GG104" s="111"/>
      <c r="GH104" s="111"/>
      <c r="GI104" s="111"/>
      <c r="GJ104" s="111"/>
    </row>
    <row r="105" spans="1:192" ht="50.15" customHeight="1" outlineLevel="1" x14ac:dyDescent="0.35">
      <c r="A105" s="160" t="s">
        <v>240</v>
      </c>
      <c r="B105" s="179" t="s">
        <v>357</v>
      </c>
      <c r="C105" s="156" t="s">
        <v>505</v>
      </c>
      <c r="D105" s="179" t="s">
        <v>22</v>
      </c>
      <c r="E105" s="156" t="s">
        <v>597</v>
      </c>
      <c r="F105" s="230"/>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111"/>
      <c r="AZ105" s="111"/>
      <c r="BA105" s="111"/>
      <c r="BB105" s="111"/>
      <c r="BC105" s="111"/>
      <c r="BD105" s="111"/>
      <c r="BE105" s="111"/>
      <c r="BF105" s="111"/>
      <c r="BG105" s="111"/>
      <c r="BH105" s="111"/>
      <c r="BI105" s="111"/>
      <c r="BJ105" s="111"/>
      <c r="BK105" s="111"/>
      <c r="BL105" s="111"/>
      <c r="BM105" s="111"/>
      <c r="BN105" s="111"/>
      <c r="BO105" s="111"/>
      <c r="BP105" s="111"/>
      <c r="BQ105" s="111"/>
      <c r="BR105" s="111"/>
      <c r="BS105" s="111"/>
      <c r="BT105" s="111"/>
      <c r="BU105" s="111"/>
      <c r="BV105" s="111"/>
      <c r="BW105" s="111"/>
      <c r="BX105" s="111"/>
      <c r="BY105" s="111"/>
      <c r="BZ105" s="111"/>
      <c r="CA105" s="111"/>
      <c r="CB105" s="111"/>
      <c r="CC105" s="111"/>
      <c r="CD105" s="111"/>
      <c r="CE105" s="111"/>
      <c r="CF105" s="111"/>
      <c r="CG105" s="111"/>
      <c r="CH105" s="111"/>
      <c r="CI105" s="111"/>
      <c r="CJ105" s="111"/>
      <c r="CK105" s="111"/>
      <c r="CL105" s="111"/>
      <c r="CM105" s="111"/>
      <c r="CN105" s="111"/>
      <c r="CO105" s="111"/>
      <c r="CP105" s="111"/>
      <c r="CQ105" s="111"/>
      <c r="CR105" s="111"/>
      <c r="CS105" s="111"/>
      <c r="CT105" s="111"/>
      <c r="CU105" s="111"/>
      <c r="CV105" s="111"/>
      <c r="CW105" s="111"/>
      <c r="CX105" s="111"/>
      <c r="CY105" s="111"/>
      <c r="CZ105" s="111"/>
      <c r="DA105" s="111"/>
      <c r="DB105" s="111"/>
      <c r="DC105" s="111"/>
      <c r="DD105" s="111"/>
      <c r="DE105" s="111"/>
      <c r="DF105" s="111"/>
      <c r="DG105" s="111"/>
      <c r="DH105" s="111"/>
      <c r="DI105" s="111"/>
      <c r="DJ105" s="111"/>
      <c r="DK105" s="111"/>
      <c r="DL105" s="111"/>
      <c r="DM105" s="111"/>
      <c r="DN105" s="111"/>
      <c r="DO105" s="111"/>
      <c r="DP105" s="111"/>
      <c r="DQ105" s="111"/>
      <c r="DR105" s="111"/>
      <c r="DS105" s="111"/>
      <c r="DT105" s="111"/>
      <c r="DU105" s="111"/>
      <c r="DV105" s="111"/>
      <c r="DW105" s="111"/>
      <c r="DX105" s="111"/>
      <c r="DY105" s="111"/>
      <c r="DZ105" s="111"/>
      <c r="EA105" s="111"/>
      <c r="EB105" s="111"/>
      <c r="EC105" s="111"/>
      <c r="ED105" s="111"/>
      <c r="EE105" s="111"/>
      <c r="EF105" s="111"/>
      <c r="EG105" s="111"/>
      <c r="EH105" s="111"/>
      <c r="EI105" s="111"/>
      <c r="EJ105" s="111"/>
      <c r="EK105" s="111"/>
      <c r="EL105" s="111"/>
      <c r="EM105" s="111"/>
      <c r="EN105" s="111"/>
      <c r="EO105" s="111"/>
      <c r="EP105" s="111"/>
      <c r="EQ105" s="111"/>
      <c r="ER105" s="111"/>
      <c r="ES105" s="111"/>
      <c r="ET105" s="111"/>
      <c r="EU105" s="111"/>
      <c r="EV105" s="111"/>
      <c r="EW105" s="111"/>
      <c r="EX105" s="111"/>
      <c r="EY105" s="111"/>
      <c r="EZ105" s="111"/>
      <c r="FA105" s="111"/>
      <c r="FB105" s="111"/>
      <c r="FC105" s="111"/>
      <c r="FD105" s="111"/>
      <c r="FE105" s="111"/>
      <c r="FF105" s="111"/>
      <c r="FG105" s="111"/>
      <c r="FH105" s="111"/>
      <c r="FI105" s="111"/>
      <c r="FJ105" s="111"/>
      <c r="FK105" s="111"/>
      <c r="FL105" s="111"/>
      <c r="FM105" s="111"/>
      <c r="FN105" s="111"/>
      <c r="FO105" s="111"/>
      <c r="FP105" s="111"/>
      <c r="FQ105" s="111"/>
      <c r="FR105" s="111"/>
      <c r="FS105" s="111"/>
      <c r="FT105" s="111"/>
      <c r="FU105" s="111"/>
      <c r="FV105" s="111"/>
      <c r="FW105" s="111"/>
      <c r="FX105" s="111"/>
      <c r="FY105" s="111"/>
      <c r="FZ105" s="111"/>
      <c r="GA105" s="111"/>
      <c r="GB105" s="111"/>
      <c r="GC105" s="111"/>
      <c r="GD105" s="111"/>
      <c r="GE105" s="111"/>
      <c r="GF105" s="111"/>
      <c r="GG105" s="111"/>
      <c r="GH105" s="111"/>
      <c r="GI105" s="111"/>
      <c r="GJ105" s="111"/>
    </row>
    <row r="106" spans="1:192" ht="50.15" customHeight="1" outlineLevel="1" x14ac:dyDescent="0.35">
      <c r="A106" s="160" t="s">
        <v>240</v>
      </c>
      <c r="B106" s="180" t="s">
        <v>358</v>
      </c>
      <c r="C106" s="217" t="s">
        <v>506</v>
      </c>
      <c r="D106" s="212" t="s">
        <v>22</v>
      </c>
      <c r="E106" s="215" t="s">
        <v>598</v>
      </c>
      <c r="F106" s="228"/>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111"/>
      <c r="AZ106" s="111"/>
      <c r="BA106" s="111"/>
      <c r="BB106" s="111"/>
      <c r="BC106" s="111"/>
      <c r="BD106" s="111"/>
      <c r="BE106" s="111"/>
      <c r="BF106" s="111"/>
      <c r="BG106" s="111"/>
      <c r="BH106" s="111"/>
      <c r="BI106" s="111"/>
      <c r="BJ106" s="111"/>
      <c r="BK106" s="111"/>
      <c r="BL106" s="111"/>
      <c r="BM106" s="111"/>
      <c r="BN106" s="111"/>
      <c r="BO106" s="111"/>
      <c r="BP106" s="111"/>
      <c r="BQ106" s="111"/>
      <c r="BR106" s="111"/>
      <c r="BS106" s="111"/>
      <c r="BT106" s="111"/>
      <c r="BU106" s="111"/>
      <c r="BV106" s="111"/>
      <c r="BW106" s="111"/>
      <c r="BX106" s="111"/>
      <c r="BY106" s="111"/>
      <c r="BZ106" s="111"/>
      <c r="CA106" s="111"/>
      <c r="CB106" s="111"/>
      <c r="CC106" s="111"/>
      <c r="CD106" s="111"/>
      <c r="CE106" s="111"/>
      <c r="CF106" s="111"/>
      <c r="CG106" s="111"/>
      <c r="CH106" s="111"/>
      <c r="CI106" s="111"/>
      <c r="CJ106" s="111"/>
      <c r="CK106" s="111"/>
      <c r="CL106" s="111"/>
      <c r="CM106" s="111"/>
      <c r="CN106" s="111"/>
      <c r="CO106" s="111"/>
      <c r="CP106" s="111"/>
      <c r="CQ106" s="111"/>
      <c r="CR106" s="111"/>
      <c r="CS106" s="111"/>
      <c r="CT106" s="111"/>
      <c r="CU106" s="111"/>
      <c r="CV106" s="111"/>
      <c r="CW106" s="111"/>
      <c r="CX106" s="111"/>
      <c r="CY106" s="111"/>
      <c r="CZ106" s="111"/>
      <c r="DA106" s="111"/>
      <c r="DB106" s="111"/>
      <c r="DC106" s="111"/>
      <c r="DD106" s="111"/>
      <c r="DE106" s="111"/>
      <c r="DF106" s="111"/>
      <c r="DG106" s="111"/>
      <c r="DH106" s="111"/>
      <c r="DI106" s="111"/>
      <c r="DJ106" s="111"/>
      <c r="DK106" s="111"/>
      <c r="DL106" s="111"/>
      <c r="DM106" s="111"/>
      <c r="DN106" s="111"/>
      <c r="DO106" s="111"/>
      <c r="DP106" s="111"/>
      <c r="DQ106" s="111"/>
      <c r="DR106" s="111"/>
      <c r="DS106" s="111"/>
      <c r="DT106" s="111"/>
      <c r="DU106" s="111"/>
      <c r="DV106" s="111"/>
      <c r="DW106" s="111"/>
      <c r="DX106" s="111"/>
      <c r="DY106" s="111"/>
      <c r="DZ106" s="111"/>
      <c r="EA106" s="111"/>
      <c r="EB106" s="111"/>
      <c r="EC106" s="111"/>
      <c r="ED106" s="111"/>
      <c r="EE106" s="111"/>
      <c r="EF106" s="111"/>
      <c r="EG106" s="111"/>
      <c r="EH106" s="111"/>
      <c r="EI106" s="111"/>
      <c r="EJ106" s="111"/>
      <c r="EK106" s="111"/>
      <c r="EL106" s="111"/>
      <c r="EM106" s="111"/>
      <c r="EN106" s="111"/>
      <c r="EO106" s="111"/>
      <c r="EP106" s="111"/>
      <c r="EQ106" s="111"/>
      <c r="ER106" s="111"/>
      <c r="ES106" s="111"/>
      <c r="ET106" s="111"/>
      <c r="EU106" s="111"/>
      <c r="EV106" s="111"/>
      <c r="EW106" s="111"/>
      <c r="EX106" s="111"/>
      <c r="EY106" s="111"/>
      <c r="EZ106" s="111"/>
      <c r="FA106" s="111"/>
      <c r="FB106" s="111"/>
      <c r="FC106" s="111"/>
      <c r="FD106" s="111"/>
      <c r="FE106" s="111"/>
      <c r="FF106" s="111"/>
      <c r="FG106" s="111"/>
      <c r="FH106" s="111"/>
      <c r="FI106" s="111"/>
      <c r="FJ106" s="111"/>
      <c r="FK106" s="111"/>
      <c r="FL106" s="111"/>
      <c r="FM106" s="111"/>
      <c r="FN106" s="111"/>
      <c r="FO106" s="111"/>
      <c r="FP106" s="111"/>
      <c r="FQ106" s="111"/>
      <c r="FR106" s="111"/>
      <c r="FS106" s="111"/>
      <c r="FT106" s="111"/>
      <c r="FU106" s="111"/>
      <c r="FV106" s="111"/>
      <c r="FW106" s="111"/>
      <c r="FX106" s="111"/>
      <c r="FY106" s="111"/>
      <c r="FZ106" s="111"/>
      <c r="GA106" s="111"/>
      <c r="GB106" s="111"/>
      <c r="GC106" s="111"/>
      <c r="GD106" s="111"/>
      <c r="GE106" s="111"/>
      <c r="GF106" s="111"/>
      <c r="GG106" s="111"/>
      <c r="GH106" s="111"/>
      <c r="GI106" s="111"/>
      <c r="GJ106" s="111"/>
    </row>
    <row r="107" spans="1:192" ht="50.15" customHeight="1" outlineLevel="1" x14ac:dyDescent="0.35">
      <c r="A107" s="160" t="s">
        <v>240</v>
      </c>
      <c r="B107" s="179" t="s">
        <v>359</v>
      </c>
      <c r="C107" s="156" t="s">
        <v>507</v>
      </c>
      <c r="D107" s="179" t="s">
        <v>22</v>
      </c>
      <c r="E107" s="156" t="s">
        <v>599</v>
      </c>
      <c r="F107" s="230"/>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111"/>
      <c r="AZ107" s="111"/>
      <c r="BA107" s="111"/>
      <c r="BB107" s="111"/>
      <c r="BC107" s="111"/>
      <c r="BD107" s="111"/>
      <c r="BE107" s="111"/>
      <c r="BF107" s="111"/>
      <c r="BG107" s="111"/>
      <c r="BH107" s="111"/>
      <c r="BI107" s="111"/>
      <c r="BJ107" s="111"/>
      <c r="BK107" s="111"/>
      <c r="BL107" s="111"/>
      <c r="BM107" s="111"/>
      <c r="BN107" s="111"/>
      <c r="BO107" s="111"/>
      <c r="BP107" s="111"/>
      <c r="BQ107" s="111"/>
      <c r="BR107" s="111"/>
      <c r="BS107" s="111"/>
      <c r="BT107" s="111"/>
      <c r="BU107" s="111"/>
      <c r="BV107" s="111"/>
      <c r="BW107" s="111"/>
      <c r="BX107" s="111"/>
      <c r="BY107" s="111"/>
      <c r="BZ107" s="111"/>
      <c r="CA107" s="111"/>
      <c r="CB107" s="111"/>
      <c r="CC107" s="111"/>
      <c r="CD107" s="111"/>
      <c r="CE107" s="111"/>
      <c r="CF107" s="111"/>
      <c r="CG107" s="111"/>
      <c r="CH107" s="111"/>
      <c r="CI107" s="111"/>
      <c r="CJ107" s="111"/>
      <c r="CK107" s="111"/>
      <c r="CL107" s="111"/>
      <c r="CM107" s="111"/>
      <c r="CN107" s="111"/>
      <c r="CO107" s="111"/>
      <c r="CP107" s="111"/>
      <c r="CQ107" s="111"/>
      <c r="CR107" s="111"/>
      <c r="CS107" s="111"/>
      <c r="CT107" s="111"/>
      <c r="CU107" s="111"/>
      <c r="CV107" s="111"/>
      <c r="CW107" s="111"/>
      <c r="CX107" s="111"/>
      <c r="CY107" s="111"/>
      <c r="CZ107" s="111"/>
      <c r="DA107" s="111"/>
      <c r="DB107" s="111"/>
      <c r="DC107" s="111"/>
      <c r="DD107" s="111"/>
      <c r="DE107" s="111"/>
      <c r="DF107" s="111"/>
      <c r="DG107" s="111"/>
      <c r="DH107" s="111"/>
      <c r="DI107" s="111"/>
      <c r="DJ107" s="111"/>
      <c r="DK107" s="111"/>
      <c r="DL107" s="111"/>
      <c r="DM107" s="111"/>
      <c r="DN107" s="111"/>
      <c r="DO107" s="111"/>
      <c r="DP107" s="111"/>
      <c r="DQ107" s="111"/>
      <c r="DR107" s="111"/>
      <c r="DS107" s="111"/>
      <c r="DT107" s="111"/>
      <c r="DU107" s="111"/>
      <c r="DV107" s="111"/>
      <c r="DW107" s="111"/>
      <c r="DX107" s="111"/>
      <c r="DY107" s="111"/>
      <c r="DZ107" s="111"/>
      <c r="EA107" s="111"/>
      <c r="EB107" s="111"/>
      <c r="EC107" s="111"/>
      <c r="ED107" s="111"/>
      <c r="EE107" s="111"/>
      <c r="EF107" s="111"/>
      <c r="EG107" s="111"/>
      <c r="EH107" s="111"/>
      <c r="EI107" s="111"/>
      <c r="EJ107" s="111"/>
      <c r="EK107" s="111"/>
      <c r="EL107" s="111"/>
      <c r="EM107" s="111"/>
      <c r="EN107" s="111"/>
      <c r="EO107" s="111"/>
      <c r="EP107" s="111"/>
      <c r="EQ107" s="111"/>
      <c r="ER107" s="111"/>
      <c r="ES107" s="111"/>
      <c r="ET107" s="111"/>
      <c r="EU107" s="111"/>
      <c r="EV107" s="111"/>
      <c r="EW107" s="111"/>
      <c r="EX107" s="111"/>
      <c r="EY107" s="111"/>
      <c r="EZ107" s="111"/>
      <c r="FA107" s="111"/>
      <c r="FB107" s="111"/>
      <c r="FC107" s="111"/>
      <c r="FD107" s="111"/>
      <c r="FE107" s="111"/>
      <c r="FF107" s="111"/>
      <c r="FG107" s="111"/>
      <c r="FH107" s="111"/>
      <c r="FI107" s="111"/>
      <c r="FJ107" s="111"/>
      <c r="FK107" s="111"/>
      <c r="FL107" s="111"/>
      <c r="FM107" s="111"/>
      <c r="FN107" s="111"/>
      <c r="FO107" s="111"/>
      <c r="FP107" s="111"/>
      <c r="FQ107" s="111"/>
      <c r="FR107" s="111"/>
      <c r="FS107" s="111"/>
      <c r="FT107" s="111"/>
      <c r="FU107" s="111"/>
      <c r="FV107" s="111"/>
      <c r="FW107" s="111"/>
      <c r="FX107" s="111"/>
      <c r="FY107" s="111"/>
      <c r="FZ107" s="111"/>
      <c r="GA107" s="111"/>
      <c r="GB107" s="111"/>
      <c r="GC107" s="111"/>
      <c r="GD107" s="111"/>
      <c r="GE107" s="111"/>
      <c r="GF107" s="111"/>
      <c r="GG107" s="111"/>
      <c r="GH107" s="111"/>
      <c r="GI107" s="111"/>
      <c r="GJ107" s="111"/>
    </row>
    <row r="108" spans="1:192" ht="50.15" customHeight="1" outlineLevel="1" x14ac:dyDescent="0.35">
      <c r="A108" s="160" t="s">
        <v>240</v>
      </c>
      <c r="B108" s="180" t="s">
        <v>360</v>
      </c>
      <c r="C108" s="154" t="s">
        <v>241</v>
      </c>
      <c r="D108" s="180" t="s">
        <v>22</v>
      </c>
      <c r="E108" s="154" t="s">
        <v>600</v>
      </c>
      <c r="F108" s="23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111"/>
      <c r="AZ108" s="111"/>
      <c r="BA108" s="111"/>
      <c r="BB108" s="111"/>
      <c r="BC108" s="111"/>
      <c r="BD108" s="111"/>
      <c r="BE108" s="111"/>
      <c r="BF108" s="111"/>
      <c r="BG108" s="111"/>
      <c r="BH108" s="111"/>
      <c r="BI108" s="111"/>
      <c r="BJ108" s="111"/>
      <c r="BK108" s="111"/>
      <c r="BL108" s="111"/>
      <c r="BM108" s="111"/>
      <c r="BN108" s="111"/>
      <c r="BO108" s="111"/>
      <c r="BP108" s="111"/>
      <c r="BQ108" s="111"/>
      <c r="BR108" s="111"/>
      <c r="BS108" s="111"/>
      <c r="BT108" s="111"/>
      <c r="BU108" s="111"/>
      <c r="BV108" s="111"/>
      <c r="BW108" s="111"/>
      <c r="BX108" s="111"/>
      <c r="BY108" s="111"/>
      <c r="BZ108" s="111"/>
      <c r="CA108" s="111"/>
      <c r="CB108" s="111"/>
      <c r="CC108" s="111"/>
      <c r="CD108" s="111"/>
      <c r="CE108" s="111"/>
      <c r="CF108" s="111"/>
      <c r="CG108" s="111"/>
      <c r="CH108" s="111"/>
      <c r="CI108" s="111"/>
      <c r="CJ108" s="111"/>
      <c r="CK108" s="111"/>
      <c r="CL108" s="111"/>
      <c r="CM108" s="111"/>
      <c r="CN108" s="111"/>
      <c r="CO108" s="111"/>
      <c r="CP108" s="111"/>
      <c r="CQ108" s="111"/>
      <c r="CR108" s="111"/>
      <c r="CS108" s="111"/>
      <c r="CT108" s="111"/>
      <c r="CU108" s="111"/>
      <c r="CV108" s="111"/>
      <c r="CW108" s="111"/>
      <c r="CX108" s="111"/>
      <c r="CY108" s="111"/>
      <c r="CZ108" s="111"/>
      <c r="DA108" s="111"/>
      <c r="DB108" s="111"/>
      <c r="DC108" s="111"/>
      <c r="DD108" s="111"/>
      <c r="DE108" s="111"/>
      <c r="DF108" s="111"/>
      <c r="DG108" s="111"/>
      <c r="DH108" s="111"/>
      <c r="DI108" s="111"/>
      <c r="DJ108" s="111"/>
      <c r="DK108" s="111"/>
      <c r="DL108" s="111"/>
      <c r="DM108" s="111"/>
      <c r="DN108" s="111"/>
      <c r="DO108" s="111"/>
      <c r="DP108" s="111"/>
      <c r="DQ108" s="111"/>
      <c r="DR108" s="111"/>
      <c r="DS108" s="111"/>
      <c r="DT108" s="111"/>
      <c r="DU108" s="111"/>
      <c r="DV108" s="111"/>
      <c r="DW108" s="111"/>
      <c r="DX108" s="111"/>
      <c r="DY108" s="111"/>
      <c r="DZ108" s="111"/>
      <c r="EA108" s="111"/>
      <c r="EB108" s="111"/>
      <c r="EC108" s="111"/>
      <c r="ED108" s="111"/>
      <c r="EE108" s="111"/>
      <c r="EF108" s="111"/>
      <c r="EG108" s="111"/>
      <c r="EH108" s="111"/>
      <c r="EI108" s="111"/>
      <c r="EJ108" s="111"/>
      <c r="EK108" s="111"/>
      <c r="EL108" s="111"/>
      <c r="EM108" s="111"/>
      <c r="EN108" s="111"/>
      <c r="EO108" s="111"/>
      <c r="EP108" s="111"/>
      <c r="EQ108" s="111"/>
      <c r="ER108" s="111"/>
      <c r="ES108" s="111"/>
      <c r="ET108" s="111"/>
      <c r="EU108" s="111"/>
      <c r="EV108" s="111"/>
      <c r="EW108" s="111"/>
      <c r="EX108" s="111"/>
      <c r="EY108" s="111"/>
      <c r="EZ108" s="111"/>
      <c r="FA108" s="111"/>
      <c r="FB108" s="111"/>
      <c r="FC108" s="111"/>
      <c r="FD108" s="111"/>
      <c r="FE108" s="111"/>
      <c r="FF108" s="111"/>
      <c r="FG108" s="111"/>
      <c r="FH108" s="111"/>
      <c r="FI108" s="111"/>
      <c r="FJ108" s="111"/>
      <c r="FK108" s="111"/>
      <c r="FL108" s="111"/>
      <c r="FM108" s="111"/>
      <c r="FN108" s="111"/>
      <c r="FO108" s="111"/>
      <c r="FP108" s="111"/>
      <c r="FQ108" s="111"/>
      <c r="FR108" s="111"/>
      <c r="FS108" s="111"/>
      <c r="FT108" s="111"/>
      <c r="FU108" s="111"/>
      <c r="FV108" s="111"/>
      <c r="FW108" s="111"/>
      <c r="FX108" s="111"/>
      <c r="FY108" s="111"/>
      <c r="FZ108" s="111"/>
      <c r="GA108" s="111"/>
      <c r="GB108" s="111"/>
      <c r="GC108" s="111"/>
      <c r="GD108" s="111"/>
      <c r="GE108" s="111"/>
      <c r="GF108" s="111"/>
      <c r="GG108" s="111"/>
      <c r="GH108" s="111"/>
      <c r="GI108" s="111"/>
      <c r="GJ108" s="111"/>
    </row>
    <row r="109" spans="1:192" ht="50.15" customHeight="1" outlineLevel="1" x14ac:dyDescent="0.35">
      <c r="A109" s="160" t="s">
        <v>240</v>
      </c>
      <c r="B109" s="179" t="s">
        <v>361</v>
      </c>
      <c r="C109" s="156" t="s">
        <v>508</v>
      </c>
      <c r="D109" s="179" t="s">
        <v>22</v>
      </c>
      <c r="E109" s="156" t="s">
        <v>601</v>
      </c>
      <c r="F109" s="230"/>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111"/>
      <c r="AZ109" s="111"/>
      <c r="BA109" s="111"/>
      <c r="BB109" s="111"/>
      <c r="BC109" s="111"/>
      <c r="BD109" s="111"/>
      <c r="BE109" s="111"/>
      <c r="BF109" s="111"/>
      <c r="BG109" s="111"/>
      <c r="BH109" s="111"/>
      <c r="BI109" s="111"/>
      <c r="BJ109" s="111"/>
      <c r="BK109" s="111"/>
      <c r="BL109" s="111"/>
      <c r="BM109" s="111"/>
      <c r="BN109" s="111"/>
      <c r="BO109" s="111"/>
      <c r="BP109" s="111"/>
      <c r="BQ109" s="111"/>
      <c r="BR109" s="111"/>
      <c r="BS109" s="111"/>
      <c r="BT109" s="111"/>
      <c r="BU109" s="111"/>
      <c r="BV109" s="111"/>
      <c r="BW109" s="111"/>
      <c r="BX109" s="111"/>
      <c r="BY109" s="111"/>
      <c r="BZ109" s="111"/>
      <c r="CA109" s="111"/>
      <c r="CB109" s="111"/>
      <c r="CC109" s="111"/>
      <c r="CD109" s="111"/>
      <c r="CE109" s="111"/>
      <c r="CF109" s="111"/>
      <c r="CG109" s="111"/>
      <c r="CH109" s="111"/>
      <c r="CI109" s="111"/>
      <c r="CJ109" s="111"/>
      <c r="CK109" s="111"/>
      <c r="CL109" s="111"/>
      <c r="CM109" s="111"/>
      <c r="CN109" s="111"/>
      <c r="CO109" s="111"/>
      <c r="CP109" s="111"/>
      <c r="CQ109" s="111"/>
      <c r="CR109" s="111"/>
      <c r="CS109" s="111"/>
      <c r="CT109" s="111"/>
      <c r="CU109" s="111"/>
      <c r="CV109" s="111"/>
      <c r="CW109" s="111"/>
      <c r="CX109" s="111"/>
      <c r="CY109" s="111"/>
      <c r="CZ109" s="111"/>
      <c r="DA109" s="111"/>
      <c r="DB109" s="111"/>
      <c r="DC109" s="111"/>
      <c r="DD109" s="111"/>
      <c r="DE109" s="111"/>
      <c r="DF109" s="111"/>
      <c r="DG109" s="111"/>
      <c r="DH109" s="111"/>
      <c r="DI109" s="111"/>
      <c r="DJ109" s="111"/>
      <c r="DK109" s="111"/>
      <c r="DL109" s="111"/>
      <c r="DM109" s="111"/>
      <c r="DN109" s="111"/>
      <c r="DO109" s="111"/>
      <c r="DP109" s="111"/>
      <c r="DQ109" s="111"/>
      <c r="DR109" s="111"/>
      <c r="DS109" s="111"/>
      <c r="DT109" s="111"/>
      <c r="DU109" s="111"/>
      <c r="DV109" s="111"/>
      <c r="DW109" s="111"/>
      <c r="DX109" s="111"/>
      <c r="DY109" s="111"/>
      <c r="DZ109" s="111"/>
      <c r="EA109" s="111"/>
      <c r="EB109" s="111"/>
      <c r="EC109" s="111"/>
      <c r="ED109" s="111"/>
      <c r="EE109" s="111"/>
      <c r="EF109" s="111"/>
      <c r="EG109" s="111"/>
      <c r="EH109" s="111"/>
      <c r="EI109" s="111"/>
      <c r="EJ109" s="111"/>
      <c r="EK109" s="111"/>
      <c r="EL109" s="111"/>
      <c r="EM109" s="111"/>
      <c r="EN109" s="111"/>
      <c r="EO109" s="111"/>
      <c r="EP109" s="111"/>
      <c r="EQ109" s="111"/>
      <c r="ER109" s="111"/>
      <c r="ES109" s="111"/>
      <c r="ET109" s="111"/>
      <c r="EU109" s="111"/>
      <c r="EV109" s="111"/>
      <c r="EW109" s="111"/>
      <c r="EX109" s="111"/>
      <c r="EY109" s="111"/>
      <c r="EZ109" s="111"/>
      <c r="FA109" s="111"/>
      <c r="FB109" s="111"/>
      <c r="FC109" s="111"/>
      <c r="FD109" s="111"/>
      <c r="FE109" s="111"/>
      <c r="FF109" s="111"/>
      <c r="FG109" s="111"/>
      <c r="FH109" s="111"/>
      <c r="FI109" s="111"/>
      <c r="FJ109" s="111"/>
      <c r="FK109" s="111"/>
      <c r="FL109" s="111"/>
      <c r="FM109" s="111"/>
      <c r="FN109" s="111"/>
      <c r="FO109" s="111"/>
      <c r="FP109" s="111"/>
      <c r="FQ109" s="111"/>
      <c r="FR109" s="111"/>
      <c r="FS109" s="111"/>
      <c r="FT109" s="111"/>
      <c r="FU109" s="111"/>
      <c r="FV109" s="111"/>
      <c r="FW109" s="111"/>
      <c r="FX109" s="111"/>
      <c r="FY109" s="111"/>
      <c r="FZ109" s="111"/>
      <c r="GA109" s="111"/>
      <c r="GB109" s="111"/>
      <c r="GC109" s="111"/>
      <c r="GD109" s="111"/>
      <c r="GE109" s="111"/>
      <c r="GF109" s="111"/>
      <c r="GG109" s="111"/>
      <c r="GH109" s="111"/>
      <c r="GI109" s="111"/>
      <c r="GJ109" s="111"/>
    </row>
    <row r="110" spans="1:192" ht="50.15" customHeight="1" outlineLevel="1" x14ac:dyDescent="0.35">
      <c r="A110" s="160" t="s">
        <v>240</v>
      </c>
      <c r="B110" s="180" t="s">
        <v>362</v>
      </c>
      <c r="C110" s="217" t="s">
        <v>509</v>
      </c>
      <c r="D110" s="212" t="s">
        <v>22</v>
      </c>
      <c r="E110" s="217" t="s">
        <v>602</v>
      </c>
      <c r="F110" s="228"/>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111"/>
      <c r="AZ110" s="111"/>
      <c r="BA110" s="111"/>
      <c r="BB110" s="111"/>
      <c r="BC110" s="111"/>
      <c r="BD110" s="111"/>
      <c r="BE110" s="111"/>
      <c r="BF110" s="111"/>
      <c r="BG110" s="111"/>
      <c r="BH110" s="111"/>
      <c r="BI110" s="111"/>
      <c r="BJ110" s="111"/>
      <c r="BK110" s="111"/>
      <c r="BL110" s="111"/>
      <c r="BM110" s="111"/>
      <c r="BN110" s="111"/>
      <c r="BO110" s="111"/>
      <c r="BP110" s="111"/>
      <c r="BQ110" s="111"/>
      <c r="BR110" s="111"/>
      <c r="BS110" s="111"/>
      <c r="BT110" s="111"/>
      <c r="BU110" s="111"/>
      <c r="BV110" s="111"/>
      <c r="BW110" s="111"/>
      <c r="BX110" s="111"/>
      <c r="BY110" s="111"/>
      <c r="BZ110" s="111"/>
      <c r="CA110" s="111"/>
      <c r="CB110" s="111"/>
      <c r="CC110" s="111"/>
      <c r="CD110" s="111"/>
      <c r="CE110" s="111"/>
      <c r="CF110" s="111"/>
      <c r="CG110" s="111"/>
      <c r="CH110" s="111"/>
      <c r="CI110" s="111"/>
      <c r="CJ110" s="111"/>
      <c r="CK110" s="111"/>
      <c r="CL110" s="111"/>
      <c r="CM110" s="111"/>
      <c r="CN110" s="111"/>
      <c r="CO110" s="111"/>
      <c r="CP110" s="111"/>
      <c r="CQ110" s="111"/>
      <c r="CR110" s="111"/>
      <c r="CS110" s="111"/>
      <c r="CT110" s="111"/>
      <c r="CU110" s="111"/>
      <c r="CV110" s="111"/>
      <c r="CW110" s="111"/>
      <c r="CX110" s="111"/>
      <c r="CY110" s="111"/>
      <c r="CZ110" s="111"/>
      <c r="DA110" s="111"/>
      <c r="DB110" s="111"/>
      <c r="DC110" s="111"/>
      <c r="DD110" s="111"/>
      <c r="DE110" s="111"/>
      <c r="DF110" s="111"/>
      <c r="DG110" s="111"/>
      <c r="DH110" s="111"/>
      <c r="DI110" s="111"/>
      <c r="DJ110" s="111"/>
      <c r="DK110" s="111"/>
      <c r="DL110" s="111"/>
      <c r="DM110" s="111"/>
      <c r="DN110" s="111"/>
      <c r="DO110" s="111"/>
      <c r="DP110" s="111"/>
      <c r="DQ110" s="111"/>
      <c r="DR110" s="111"/>
      <c r="DS110" s="111"/>
      <c r="DT110" s="111"/>
      <c r="DU110" s="111"/>
      <c r="DV110" s="111"/>
      <c r="DW110" s="111"/>
      <c r="DX110" s="111"/>
      <c r="DY110" s="111"/>
      <c r="DZ110" s="111"/>
      <c r="EA110" s="111"/>
      <c r="EB110" s="111"/>
      <c r="EC110" s="111"/>
      <c r="ED110" s="111"/>
      <c r="EE110" s="111"/>
      <c r="EF110" s="111"/>
      <c r="EG110" s="111"/>
      <c r="EH110" s="111"/>
      <c r="EI110" s="111"/>
      <c r="EJ110" s="111"/>
      <c r="EK110" s="111"/>
      <c r="EL110" s="111"/>
      <c r="EM110" s="111"/>
      <c r="EN110" s="111"/>
      <c r="EO110" s="111"/>
      <c r="EP110" s="111"/>
      <c r="EQ110" s="111"/>
      <c r="ER110" s="111"/>
      <c r="ES110" s="111"/>
      <c r="ET110" s="111"/>
      <c r="EU110" s="111"/>
      <c r="EV110" s="111"/>
      <c r="EW110" s="111"/>
      <c r="EX110" s="111"/>
      <c r="EY110" s="111"/>
      <c r="EZ110" s="111"/>
      <c r="FA110" s="111"/>
      <c r="FB110" s="111"/>
      <c r="FC110" s="111"/>
      <c r="FD110" s="111"/>
      <c r="FE110" s="111"/>
      <c r="FF110" s="111"/>
      <c r="FG110" s="111"/>
      <c r="FH110" s="111"/>
      <c r="FI110" s="111"/>
      <c r="FJ110" s="111"/>
      <c r="FK110" s="111"/>
      <c r="FL110" s="111"/>
      <c r="FM110" s="111"/>
      <c r="FN110" s="111"/>
      <c r="FO110" s="111"/>
      <c r="FP110" s="111"/>
      <c r="FQ110" s="111"/>
      <c r="FR110" s="111"/>
      <c r="FS110" s="111"/>
      <c r="FT110" s="111"/>
      <c r="FU110" s="111"/>
      <c r="FV110" s="111"/>
      <c r="FW110" s="111"/>
      <c r="FX110" s="111"/>
      <c r="FY110" s="111"/>
      <c r="FZ110" s="111"/>
      <c r="GA110" s="111"/>
      <c r="GB110" s="111"/>
      <c r="GC110" s="111"/>
      <c r="GD110" s="111"/>
      <c r="GE110" s="111"/>
      <c r="GF110" s="111"/>
      <c r="GG110" s="111"/>
      <c r="GH110" s="111"/>
      <c r="GI110" s="111"/>
      <c r="GJ110" s="111"/>
    </row>
    <row r="111" spans="1:192" ht="50.15" customHeight="1" outlineLevel="1" x14ac:dyDescent="0.35">
      <c r="A111" s="160" t="s">
        <v>240</v>
      </c>
      <c r="B111" s="179" t="s">
        <v>363</v>
      </c>
      <c r="C111" s="156" t="s">
        <v>510</v>
      </c>
      <c r="D111" s="179" t="s">
        <v>22</v>
      </c>
      <c r="E111" s="159" t="s">
        <v>695</v>
      </c>
      <c r="F111" s="230"/>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111"/>
      <c r="AZ111" s="111"/>
      <c r="BA111" s="111"/>
      <c r="BB111" s="111"/>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111"/>
      <c r="CA111" s="111"/>
      <c r="CB111" s="111"/>
      <c r="CC111" s="111"/>
      <c r="CD111" s="111"/>
      <c r="CE111" s="111"/>
      <c r="CF111" s="111"/>
      <c r="CG111" s="111"/>
      <c r="CH111" s="111"/>
      <c r="CI111" s="111"/>
      <c r="CJ111" s="111"/>
      <c r="CK111" s="111"/>
      <c r="CL111" s="111"/>
      <c r="CM111" s="111"/>
      <c r="CN111" s="111"/>
      <c r="CO111" s="111"/>
      <c r="CP111" s="111"/>
      <c r="CQ111" s="111"/>
      <c r="CR111" s="111"/>
      <c r="CS111" s="111"/>
      <c r="CT111" s="111"/>
      <c r="CU111" s="111"/>
      <c r="CV111" s="111"/>
      <c r="CW111" s="111"/>
      <c r="CX111" s="111"/>
      <c r="CY111" s="111"/>
      <c r="CZ111" s="111"/>
      <c r="DA111" s="111"/>
      <c r="DB111" s="111"/>
      <c r="DC111" s="111"/>
      <c r="DD111" s="111"/>
      <c r="DE111" s="111"/>
      <c r="DF111" s="111"/>
      <c r="DG111" s="111"/>
      <c r="DH111" s="111"/>
      <c r="DI111" s="111"/>
      <c r="DJ111" s="111"/>
      <c r="DK111" s="111"/>
      <c r="DL111" s="111"/>
      <c r="DM111" s="111"/>
      <c r="DN111" s="111"/>
      <c r="DO111" s="111"/>
      <c r="DP111" s="111"/>
      <c r="DQ111" s="111"/>
      <c r="DR111" s="111"/>
      <c r="DS111" s="111"/>
      <c r="DT111" s="111"/>
      <c r="DU111" s="111"/>
      <c r="DV111" s="111"/>
      <c r="DW111" s="111"/>
      <c r="DX111" s="111"/>
      <c r="DY111" s="111"/>
      <c r="DZ111" s="111"/>
      <c r="EA111" s="111"/>
      <c r="EB111" s="111"/>
      <c r="EC111" s="111"/>
      <c r="ED111" s="111"/>
      <c r="EE111" s="111"/>
      <c r="EF111" s="111"/>
      <c r="EG111" s="111"/>
      <c r="EH111" s="111"/>
      <c r="EI111" s="111"/>
      <c r="EJ111" s="111"/>
      <c r="EK111" s="111"/>
      <c r="EL111" s="111"/>
      <c r="EM111" s="111"/>
      <c r="EN111" s="111"/>
      <c r="EO111" s="111"/>
      <c r="EP111" s="111"/>
      <c r="EQ111" s="111"/>
      <c r="ER111" s="111"/>
      <c r="ES111" s="111"/>
      <c r="ET111" s="111"/>
      <c r="EU111" s="111"/>
      <c r="EV111" s="111"/>
      <c r="EW111" s="111"/>
      <c r="EX111" s="111"/>
      <c r="EY111" s="111"/>
      <c r="EZ111" s="111"/>
      <c r="FA111" s="111"/>
      <c r="FB111" s="111"/>
      <c r="FC111" s="111"/>
      <c r="FD111" s="111"/>
      <c r="FE111" s="111"/>
      <c r="FF111" s="111"/>
      <c r="FG111" s="111"/>
      <c r="FH111" s="111"/>
      <c r="FI111" s="111"/>
      <c r="FJ111" s="111"/>
      <c r="FK111" s="111"/>
      <c r="FL111" s="111"/>
      <c r="FM111" s="111"/>
      <c r="FN111" s="111"/>
      <c r="FO111" s="111"/>
      <c r="FP111" s="111"/>
      <c r="FQ111" s="111"/>
      <c r="FR111" s="111"/>
      <c r="FS111" s="111"/>
      <c r="FT111" s="111"/>
      <c r="FU111" s="111"/>
      <c r="FV111" s="111"/>
      <c r="FW111" s="111"/>
      <c r="FX111" s="111"/>
      <c r="FY111" s="111"/>
      <c r="FZ111" s="111"/>
      <c r="GA111" s="111"/>
      <c r="GB111" s="111"/>
      <c r="GC111" s="111"/>
      <c r="GD111" s="111"/>
      <c r="GE111" s="111"/>
      <c r="GF111" s="111"/>
      <c r="GG111" s="111"/>
      <c r="GH111" s="111"/>
      <c r="GI111" s="111"/>
      <c r="GJ111" s="111"/>
    </row>
    <row r="112" spans="1:192" ht="50.15" customHeight="1" outlineLevel="1" x14ac:dyDescent="0.35">
      <c r="A112" s="160" t="s">
        <v>240</v>
      </c>
      <c r="B112" s="180" t="s">
        <v>364</v>
      </c>
      <c r="C112" s="217" t="s">
        <v>511</v>
      </c>
      <c r="D112" s="212" t="s">
        <v>22</v>
      </c>
      <c r="E112" s="217" t="s">
        <v>603</v>
      </c>
      <c r="F112" s="228"/>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111"/>
      <c r="AZ112" s="111"/>
      <c r="BA112" s="111"/>
      <c r="BB112" s="111"/>
      <c r="BC112" s="111"/>
      <c r="BD112" s="111"/>
      <c r="BE112" s="111"/>
      <c r="BF112" s="111"/>
      <c r="BG112" s="111"/>
      <c r="BH112" s="111"/>
      <c r="BI112" s="111"/>
      <c r="BJ112" s="111"/>
      <c r="BK112" s="111"/>
      <c r="BL112" s="111"/>
      <c r="BM112" s="111"/>
      <c r="BN112" s="111"/>
      <c r="BO112" s="111"/>
      <c r="BP112" s="111"/>
      <c r="BQ112" s="111"/>
      <c r="BR112" s="111"/>
      <c r="BS112" s="111"/>
      <c r="BT112" s="111"/>
      <c r="BU112" s="111"/>
      <c r="BV112" s="111"/>
      <c r="BW112" s="111"/>
      <c r="BX112" s="111"/>
      <c r="BY112" s="111"/>
      <c r="BZ112" s="111"/>
      <c r="CA112" s="111"/>
      <c r="CB112" s="111"/>
      <c r="CC112" s="111"/>
      <c r="CD112" s="111"/>
      <c r="CE112" s="111"/>
      <c r="CF112" s="111"/>
      <c r="CG112" s="111"/>
      <c r="CH112" s="111"/>
      <c r="CI112" s="111"/>
      <c r="CJ112" s="111"/>
      <c r="CK112" s="111"/>
      <c r="CL112" s="111"/>
      <c r="CM112" s="111"/>
      <c r="CN112" s="111"/>
      <c r="CO112" s="111"/>
      <c r="CP112" s="111"/>
      <c r="CQ112" s="111"/>
      <c r="CR112" s="111"/>
      <c r="CS112" s="111"/>
      <c r="CT112" s="111"/>
      <c r="CU112" s="111"/>
      <c r="CV112" s="111"/>
      <c r="CW112" s="111"/>
      <c r="CX112" s="111"/>
      <c r="CY112" s="111"/>
      <c r="CZ112" s="111"/>
      <c r="DA112" s="111"/>
      <c r="DB112" s="111"/>
      <c r="DC112" s="111"/>
      <c r="DD112" s="111"/>
      <c r="DE112" s="111"/>
      <c r="DF112" s="111"/>
      <c r="DG112" s="111"/>
      <c r="DH112" s="111"/>
      <c r="DI112" s="111"/>
      <c r="DJ112" s="111"/>
      <c r="DK112" s="111"/>
      <c r="DL112" s="111"/>
      <c r="DM112" s="111"/>
      <c r="DN112" s="111"/>
      <c r="DO112" s="111"/>
      <c r="DP112" s="111"/>
      <c r="DQ112" s="111"/>
      <c r="DR112" s="111"/>
      <c r="DS112" s="111"/>
      <c r="DT112" s="111"/>
      <c r="DU112" s="111"/>
      <c r="DV112" s="111"/>
      <c r="DW112" s="111"/>
      <c r="DX112" s="111"/>
      <c r="DY112" s="111"/>
      <c r="DZ112" s="111"/>
      <c r="EA112" s="111"/>
      <c r="EB112" s="111"/>
      <c r="EC112" s="111"/>
      <c r="ED112" s="111"/>
      <c r="EE112" s="111"/>
      <c r="EF112" s="111"/>
      <c r="EG112" s="111"/>
      <c r="EH112" s="111"/>
      <c r="EI112" s="111"/>
      <c r="EJ112" s="111"/>
      <c r="EK112" s="111"/>
      <c r="EL112" s="111"/>
      <c r="EM112" s="111"/>
      <c r="EN112" s="111"/>
      <c r="EO112" s="111"/>
      <c r="EP112" s="111"/>
      <c r="EQ112" s="111"/>
      <c r="ER112" s="111"/>
      <c r="ES112" s="111"/>
      <c r="ET112" s="111"/>
      <c r="EU112" s="111"/>
      <c r="EV112" s="111"/>
      <c r="EW112" s="111"/>
      <c r="EX112" s="111"/>
      <c r="EY112" s="111"/>
      <c r="EZ112" s="111"/>
      <c r="FA112" s="111"/>
      <c r="FB112" s="111"/>
      <c r="FC112" s="111"/>
      <c r="FD112" s="111"/>
      <c r="FE112" s="111"/>
      <c r="FF112" s="111"/>
      <c r="FG112" s="111"/>
      <c r="FH112" s="111"/>
      <c r="FI112" s="111"/>
      <c r="FJ112" s="111"/>
      <c r="FK112" s="111"/>
      <c r="FL112" s="111"/>
      <c r="FM112" s="111"/>
      <c r="FN112" s="111"/>
      <c r="FO112" s="111"/>
      <c r="FP112" s="111"/>
      <c r="FQ112" s="111"/>
      <c r="FR112" s="111"/>
      <c r="FS112" s="111"/>
      <c r="FT112" s="111"/>
      <c r="FU112" s="111"/>
      <c r="FV112" s="111"/>
      <c r="FW112" s="111"/>
      <c r="FX112" s="111"/>
      <c r="FY112" s="111"/>
      <c r="FZ112" s="111"/>
      <c r="GA112" s="111"/>
      <c r="GB112" s="111"/>
      <c r="GC112" s="111"/>
      <c r="GD112" s="111"/>
      <c r="GE112" s="111"/>
      <c r="GF112" s="111"/>
      <c r="GG112" s="111"/>
      <c r="GH112" s="111"/>
      <c r="GI112" s="111"/>
      <c r="GJ112" s="111"/>
    </row>
    <row r="113" spans="1:192" ht="50.15" customHeight="1" outlineLevel="1" x14ac:dyDescent="0.35">
      <c r="A113" s="160" t="s">
        <v>240</v>
      </c>
      <c r="B113" s="179" t="s">
        <v>365</v>
      </c>
      <c r="C113" s="156" t="s">
        <v>515</v>
      </c>
      <c r="D113" s="179" t="s">
        <v>23</v>
      </c>
      <c r="E113" s="159" t="s">
        <v>604</v>
      </c>
      <c r="F113" s="230"/>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111"/>
      <c r="AZ113" s="111"/>
      <c r="BA113" s="111"/>
      <c r="BB113" s="111"/>
      <c r="BC113" s="111"/>
      <c r="BD113" s="111"/>
      <c r="BE113" s="111"/>
      <c r="BF113" s="111"/>
      <c r="BG113" s="111"/>
      <c r="BH113" s="111"/>
      <c r="BI113" s="111"/>
      <c r="BJ113" s="111"/>
      <c r="BK113" s="111"/>
      <c r="BL113" s="111"/>
      <c r="BM113" s="111"/>
      <c r="BN113" s="111"/>
      <c r="BO113" s="111"/>
      <c r="BP113" s="111"/>
      <c r="BQ113" s="111"/>
      <c r="BR113" s="111"/>
      <c r="BS113" s="111"/>
      <c r="BT113" s="111"/>
      <c r="BU113" s="111"/>
      <c r="BV113" s="111"/>
      <c r="BW113" s="111"/>
      <c r="BX113" s="111"/>
      <c r="BY113" s="111"/>
      <c r="BZ113" s="111"/>
      <c r="CA113" s="111"/>
      <c r="CB113" s="111"/>
      <c r="CC113" s="111"/>
      <c r="CD113" s="111"/>
      <c r="CE113" s="111"/>
      <c r="CF113" s="111"/>
      <c r="CG113" s="111"/>
      <c r="CH113" s="111"/>
      <c r="CI113" s="111"/>
      <c r="CJ113" s="111"/>
      <c r="CK113" s="111"/>
      <c r="CL113" s="111"/>
      <c r="CM113" s="111"/>
      <c r="CN113" s="111"/>
      <c r="CO113" s="111"/>
      <c r="CP113" s="111"/>
      <c r="CQ113" s="111"/>
      <c r="CR113" s="111"/>
      <c r="CS113" s="111"/>
      <c r="CT113" s="111"/>
      <c r="CU113" s="111"/>
      <c r="CV113" s="111"/>
      <c r="CW113" s="111"/>
      <c r="CX113" s="111"/>
      <c r="CY113" s="111"/>
      <c r="CZ113" s="111"/>
      <c r="DA113" s="111"/>
      <c r="DB113" s="111"/>
      <c r="DC113" s="111"/>
      <c r="DD113" s="111"/>
      <c r="DE113" s="111"/>
      <c r="DF113" s="111"/>
      <c r="DG113" s="111"/>
      <c r="DH113" s="111"/>
      <c r="DI113" s="111"/>
      <c r="DJ113" s="111"/>
      <c r="DK113" s="111"/>
      <c r="DL113" s="111"/>
      <c r="DM113" s="111"/>
      <c r="DN113" s="111"/>
      <c r="DO113" s="111"/>
      <c r="DP113" s="111"/>
      <c r="DQ113" s="111"/>
      <c r="DR113" s="111"/>
      <c r="DS113" s="111"/>
      <c r="DT113" s="111"/>
      <c r="DU113" s="111"/>
      <c r="DV113" s="111"/>
      <c r="DW113" s="111"/>
      <c r="DX113" s="111"/>
      <c r="DY113" s="111"/>
      <c r="DZ113" s="111"/>
      <c r="EA113" s="111"/>
      <c r="EB113" s="111"/>
      <c r="EC113" s="111"/>
      <c r="ED113" s="111"/>
      <c r="EE113" s="111"/>
      <c r="EF113" s="111"/>
      <c r="EG113" s="111"/>
      <c r="EH113" s="111"/>
      <c r="EI113" s="111"/>
      <c r="EJ113" s="111"/>
      <c r="EK113" s="111"/>
      <c r="EL113" s="111"/>
      <c r="EM113" s="111"/>
      <c r="EN113" s="111"/>
      <c r="EO113" s="111"/>
      <c r="EP113" s="111"/>
      <c r="EQ113" s="111"/>
      <c r="ER113" s="111"/>
      <c r="ES113" s="111"/>
      <c r="ET113" s="111"/>
      <c r="EU113" s="111"/>
      <c r="EV113" s="111"/>
      <c r="EW113" s="111"/>
      <c r="EX113" s="111"/>
      <c r="EY113" s="111"/>
      <c r="EZ113" s="111"/>
      <c r="FA113" s="111"/>
      <c r="FB113" s="111"/>
      <c r="FC113" s="111"/>
      <c r="FD113" s="111"/>
      <c r="FE113" s="111"/>
      <c r="FF113" s="111"/>
      <c r="FG113" s="111"/>
      <c r="FH113" s="111"/>
      <c r="FI113" s="111"/>
      <c r="FJ113" s="111"/>
      <c r="FK113" s="111"/>
      <c r="FL113" s="111"/>
      <c r="FM113" s="111"/>
      <c r="FN113" s="111"/>
      <c r="FO113" s="111"/>
      <c r="FP113" s="111"/>
      <c r="FQ113" s="111"/>
      <c r="FR113" s="111"/>
      <c r="FS113" s="111"/>
      <c r="FT113" s="111"/>
      <c r="FU113" s="111"/>
      <c r="FV113" s="111"/>
      <c r="FW113" s="111"/>
      <c r="FX113" s="111"/>
      <c r="FY113" s="111"/>
      <c r="FZ113" s="111"/>
      <c r="GA113" s="111"/>
      <c r="GB113" s="111"/>
      <c r="GC113" s="111"/>
      <c r="GD113" s="111"/>
      <c r="GE113" s="111"/>
      <c r="GF113" s="111"/>
      <c r="GG113" s="111"/>
      <c r="GH113" s="111"/>
      <c r="GI113" s="111"/>
      <c r="GJ113" s="111"/>
    </row>
    <row r="114" spans="1:192" ht="50.15" customHeight="1" outlineLevel="1" x14ac:dyDescent="0.35">
      <c r="A114" s="160" t="s">
        <v>240</v>
      </c>
      <c r="B114" s="180" t="s">
        <v>366</v>
      </c>
      <c r="C114" s="217" t="s">
        <v>512</v>
      </c>
      <c r="D114" s="212" t="s">
        <v>22</v>
      </c>
      <c r="E114" s="215" t="s">
        <v>605</v>
      </c>
      <c r="F114" s="228"/>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111"/>
      <c r="AZ114" s="111"/>
      <c r="BA114" s="111"/>
      <c r="BB114" s="111"/>
      <c r="BC114" s="111"/>
      <c r="BD114" s="111"/>
      <c r="BE114" s="111"/>
      <c r="BF114" s="111"/>
      <c r="BG114" s="111"/>
      <c r="BH114" s="111"/>
      <c r="BI114" s="111"/>
      <c r="BJ114" s="111"/>
      <c r="BK114" s="111"/>
      <c r="BL114" s="111"/>
      <c r="BM114" s="111"/>
      <c r="BN114" s="111"/>
      <c r="BO114" s="111"/>
      <c r="BP114" s="111"/>
      <c r="BQ114" s="111"/>
      <c r="BR114" s="111"/>
      <c r="BS114" s="111"/>
      <c r="BT114" s="111"/>
      <c r="BU114" s="111"/>
      <c r="BV114" s="111"/>
      <c r="BW114" s="111"/>
      <c r="BX114" s="111"/>
      <c r="BY114" s="111"/>
      <c r="BZ114" s="111"/>
      <c r="CA114" s="111"/>
      <c r="CB114" s="111"/>
      <c r="CC114" s="111"/>
      <c r="CD114" s="111"/>
      <c r="CE114" s="111"/>
      <c r="CF114" s="111"/>
      <c r="CG114" s="111"/>
      <c r="CH114" s="111"/>
      <c r="CI114" s="111"/>
      <c r="CJ114" s="111"/>
      <c r="CK114" s="111"/>
      <c r="CL114" s="111"/>
      <c r="CM114" s="111"/>
      <c r="CN114" s="111"/>
      <c r="CO114" s="111"/>
      <c r="CP114" s="111"/>
      <c r="CQ114" s="111"/>
      <c r="CR114" s="111"/>
      <c r="CS114" s="111"/>
      <c r="CT114" s="111"/>
      <c r="CU114" s="111"/>
      <c r="CV114" s="111"/>
      <c r="CW114" s="111"/>
      <c r="CX114" s="111"/>
      <c r="CY114" s="111"/>
      <c r="CZ114" s="111"/>
      <c r="DA114" s="111"/>
      <c r="DB114" s="111"/>
      <c r="DC114" s="111"/>
      <c r="DD114" s="111"/>
      <c r="DE114" s="111"/>
      <c r="DF114" s="111"/>
      <c r="DG114" s="111"/>
      <c r="DH114" s="111"/>
      <c r="DI114" s="111"/>
      <c r="DJ114" s="111"/>
      <c r="DK114" s="111"/>
      <c r="DL114" s="111"/>
      <c r="DM114" s="111"/>
      <c r="DN114" s="111"/>
      <c r="DO114" s="111"/>
      <c r="DP114" s="111"/>
      <c r="DQ114" s="111"/>
      <c r="DR114" s="111"/>
      <c r="DS114" s="111"/>
      <c r="DT114" s="111"/>
      <c r="DU114" s="111"/>
      <c r="DV114" s="111"/>
      <c r="DW114" s="111"/>
      <c r="DX114" s="111"/>
      <c r="DY114" s="111"/>
      <c r="DZ114" s="111"/>
      <c r="EA114" s="111"/>
      <c r="EB114" s="111"/>
      <c r="EC114" s="111"/>
      <c r="ED114" s="111"/>
      <c r="EE114" s="111"/>
      <c r="EF114" s="111"/>
      <c r="EG114" s="111"/>
      <c r="EH114" s="111"/>
      <c r="EI114" s="111"/>
      <c r="EJ114" s="111"/>
      <c r="EK114" s="111"/>
      <c r="EL114" s="111"/>
      <c r="EM114" s="111"/>
      <c r="EN114" s="111"/>
      <c r="EO114" s="111"/>
      <c r="EP114" s="111"/>
      <c r="EQ114" s="111"/>
      <c r="ER114" s="111"/>
      <c r="ES114" s="111"/>
      <c r="ET114" s="111"/>
      <c r="EU114" s="111"/>
      <c r="EV114" s="111"/>
      <c r="EW114" s="111"/>
      <c r="EX114" s="111"/>
      <c r="EY114" s="111"/>
      <c r="EZ114" s="111"/>
      <c r="FA114" s="111"/>
      <c r="FB114" s="111"/>
      <c r="FC114" s="111"/>
      <c r="FD114" s="111"/>
      <c r="FE114" s="111"/>
      <c r="FF114" s="111"/>
      <c r="FG114" s="111"/>
      <c r="FH114" s="111"/>
      <c r="FI114" s="111"/>
      <c r="FJ114" s="111"/>
      <c r="FK114" s="111"/>
      <c r="FL114" s="111"/>
      <c r="FM114" s="111"/>
      <c r="FN114" s="111"/>
      <c r="FO114" s="111"/>
      <c r="FP114" s="111"/>
      <c r="FQ114" s="111"/>
      <c r="FR114" s="111"/>
      <c r="FS114" s="111"/>
      <c r="FT114" s="111"/>
      <c r="FU114" s="111"/>
      <c r="FV114" s="111"/>
      <c r="FW114" s="111"/>
      <c r="FX114" s="111"/>
      <c r="FY114" s="111"/>
      <c r="FZ114" s="111"/>
      <c r="GA114" s="111"/>
      <c r="GB114" s="111"/>
      <c r="GC114" s="111"/>
      <c r="GD114" s="111"/>
      <c r="GE114" s="111"/>
      <c r="GF114" s="111"/>
      <c r="GG114" s="111"/>
      <c r="GH114" s="111"/>
      <c r="GI114" s="111"/>
      <c r="GJ114" s="111"/>
    </row>
    <row r="115" spans="1:192" ht="50.15" customHeight="1" outlineLevel="1" x14ac:dyDescent="0.35">
      <c r="A115" s="160" t="s">
        <v>240</v>
      </c>
      <c r="B115" s="179" t="s">
        <v>367</v>
      </c>
      <c r="C115" s="156" t="s">
        <v>513</v>
      </c>
      <c r="D115" s="179" t="s">
        <v>22</v>
      </c>
      <c r="E115" s="159" t="s">
        <v>606</v>
      </c>
      <c r="F115" s="230"/>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111"/>
      <c r="AZ115" s="111"/>
      <c r="BA115" s="111"/>
      <c r="BB115" s="111"/>
      <c r="BC115" s="111"/>
      <c r="BD115" s="111"/>
      <c r="BE115" s="111"/>
      <c r="BF115" s="111"/>
      <c r="BG115" s="111"/>
      <c r="BH115" s="111"/>
      <c r="BI115" s="111"/>
      <c r="BJ115" s="111"/>
      <c r="BK115" s="111"/>
      <c r="BL115" s="111"/>
      <c r="BM115" s="111"/>
      <c r="BN115" s="111"/>
      <c r="BO115" s="111"/>
      <c r="BP115" s="111"/>
      <c r="BQ115" s="111"/>
      <c r="BR115" s="111"/>
      <c r="BS115" s="111"/>
      <c r="BT115" s="111"/>
      <c r="BU115" s="111"/>
      <c r="BV115" s="111"/>
      <c r="BW115" s="111"/>
      <c r="BX115" s="111"/>
      <c r="BY115" s="111"/>
      <c r="BZ115" s="111"/>
      <c r="CA115" s="111"/>
      <c r="CB115" s="111"/>
      <c r="CC115" s="111"/>
      <c r="CD115" s="111"/>
      <c r="CE115" s="111"/>
      <c r="CF115" s="111"/>
      <c r="CG115" s="111"/>
      <c r="CH115" s="111"/>
      <c r="CI115" s="111"/>
      <c r="CJ115" s="111"/>
      <c r="CK115" s="111"/>
      <c r="CL115" s="111"/>
      <c r="CM115" s="111"/>
      <c r="CN115" s="111"/>
      <c r="CO115" s="111"/>
      <c r="CP115" s="111"/>
      <c r="CQ115" s="111"/>
      <c r="CR115" s="111"/>
      <c r="CS115" s="111"/>
      <c r="CT115" s="111"/>
      <c r="CU115" s="111"/>
      <c r="CV115" s="111"/>
      <c r="CW115" s="111"/>
      <c r="CX115" s="111"/>
      <c r="CY115" s="111"/>
      <c r="CZ115" s="111"/>
      <c r="DA115" s="111"/>
      <c r="DB115" s="111"/>
      <c r="DC115" s="111"/>
      <c r="DD115" s="111"/>
      <c r="DE115" s="111"/>
      <c r="DF115" s="111"/>
      <c r="DG115" s="111"/>
      <c r="DH115" s="111"/>
      <c r="DI115" s="111"/>
      <c r="DJ115" s="111"/>
      <c r="DK115" s="111"/>
      <c r="DL115" s="111"/>
      <c r="DM115" s="111"/>
      <c r="DN115" s="111"/>
      <c r="DO115" s="111"/>
      <c r="DP115" s="111"/>
      <c r="DQ115" s="111"/>
      <c r="DR115" s="111"/>
      <c r="DS115" s="111"/>
      <c r="DT115" s="111"/>
      <c r="DU115" s="111"/>
      <c r="DV115" s="111"/>
      <c r="DW115" s="111"/>
      <c r="DX115" s="111"/>
      <c r="DY115" s="111"/>
      <c r="DZ115" s="111"/>
      <c r="EA115" s="111"/>
      <c r="EB115" s="111"/>
      <c r="EC115" s="111"/>
      <c r="ED115" s="111"/>
      <c r="EE115" s="111"/>
      <c r="EF115" s="111"/>
      <c r="EG115" s="111"/>
      <c r="EH115" s="111"/>
      <c r="EI115" s="111"/>
      <c r="EJ115" s="111"/>
      <c r="EK115" s="111"/>
      <c r="EL115" s="111"/>
      <c r="EM115" s="111"/>
      <c r="EN115" s="111"/>
      <c r="EO115" s="111"/>
      <c r="EP115" s="111"/>
      <c r="EQ115" s="111"/>
      <c r="ER115" s="111"/>
      <c r="ES115" s="111"/>
      <c r="ET115" s="111"/>
      <c r="EU115" s="111"/>
      <c r="EV115" s="111"/>
      <c r="EW115" s="111"/>
      <c r="EX115" s="111"/>
      <c r="EY115" s="111"/>
      <c r="EZ115" s="111"/>
      <c r="FA115" s="111"/>
      <c r="FB115" s="111"/>
      <c r="FC115" s="111"/>
      <c r="FD115" s="111"/>
      <c r="FE115" s="111"/>
      <c r="FF115" s="111"/>
      <c r="FG115" s="111"/>
      <c r="FH115" s="111"/>
      <c r="FI115" s="111"/>
      <c r="FJ115" s="111"/>
      <c r="FK115" s="111"/>
      <c r="FL115" s="111"/>
      <c r="FM115" s="111"/>
      <c r="FN115" s="111"/>
      <c r="FO115" s="111"/>
      <c r="FP115" s="111"/>
      <c r="FQ115" s="111"/>
      <c r="FR115" s="111"/>
      <c r="FS115" s="111"/>
      <c r="FT115" s="111"/>
      <c r="FU115" s="111"/>
      <c r="FV115" s="111"/>
      <c r="FW115" s="111"/>
      <c r="FX115" s="111"/>
      <c r="FY115" s="111"/>
      <c r="FZ115" s="111"/>
      <c r="GA115" s="111"/>
      <c r="GB115" s="111"/>
      <c r="GC115" s="111"/>
      <c r="GD115" s="111"/>
      <c r="GE115" s="111"/>
      <c r="GF115" s="111"/>
      <c r="GG115" s="111"/>
      <c r="GH115" s="111"/>
      <c r="GI115" s="111"/>
      <c r="GJ115" s="111"/>
    </row>
    <row r="116" spans="1:192" ht="50.15" customHeight="1" outlineLevel="1" x14ac:dyDescent="0.35">
      <c r="A116" s="160" t="s">
        <v>240</v>
      </c>
      <c r="B116" s="180" t="s">
        <v>368</v>
      </c>
      <c r="C116" s="239" t="s">
        <v>514</v>
      </c>
      <c r="D116" s="238" t="s">
        <v>22</v>
      </c>
      <c r="E116" s="240" t="s">
        <v>607</v>
      </c>
      <c r="F116" s="228"/>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111"/>
      <c r="AZ116" s="111"/>
      <c r="BA116" s="111"/>
      <c r="BB116" s="111"/>
      <c r="BC116" s="111"/>
      <c r="BD116" s="111"/>
      <c r="BE116" s="111"/>
      <c r="BF116" s="111"/>
      <c r="BG116" s="111"/>
      <c r="BH116" s="111"/>
      <c r="BI116" s="111"/>
      <c r="BJ116" s="111"/>
      <c r="BK116" s="111"/>
      <c r="BL116" s="111"/>
      <c r="BM116" s="111"/>
      <c r="BN116" s="111"/>
      <c r="BO116" s="111"/>
      <c r="BP116" s="111"/>
      <c r="BQ116" s="111"/>
      <c r="BR116" s="111"/>
      <c r="BS116" s="111"/>
      <c r="BT116" s="111"/>
      <c r="BU116" s="111"/>
      <c r="BV116" s="111"/>
      <c r="BW116" s="111"/>
      <c r="BX116" s="111"/>
      <c r="BY116" s="111"/>
      <c r="BZ116" s="111"/>
      <c r="CA116" s="111"/>
      <c r="CB116" s="111"/>
      <c r="CC116" s="111"/>
      <c r="CD116" s="111"/>
      <c r="CE116" s="111"/>
      <c r="CF116" s="111"/>
      <c r="CG116" s="111"/>
      <c r="CH116" s="111"/>
      <c r="CI116" s="111"/>
      <c r="CJ116" s="111"/>
      <c r="CK116" s="111"/>
      <c r="CL116" s="111"/>
      <c r="CM116" s="111"/>
      <c r="CN116" s="111"/>
      <c r="CO116" s="111"/>
      <c r="CP116" s="111"/>
      <c r="CQ116" s="111"/>
      <c r="CR116" s="111"/>
      <c r="CS116" s="111"/>
      <c r="CT116" s="111"/>
      <c r="CU116" s="111"/>
      <c r="CV116" s="111"/>
      <c r="CW116" s="111"/>
      <c r="CX116" s="111"/>
      <c r="CY116" s="111"/>
      <c r="CZ116" s="111"/>
      <c r="DA116" s="111"/>
      <c r="DB116" s="111"/>
      <c r="DC116" s="111"/>
      <c r="DD116" s="111"/>
      <c r="DE116" s="111"/>
      <c r="DF116" s="111"/>
      <c r="DG116" s="111"/>
      <c r="DH116" s="111"/>
      <c r="DI116" s="111"/>
      <c r="DJ116" s="111"/>
      <c r="DK116" s="111"/>
      <c r="DL116" s="111"/>
      <c r="DM116" s="111"/>
      <c r="DN116" s="111"/>
      <c r="DO116" s="111"/>
      <c r="DP116" s="111"/>
      <c r="DQ116" s="111"/>
      <c r="DR116" s="111"/>
      <c r="DS116" s="111"/>
      <c r="DT116" s="111"/>
      <c r="DU116" s="111"/>
      <c r="DV116" s="111"/>
      <c r="DW116" s="111"/>
      <c r="DX116" s="111"/>
      <c r="DY116" s="111"/>
      <c r="DZ116" s="111"/>
      <c r="EA116" s="111"/>
      <c r="EB116" s="111"/>
      <c r="EC116" s="111"/>
      <c r="ED116" s="111"/>
      <c r="EE116" s="111"/>
      <c r="EF116" s="111"/>
      <c r="EG116" s="111"/>
      <c r="EH116" s="111"/>
      <c r="EI116" s="111"/>
      <c r="EJ116" s="111"/>
      <c r="EK116" s="111"/>
      <c r="EL116" s="111"/>
      <c r="EM116" s="111"/>
      <c r="EN116" s="111"/>
      <c r="EO116" s="111"/>
      <c r="EP116" s="111"/>
      <c r="EQ116" s="111"/>
      <c r="ER116" s="111"/>
      <c r="ES116" s="111"/>
      <c r="ET116" s="111"/>
      <c r="EU116" s="111"/>
      <c r="EV116" s="111"/>
      <c r="EW116" s="111"/>
      <c r="EX116" s="111"/>
      <c r="EY116" s="111"/>
      <c r="EZ116" s="111"/>
      <c r="FA116" s="111"/>
      <c r="FB116" s="111"/>
      <c r="FC116" s="111"/>
      <c r="FD116" s="111"/>
      <c r="FE116" s="111"/>
      <c r="FF116" s="111"/>
      <c r="FG116" s="111"/>
      <c r="FH116" s="111"/>
      <c r="FI116" s="111"/>
      <c r="FJ116" s="111"/>
      <c r="FK116" s="111"/>
      <c r="FL116" s="111"/>
      <c r="FM116" s="111"/>
      <c r="FN116" s="111"/>
      <c r="FO116" s="111"/>
      <c r="FP116" s="111"/>
      <c r="FQ116" s="111"/>
      <c r="FR116" s="111"/>
      <c r="FS116" s="111"/>
      <c r="FT116" s="111"/>
      <c r="FU116" s="111"/>
      <c r="FV116" s="111"/>
      <c r="FW116" s="111"/>
      <c r="FX116" s="111"/>
      <c r="FY116" s="111"/>
      <c r="FZ116" s="111"/>
      <c r="GA116" s="111"/>
      <c r="GB116" s="111"/>
      <c r="GC116" s="111"/>
      <c r="GD116" s="111"/>
      <c r="GE116" s="111"/>
      <c r="GF116" s="111"/>
      <c r="GG116" s="111"/>
      <c r="GH116" s="111"/>
      <c r="GI116" s="111"/>
      <c r="GJ116" s="111"/>
    </row>
    <row r="117" spans="1:192" x14ac:dyDescent="0.35">
      <c r="G117" s="8">
        <f t="shared" ref="G117:P117" si="0">COUNTIF(G11:G116,"=Validé")</f>
        <v>0</v>
      </c>
      <c r="H117" s="8">
        <f t="shared" si="0"/>
        <v>0</v>
      </c>
      <c r="I117" s="8">
        <f t="shared" si="0"/>
        <v>0</v>
      </c>
      <c r="J117" s="8">
        <f t="shared" si="0"/>
        <v>0</v>
      </c>
      <c r="K117" s="8">
        <f t="shared" si="0"/>
        <v>0</v>
      </c>
      <c r="L117" s="8">
        <f t="shared" si="0"/>
        <v>0</v>
      </c>
      <c r="M117" s="8">
        <f t="shared" si="0"/>
        <v>0</v>
      </c>
      <c r="N117" s="8">
        <f t="shared" si="0"/>
        <v>0</v>
      </c>
      <c r="O117" s="8">
        <f t="shared" si="0"/>
        <v>0</v>
      </c>
      <c r="P117" s="8">
        <f t="shared" si="0"/>
        <v>0</v>
      </c>
    </row>
  </sheetData>
  <sheetProtection sort="0"/>
  <mergeCells count="2">
    <mergeCell ref="A2:D2"/>
    <mergeCell ref="A5:D9"/>
  </mergeCells>
  <phoneticPr fontId="11" type="noConversion"/>
  <conditionalFormatting sqref="N11:GJ116">
    <cfRule type="cellIs" dxfId="287" priority="1872" operator="equal">
      <formula>"Indéterminé"</formula>
    </cfRule>
    <cfRule type="cellIs" dxfId="286" priority="1873" operator="equal">
      <formula>"NA"</formula>
    </cfRule>
    <cfRule type="cellIs" dxfId="285" priority="1874" operator="equal">
      <formula>"Invalidé"</formula>
    </cfRule>
    <cfRule type="cellIs" dxfId="284" priority="1875" operator="equal">
      <formula>"Validé"</formula>
    </cfRule>
    <cfRule type="cellIs" dxfId="283" priority="1876" operator="equal">
      <formula>"NA"</formula>
    </cfRule>
    <cfRule type="cellIs" dxfId="282" priority="1877" operator="equal">
      <formula>"Invalidé"</formula>
    </cfRule>
    <cfRule type="cellIs" dxfId="281" priority="1878" operator="equal">
      <formula>"Validé"</formula>
    </cfRule>
    <cfRule type="cellIs" dxfId="280" priority="1990" operator="equal">
      <formula>"Indéterminé"</formula>
    </cfRule>
    <cfRule type="cellIs" dxfId="279" priority="1997" operator="equal">
      <formula>"Invalidé"</formula>
    </cfRule>
    <cfRule type="cellIs" dxfId="278" priority="1998" operator="equal">
      <formula>"Validé"</formula>
    </cfRule>
    <cfRule type="cellIs" dxfId="277" priority="1999" stopIfTrue="1" operator="equal">
      <formula>"NA"</formula>
    </cfRule>
  </conditionalFormatting>
  <conditionalFormatting sqref="M11:M116">
    <cfRule type="cellIs" dxfId="276" priority="1062" operator="equal">
      <formula>"Indéterminé"</formula>
    </cfRule>
    <cfRule type="cellIs" dxfId="275" priority="1063" operator="equal">
      <formula>"NA"</formula>
    </cfRule>
    <cfRule type="cellIs" dxfId="274" priority="1064" operator="equal">
      <formula>"Invalidé"</formula>
    </cfRule>
    <cfRule type="cellIs" dxfId="273" priority="1065" operator="equal">
      <formula>"Validé"</formula>
    </cfRule>
    <cfRule type="cellIs" dxfId="272" priority="1066" operator="equal">
      <formula>"NA"</formula>
    </cfRule>
    <cfRule type="cellIs" dxfId="271" priority="1067" operator="equal">
      <formula>"Invalidé"</formula>
    </cfRule>
    <cfRule type="cellIs" dxfId="270" priority="1068" operator="equal">
      <formula>"Validé"</formula>
    </cfRule>
    <cfRule type="cellIs" dxfId="269" priority="1072" operator="equal">
      <formula>"Indéterminé"</formula>
    </cfRule>
    <cfRule type="cellIs" dxfId="268" priority="1073" operator="equal">
      <formula>"Invalidé"</formula>
    </cfRule>
    <cfRule type="cellIs" dxfId="267" priority="1074" operator="equal">
      <formula>"Validé"</formula>
    </cfRule>
    <cfRule type="cellIs" dxfId="266" priority="1075" stopIfTrue="1" operator="equal">
      <formula>"NA"</formula>
    </cfRule>
  </conditionalFormatting>
  <conditionalFormatting sqref="G11:J116">
    <cfRule type="cellIs" dxfId="265" priority="1104" operator="equal">
      <formula>"Indéterminé"</formula>
    </cfRule>
    <cfRule type="cellIs" dxfId="264" priority="1105" operator="equal">
      <formula>"NA"</formula>
    </cfRule>
    <cfRule type="cellIs" dxfId="263" priority="1106" operator="equal">
      <formula>"Invalidé"</formula>
    </cfRule>
    <cfRule type="cellIs" dxfId="262" priority="1107" operator="equal">
      <formula>"Validé"</formula>
    </cfRule>
    <cfRule type="cellIs" dxfId="261" priority="1108" operator="equal">
      <formula>"NA"</formula>
    </cfRule>
    <cfRule type="cellIs" dxfId="260" priority="1109" operator="equal">
      <formula>"Invalidé"</formula>
    </cfRule>
    <cfRule type="cellIs" dxfId="259" priority="1110" operator="equal">
      <formula>"Validé"</formula>
    </cfRule>
    <cfRule type="cellIs" dxfId="258" priority="1114" operator="equal">
      <formula>"Indéterminé"</formula>
    </cfRule>
    <cfRule type="cellIs" dxfId="257" priority="1115" operator="equal">
      <formula>"Invalidé"</formula>
    </cfRule>
    <cfRule type="cellIs" dxfId="256" priority="1116" operator="equal">
      <formula>"Validé"</formula>
    </cfRule>
    <cfRule type="cellIs" dxfId="255" priority="1117" stopIfTrue="1" operator="equal">
      <formula>"NA"</formula>
    </cfRule>
  </conditionalFormatting>
  <conditionalFormatting sqref="K11:K116">
    <cfRule type="cellIs" dxfId="254" priority="1090" operator="equal">
      <formula>"Indéterminé"</formula>
    </cfRule>
    <cfRule type="cellIs" dxfId="253" priority="1091" operator="equal">
      <formula>"NA"</formula>
    </cfRule>
    <cfRule type="cellIs" dxfId="252" priority="1092" operator="equal">
      <formula>"Invalidé"</formula>
    </cfRule>
    <cfRule type="cellIs" dxfId="251" priority="1093" operator="equal">
      <formula>"Validé"</formula>
    </cfRule>
    <cfRule type="cellIs" dxfId="250" priority="1094" operator="equal">
      <formula>"NA"</formula>
    </cfRule>
    <cfRule type="cellIs" dxfId="249" priority="1095" operator="equal">
      <formula>"Invalidé"</formula>
    </cfRule>
    <cfRule type="cellIs" dxfId="248" priority="1096" operator="equal">
      <formula>"Validé"</formula>
    </cfRule>
    <cfRule type="cellIs" dxfId="247" priority="1100" operator="equal">
      <formula>"Indéterminé"</formula>
    </cfRule>
    <cfRule type="cellIs" dxfId="246" priority="1101" operator="equal">
      <formula>"Invalidé"</formula>
    </cfRule>
    <cfRule type="cellIs" dxfId="245" priority="1102" operator="equal">
      <formula>"Validé"</formula>
    </cfRule>
    <cfRule type="cellIs" dxfId="244" priority="1103" stopIfTrue="1" operator="equal">
      <formula>"NA"</formula>
    </cfRule>
  </conditionalFormatting>
  <conditionalFormatting sqref="L11:L116">
    <cfRule type="cellIs" dxfId="243" priority="1076" operator="equal">
      <formula>"Indéterminé"</formula>
    </cfRule>
    <cfRule type="cellIs" dxfId="242" priority="1077" operator="equal">
      <formula>"NA"</formula>
    </cfRule>
    <cfRule type="cellIs" dxfId="241" priority="1078" operator="equal">
      <formula>"Invalidé"</formula>
    </cfRule>
    <cfRule type="cellIs" dxfId="240" priority="1079" operator="equal">
      <formula>"Validé"</formula>
    </cfRule>
    <cfRule type="cellIs" dxfId="239" priority="1080" operator="equal">
      <formula>"NA"</formula>
    </cfRule>
    <cfRule type="cellIs" dxfId="238" priority="1081" operator="equal">
      <formula>"Invalidé"</formula>
    </cfRule>
    <cfRule type="cellIs" dxfId="237" priority="1082" operator="equal">
      <formula>"Validé"</formula>
    </cfRule>
    <cfRule type="cellIs" dxfId="236" priority="1086" operator="equal">
      <formula>"Indéterminé"</formula>
    </cfRule>
    <cfRule type="cellIs" dxfId="235" priority="1087" operator="equal">
      <formula>"Invalidé"</formula>
    </cfRule>
    <cfRule type="cellIs" dxfId="234" priority="1088" operator="equal">
      <formula>"Validé"</formula>
    </cfRule>
    <cfRule type="cellIs" dxfId="233"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116"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67" t="s">
        <v>249</v>
      </c>
      <c r="G2" s="253" t="str">
        <f ca="1">Value!O141</f>
        <v/>
      </c>
      <c r="H2" s="69" t="s">
        <v>250</v>
      </c>
    </row>
    <row r="3" spans="6:8" ht="75" x14ac:dyDescent="0.35">
      <c r="F3" s="96" t="s">
        <v>402</v>
      </c>
      <c r="G3" s="96"/>
      <c r="H3" s="96"/>
    </row>
    <row r="7" spans="6:8" x14ac:dyDescent="0.35">
      <c r="F7" s="70"/>
      <c r="G7" s="68"/>
      <c r="H7" s="69"/>
    </row>
    <row r="8" spans="6:8" ht="114.65" customHeight="1" x14ac:dyDescent="0.35">
      <c r="F8" s="96"/>
      <c r="G8" s="96"/>
      <c r="H8" s="96"/>
    </row>
    <row r="10" spans="6:8" x14ac:dyDescent="0.35">
      <c r="F10" s="95" t="s">
        <v>394</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Normal="100" workbookViewId="0">
      <pane ySplit="1" topLeftCell="A2" activePane="bottomLeft" state="frozen"/>
      <selection pane="bottomLeft" activeCell="I2" sqref="I2"/>
    </sheetView>
  </sheetViews>
  <sheetFormatPr baseColWidth="10" defaultColWidth="11.453125" defaultRowHeight="13" x14ac:dyDescent="0.35"/>
  <cols>
    <col min="1" max="1" width="11.453125" style="135"/>
    <col min="2" max="2" width="7.7265625" style="211" customWidth="1"/>
    <col min="3" max="3" width="32.7265625" style="123" customWidth="1"/>
    <col min="4" max="4" width="8.54296875" style="124" customWidth="1"/>
    <col min="5" max="5" width="12.453125" style="124" customWidth="1"/>
    <col min="6" max="6" width="8.54296875" style="124" customWidth="1"/>
    <col min="7" max="7" width="10.54296875" style="123" customWidth="1"/>
    <col min="8" max="8" width="42.26953125" style="123" customWidth="1"/>
    <col min="9" max="9" width="39.453125" style="123" customWidth="1"/>
    <col min="10" max="11" width="19.54296875" style="123" customWidth="1"/>
    <col min="12" max="13" width="11.453125" style="125"/>
    <col min="14" max="16384" width="11.453125" style="135"/>
  </cols>
  <sheetData>
    <row r="1" spans="1:13" s="120" customFormat="1" ht="40" customHeight="1" x14ac:dyDescent="0.35">
      <c r="A1" s="140" t="s">
        <v>0</v>
      </c>
      <c r="B1" s="210" t="s">
        <v>258</v>
      </c>
      <c r="C1" s="141" t="s">
        <v>232</v>
      </c>
      <c r="D1" s="141" t="s">
        <v>21</v>
      </c>
      <c r="E1" s="141" t="s">
        <v>247</v>
      </c>
      <c r="F1" s="141" t="s">
        <v>19</v>
      </c>
      <c r="G1" s="141" t="s">
        <v>44</v>
      </c>
      <c r="H1" s="141" t="s">
        <v>404</v>
      </c>
      <c r="I1" s="141" t="s">
        <v>669</v>
      </c>
      <c r="J1" s="141" t="s">
        <v>381</v>
      </c>
      <c r="K1" s="142" t="s">
        <v>517</v>
      </c>
      <c r="L1" s="141" t="s">
        <v>25</v>
      </c>
      <c r="M1" s="142" t="s">
        <v>248</v>
      </c>
    </row>
    <row r="2" spans="1:13" x14ac:dyDescent="0.35">
      <c r="H2" s="139"/>
      <c r="I2" s="139"/>
      <c r="J2" s="139"/>
      <c r="K2" s="139"/>
    </row>
    <row r="3" spans="1:13" x14ac:dyDescent="0.35">
      <c r="H3" s="136"/>
      <c r="I3" s="136"/>
      <c r="J3" s="136"/>
      <c r="K3" s="136"/>
    </row>
    <row r="4" spans="1:13" x14ac:dyDescent="0.35">
      <c r="H4" s="136"/>
      <c r="I4" s="136"/>
      <c r="J4" s="136"/>
      <c r="K4" s="136"/>
    </row>
    <row r="5" spans="1:13" x14ac:dyDescent="0.35">
      <c r="H5" s="136"/>
      <c r="I5" s="136"/>
      <c r="J5" s="136"/>
      <c r="K5" s="136"/>
    </row>
    <row r="6" spans="1:13" x14ac:dyDescent="0.35">
      <c r="H6" s="136"/>
      <c r="I6" s="136"/>
      <c r="J6" s="136"/>
      <c r="K6" s="136"/>
    </row>
    <row r="7" spans="1:13" x14ac:dyDescent="0.35">
      <c r="H7" s="136"/>
      <c r="I7" s="136"/>
      <c r="J7" s="136"/>
      <c r="K7" s="136"/>
    </row>
    <row r="8" spans="1:13" x14ac:dyDescent="0.35">
      <c r="H8" s="136"/>
      <c r="I8" s="136"/>
      <c r="J8" s="136"/>
      <c r="K8" s="136"/>
    </row>
    <row r="9" spans="1:13" x14ac:dyDescent="0.35">
      <c r="H9" s="126"/>
      <c r="I9" s="126"/>
      <c r="J9" s="127"/>
      <c r="K9" s="127"/>
    </row>
    <row r="10" spans="1:13" x14ac:dyDescent="0.35">
      <c r="H10" s="126"/>
      <c r="I10" s="126"/>
      <c r="J10" s="126"/>
      <c r="K10" s="126"/>
    </row>
    <row r="11" spans="1:13" x14ac:dyDescent="0.35">
      <c r="H11" s="126"/>
      <c r="I11" s="126"/>
      <c r="J11" s="126"/>
      <c r="K11" s="126"/>
    </row>
    <row r="12" spans="1:13" x14ac:dyDescent="0.35">
      <c r="H12" s="128"/>
      <c r="I12" s="128"/>
      <c r="J12" s="128"/>
      <c r="K12" s="128"/>
    </row>
    <row r="13" spans="1:13" x14ac:dyDescent="0.35">
      <c r="H13" s="128"/>
      <c r="I13" s="128"/>
      <c r="J13" s="128"/>
      <c r="K13" s="128"/>
    </row>
    <row r="14" spans="1:13" x14ac:dyDescent="0.35">
      <c r="H14" s="128"/>
      <c r="I14" s="128"/>
      <c r="J14" s="128"/>
      <c r="K14" s="128"/>
    </row>
    <row r="15" spans="1:13" x14ac:dyDescent="0.35">
      <c r="H15" s="128"/>
      <c r="I15" s="128"/>
      <c r="J15" s="128"/>
      <c r="K15" s="128"/>
    </row>
    <row r="16" spans="1:13" x14ac:dyDescent="0.35">
      <c r="H16" s="128"/>
      <c r="I16" s="128"/>
      <c r="J16" s="128"/>
      <c r="K16" s="128"/>
    </row>
    <row r="17" spans="8:11" x14ac:dyDescent="0.35">
      <c r="H17" s="128"/>
      <c r="I17" s="128"/>
      <c r="J17" s="128"/>
      <c r="K17" s="128"/>
    </row>
    <row r="18" spans="8:11" x14ac:dyDescent="0.35">
      <c r="H18" s="128"/>
      <c r="I18" s="128"/>
      <c r="J18" s="128"/>
      <c r="K18" s="128"/>
    </row>
    <row r="19" spans="8:11" x14ac:dyDescent="0.35">
      <c r="H19" s="128"/>
      <c r="I19" s="128"/>
      <c r="J19" s="128"/>
      <c r="K19" s="128"/>
    </row>
    <row r="20" spans="8:11" x14ac:dyDescent="0.35">
      <c r="H20" s="128"/>
      <c r="I20" s="128"/>
      <c r="J20" s="128"/>
      <c r="K20" s="128"/>
    </row>
    <row r="21" spans="8:11" x14ac:dyDescent="0.35">
      <c r="H21" s="128"/>
      <c r="I21" s="128"/>
      <c r="J21" s="128"/>
      <c r="K21" s="128"/>
    </row>
    <row r="22" spans="8:11" x14ac:dyDescent="0.35">
      <c r="H22" s="126"/>
      <c r="I22" s="126"/>
      <c r="J22" s="126"/>
      <c r="K22" s="126"/>
    </row>
    <row r="23" spans="8:11" x14ac:dyDescent="0.35">
      <c r="H23" s="126"/>
      <c r="I23" s="126"/>
      <c r="J23" s="126"/>
      <c r="K23" s="126"/>
    </row>
    <row r="24" spans="8:11" x14ac:dyDescent="0.35">
      <c r="H24" s="128"/>
      <c r="I24" s="128"/>
      <c r="J24" s="128"/>
      <c r="K24" s="128"/>
    </row>
    <row r="25" spans="8:11" x14ac:dyDescent="0.35">
      <c r="H25" s="128"/>
      <c r="I25" s="128"/>
      <c r="J25" s="128"/>
      <c r="K25" s="128"/>
    </row>
    <row r="26" spans="8:11" x14ac:dyDescent="0.35">
      <c r="H26" s="128"/>
      <c r="I26" s="128"/>
      <c r="J26" s="128"/>
      <c r="K26" s="128"/>
    </row>
    <row r="27" spans="8:11" x14ac:dyDescent="0.35">
      <c r="H27" s="128"/>
      <c r="I27" s="128"/>
      <c r="J27" s="128"/>
      <c r="K27" s="128"/>
    </row>
    <row r="28" spans="8:11" x14ac:dyDescent="0.35">
      <c r="H28" s="128"/>
      <c r="I28" s="128"/>
      <c r="J28" s="128"/>
      <c r="K28" s="128"/>
    </row>
    <row r="29" spans="8:11" x14ac:dyDescent="0.35">
      <c r="H29" s="128"/>
      <c r="I29" s="128"/>
      <c r="J29" s="128"/>
      <c r="K29" s="128"/>
    </row>
    <row r="30" spans="8:11" x14ac:dyDescent="0.35">
      <c r="H30" s="128"/>
      <c r="I30" s="128"/>
      <c r="J30" s="128"/>
      <c r="K30" s="128"/>
    </row>
    <row r="31" spans="8:11" x14ac:dyDescent="0.35">
      <c r="H31" s="128"/>
      <c r="I31" s="128"/>
      <c r="J31" s="128"/>
      <c r="K31" s="128"/>
    </row>
    <row r="32" spans="8:11" x14ac:dyDescent="0.35">
      <c r="H32" s="128"/>
      <c r="I32" s="128"/>
      <c r="J32" s="128"/>
      <c r="K32" s="128"/>
    </row>
    <row r="33" spans="8:11" x14ac:dyDescent="0.35">
      <c r="H33" s="128"/>
      <c r="I33" s="128"/>
      <c r="J33" s="128"/>
      <c r="K33" s="128"/>
    </row>
  </sheetData>
  <autoFilter ref="A1:M1" xr:uid="{F0391674-2F4E-4065-91C8-E5D61332FBC7}"/>
  <conditionalFormatting sqref="F1:F1048576">
    <cfRule type="cellIs" dxfId="38" priority="1" operator="equal">
      <formula>"NA"</formula>
    </cfRule>
    <cfRule type="cellIs" dxfId="37" priority="2" operator="equal">
      <formula>"Indéterminé"</formula>
    </cfRule>
    <cfRule type="cellIs" dxfId="36" priority="3" operator="equal">
      <formula>"Validé"</formula>
    </cfRule>
    <cfRule type="cellIs" dxfId="35"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6"/>
  <sheetViews>
    <sheetView showGridLines="0" workbookViewId="0">
      <selection activeCell="E11" sqref="E11"/>
    </sheetView>
  </sheetViews>
  <sheetFormatPr baseColWidth="10" defaultColWidth="11.453125" defaultRowHeight="14.5" x14ac:dyDescent="0.35"/>
  <cols>
    <col min="1" max="1" width="5.7265625" style="8" customWidth="1"/>
    <col min="2" max="2" width="110.7265625" style="8" customWidth="1"/>
    <col min="3" max="3" width="5.7265625" style="8" customWidth="1"/>
    <col min="4" max="16384" width="11.453125" style="8"/>
  </cols>
  <sheetData>
    <row r="1" spans="1:3" ht="25" customHeight="1" x14ac:dyDescent="0.35">
      <c r="A1" s="143"/>
      <c r="B1" s="143"/>
      <c r="C1" s="25"/>
    </row>
    <row r="2" spans="1:3" ht="60" customHeight="1" x14ac:dyDescent="0.35">
      <c r="A2" s="143"/>
      <c r="B2" s="145" t="s">
        <v>398</v>
      </c>
      <c r="C2" s="143"/>
    </row>
    <row r="3" spans="1:3" ht="40" customHeight="1" x14ac:dyDescent="0.35">
      <c r="A3" s="143"/>
      <c r="B3" s="146" t="s">
        <v>399</v>
      </c>
      <c r="C3" s="143"/>
    </row>
    <row r="4" spans="1:3" ht="30" customHeight="1" x14ac:dyDescent="0.35">
      <c r="A4" s="143"/>
      <c r="B4" s="147" t="s">
        <v>637</v>
      </c>
      <c r="C4" s="143"/>
    </row>
    <row r="5" spans="1:3" ht="17.149999999999999" customHeight="1" x14ac:dyDescent="0.35">
      <c r="A5" s="143"/>
      <c r="B5" s="148" t="s">
        <v>400</v>
      </c>
      <c r="C5" s="143"/>
    </row>
    <row r="6" spans="1:3" ht="17.149999999999999" customHeight="1" x14ac:dyDescent="0.35">
      <c r="A6" s="143"/>
      <c r="B6" s="149" t="s">
        <v>631</v>
      </c>
      <c r="C6" s="143"/>
    </row>
    <row r="7" spans="1:3" ht="17.149999999999999" customHeight="1" x14ac:dyDescent="0.35">
      <c r="A7" s="143"/>
      <c r="B7" s="149" t="s">
        <v>632</v>
      </c>
      <c r="C7" s="143"/>
    </row>
    <row r="8" spans="1:3" ht="17.149999999999999" customHeight="1" x14ac:dyDescent="0.35">
      <c r="A8" s="143"/>
      <c r="B8" s="148"/>
      <c r="C8" s="143"/>
    </row>
    <row r="9" spans="1:3" ht="17.149999999999999" customHeight="1" x14ac:dyDescent="0.35">
      <c r="A9" s="143"/>
      <c r="B9" s="148" t="s">
        <v>401</v>
      </c>
      <c r="C9" s="143"/>
    </row>
    <row r="10" spans="1:3" ht="17.149999999999999" customHeight="1" x14ac:dyDescent="0.35">
      <c r="A10" s="143"/>
      <c r="B10" s="149" t="s">
        <v>633</v>
      </c>
      <c r="C10" s="143"/>
    </row>
    <row r="11" spans="1:3" ht="17.149999999999999" customHeight="1" x14ac:dyDescent="0.35">
      <c r="A11" s="143"/>
      <c r="B11" s="149" t="s">
        <v>634</v>
      </c>
      <c r="C11" s="143"/>
    </row>
    <row r="12" spans="1:3" ht="17.149999999999999" customHeight="1" x14ac:dyDescent="0.35">
      <c r="A12" s="143"/>
      <c r="B12" s="149" t="s">
        <v>648</v>
      </c>
      <c r="C12" s="143"/>
    </row>
    <row r="13" spans="1:3" ht="17.149999999999999" customHeight="1" x14ac:dyDescent="0.35">
      <c r="A13" s="143"/>
      <c r="B13" s="149" t="s">
        <v>635</v>
      </c>
      <c r="C13" s="143"/>
    </row>
    <row r="14" spans="1:3" ht="17.149999999999999" customHeight="1" x14ac:dyDescent="0.35">
      <c r="A14" s="143"/>
      <c r="B14" s="149"/>
      <c r="C14" s="143"/>
    </row>
    <row r="15" spans="1:3" ht="29" x14ac:dyDescent="0.35">
      <c r="A15" s="143"/>
      <c r="B15" s="162" t="s">
        <v>638</v>
      </c>
      <c r="C15" s="143"/>
    </row>
    <row r="16" spans="1:3" ht="17.149999999999999" customHeight="1" x14ac:dyDescent="0.35">
      <c r="A16" s="143"/>
      <c r="B16" s="148"/>
      <c r="C16" s="143"/>
    </row>
    <row r="17" spans="1:9" ht="40" customHeight="1" x14ac:dyDescent="0.35">
      <c r="A17" s="143"/>
      <c r="B17" s="150" t="s">
        <v>639</v>
      </c>
      <c r="C17" s="144"/>
      <c r="D17" s="97"/>
      <c r="E17" s="97"/>
      <c r="F17" s="97"/>
      <c r="G17" s="97"/>
      <c r="H17" s="97"/>
      <c r="I17" s="97"/>
    </row>
    <row r="18" spans="1:9" ht="30" customHeight="1" x14ac:dyDescent="0.35">
      <c r="A18" s="143"/>
      <c r="B18" s="147" t="s">
        <v>640</v>
      </c>
      <c r="C18" s="143"/>
    </row>
    <row r="19" spans="1:9" ht="72.5" x14ac:dyDescent="0.35">
      <c r="A19" s="143"/>
      <c r="B19" s="150" t="s">
        <v>651</v>
      </c>
      <c r="C19" s="144"/>
      <c r="D19" s="97"/>
      <c r="E19" s="97"/>
      <c r="F19" s="97"/>
      <c r="G19" s="97"/>
      <c r="H19" s="97"/>
      <c r="I19" s="97"/>
    </row>
    <row r="20" spans="1:9" ht="43.5" x14ac:dyDescent="0.35">
      <c r="A20" s="143"/>
      <c r="B20" s="150" t="s">
        <v>650</v>
      </c>
      <c r="C20" s="144"/>
      <c r="D20" s="97"/>
      <c r="E20" s="97"/>
      <c r="F20" s="97"/>
      <c r="G20" s="97"/>
      <c r="H20" s="97"/>
      <c r="I20" s="97"/>
    </row>
    <row r="21" spans="1:9" ht="30" customHeight="1" x14ac:dyDescent="0.35">
      <c r="A21" s="143"/>
      <c r="B21" s="147" t="s">
        <v>641</v>
      </c>
      <c r="C21" s="143"/>
    </row>
    <row r="22" spans="1:9" ht="60" customHeight="1" x14ac:dyDescent="0.35">
      <c r="A22" s="143"/>
      <c r="B22" s="150" t="s">
        <v>647</v>
      </c>
      <c r="C22" s="144"/>
      <c r="D22" s="97"/>
      <c r="E22" s="97"/>
      <c r="F22" s="97"/>
      <c r="G22" s="97"/>
      <c r="H22" s="97"/>
      <c r="I22" s="97"/>
    </row>
    <row r="23" spans="1:9" ht="30" customHeight="1" x14ac:dyDescent="0.35">
      <c r="A23" s="143"/>
      <c r="B23" s="147" t="s">
        <v>642</v>
      </c>
      <c r="C23" s="143"/>
    </row>
    <row r="24" spans="1:9" ht="43.5" x14ac:dyDescent="0.35">
      <c r="A24" s="143"/>
      <c r="B24" s="150" t="s">
        <v>652</v>
      </c>
      <c r="C24" s="144"/>
      <c r="D24" s="97"/>
      <c r="E24" s="97"/>
      <c r="F24" s="97"/>
      <c r="G24" s="97"/>
      <c r="H24" s="97"/>
      <c r="I24" s="97"/>
    </row>
    <row r="25" spans="1:9" ht="130.5" x14ac:dyDescent="0.35">
      <c r="A25" s="143"/>
      <c r="B25" s="150" t="s">
        <v>649</v>
      </c>
      <c r="C25" s="144"/>
      <c r="D25" s="97"/>
      <c r="E25" s="97"/>
      <c r="F25" s="97"/>
      <c r="G25" s="97"/>
      <c r="H25" s="97"/>
      <c r="I25" s="97"/>
    </row>
    <row r="26" spans="1:9" ht="130.5" x14ac:dyDescent="0.35">
      <c r="A26" s="143"/>
      <c r="B26" s="150" t="s">
        <v>670</v>
      </c>
      <c r="C26" s="144"/>
      <c r="D26" s="97"/>
      <c r="E26" s="97"/>
      <c r="F26" s="97"/>
      <c r="G26" s="97"/>
      <c r="H26" s="97"/>
      <c r="I26" s="97"/>
    </row>
    <row r="27" spans="1:9" ht="58" x14ac:dyDescent="0.35">
      <c r="A27" s="143"/>
      <c r="B27" s="150" t="s">
        <v>659</v>
      </c>
      <c r="C27" s="144"/>
      <c r="D27" s="97"/>
      <c r="E27" s="97"/>
      <c r="F27" s="97"/>
      <c r="G27" s="97"/>
      <c r="H27" s="97"/>
      <c r="I27" s="97"/>
    </row>
    <row r="28" spans="1:9" ht="58" x14ac:dyDescent="0.35">
      <c r="A28" s="143"/>
      <c r="B28" s="150" t="s">
        <v>661</v>
      </c>
      <c r="C28" s="144"/>
      <c r="D28" s="97"/>
      <c r="E28" s="97"/>
      <c r="F28" s="97"/>
      <c r="G28" s="97"/>
      <c r="H28" s="97"/>
      <c r="I28" s="97"/>
    </row>
    <row r="29" spans="1:9" ht="29" x14ac:dyDescent="0.35">
      <c r="A29" s="143"/>
      <c r="B29" s="252" t="s">
        <v>660</v>
      </c>
      <c r="C29" s="144"/>
      <c r="D29" s="97"/>
      <c r="E29" s="97"/>
      <c r="F29" s="97"/>
      <c r="G29" s="97"/>
      <c r="H29" s="97"/>
      <c r="I29" s="97"/>
    </row>
    <row r="30" spans="1:9" ht="31" customHeight="1" x14ac:dyDescent="0.35">
      <c r="A30" s="143"/>
      <c r="B30" s="147" t="s">
        <v>643</v>
      </c>
      <c r="C30" s="144"/>
      <c r="D30" s="97"/>
      <c r="E30" s="97"/>
      <c r="F30" s="97"/>
      <c r="G30" s="97"/>
      <c r="H30" s="97"/>
      <c r="I30" s="97"/>
    </row>
    <row r="31" spans="1:9" ht="72.5" x14ac:dyDescent="0.35">
      <c r="A31" s="143"/>
      <c r="B31" s="150" t="s">
        <v>655</v>
      </c>
      <c r="C31" s="144"/>
      <c r="D31" s="97"/>
      <c r="E31" s="97"/>
      <c r="F31" s="97"/>
      <c r="G31" s="97"/>
      <c r="H31" s="97"/>
      <c r="I31" s="97"/>
    </row>
    <row r="32" spans="1:9" ht="29" x14ac:dyDescent="0.35">
      <c r="A32" s="143"/>
      <c r="B32" s="251" t="s">
        <v>664</v>
      </c>
      <c r="C32" s="144"/>
      <c r="D32" s="97"/>
      <c r="E32" s="97"/>
      <c r="F32" s="97"/>
      <c r="G32" s="97"/>
      <c r="H32" s="97"/>
      <c r="I32" s="97"/>
    </row>
    <row r="33" spans="1:9" ht="43.5" x14ac:dyDescent="0.35">
      <c r="A33" s="143"/>
      <c r="B33" s="150" t="s">
        <v>654</v>
      </c>
      <c r="C33" s="144"/>
      <c r="D33" s="97"/>
      <c r="E33" s="97"/>
      <c r="F33" s="97"/>
      <c r="G33" s="97"/>
      <c r="H33" s="97"/>
      <c r="I33" s="97"/>
    </row>
    <row r="34" spans="1:9" ht="29" x14ac:dyDescent="0.35">
      <c r="A34" s="143"/>
      <c r="B34" s="257" t="s">
        <v>667</v>
      </c>
      <c r="C34" s="144"/>
      <c r="D34" s="97"/>
      <c r="E34" s="97"/>
      <c r="F34" s="97"/>
      <c r="G34" s="97"/>
      <c r="H34" s="97"/>
      <c r="I34" s="97"/>
    </row>
    <row r="35" spans="1:9" ht="43.5" x14ac:dyDescent="0.35">
      <c r="A35" s="143"/>
      <c r="B35" s="150" t="s">
        <v>663</v>
      </c>
      <c r="C35" s="144"/>
      <c r="D35" s="97"/>
      <c r="E35" s="97"/>
      <c r="F35" s="97"/>
      <c r="G35" s="97"/>
      <c r="H35" s="97"/>
      <c r="I35" s="97"/>
    </row>
    <row r="36" spans="1:9" ht="58" x14ac:dyDescent="0.35">
      <c r="A36" s="143"/>
      <c r="B36" s="150" t="s">
        <v>662</v>
      </c>
      <c r="C36" s="144"/>
      <c r="D36" s="97"/>
      <c r="E36" s="97"/>
      <c r="F36" s="97"/>
      <c r="G36" s="97"/>
      <c r="H36" s="97"/>
      <c r="I36" s="97"/>
    </row>
    <row r="37" spans="1:9" ht="43.5" x14ac:dyDescent="0.35">
      <c r="A37" s="143"/>
      <c r="B37" s="150" t="s">
        <v>653</v>
      </c>
      <c r="C37" s="144"/>
      <c r="D37" s="97"/>
      <c r="E37" s="97"/>
      <c r="F37" s="97"/>
      <c r="G37" s="97"/>
      <c r="H37" s="97"/>
      <c r="I37" s="97"/>
    </row>
    <row r="38" spans="1:9" ht="30" customHeight="1" x14ac:dyDescent="0.35">
      <c r="A38" s="143"/>
      <c r="B38" s="147" t="s">
        <v>644</v>
      </c>
      <c r="C38" s="143"/>
    </row>
    <row r="39" spans="1:9" ht="72.5" x14ac:dyDescent="0.35">
      <c r="A39" s="143"/>
      <c r="B39" s="150" t="s">
        <v>665</v>
      </c>
      <c r="C39" s="144"/>
      <c r="D39" s="97"/>
      <c r="E39" s="97"/>
      <c r="F39" s="97"/>
      <c r="G39" s="97"/>
      <c r="H39" s="97"/>
      <c r="I39" s="97"/>
    </row>
    <row r="40" spans="1:9" ht="43.5" x14ac:dyDescent="0.35">
      <c r="A40" s="143"/>
      <c r="B40" s="150" t="s">
        <v>658</v>
      </c>
      <c r="C40" s="144"/>
      <c r="D40" s="97"/>
      <c r="E40" s="97"/>
      <c r="F40" s="97"/>
      <c r="G40" s="97"/>
      <c r="H40" s="97"/>
      <c r="I40" s="97"/>
    </row>
    <row r="41" spans="1:9" ht="30" customHeight="1" x14ac:dyDescent="0.35">
      <c r="A41" s="143"/>
      <c r="B41" s="147" t="s">
        <v>645</v>
      </c>
      <c r="C41" s="143"/>
    </row>
    <row r="42" spans="1:9" ht="58" x14ac:dyDescent="0.35">
      <c r="A42" s="143"/>
      <c r="B42" s="150" t="s">
        <v>666</v>
      </c>
      <c r="C42" s="144"/>
      <c r="D42" s="97"/>
      <c r="E42" s="97"/>
      <c r="F42" s="97"/>
      <c r="G42" s="97"/>
      <c r="H42" s="97"/>
      <c r="I42" s="97"/>
    </row>
    <row r="43" spans="1:9" ht="30" customHeight="1" x14ac:dyDescent="0.35">
      <c r="A43" s="143"/>
      <c r="B43" s="147" t="s">
        <v>646</v>
      </c>
      <c r="C43" s="143"/>
    </row>
    <row r="44" spans="1:9" ht="58" x14ac:dyDescent="0.35">
      <c r="A44" s="143"/>
      <c r="B44" s="150" t="s">
        <v>656</v>
      </c>
      <c r="C44" s="144"/>
      <c r="D44" s="97"/>
      <c r="E44" s="97"/>
      <c r="F44" s="97"/>
      <c r="G44" s="97"/>
      <c r="H44" s="97"/>
      <c r="I44" s="97"/>
    </row>
    <row r="45" spans="1:9" ht="29" x14ac:dyDescent="0.35">
      <c r="A45" s="143"/>
      <c r="B45" s="150" t="s">
        <v>657</v>
      </c>
      <c r="C45" s="144"/>
      <c r="D45" s="97"/>
      <c r="E45" s="97"/>
      <c r="F45" s="97"/>
      <c r="G45" s="97"/>
      <c r="H45" s="97"/>
      <c r="I45" s="97"/>
    </row>
    <row r="46" spans="1:9" x14ac:dyDescent="0.35">
      <c r="A46" s="143"/>
      <c r="B46" s="143"/>
      <c r="C46" s="143"/>
    </row>
  </sheetData>
  <hyperlinks>
    <hyperlink ref="B29" r:id="rId1" location="contenus-exempt%C3%A9s_x000a_" xr:uid="{9B13B667-87D6-47BB-8140-76AB998BDD8D}"/>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20" sqref="C20"/>
    </sheetView>
  </sheetViews>
  <sheetFormatPr baseColWidth="10" defaultRowHeight="14.5" x14ac:dyDescent="0.35"/>
  <cols>
    <col min="2" max="2" width="12.54296875" customWidth="1"/>
    <col min="3" max="3" width="100.7265625" customWidth="1"/>
  </cols>
  <sheetData>
    <row r="2" spans="2:3" ht="26" x14ac:dyDescent="0.6">
      <c r="B2" s="90" t="s">
        <v>395</v>
      </c>
    </row>
    <row r="3" spans="2:3" x14ac:dyDescent="0.35">
      <c r="B3" s="89" t="s">
        <v>383</v>
      </c>
    </row>
    <row r="5" spans="2:3" ht="17.5" x14ac:dyDescent="0.35">
      <c r="B5" s="91" t="s">
        <v>384</v>
      </c>
    </row>
    <row r="6" spans="2:3" x14ac:dyDescent="0.35">
      <c r="B6" s="92" t="s">
        <v>385</v>
      </c>
    </row>
    <row r="7" spans="2:3" x14ac:dyDescent="0.35">
      <c r="B7" s="92" t="s">
        <v>387</v>
      </c>
    </row>
    <row r="8" spans="2:3" x14ac:dyDescent="0.35">
      <c r="B8" s="93"/>
    </row>
    <row r="9" spans="2:3" x14ac:dyDescent="0.35">
      <c r="B9" s="93" t="s">
        <v>386</v>
      </c>
    </row>
    <row r="10" spans="2:3" x14ac:dyDescent="0.35">
      <c r="B10" s="93"/>
    </row>
    <row r="11" spans="2:3" ht="17.5" x14ac:dyDescent="0.35">
      <c r="B11" s="91" t="s">
        <v>388</v>
      </c>
    </row>
    <row r="12" spans="2:3" ht="43.5" x14ac:dyDescent="0.35">
      <c r="C12" s="94" t="s">
        <v>389</v>
      </c>
    </row>
    <row r="14" spans="2:3" ht="43.5" x14ac:dyDescent="0.35">
      <c r="C14" s="94" t="s">
        <v>390</v>
      </c>
    </row>
    <row r="16" spans="2:3" ht="29" x14ac:dyDescent="0.35">
      <c r="C16" s="94" t="s">
        <v>391</v>
      </c>
    </row>
    <row r="19" spans="2:3" ht="26" x14ac:dyDescent="0.6">
      <c r="B19" s="90" t="s">
        <v>392</v>
      </c>
    </row>
    <row r="20" spans="2:3" ht="17.5" x14ac:dyDescent="0.35">
      <c r="B20" s="91" t="s">
        <v>393</v>
      </c>
    </row>
    <row r="21" spans="2:3" ht="51.65" customHeight="1" x14ac:dyDescent="0.35">
      <c r="C21" s="8" t="s">
        <v>630</v>
      </c>
    </row>
    <row r="23" spans="2:3" ht="17.5" x14ac:dyDescent="0.35">
      <c r="B23" s="91" t="s">
        <v>396</v>
      </c>
    </row>
    <row r="24" spans="2:3" x14ac:dyDescent="0.35">
      <c r="B24" s="277" t="s">
        <v>397</v>
      </c>
      <c r="C24" s="277"/>
    </row>
    <row r="27" spans="2:3" ht="26" x14ac:dyDescent="0.6">
      <c r="B27" s="90"/>
    </row>
    <row r="28" spans="2:3" ht="72" customHeight="1" x14ac:dyDescent="0.35">
      <c r="B28" s="278"/>
      <c r="C28" s="278"/>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666"/>
  <sheetViews>
    <sheetView zoomScaleNormal="100" workbookViewId="0">
      <pane ySplit="3" topLeftCell="A4" activePane="bottomLeft" state="frozen"/>
      <selection activeCell="B9" sqref="B9"/>
      <selection pane="bottomLeft" activeCell="A4" sqref="A4:XFD4"/>
    </sheetView>
  </sheetViews>
  <sheetFormatPr baseColWidth="10" defaultColWidth="11.54296875" defaultRowHeight="10.5" x14ac:dyDescent="0.35"/>
  <cols>
    <col min="1" max="1" width="3.26953125" style="100" customWidth="1"/>
    <col min="2" max="2" width="11.26953125" style="110" customWidth="1"/>
    <col min="3" max="3" width="9" style="110" customWidth="1"/>
    <col min="4" max="4" width="32.7265625" style="107" customWidth="1"/>
    <col min="5" max="5" width="5.81640625" style="100" customWidth="1"/>
    <col min="6" max="6" width="37.453125" style="110" customWidth="1"/>
    <col min="7" max="7" width="9" style="107" customWidth="1"/>
    <col min="8" max="8" width="9.453125" style="107" bestFit="1" customWidth="1"/>
    <col min="9" max="9" width="9.453125" style="107" customWidth="1"/>
    <col min="10" max="10" width="10.7265625" style="100" customWidth="1"/>
    <col min="11" max="13" width="36.26953125" style="100" customWidth="1"/>
    <col min="14" max="14" width="21" style="100" customWidth="1"/>
    <col min="15" max="15" width="11.54296875" style="100" customWidth="1"/>
    <col min="16" max="16384" width="11.54296875" style="100"/>
  </cols>
  <sheetData>
    <row r="1" spans="2:17" ht="21" x14ac:dyDescent="0.35">
      <c r="B1" s="101"/>
      <c r="C1" s="102"/>
      <c r="D1" s="103"/>
      <c r="E1" s="104"/>
      <c r="F1" s="104"/>
      <c r="G1" s="103"/>
      <c r="H1" s="104"/>
      <c r="I1" s="104"/>
      <c r="J1" s="104"/>
      <c r="K1" s="104"/>
      <c r="L1" s="104"/>
      <c r="M1" s="104"/>
      <c r="N1" s="104"/>
      <c r="O1" s="104"/>
      <c r="P1" s="49" t="s">
        <v>18</v>
      </c>
      <c r="Q1" s="105"/>
    </row>
    <row r="2" spans="2:17" x14ac:dyDescent="0.35">
      <c r="B2" s="100"/>
      <c r="C2" s="106"/>
      <c r="F2" s="100"/>
      <c r="H2" s="108"/>
      <c r="I2" s="108"/>
    </row>
    <row r="3" spans="2:17" s="109" customFormat="1" ht="21" x14ac:dyDescent="0.35">
      <c r="B3" s="218" t="s">
        <v>0</v>
      </c>
      <c r="C3" s="219" t="s">
        <v>258</v>
      </c>
      <c r="D3" s="220" t="s">
        <v>232</v>
      </c>
      <c r="E3" s="221" t="s">
        <v>21</v>
      </c>
      <c r="F3" s="220" t="s">
        <v>609</v>
      </c>
      <c r="G3" s="220" t="s">
        <v>30</v>
      </c>
      <c r="H3" s="220" t="s">
        <v>19</v>
      </c>
      <c r="I3" s="220" t="s">
        <v>247</v>
      </c>
      <c r="J3" s="220" t="s">
        <v>20</v>
      </c>
      <c r="K3" s="220" t="s">
        <v>404</v>
      </c>
      <c r="L3" s="220" t="s">
        <v>669</v>
      </c>
      <c r="M3" s="220" t="s">
        <v>381</v>
      </c>
      <c r="N3" s="220" t="s">
        <v>517</v>
      </c>
      <c r="O3" s="220" t="s">
        <v>403</v>
      </c>
      <c r="P3" s="220" t="s">
        <v>25</v>
      </c>
      <c r="Q3" s="246" t="s">
        <v>248</v>
      </c>
    </row>
    <row r="4" spans="2:17" ht="50.15" customHeight="1" x14ac:dyDescent="0.35">
      <c r="B4" s="223" t="s">
        <v>3</v>
      </c>
      <c r="C4" s="179" t="s">
        <v>260</v>
      </c>
      <c r="D4" s="151" t="s">
        <v>431</v>
      </c>
      <c r="E4" s="182" t="s">
        <v>22</v>
      </c>
      <c r="F4" s="159" t="s">
        <v>679</v>
      </c>
      <c r="G4" s="182" t="s">
        <v>31</v>
      </c>
      <c r="H4" s="224" t="s">
        <v>40</v>
      </c>
      <c r="I4" s="225"/>
      <c r="J4" s="182"/>
      <c r="K4" s="177"/>
      <c r="L4" s="177"/>
      <c r="M4" s="177"/>
      <c r="N4" s="177"/>
      <c r="O4" s="177"/>
      <c r="P4" s="182"/>
      <c r="Q4" s="226"/>
    </row>
    <row r="5" spans="2:17" ht="50.15" customHeight="1" x14ac:dyDescent="0.35">
      <c r="B5" s="223" t="s">
        <v>3</v>
      </c>
      <c r="C5" s="212" t="s">
        <v>262</v>
      </c>
      <c r="D5" s="213" t="s">
        <v>432</v>
      </c>
      <c r="E5" s="214" t="s">
        <v>22</v>
      </c>
      <c r="F5" s="215" t="s">
        <v>518</v>
      </c>
      <c r="G5" s="214" t="s">
        <v>31</v>
      </c>
      <c r="H5" s="227" t="s">
        <v>40</v>
      </c>
      <c r="I5" s="228"/>
      <c r="J5" s="214"/>
      <c r="K5" s="216"/>
      <c r="L5" s="216"/>
      <c r="M5" s="216"/>
      <c r="N5" s="216"/>
      <c r="O5" s="216"/>
      <c r="P5" s="214"/>
      <c r="Q5" s="229"/>
    </row>
    <row r="6" spans="2:17" ht="50.15" customHeight="1" x14ac:dyDescent="0.35">
      <c r="B6" s="223" t="s">
        <v>3</v>
      </c>
      <c r="C6" s="179" t="s">
        <v>263</v>
      </c>
      <c r="D6" s="151" t="s">
        <v>433</v>
      </c>
      <c r="E6" s="182" t="s">
        <v>22</v>
      </c>
      <c r="F6" s="156" t="s">
        <v>680</v>
      </c>
      <c r="G6" s="182" t="s">
        <v>31</v>
      </c>
      <c r="H6" s="224" t="s">
        <v>40</v>
      </c>
      <c r="I6" s="230"/>
      <c r="J6" s="182"/>
      <c r="K6" s="177"/>
      <c r="L6" s="177"/>
      <c r="M6" s="177"/>
      <c r="N6" s="177"/>
      <c r="O6" s="177"/>
      <c r="P6" s="182"/>
      <c r="Q6" s="226"/>
    </row>
    <row r="7" spans="2:17" ht="50.15" customHeight="1" x14ac:dyDescent="0.35">
      <c r="B7" s="223" t="s">
        <v>3</v>
      </c>
      <c r="C7" s="212" t="s">
        <v>264</v>
      </c>
      <c r="D7" s="213" t="s">
        <v>231</v>
      </c>
      <c r="E7" s="214" t="s">
        <v>22</v>
      </c>
      <c r="F7" s="217" t="s">
        <v>519</v>
      </c>
      <c r="G7" s="214" t="s">
        <v>31</v>
      </c>
      <c r="H7" s="227" t="s">
        <v>40</v>
      </c>
      <c r="I7" s="228"/>
      <c r="J7" s="214"/>
      <c r="K7" s="216"/>
      <c r="L7" s="216"/>
      <c r="M7" s="216"/>
      <c r="N7" s="216"/>
      <c r="O7" s="216"/>
      <c r="P7" s="214"/>
      <c r="Q7" s="229"/>
    </row>
    <row r="8" spans="2:17" ht="50.15" customHeight="1" x14ac:dyDescent="0.35">
      <c r="B8" s="223" t="s">
        <v>3</v>
      </c>
      <c r="C8" s="179" t="s">
        <v>265</v>
      </c>
      <c r="D8" s="151" t="s">
        <v>434</v>
      </c>
      <c r="E8" s="182" t="s">
        <v>22</v>
      </c>
      <c r="F8" s="156" t="s">
        <v>520</v>
      </c>
      <c r="G8" s="182" t="s">
        <v>31</v>
      </c>
      <c r="H8" s="224" t="s">
        <v>40</v>
      </c>
      <c r="I8" s="230"/>
      <c r="J8" s="182"/>
      <c r="K8" s="177"/>
      <c r="L8" s="177"/>
      <c r="M8" s="177"/>
      <c r="N8" s="177"/>
      <c r="O8" s="177"/>
      <c r="P8" s="182"/>
      <c r="Q8" s="226"/>
    </row>
    <row r="9" spans="2:17" ht="50.15" customHeight="1" x14ac:dyDescent="0.35">
      <c r="B9" s="223" t="s">
        <v>3</v>
      </c>
      <c r="C9" s="212" t="s">
        <v>266</v>
      </c>
      <c r="D9" s="213" t="s">
        <v>435</v>
      </c>
      <c r="E9" s="214" t="s">
        <v>22</v>
      </c>
      <c r="F9" s="215" t="s">
        <v>521</v>
      </c>
      <c r="G9" s="214" t="s">
        <v>31</v>
      </c>
      <c r="H9" s="227" t="s">
        <v>40</v>
      </c>
      <c r="I9" s="228"/>
      <c r="J9" s="214"/>
      <c r="K9" s="216"/>
      <c r="L9" s="216"/>
      <c r="M9" s="216"/>
      <c r="N9" s="216"/>
      <c r="O9" s="216"/>
      <c r="P9" s="214"/>
      <c r="Q9" s="229"/>
    </row>
    <row r="10" spans="2:17" ht="50.15" customHeight="1" x14ac:dyDescent="0.35">
      <c r="B10" s="223" t="s">
        <v>3</v>
      </c>
      <c r="C10" s="179" t="s">
        <v>267</v>
      </c>
      <c r="D10" s="151" t="s">
        <v>436</v>
      </c>
      <c r="E10" s="182" t="s">
        <v>22</v>
      </c>
      <c r="F10" s="156" t="s">
        <v>522</v>
      </c>
      <c r="G10" s="182" t="s">
        <v>31</v>
      </c>
      <c r="H10" s="224" t="s">
        <v>40</v>
      </c>
      <c r="I10" s="230"/>
      <c r="J10" s="182"/>
      <c r="K10" s="177"/>
      <c r="L10" s="177"/>
      <c r="M10" s="177"/>
      <c r="N10" s="177"/>
      <c r="O10" s="177"/>
      <c r="P10" s="182"/>
      <c r="Q10" s="226"/>
    </row>
    <row r="11" spans="2:17" ht="50.15" customHeight="1" x14ac:dyDescent="0.35">
      <c r="B11" s="223" t="s">
        <v>3</v>
      </c>
      <c r="C11" s="212" t="s">
        <v>269</v>
      </c>
      <c r="D11" s="213" t="s">
        <v>437</v>
      </c>
      <c r="E11" s="214" t="s">
        <v>23</v>
      </c>
      <c r="F11" s="215" t="s">
        <v>681</v>
      </c>
      <c r="G11" s="214" t="s">
        <v>31</v>
      </c>
      <c r="H11" s="227" t="s">
        <v>40</v>
      </c>
      <c r="I11" s="228"/>
      <c r="J11" s="214"/>
      <c r="K11" s="216"/>
      <c r="L11" s="216"/>
      <c r="M11" s="216"/>
      <c r="N11" s="216"/>
      <c r="O11" s="216"/>
      <c r="P11" s="214"/>
      <c r="Q11" s="229"/>
    </row>
    <row r="12" spans="2:17" ht="50.15" customHeight="1" x14ac:dyDescent="0.35">
      <c r="B12" s="223" t="s">
        <v>3</v>
      </c>
      <c r="C12" s="179" t="s">
        <v>271</v>
      </c>
      <c r="D12" s="151" t="s">
        <v>438</v>
      </c>
      <c r="E12" s="182" t="s">
        <v>22</v>
      </c>
      <c r="F12" s="159" t="s">
        <v>523</v>
      </c>
      <c r="G12" s="182" t="s">
        <v>31</v>
      </c>
      <c r="H12" s="224" t="s">
        <v>40</v>
      </c>
      <c r="I12" s="230"/>
      <c r="J12" s="182"/>
      <c r="K12" s="177"/>
      <c r="L12" s="177"/>
      <c r="M12" s="177"/>
      <c r="N12" s="177"/>
      <c r="O12" s="177"/>
      <c r="P12" s="182"/>
      <c r="Q12" s="226"/>
    </row>
    <row r="13" spans="2:17" ht="50.15" customHeight="1" x14ac:dyDescent="0.35">
      <c r="B13" s="231" t="s">
        <v>37</v>
      </c>
      <c r="C13" s="180" t="s">
        <v>272</v>
      </c>
      <c r="D13" s="152" t="s">
        <v>421</v>
      </c>
      <c r="E13" s="183" t="s">
        <v>22</v>
      </c>
      <c r="F13" s="158" t="s">
        <v>524</v>
      </c>
      <c r="G13" s="183" t="s">
        <v>31</v>
      </c>
      <c r="H13" s="232" t="s">
        <v>40</v>
      </c>
      <c r="I13" s="233"/>
      <c r="J13" s="183"/>
      <c r="K13" s="178"/>
      <c r="L13" s="178"/>
      <c r="M13" s="178"/>
      <c r="N13" s="178"/>
      <c r="O13" s="178"/>
      <c r="P13" s="183"/>
      <c r="Q13" s="234"/>
    </row>
    <row r="14" spans="2:17" ht="50.15" customHeight="1" x14ac:dyDescent="0.35">
      <c r="B14" s="231" t="s">
        <v>37</v>
      </c>
      <c r="C14" s="179" t="s">
        <v>273</v>
      </c>
      <c r="D14" s="151" t="s">
        <v>422</v>
      </c>
      <c r="E14" s="182" t="s">
        <v>22</v>
      </c>
      <c r="F14" s="159" t="s">
        <v>525</v>
      </c>
      <c r="G14" s="182" t="s">
        <v>31</v>
      </c>
      <c r="H14" s="224" t="s">
        <v>40</v>
      </c>
      <c r="I14" s="230"/>
      <c r="J14" s="182"/>
      <c r="K14" s="177"/>
      <c r="L14" s="177"/>
      <c r="M14" s="177"/>
      <c r="N14" s="177"/>
      <c r="O14" s="177"/>
      <c r="P14" s="182"/>
      <c r="Q14" s="226"/>
    </row>
    <row r="15" spans="2:17" ht="50.15" customHeight="1" x14ac:dyDescent="0.35">
      <c r="B15" s="223" t="s">
        <v>1</v>
      </c>
      <c r="C15" s="180" t="s">
        <v>274</v>
      </c>
      <c r="D15" s="152" t="s">
        <v>439</v>
      </c>
      <c r="E15" s="183" t="s">
        <v>22</v>
      </c>
      <c r="F15" s="158" t="s">
        <v>526</v>
      </c>
      <c r="G15" s="183" t="s">
        <v>31</v>
      </c>
      <c r="H15" s="232" t="s">
        <v>40</v>
      </c>
      <c r="I15" s="233"/>
      <c r="J15" s="183"/>
      <c r="K15" s="178"/>
      <c r="L15" s="178"/>
      <c r="M15" s="178"/>
      <c r="N15" s="178"/>
      <c r="O15" s="178"/>
      <c r="P15" s="183"/>
      <c r="Q15" s="234"/>
    </row>
    <row r="16" spans="2:17" ht="50.15" customHeight="1" x14ac:dyDescent="0.35">
      <c r="B16" s="223" t="s">
        <v>1</v>
      </c>
      <c r="C16" s="179" t="s">
        <v>275</v>
      </c>
      <c r="D16" s="151" t="s">
        <v>440</v>
      </c>
      <c r="E16" s="182" t="s">
        <v>23</v>
      </c>
      <c r="F16" s="156" t="s">
        <v>527</v>
      </c>
      <c r="G16" s="182" t="s">
        <v>31</v>
      </c>
      <c r="H16" s="224" t="s">
        <v>40</v>
      </c>
      <c r="I16" s="230"/>
      <c r="J16" s="182"/>
      <c r="K16" s="177"/>
      <c r="L16" s="177"/>
      <c r="M16" s="177"/>
      <c r="N16" s="177"/>
      <c r="O16" s="177"/>
      <c r="P16" s="182"/>
      <c r="Q16" s="226"/>
    </row>
    <row r="17" spans="2:17" ht="50.15" customHeight="1" x14ac:dyDescent="0.35">
      <c r="B17" s="223" t="s">
        <v>1</v>
      </c>
      <c r="C17" s="180" t="s">
        <v>276</v>
      </c>
      <c r="D17" s="152" t="s">
        <v>441</v>
      </c>
      <c r="E17" s="183" t="s">
        <v>23</v>
      </c>
      <c r="F17" s="158" t="s">
        <v>528</v>
      </c>
      <c r="G17" s="183" t="s">
        <v>31</v>
      </c>
      <c r="H17" s="232" t="s">
        <v>40</v>
      </c>
      <c r="I17" s="233"/>
      <c r="J17" s="183"/>
      <c r="K17" s="178"/>
      <c r="L17" s="178"/>
      <c r="M17" s="178"/>
      <c r="N17" s="178"/>
      <c r="O17" s="178"/>
      <c r="P17" s="183"/>
      <c r="Q17" s="234"/>
    </row>
    <row r="18" spans="2:17" ht="50.15" customHeight="1" x14ac:dyDescent="0.35">
      <c r="B18" s="231" t="s">
        <v>4</v>
      </c>
      <c r="C18" s="179" t="s">
        <v>277</v>
      </c>
      <c r="D18" s="151" t="s">
        <v>442</v>
      </c>
      <c r="E18" s="182" t="s">
        <v>22</v>
      </c>
      <c r="F18" s="156" t="s">
        <v>529</v>
      </c>
      <c r="G18" s="182" t="s">
        <v>31</v>
      </c>
      <c r="H18" s="224" t="s">
        <v>40</v>
      </c>
      <c r="I18" s="230"/>
      <c r="J18" s="182"/>
      <c r="K18" s="177"/>
      <c r="L18" s="177"/>
      <c r="M18" s="177"/>
      <c r="N18" s="177"/>
      <c r="O18" s="177"/>
      <c r="P18" s="182"/>
      <c r="Q18" s="226"/>
    </row>
    <row r="19" spans="2:17" ht="50.15" customHeight="1" x14ac:dyDescent="0.35">
      <c r="B19" s="231" t="s">
        <v>4</v>
      </c>
      <c r="C19" s="212" t="s">
        <v>278</v>
      </c>
      <c r="D19" s="213" t="s">
        <v>443</v>
      </c>
      <c r="E19" s="214" t="s">
        <v>22</v>
      </c>
      <c r="F19" s="215" t="s">
        <v>530</v>
      </c>
      <c r="G19" s="214" t="s">
        <v>31</v>
      </c>
      <c r="H19" s="227" t="s">
        <v>40</v>
      </c>
      <c r="I19" s="228"/>
      <c r="J19" s="214"/>
      <c r="K19" s="216"/>
      <c r="L19" s="216"/>
      <c r="M19" s="216"/>
      <c r="N19" s="216"/>
      <c r="O19" s="216"/>
      <c r="P19" s="214"/>
      <c r="Q19" s="229"/>
    </row>
    <row r="20" spans="2:17" ht="50.15" customHeight="1" x14ac:dyDescent="0.35">
      <c r="B20" s="231" t="s">
        <v>4</v>
      </c>
      <c r="C20" s="179" t="s">
        <v>279</v>
      </c>
      <c r="D20" s="151" t="s">
        <v>444</v>
      </c>
      <c r="E20" s="182" t="s">
        <v>22</v>
      </c>
      <c r="F20" s="156" t="s">
        <v>531</v>
      </c>
      <c r="G20" s="182" t="s">
        <v>31</v>
      </c>
      <c r="H20" s="224" t="s">
        <v>40</v>
      </c>
      <c r="I20" s="230"/>
      <c r="J20" s="182"/>
      <c r="K20" s="177"/>
      <c r="L20" s="177"/>
      <c r="M20" s="177"/>
      <c r="N20" s="177"/>
      <c r="O20" s="177"/>
      <c r="P20" s="182"/>
      <c r="Q20" s="226"/>
    </row>
    <row r="21" spans="2:17" ht="50.15" customHeight="1" x14ac:dyDescent="0.35">
      <c r="B21" s="231" t="s">
        <v>4</v>
      </c>
      <c r="C21" s="212" t="s">
        <v>280</v>
      </c>
      <c r="D21" s="213" t="s">
        <v>445</v>
      </c>
      <c r="E21" s="214" t="s">
        <v>22</v>
      </c>
      <c r="F21" s="215" t="s">
        <v>532</v>
      </c>
      <c r="G21" s="214" t="s">
        <v>31</v>
      </c>
      <c r="H21" s="227" t="s">
        <v>40</v>
      </c>
      <c r="I21" s="228"/>
      <c r="J21" s="214"/>
      <c r="K21" s="216"/>
      <c r="L21" s="216"/>
      <c r="M21" s="216"/>
      <c r="N21" s="216"/>
      <c r="O21" s="216"/>
      <c r="P21" s="214"/>
      <c r="Q21" s="229"/>
    </row>
    <row r="22" spans="2:17" ht="50.15" customHeight="1" x14ac:dyDescent="0.35">
      <c r="B22" s="231" t="s">
        <v>4</v>
      </c>
      <c r="C22" s="179" t="s">
        <v>281</v>
      </c>
      <c r="D22" s="151" t="s">
        <v>446</v>
      </c>
      <c r="E22" s="182" t="s">
        <v>23</v>
      </c>
      <c r="F22" s="156" t="s">
        <v>533</v>
      </c>
      <c r="G22" s="182" t="s">
        <v>31</v>
      </c>
      <c r="H22" s="224" t="s">
        <v>40</v>
      </c>
      <c r="I22" s="230"/>
      <c r="J22" s="182"/>
      <c r="K22" s="177"/>
      <c r="L22" s="177"/>
      <c r="M22" s="177"/>
      <c r="N22" s="177"/>
      <c r="O22" s="177"/>
      <c r="P22" s="182"/>
      <c r="Q22" s="226"/>
    </row>
    <row r="23" spans="2:17" ht="50.15" customHeight="1" x14ac:dyDescent="0.35">
      <c r="B23" s="231" t="s">
        <v>4</v>
      </c>
      <c r="C23" s="212" t="s">
        <v>282</v>
      </c>
      <c r="D23" s="213" t="s">
        <v>447</v>
      </c>
      <c r="E23" s="214" t="s">
        <v>23</v>
      </c>
      <c r="F23" s="215" t="s">
        <v>534</v>
      </c>
      <c r="G23" s="214" t="s">
        <v>31</v>
      </c>
      <c r="H23" s="227" t="s">
        <v>40</v>
      </c>
      <c r="I23" s="228"/>
      <c r="J23" s="214"/>
      <c r="K23" s="216"/>
      <c r="L23" s="216"/>
      <c r="M23" s="216"/>
      <c r="N23" s="216"/>
      <c r="O23" s="216"/>
      <c r="P23" s="214"/>
      <c r="Q23" s="229"/>
    </row>
    <row r="24" spans="2:17" ht="50.15" customHeight="1" x14ac:dyDescent="0.35">
      <c r="B24" s="231" t="s">
        <v>4</v>
      </c>
      <c r="C24" s="181" t="s">
        <v>283</v>
      </c>
      <c r="D24" s="155" t="s">
        <v>448</v>
      </c>
      <c r="E24" s="184" t="s">
        <v>22</v>
      </c>
      <c r="F24" s="235" t="s">
        <v>535</v>
      </c>
      <c r="G24" s="182" t="s">
        <v>31</v>
      </c>
      <c r="H24" s="224" t="s">
        <v>40</v>
      </c>
      <c r="I24" s="230"/>
      <c r="J24" s="182"/>
      <c r="K24" s="177"/>
      <c r="L24" s="177"/>
      <c r="M24" s="177"/>
      <c r="N24" s="177"/>
      <c r="O24" s="177"/>
      <c r="P24" s="182"/>
      <c r="Q24" s="226"/>
    </row>
    <row r="25" spans="2:17" ht="50.15" customHeight="1" x14ac:dyDescent="0.35">
      <c r="B25" s="231" t="s">
        <v>4</v>
      </c>
      <c r="C25" s="212" t="s">
        <v>284</v>
      </c>
      <c r="D25" s="213" t="s">
        <v>449</v>
      </c>
      <c r="E25" s="214" t="s">
        <v>22</v>
      </c>
      <c r="F25" s="217" t="s">
        <v>682</v>
      </c>
      <c r="G25" s="214" t="s">
        <v>31</v>
      </c>
      <c r="H25" s="227" t="s">
        <v>40</v>
      </c>
      <c r="I25" s="228"/>
      <c r="J25" s="214"/>
      <c r="K25" s="216"/>
      <c r="L25" s="216"/>
      <c r="M25" s="216"/>
      <c r="N25" s="216"/>
      <c r="O25" s="216"/>
      <c r="P25" s="214"/>
      <c r="Q25" s="229"/>
    </row>
    <row r="26" spans="2:17" ht="50.15" customHeight="1" x14ac:dyDescent="0.35">
      <c r="B26" s="231" t="s">
        <v>4</v>
      </c>
      <c r="C26" s="179" t="s">
        <v>285</v>
      </c>
      <c r="D26" s="151" t="s">
        <v>450</v>
      </c>
      <c r="E26" s="182" t="s">
        <v>22</v>
      </c>
      <c r="F26" s="159" t="s">
        <v>536</v>
      </c>
      <c r="G26" s="182" t="s">
        <v>31</v>
      </c>
      <c r="H26" s="224" t="s">
        <v>40</v>
      </c>
      <c r="I26" s="230"/>
      <c r="J26" s="182"/>
      <c r="K26" s="177"/>
      <c r="L26" s="177"/>
      <c r="M26" s="177"/>
      <c r="N26" s="177"/>
      <c r="O26" s="177"/>
      <c r="P26" s="182"/>
      <c r="Q26" s="226"/>
    </row>
    <row r="27" spans="2:17" ht="50.15" customHeight="1" x14ac:dyDescent="0.35">
      <c r="B27" s="231" t="s">
        <v>4</v>
      </c>
      <c r="C27" s="180" t="s">
        <v>286</v>
      </c>
      <c r="D27" s="152" t="s">
        <v>451</v>
      </c>
      <c r="E27" s="183" t="s">
        <v>22</v>
      </c>
      <c r="F27" s="154" t="s">
        <v>537</v>
      </c>
      <c r="G27" s="183" t="s">
        <v>31</v>
      </c>
      <c r="H27" s="224" t="s">
        <v>40</v>
      </c>
      <c r="I27" s="233"/>
      <c r="J27" s="183"/>
      <c r="K27" s="178"/>
      <c r="L27" s="178"/>
      <c r="M27" s="178"/>
      <c r="N27" s="178"/>
      <c r="O27" s="178"/>
      <c r="P27" s="183"/>
      <c r="Q27" s="234"/>
    </row>
    <row r="28" spans="2:17" ht="50.15" customHeight="1" x14ac:dyDescent="0.35">
      <c r="B28" s="231" t="s">
        <v>4</v>
      </c>
      <c r="C28" s="179" t="s">
        <v>287</v>
      </c>
      <c r="D28" s="151" t="s">
        <v>452</v>
      </c>
      <c r="E28" s="182" t="s">
        <v>22</v>
      </c>
      <c r="F28" s="159" t="s">
        <v>538</v>
      </c>
      <c r="G28" s="182" t="s">
        <v>31</v>
      </c>
      <c r="H28" s="224" t="s">
        <v>40</v>
      </c>
      <c r="I28" s="230"/>
      <c r="J28" s="182"/>
      <c r="K28" s="177"/>
      <c r="L28" s="177"/>
      <c r="M28" s="177"/>
      <c r="N28" s="177"/>
      <c r="O28" s="177"/>
      <c r="P28" s="182"/>
      <c r="Q28" s="226"/>
    </row>
    <row r="29" spans="2:17" ht="50.15" customHeight="1" x14ac:dyDescent="0.35">
      <c r="B29" s="231" t="s">
        <v>4</v>
      </c>
      <c r="C29" s="180" t="s">
        <v>288</v>
      </c>
      <c r="D29" s="152" t="s">
        <v>453</v>
      </c>
      <c r="E29" s="183" t="s">
        <v>22</v>
      </c>
      <c r="F29" s="158" t="s">
        <v>539</v>
      </c>
      <c r="G29" s="183" t="s">
        <v>31</v>
      </c>
      <c r="H29" s="224" t="s">
        <v>40</v>
      </c>
      <c r="I29" s="233"/>
      <c r="J29" s="183"/>
      <c r="K29" s="178"/>
      <c r="L29" s="178"/>
      <c r="M29" s="178"/>
      <c r="N29" s="178"/>
      <c r="O29" s="178"/>
      <c r="P29" s="183"/>
      <c r="Q29" s="234"/>
    </row>
    <row r="30" spans="2:17" ht="50.15" customHeight="1" x14ac:dyDescent="0.35">
      <c r="B30" s="231" t="s">
        <v>4</v>
      </c>
      <c r="C30" s="179" t="s">
        <v>289</v>
      </c>
      <c r="D30" s="151" t="s">
        <v>454</v>
      </c>
      <c r="E30" s="182" t="s">
        <v>22</v>
      </c>
      <c r="F30" s="156" t="s">
        <v>540</v>
      </c>
      <c r="G30" s="182" t="s">
        <v>31</v>
      </c>
      <c r="H30" s="224" t="s">
        <v>40</v>
      </c>
      <c r="I30" s="230"/>
      <c r="J30" s="182"/>
      <c r="K30" s="177"/>
      <c r="L30" s="177"/>
      <c r="M30" s="177"/>
      <c r="N30" s="177"/>
      <c r="O30" s="177"/>
      <c r="P30" s="182"/>
      <c r="Q30" s="226"/>
    </row>
    <row r="31" spans="2:17" ht="50.15" customHeight="1" x14ac:dyDescent="0.35">
      <c r="B31" s="223" t="s">
        <v>7</v>
      </c>
      <c r="C31" s="180" t="s">
        <v>290</v>
      </c>
      <c r="D31" s="152" t="s">
        <v>455</v>
      </c>
      <c r="E31" s="183" t="s">
        <v>22</v>
      </c>
      <c r="F31" s="158" t="s">
        <v>541</v>
      </c>
      <c r="G31" s="183" t="s">
        <v>31</v>
      </c>
      <c r="H31" s="224" t="s">
        <v>40</v>
      </c>
      <c r="I31" s="233"/>
      <c r="J31" s="183"/>
      <c r="K31" s="178"/>
      <c r="L31" s="178"/>
      <c r="M31" s="178"/>
      <c r="N31" s="178"/>
      <c r="O31" s="178"/>
      <c r="P31" s="183"/>
      <c r="Q31" s="234"/>
    </row>
    <row r="32" spans="2:17" ht="50.15" customHeight="1" x14ac:dyDescent="0.35">
      <c r="B32" s="223" t="s">
        <v>7</v>
      </c>
      <c r="C32" s="179" t="s">
        <v>291</v>
      </c>
      <c r="D32" s="151" t="s">
        <v>456</v>
      </c>
      <c r="E32" s="182" t="s">
        <v>22</v>
      </c>
      <c r="F32" s="159" t="s">
        <v>542</v>
      </c>
      <c r="G32" s="182" t="s">
        <v>31</v>
      </c>
      <c r="H32" s="224" t="s">
        <v>40</v>
      </c>
      <c r="I32" s="230"/>
      <c r="J32" s="182"/>
      <c r="K32" s="177"/>
      <c r="L32" s="177"/>
      <c r="M32" s="177"/>
      <c r="N32" s="177"/>
      <c r="O32" s="177"/>
      <c r="P32" s="182"/>
      <c r="Q32" s="226"/>
    </row>
    <row r="33" spans="2:17" ht="50.15" customHeight="1" x14ac:dyDescent="0.35">
      <c r="B33" s="223" t="s">
        <v>7</v>
      </c>
      <c r="C33" s="180" t="s">
        <v>292</v>
      </c>
      <c r="D33" s="282" t="s">
        <v>671</v>
      </c>
      <c r="E33" s="183" t="s">
        <v>22</v>
      </c>
      <c r="F33" s="154" t="s">
        <v>683</v>
      </c>
      <c r="G33" s="183" t="s">
        <v>31</v>
      </c>
      <c r="H33" s="224" t="s">
        <v>40</v>
      </c>
      <c r="I33" s="233"/>
      <c r="J33" s="183"/>
      <c r="K33" s="178"/>
      <c r="L33" s="178"/>
      <c r="M33" s="178"/>
      <c r="N33" s="178"/>
      <c r="O33" s="178"/>
      <c r="P33" s="183"/>
      <c r="Q33" s="234"/>
    </row>
    <row r="34" spans="2:17" ht="50.15" customHeight="1" x14ac:dyDescent="0.35">
      <c r="B34" s="223" t="s">
        <v>7</v>
      </c>
      <c r="C34" s="179" t="s">
        <v>293</v>
      </c>
      <c r="D34" s="151" t="s">
        <v>457</v>
      </c>
      <c r="E34" s="182" t="s">
        <v>22</v>
      </c>
      <c r="F34" s="159" t="s">
        <v>543</v>
      </c>
      <c r="G34" s="182" t="s">
        <v>31</v>
      </c>
      <c r="H34" s="224" t="s">
        <v>40</v>
      </c>
      <c r="I34" s="230"/>
      <c r="J34" s="182"/>
      <c r="K34" s="177"/>
      <c r="L34" s="177"/>
      <c r="M34" s="177"/>
      <c r="N34" s="177"/>
      <c r="O34" s="177"/>
      <c r="P34" s="182"/>
      <c r="Q34" s="226"/>
    </row>
    <row r="35" spans="2:17" ht="50.15" customHeight="1" x14ac:dyDescent="0.35">
      <c r="B35" s="223" t="s">
        <v>7</v>
      </c>
      <c r="C35" s="212" t="s">
        <v>294</v>
      </c>
      <c r="D35" s="152" t="s">
        <v>458</v>
      </c>
      <c r="E35" s="183" t="s">
        <v>22</v>
      </c>
      <c r="F35" s="158" t="s">
        <v>544</v>
      </c>
      <c r="G35" s="214" t="s">
        <v>31</v>
      </c>
      <c r="H35" s="227" t="s">
        <v>40</v>
      </c>
      <c r="I35" s="228"/>
      <c r="J35" s="214"/>
      <c r="K35" s="216"/>
      <c r="L35" s="216"/>
      <c r="M35" s="216"/>
      <c r="N35" s="216"/>
      <c r="O35" s="216"/>
      <c r="P35" s="214"/>
      <c r="Q35" s="229"/>
    </row>
    <row r="36" spans="2:17" ht="50.15" customHeight="1" x14ac:dyDescent="0.35">
      <c r="B36" s="223" t="s">
        <v>7</v>
      </c>
      <c r="C36" s="179" t="s">
        <v>295</v>
      </c>
      <c r="D36" s="151" t="s">
        <v>233</v>
      </c>
      <c r="E36" s="182" t="s">
        <v>22</v>
      </c>
      <c r="F36" s="159" t="s">
        <v>684</v>
      </c>
      <c r="G36" s="182" t="s">
        <v>31</v>
      </c>
      <c r="H36" s="224" t="s">
        <v>40</v>
      </c>
      <c r="I36" s="230"/>
      <c r="J36" s="182"/>
      <c r="K36" s="177"/>
      <c r="L36" s="177"/>
      <c r="M36" s="177"/>
      <c r="N36" s="177"/>
      <c r="O36" s="177"/>
      <c r="P36" s="182"/>
      <c r="Q36" s="226"/>
    </row>
    <row r="37" spans="2:17" ht="50.15" customHeight="1" x14ac:dyDescent="0.35">
      <c r="B37" s="223" t="s">
        <v>7</v>
      </c>
      <c r="C37" s="180" t="s">
        <v>296</v>
      </c>
      <c r="D37" s="152" t="s">
        <v>459</v>
      </c>
      <c r="E37" s="183" t="s">
        <v>22</v>
      </c>
      <c r="F37" s="158" t="s">
        <v>545</v>
      </c>
      <c r="G37" s="183" t="s">
        <v>31</v>
      </c>
      <c r="H37" s="232" t="s">
        <v>40</v>
      </c>
      <c r="I37" s="233"/>
      <c r="J37" s="183"/>
      <c r="K37" s="178"/>
      <c r="L37" s="178"/>
      <c r="M37" s="178"/>
      <c r="N37" s="178"/>
      <c r="O37" s="178"/>
      <c r="P37" s="183"/>
      <c r="Q37" s="234"/>
    </row>
    <row r="38" spans="2:17" ht="50.15" customHeight="1" x14ac:dyDescent="0.35">
      <c r="B38" s="223" t="s">
        <v>7</v>
      </c>
      <c r="C38" s="179" t="s">
        <v>297</v>
      </c>
      <c r="D38" s="151" t="s">
        <v>460</v>
      </c>
      <c r="E38" s="182" t="s">
        <v>22</v>
      </c>
      <c r="F38" s="156" t="s">
        <v>685</v>
      </c>
      <c r="G38" s="182" t="s">
        <v>31</v>
      </c>
      <c r="H38" s="224" t="s">
        <v>40</v>
      </c>
      <c r="I38" s="230"/>
      <c r="J38" s="182"/>
      <c r="K38" s="177"/>
      <c r="L38" s="177"/>
      <c r="M38" s="177"/>
      <c r="N38" s="177"/>
      <c r="O38" s="177"/>
      <c r="P38" s="182"/>
      <c r="Q38" s="226"/>
    </row>
    <row r="39" spans="2:17" ht="50.15" customHeight="1" x14ac:dyDescent="0.35">
      <c r="B39" s="231" t="s">
        <v>234</v>
      </c>
      <c r="C39" s="180" t="s">
        <v>298</v>
      </c>
      <c r="D39" s="152" t="s">
        <v>626</v>
      </c>
      <c r="E39" s="183" t="s">
        <v>22</v>
      </c>
      <c r="F39" s="158" t="s">
        <v>546</v>
      </c>
      <c r="G39" s="183" t="s">
        <v>31</v>
      </c>
      <c r="H39" s="232" t="s">
        <v>40</v>
      </c>
      <c r="I39" s="233"/>
      <c r="J39" s="183"/>
      <c r="K39" s="178"/>
      <c r="L39" s="178"/>
      <c r="M39" s="178"/>
      <c r="N39" s="178"/>
      <c r="O39" s="178"/>
      <c r="P39" s="183"/>
      <c r="Q39" s="234"/>
    </row>
    <row r="40" spans="2:17" ht="50.15" customHeight="1" x14ac:dyDescent="0.35">
      <c r="B40" s="231" t="s">
        <v>234</v>
      </c>
      <c r="C40" s="179" t="s">
        <v>299</v>
      </c>
      <c r="D40" s="283" t="s">
        <v>672</v>
      </c>
      <c r="E40" s="182" t="s">
        <v>22</v>
      </c>
      <c r="F40" s="159" t="s">
        <v>686</v>
      </c>
      <c r="G40" s="182" t="s">
        <v>31</v>
      </c>
      <c r="H40" s="224" t="s">
        <v>40</v>
      </c>
      <c r="I40" s="230"/>
      <c r="J40" s="182"/>
      <c r="K40" s="177"/>
      <c r="L40" s="177"/>
      <c r="M40" s="177"/>
      <c r="N40" s="177"/>
      <c r="O40" s="177"/>
      <c r="P40" s="182"/>
      <c r="Q40" s="226"/>
    </row>
    <row r="41" spans="2:17" ht="50.15" customHeight="1" x14ac:dyDescent="0.35">
      <c r="B41" s="223" t="s">
        <v>6</v>
      </c>
      <c r="C41" s="180" t="s">
        <v>300</v>
      </c>
      <c r="D41" s="152" t="s">
        <v>461</v>
      </c>
      <c r="E41" s="183" t="s">
        <v>22</v>
      </c>
      <c r="F41" s="154" t="s">
        <v>547</v>
      </c>
      <c r="G41" s="183" t="s">
        <v>31</v>
      </c>
      <c r="H41" s="232" t="s">
        <v>40</v>
      </c>
      <c r="I41" s="236"/>
      <c r="J41" s="183"/>
      <c r="K41" s="178"/>
      <c r="L41" s="178"/>
      <c r="M41" s="178"/>
      <c r="N41" s="178"/>
      <c r="O41" s="178"/>
      <c r="P41" s="183"/>
      <c r="Q41" s="234"/>
    </row>
    <row r="42" spans="2:17" ht="50.15" customHeight="1" x14ac:dyDescent="0.35">
      <c r="B42" s="223" t="s">
        <v>6</v>
      </c>
      <c r="C42" s="179" t="s">
        <v>301</v>
      </c>
      <c r="D42" s="151" t="s">
        <v>462</v>
      </c>
      <c r="E42" s="182" t="s">
        <v>22</v>
      </c>
      <c r="F42" s="156" t="s">
        <v>548</v>
      </c>
      <c r="G42" s="182" t="s">
        <v>31</v>
      </c>
      <c r="H42" s="224" t="s">
        <v>40</v>
      </c>
      <c r="I42" s="230"/>
      <c r="J42" s="182"/>
      <c r="K42" s="177"/>
      <c r="L42" s="177"/>
      <c r="M42" s="177"/>
      <c r="N42" s="177"/>
      <c r="O42" s="177"/>
      <c r="P42" s="182"/>
      <c r="Q42" s="226"/>
    </row>
    <row r="43" spans="2:17" ht="50.15" customHeight="1" x14ac:dyDescent="0.35">
      <c r="B43" s="223" t="s">
        <v>6</v>
      </c>
      <c r="C43" s="180" t="s">
        <v>302</v>
      </c>
      <c r="D43" s="152" t="s">
        <v>463</v>
      </c>
      <c r="E43" s="183" t="s">
        <v>22</v>
      </c>
      <c r="F43" s="153" t="s">
        <v>549</v>
      </c>
      <c r="G43" s="183" t="s">
        <v>31</v>
      </c>
      <c r="H43" s="232" t="s">
        <v>40</v>
      </c>
      <c r="I43" s="233"/>
      <c r="J43" s="183"/>
      <c r="K43" s="178"/>
      <c r="L43" s="178"/>
      <c r="M43" s="178"/>
      <c r="N43" s="178"/>
      <c r="O43" s="178"/>
      <c r="P43" s="183"/>
      <c r="Q43" s="234"/>
    </row>
    <row r="44" spans="2:17" ht="50.15" customHeight="1" x14ac:dyDescent="0.35">
      <c r="B44" s="223" t="s">
        <v>6</v>
      </c>
      <c r="C44" s="179" t="s">
        <v>303</v>
      </c>
      <c r="D44" s="151" t="s">
        <v>464</v>
      </c>
      <c r="E44" s="182" t="s">
        <v>22</v>
      </c>
      <c r="F44" s="156" t="s">
        <v>550</v>
      </c>
      <c r="G44" s="182" t="s">
        <v>31</v>
      </c>
      <c r="H44" s="224" t="s">
        <v>40</v>
      </c>
      <c r="I44" s="230"/>
      <c r="J44" s="182"/>
      <c r="K44" s="177"/>
      <c r="L44" s="177"/>
      <c r="M44" s="177"/>
      <c r="N44" s="177"/>
      <c r="O44" s="177"/>
      <c r="P44" s="182"/>
      <c r="Q44" s="226"/>
    </row>
    <row r="45" spans="2:17" ht="50.15" customHeight="1" x14ac:dyDescent="0.35">
      <c r="B45" s="223" t="s">
        <v>6</v>
      </c>
      <c r="C45" s="180" t="s">
        <v>304</v>
      </c>
      <c r="D45" s="152" t="s">
        <v>465</v>
      </c>
      <c r="E45" s="183" t="s">
        <v>23</v>
      </c>
      <c r="F45" s="158" t="s">
        <v>551</v>
      </c>
      <c r="G45" s="183" t="s">
        <v>31</v>
      </c>
      <c r="H45" s="232" t="s">
        <v>40</v>
      </c>
      <c r="I45" s="233"/>
      <c r="J45" s="183"/>
      <c r="K45" s="178"/>
      <c r="L45" s="178"/>
      <c r="M45" s="178"/>
      <c r="N45" s="178"/>
      <c r="O45" s="178"/>
      <c r="P45" s="183"/>
      <c r="Q45" s="234"/>
    </row>
    <row r="46" spans="2:17" ht="50.15" customHeight="1" x14ac:dyDescent="0.35">
      <c r="B46" s="231" t="s">
        <v>235</v>
      </c>
      <c r="C46" s="179" t="s">
        <v>305</v>
      </c>
      <c r="D46" s="151" t="s">
        <v>466</v>
      </c>
      <c r="E46" s="179" t="s">
        <v>22</v>
      </c>
      <c r="F46" s="159" t="s">
        <v>552</v>
      </c>
      <c r="G46" s="182" t="s">
        <v>31</v>
      </c>
      <c r="H46" s="224" t="s">
        <v>40</v>
      </c>
      <c r="I46" s="230"/>
      <c r="J46" s="182"/>
      <c r="K46" s="177"/>
      <c r="L46" s="177"/>
      <c r="M46" s="177"/>
      <c r="N46" s="177"/>
      <c r="O46" s="177"/>
      <c r="P46" s="182"/>
      <c r="Q46" s="226"/>
    </row>
    <row r="47" spans="2:17" ht="50.15" customHeight="1" x14ac:dyDescent="0.35">
      <c r="B47" s="231" t="s">
        <v>235</v>
      </c>
      <c r="C47" s="212" t="s">
        <v>306</v>
      </c>
      <c r="D47" s="282" t="s">
        <v>687</v>
      </c>
      <c r="E47" s="180" t="s">
        <v>22</v>
      </c>
      <c r="F47" s="158" t="s">
        <v>688</v>
      </c>
      <c r="G47" s="214" t="s">
        <v>31</v>
      </c>
      <c r="H47" s="227" t="s">
        <v>40</v>
      </c>
      <c r="I47" s="228"/>
      <c r="J47" s="214"/>
      <c r="K47" s="216"/>
      <c r="L47" s="216"/>
      <c r="M47" s="216"/>
      <c r="N47" s="216"/>
      <c r="O47" s="216"/>
      <c r="P47" s="214"/>
      <c r="Q47" s="229"/>
    </row>
    <row r="48" spans="2:17" ht="50.15" customHeight="1" x14ac:dyDescent="0.35">
      <c r="B48" s="231" t="s">
        <v>235</v>
      </c>
      <c r="C48" s="179" t="s">
        <v>307</v>
      </c>
      <c r="D48" s="151" t="s">
        <v>467</v>
      </c>
      <c r="E48" s="179" t="s">
        <v>22</v>
      </c>
      <c r="F48" s="156" t="s">
        <v>553</v>
      </c>
      <c r="G48" s="182" t="s">
        <v>31</v>
      </c>
      <c r="H48" s="224" t="s">
        <v>40</v>
      </c>
      <c r="I48" s="230"/>
      <c r="J48" s="182"/>
      <c r="K48" s="177"/>
      <c r="L48" s="177"/>
      <c r="M48" s="177"/>
      <c r="N48" s="177"/>
      <c r="O48" s="177"/>
      <c r="P48" s="182"/>
      <c r="Q48" s="226"/>
    </row>
    <row r="49" spans="2:17" ht="50.15" customHeight="1" x14ac:dyDescent="0.35">
      <c r="B49" s="231" t="s">
        <v>235</v>
      </c>
      <c r="C49" s="212" t="s">
        <v>308</v>
      </c>
      <c r="D49" s="152" t="s">
        <v>468</v>
      </c>
      <c r="E49" s="180" t="s">
        <v>22</v>
      </c>
      <c r="F49" s="154" t="s">
        <v>554</v>
      </c>
      <c r="G49" s="214" t="s">
        <v>31</v>
      </c>
      <c r="H49" s="227" t="s">
        <v>40</v>
      </c>
      <c r="I49" s="228"/>
      <c r="J49" s="214"/>
      <c r="K49" s="216"/>
      <c r="L49" s="216"/>
      <c r="M49" s="216"/>
      <c r="N49" s="216"/>
      <c r="O49" s="216"/>
      <c r="P49" s="214"/>
      <c r="Q49" s="229"/>
    </row>
    <row r="50" spans="2:17" ht="50.15" customHeight="1" x14ac:dyDescent="0.35">
      <c r="B50" s="231" t="s">
        <v>235</v>
      </c>
      <c r="C50" s="179" t="s">
        <v>309</v>
      </c>
      <c r="D50" s="151" t="s">
        <v>469</v>
      </c>
      <c r="E50" s="179" t="s">
        <v>22</v>
      </c>
      <c r="F50" s="159" t="s">
        <v>555</v>
      </c>
      <c r="G50" s="182" t="s">
        <v>31</v>
      </c>
      <c r="H50" s="224" t="s">
        <v>40</v>
      </c>
      <c r="I50" s="230"/>
      <c r="J50" s="182"/>
      <c r="K50" s="177"/>
      <c r="L50" s="177"/>
      <c r="M50" s="177"/>
      <c r="N50" s="177"/>
      <c r="O50" s="177"/>
      <c r="P50" s="182"/>
      <c r="Q50" s="226"/>
    </row>
    <row r="51" spans="2:17" ht="50.15" customHeight="1" x14ac:dyDescent="0.35">
      <c r="B51" s="231" t="s">
        <v>235</v>
      </c>
      <c r="C51" s="212" t="s">
        <v>310</v>
      </c>
      <c r="D51" s="152" t="s">
        <v>470</v>
      </c>
      <c r="E51" s="180" t="s">
        <v>22</v>
      </c>
      <c r="F51" s="158" t="s">
        <v>556</v>
      </c>
      <c r="G51" s="214" t="s">
        <v>31</v>
      </c>
      <c r="H51" s="227" t="s">
        <v>40</v>
      </c>
      <c r="I51" s="228"/>
      <c r="J51" s="214"/>
      <c r="K51" s="216"/>
      <c r="L51" s="216"/>
      <c r="M51" s="216"/>
      <c r="N51" s="216"/>
      <c r="O51" s="216"/>
      <c r="P51" s="214"/>
      <c r="Q51" s="229"/>
    </row>
    <row r="52" spans="2:17" ht="50.15" customHeight="1" x14ac:dyDescent="0.35">
      <c r="B52" s="231" t="s">
        <v>235</v>
      </c>
      <c r="C52" s="179" t="s">
        <v>311</v>
      </c>
      <c r="D52" s="156" t="s">
        <v>471</v>
      </c>
      <c r="E52" s="179" t="s">
        <v>23</v>
      </c>
      <c r="F52" s="156" t="s">
        <v>557</v>
      </c>
      <c r="G52" s="182" t="s">
        <v>31</v>
      </c>
      <c r="H52" s="224" t="s">
        <v>40</v>
      </c>
      <c r="I52" s="230"/>
      <c r="J52" s="182"/>
      <c r="K52" s="177"/>
      <c r="L52" s="177"/>
      <c r="M52" s="177"/>
      <c r="N52" s="177"/>
      <c r="O52" s="177"/>
      <c r="P52" s="182"/>
      <c r="Q52" s="226"/>
    </row>
    <row r="53" spans="2:17" ht="50.15" customHeight="1" x14ac:dyDescent="0.35">
      <c r="B53" s="231" t="s">
        <v>235</v>
      </c>
      <c r="C53" s="180" t="s">
        <v>312</v>
      </c>
      <c r="D53" s="154" t="s">
        <v>423</v>
      </c>
      <c r="E53" s="180" t="s">
        <v>23</v>
      </c>
      <c r="F53" s="158" t="s">
        <v>558</v>
      </c>
      <c r="G53" s="183" t="s">
        <v>31</v>
      </c>
      <c r="H53" s="232" t="s">
        <v>40</v>
      </c>
      <c r="I53" s="233"/>
      <c r="J53" s="183"/>
      <c r="K53" s="178"/>
      <c r="L53" s="178"/>
      <c r="M53" s="178"/>
      <c r="N53" s="178"/>
      <c r="O53" s="178"/>
      <c r="P53" s="183"/>
      <c r="Q53" s="234"/>
    </row>
    <row r="54" spans="2:17" ht="50.15" customHeight="1" x14ac:dyDescent="0.35">
      <c r="B54" s="231" t="s">
        <v>235</v>
      </c>
      <c r="C54" s="179" t="s">
        <v>313</v>
      </c>
      <c r="D54" s="156" t="s">
        <v>472</v>
      </c>
      <c r="E54" s="179" t="s">
        <v>22</v>
      </c>
      <c r="F54" s="159" t="s">
        <v>559</v>
      </c>
      <c r="G54" s="182" t="s">
        <v>31</v>
      </c>
      <c r="H54" s="224" t="s">
        <v>40</v>
      </c>
      <c r="I54" s="230"/>
      <c r="J54" s="182"/>
      <c r="K54" s="177"/>
      <c r="L54" s="177"/>
      <c r="M54" s="177"/>
      <c r="N54" s="177"/>
      <c r="O54" s="177"/>
      <c r="P54" s="182"/>
      <c r="Q54" s="226"/>
    </row>
    <row r="55" spans="2:17" ht="50.15" customHeight="1" x14ac:dyDescent="0.35">
      <c r="B55" s="231" t="s">
        <v>235</v>
      </c>
      <c r="C55" s="180" t="s">
        <v>314</v>
      </c>
      <c r="D55" s="154" t="s">
        <v>473</v>
      </c>
      <c r="E55" s="180" t="s">
        <v>22</v>
      </c>
      <c r="F55" s="158" t="s">
        <v>560</v>
      </c>
      <c r="G55" s="183" t="s">
        <v>31</v>
      </c>
      <c r="H55" s="232" t="s">
        <v>40</v>
      </c>
      <c r="I55" s="233"/>
      <c r="J55" s="183"/>
      <c r="K55" s="178"/>
      <c r="L55" s="178"/>
      <c r="M55" s="178"/>
      <c r="N55" s="178"/>
      <c r="O55" s="178"/>
      <c r="P55" s="183"/>
      <c r="Q55" s="234"/>
    </row>
    <row r="56" spans="2:17" ht="50.15" customHeight="1" x14ac:dyDescent="0.35">
      <c r="B56" s="223" t="s">
        <v>236</v>
      </c>
      <c r="C56" s="179" t="s">
        <v>315</v>
      </c>
      <c r="D56" s="156" t="s">
        <v>474</v>
      </c>
      <c r="E56" s="179" t="s">
        <v>22</v>
      </c>
      <c r="F56" s="159" t="s">
        <v>561</v>
      </c>
      <c r="G56" s="182" t="s">
        <v>31</v>
      </c>
      <c r="H56" s="224" t="s">
        <v>40</v>
      </c>
      <c r="I56" s="230"/>
      <c r="J56" s="182"/>
      <c r="K56" s="177"/>
      <c r="L56" s="177"/>
      <c r="M56" s="177"/>
      <c r="N56" s="177"/>
      <c r="O56" s="177"/>
      <c r="P56" s="182"/>
      <c r="Q56" s="226"/>
    </row>
    <row r="57" spans="2:17" ht="50.15" customHeight="1" x14ac:dyDescent="0.35">
      <c r="B57" s="223" t="s">
        <v>236</v>
      </c>
      <c r="C57" s="212" t="s">
        <v>316</v>
      </c>
      <c r="D57" s="217" t="s">
        <v>475</v>
      </c>
      <c r="E57" s="212" t="s">
        <v>22</v>
      </c>
      <c r="F57" s="215" t="s">
        <v>562</v>
      </c>
      <c r="G57" s="214" t="s">
        <v>31</v>
      </c>
      <c r="H57" s="227" t="s">
        <v>40</v>
      </c>
      <c r="I57" s="228"/>
      <c r="J57" s="214"/>
      <c r="K57" s="216"/>
      <c r="L57" s="216"/>
      <c r="M57" s="216"/>
      <c r="N57" s="216"/>
      <c r="O57" s="216"/>
      <c r="P57" s="214"/>
      <c r="Q57" s="229"/>
    </row>
    <row r="58" spans="2:17" ht="50.15" customHeight="1" x14ac:dyDescent="0.35">
      <c r="B58" s="223" t="s">
        <v>236</v>
      </c>
      <c r="C58" s="179" t="s">
        <v>317</v>
      </c>
      <c r="D58" s="156" t="s">
        <v>476</v>
      </c>
      <c r="E58" s="179" t="s">
        <v>22</v>
      </c>
      <c r="F58" s="159" t="s">
        <v>563</v>
      </c>
      <c r="G58" s="182" t="s">
        <v>31</v>
      </c>
      <c r="H58" s="224" t="s">
        <v>40</v>
      </c>
      <c r="I58" s="230"/>
      <c r="J58" s="182"/>
      <c r="K58" s="177"/>
      <c r="L58" s="177"/>
      <c r="M58" s="177"/>
      <c r="N58" s="177"/>
      <c r="O58" s="177"/>
      <c r="P58" s="182"/>
      <c r="Q58" s="226"/>
    </row>
    <row r="59" spans="2:17" ht="50.15" customHeight="1" x14ac:dyDescent="0.35">
      <c r="B59" s="223" t="s">
        <v>236</v>
      </c>
      <c r="C59" s="212" t="s">
        <v>318</v>
      </c>
      <c r="D59" s="217" t="s">
        <v>477</v>
      </c>
      <c r="E59" s="212" t="s">
        <v>22</v>
      </c>
      <c r="F59" s="215" t="s">
        <v>564</v>
      </c>
      <c r="G59" s="214" t="s">
        <v>31</v>
      </c>
      <c r="H59" s="227" t="s">
        <v>40</v>
      </c>
      <c r="I59" s="228"/>
      <c r="J59" s="214"/>
      <c r="K59" s="216"/>
      <c r="L59" s="216"/>
      <c r="M59" s="216"/>
      <c r="N59" s="216"/>
      <c r="O59" s="216"/>
      <c r="P59" s="214"/>
      <c r="Q59" s="229"/>
    </row>
    <row r="60" spans="2:17" ht="50.15" customHeight="1" x14ac:dyDescent="0.35">
      <c r="B60" s="231" t="s">
        <v>237</v>
      </c>
      <c r="C60" s="179" t="s">
        <v>319</v>
      </c>
      <c r="D60" s="156" t="s">
        <v>478</v>
      </c>
      <c r="E60" s="179" t="s">
        <v>22</v>
      </c>
      <c r="F60" s="159" t="s">
        <v>565</v>
      </c>
      <c r="G60" s="182" t="s">
        <v>31</v>
      </c>
      <c r="H60" s="224" t="s">
        <v>40</v>
      </c>
      <c r="I60" s="230"/>
      <c r="J60" s="182"/>
      <c r="K60" s="177"/>
      <c r="L60" s="177"/>
      <c r="M60" s="177"/>
      <c r="N60" s="177"/>
      <c r="O60" s="177"/>
      <c r="P60" s="182"/>
      <c r="Q60" s="226"/>
    </row>
    <row r="61" spans="2:17" ht="50.15" customHeight="1" x14ac:dyDescent="0.35">
      <c r="B61" s="231" t="s">
        <v>237</v>
      </c>
      <c r="C61" s="212" t="s">
        <v>320</v>
      </c>
      <c r="D61" s="284" t="s">
        <v>673</v>
      </c>
      <c r="E61" s="212" t="s">
        <v>22</v>
      </c>
      <c r="F61" s="215" t="s">
        <v>566</v>
      </c>
      <c r="G61" s="214" t="s">
        <v>31</v>
      </c>
      <c r="H61" s="227" t="s">
        <v>40</v>
      </c>
      <c r="I61" s="228"/>
      <c r="J61" s="214"/>
      <c r="K61" s="216"/>
      <c r="L61" s="216"/>
      <c r="M61" s="216"/>
      <c r="N61" s="216"/>
      <c r="O61" s="216"/>
      <c r="P61" s="214"/>
      <c r="Q61" s="229"/>
    </row>
    <row r="62" spans="2:17" ht="50.15" customHeight="1" x14ac:dyDescent="0.35">
      <c r="B62" s="231" t="s">
        <v>237</v>
      </c>
      <c r="C62" s="179" t="s">
        <v>321</v>
      </c>
      <c r="D62" s="156" t="s">
        <v>479</v>
      </c>
      <c r="E62" s="179" t="s">
        <v>22</v>
      </c>
      <c r="F62" s="159" t="s">
        <v>567</v>
      </c>
      <c r="G62" s="182" t="s">
        <v>31</v>
      </c>
      <c r="H62" s="224" t="s">
        <v>40</v>
      </c>
      <c r="I62" s="230"/>
      <c r="J62" s="182"/>
      <c r="K62" s="177"/>
      <c r="L62" s="177"/>
      <c r="M62" s="177"/>
      <c r="N62" s="177"/>
      <c r="O62" s="177"/>
      <c r="P62" s="182"/>
      <c r="Q62" s="226"/>
    </row>
    <row r="63" spans="2:17" ht="50.15" customHeight="1" x14ac:dyDescent="0.35">
      <c r="B63" s="231" t="s">
        <v>237</v>
      </c>
      <c r="C63" s="212" t="s">
        <v>322</v>
      </c>
      <c r="D63" s="217" t="s">
        <v>480</v>
      </c>
      <c r="E63" s="212" t="s">
        <v>23</v>
      </c>
      <c r="F63" s="215" t="s">
        <v>689</v>
      </c>
      <c r="G63" s="214" t="s">
        <v>31</v>
      </c>
      <c r="H63" s="227" t="s">
        <v>40</v>
      </c>
      <c r="I63" s="228"/>
      <c r="J63" s="214"/>
      <c r="K63" s="216"/>
      <c r="L63" s="216"/>
      <c r="M63" s="216"/>
      <c r="N63" s="216"/>
      <c r="O63" s="216"/>
      <c r="P63" s="214"/>
      <c r="Q63" s="229"/>
    </row>
    <row r="64" spans="2:17" ht="50.15" customHeight="1" x14ac:dyDescent="0.35">
      <c r="B64" s="231" t="s">
        <v>237</v>
      </c>
      <c r="C64" s="179" t="s">
        <v>323</v>
      </c>
      <c r="D64" s="156" t="s">
        <v>481</v>
      </c>
      <c r="E64" s="179" t="s">
        <v>23</v>
      </c>
      <c r="F64" s="159" t="s">
        <v>568</v>
      </c>
      <c r="G64" s="182" t="s">
        <v>31</v>
      </c>
      <c r="H64" s="224" t="s">
        <v>40</v>
      </c>
      <c r="I64" s="230"/>
      <c r="J64" s="182"/>
      <c r="K64" s="177"/>
      <c r="L64" s="177"/>
      <c r="M64" s="177"/>
      <c r="N64" s="177"/>
      <c r="O64" s="177"/>
      <c r="P64" s="182"/>
      <c r="Q64" s="226"/>
    </row>
    <row r="65" spans="2:17" ht="50.15" customHeight="1" x14ac:dyDescent="0.35">
      <c r="B65" s="231" t="s">
        <v>237</v>
      </c>
      <c r="C65" s="180" t="s">
        <v>324</v>
      </c>
      <c r="D65" s="154" t="s">
        <v>482</v>
      </c>
      <c r="E65" s="180" t="s">
        <v>22</v>
      </c>
      <c r="F65" s="158" t="s">
        <v>569</v>
      </c>
      <c r="G65" s="183" t="s">
        <v>31</v>
      </c>
      <c r="H65" s="232" t="s">
        <v>40</v>
      </c>
      <c r="I65" s="233"/>
      <c r="J65" s="183"/>
      <c r="K65" s="178"/>
      <c r="L65" s="178"/>
      <c r="M65" s="178"/>
      <c r="N65" s="178"/>
      <c r="O65" s="178"/>
      <c r="P65" s="183"/>
      <c r="Q65" s="234"/>
    </row>
    <row r="66" spans="2:17" ht="50.15" customHeight="1" x14ac:dyDescent="0.35">
      <c r="B66" s="231" t="s">
        <v>237</v>
      </c>
      <c r="C66" s="179" t="s">
        <v>325</v>
      </c>
      <c r="D66" s="156" t="s">
        <v>483</v>
      </c>
      <c r="E66" s="179" t="s">
        <v>22</v>
      </c>
      <c r="F66" s="159" t="s">
        <v>570</v>
      </c>
      <c r="G66" s="182" t="s">
        <v>31</v>
      </c>
      <c r="H66" s="224" t="s">
        <v>40</v>
      </c>
      <c r="I66" s="230"/>
      <c r="J66" s="182"/>
      <c r="K66" s="177"/>
      <c r="L66" s="177"/>
      <c r="M66" s="177"/>
      <c r="N66" s="177"/>
      <c r="O66" s="177"/>
      <c r="P66" s="182"/>
      <c r="Q66" s="226"/>
    </row>
    <row r="67" spans="2:17" ht="50.15" customHeight="1" x14ac:dyDescent="0.35">
      <c r="B67" s="231" t="s">
        <v>237</v>
      </c>
      <c r="C67" s="180" t="s">
        <v>326</v>
      </c>
      <c r="D67" s="154" t="s">
        <v>424</v>
      </c>
      <c r="E67" s="180" t="s">
        <v>22</v>
      </c>
      <c r="F67" s="154" t="s">
        <v>571</v>
      </c>
      <c r="G67" s="183" t="s">
        <v>31</v>
      </c>
      <c r="H67" s="232" t="s">
        <v>40</v>
      </c>
      <c r="I67" s="233"/>
      <c r="J67" s="183"/>
      <c r="K67" s="178"/>
      <c r="L67" s="178"/>
      <c r="M67" s="178"/>
      <c r="N67" s="178"/>
      <c r="O67" s="178"/>
      <c r="P67" s="183"/>
      <c r="Q67" s="234"/>
    </row>
    <row r="68" spans="2:17" ht="50.15" customHeight="1" x14ac:dyDescent="0.35">
      <c r="B68" s="231" t="s">
        <v>237</v>
      </c>
      <c r="C68" s="179" t="s">
        <v>327</v>
      </c>
      <c r="D68" s="156" t="s">
        <v>484</v>
      </c>
      <c r="E68" s="179" t="s">
        <v>22</v>
      </c>
      <c r="F68" s="159" t="s">
        <v>572</v>
      </c>
      <c r="G68" s="182" t="s">
        <v>31</v>
      </c>
      <c r="H68" s="224" t="s">
        <v>40</v>
      </c>
      <c r="I68" s="230"/>
      <c r="J68" s="182"/>
      <c r="K68" s="177"/>
      <c r="L68" s="177"/>
      <c r="M68" s="177"/>
      <c r="N68" s="177"/>
      <c r="O68" s="177"/>
      <c r="P68" s="182"/>
      <c r="Q68" s="226"/>
    </row>
    <row r="69" spans="2:17" ht="50.15" customHeight="1" x14ac:dyDescent="0.35">
      <c r="B69" s="231" t="s">
        <v>237</v>
      </c>
      <c r="C69" s="180" t="s">
        <v>328</v>
      </c>
      <c r="D69" s="154" t="s">
        <v>485</v>
      </c>
      <c r="E69" s="180" t="s">
        <v>22</v>
      </c>
      <c r="F69" s="158" t="s">
        <v>573</v>
      </c>
      <c r="G69" s="183" t="s">
        <v>31</v>
      </c>
      <c r="H69" s="232" t="s">
        <v>40</v>
      </c>
      <c r="I69" s="233"/>
      <c r="J69" s="183"/>
      <c r="K69" s="178"/>
      <c r="L69" s="178"/>
      <c r="M69" s="178"/>
      <c r="N69" s="178"/>
      <c r="O69" s="178"/>
      <c r="P69" s="183"/>
      <c r="Q69" s="234"/>
    </row>
    <row r="70" spans="2:17" ht="50.15" customHeight="1" x14ac:dyDescent="0.35">
      <c r="B70" s="231" t="s">
        <v>237</v>
      </c>
      <c r="C70" s="179" t="s">
        <v>329</v>
      </c>
      <c r="D70" s="285" t="s">
        <v>674</v>
      </c>
      <c r="E70" s="179" t="s">
        <v>23</v>
      </c>
      <c r="F70" s="159" t="s">
        <v>574</v>
      </c>
      <c r="G70" s="182" t="s">
        <v>31</v>
      </c>
      <c r="H70" s="224" t="s">
        <v>40</v>
      </c>
      <c r="I70" s="230"/>
      <c r="J70" s="182"/>
      <c r="K70" s="177"/>
      <c r="L70" s="177"/>
      <c r="M70" s="177"/>
      <c r="N70" s="177"/>
      <c r="O70" s="177"/>
      <c r="P70" s="182"/>
      <c r="Q70" s="226"/>
    </row>
    <row r="71" spans="2:17" ht="50.15" customHeight="1" x14ac:dyDescent="0.35">
      <c r="B71" s="231" t="s">
        <v>237</v>
      </c>
      <c r="C71" s="212" t="s">
        <v>330</v>
      </c>
      <c r="D71" s="154" t="s">
        <v>486</v>
      </c>
      <c r="E71" s="180" t="s">
        <v>23</v>
      </c>
      <c r="F71" s="158" t="s">
        <v>575</v>
      </c>
      <c r="G71" s="214" t="s">
        <v>31</v>
      </c>
      <c r="H71" s="227" t="s">
        <v>40</v>
      </c>
      <c r="I71" s="228"/>
      <c r="J71" s="214"/>
      <c r="K71" s="216"/>
      <c r="L71" s="216"/>
      <c r="M71" s="216"/>
      <c r="N71" s="216"/>
      <c r="O71" s="216"/>
      <c r="P71" s="214"/>
      <c r="Q71" s="229"/>
    </row>
    <row r="72" spans="2:17" ht="50.15" customHeight="1" x14ac:dyDescent="0.35">
      <c r="B72" s="231" t="s">
        <v>237</v>
      </c>
      <c r="C72" s="179" t="s">
        <v>331</v>
      </c>
      <c r="D72" s="156" t="s">
        <v>487</v>
      </c>
      <c r="E72" s="179" t="s">
        <v>23</v>
      </c>
      <c r="F72" s="159" t="s">
        <v>576</v>
      </c>
      <c r="G72" s="182" t="s">
        <v>31</v>
      </c>
      <c r="H72" s="224" t="s">
        <v>40</v>
      </c>
      <c r="I72" s="230"/>
      <c r="J72" s="182"/>
      <c r="K72" s="177"/>
      <c r="L72" s="177"/>
      <c r="M72" s="177"/>
      <c r="N72" s="177"/>
      <c r="O72" s="177"/>
      <c r="P72" s="182"/>
      <c r="Q72" s="226"/>
    </row>
    <row r="73" spans="2:17" ht="50.15" customHeight="1" x14ac:dyDescent="0.35">
      <c r="B73" s="231" t="s">
        <v>237</v>
      </c>
      <c r="C73" s="212" t="s">
        <v>332</v>
      </c>
      <c r="D73" s="154" t="s">
        <v>425</v>
      </c>
      <c r="E73" s="180" t="s">
        <v>22</v>
      </c>
      <c r="F73" s="158" t="s">
        <v>577</v>
      </c>
      <c r="G73" s="214" t="s">
        <v>31</v>
      </c>
      <c r="H73" s="227" t="s">
        <v>40</v>
      </c>
      <c r="I73" s="228"/>
      <c r="J73" s="214"/>
      <c r="K73" s="216"/>
      <c r="L73" s="216"/>
      <c r="M73" s="216"/>
      <c r="N73" s="216"/>
      <c r="O73" s="216"/>
      <c r="P73" s="214"/>
      <c r="Q73" s="229"/>
    </row>
    <row r="74" spans="2:17" ht="50.15" customHeight="1" x14ac:dyDescent="0.35">
      <c r="B74" s="223" t="s">
        <v>2</v>
      </c>
      <c r="C74" s="179" t="s">
        <v>333</v>
      </c>
      <c r="D74" s="156" t="s">
        <v>488</v>
      </c>
      <c r="E74" s="179" t="s">
        <v>22</v>
      </c>
      <c r="F74" s="156" t="s">
        <v>690</v>
      </c>
      <c r="G74" s="182" t="s">
        <v>31</v>
      </c>
      <c r="H74" s="224" t="s">
        <v>40</v>
      </c>
      <c r="I74" s="230"/>
      <c r="J74" s="182"/>
      <c r="K74" s="177"/>
      <c r="L74" s="177"/>
      <c r="M74" s="177"/>
      <c r="N74" s="177"/>
      <c r="O74" s="177"/>
      <c r="P74" s="182"/>
      <c r="Q74" s="226"/>
    </row>
    <row r="75" spans="2:17" ht="50.15" customHeight="1" x14ac:dyDescent="0.35">
      <c r="B75" s="223" t="s">
        <v>2</v>
      </c>
      <c r="C75" s="180" t="s">
        <v>334</v>
      </c>
      <c r="D75" s="154" t="s">
        <v>489</v>
      </c>
      <c r="E75" s="180" t="s">
        <v>22</v>
      </c>
      <c r="F75" s="158" t="s">
        <v>578</v>
      </c>
      <c r="G75" s="183" t="s">
        <v>31</v>
      </c>
      <c r="H75" s="232" t="s">
        <v>40</v>
      </c>
      <c r="I75" s="233"/>
      <c r="J75" s="183"/>
      <c r="K75" s="178"/>
      <c r="L75" s="178"/>
      <c r="M75" s="178"/>
      <c r="N75" s="178"/>
      <c r="O75" s="178"/>
      <c r="P75" s="183"/>
      <c r="Q75" s="234"/>
    </row>
    <row r="76" spans="2:17" ht="50.15" customHeight="1" x14ac:dyDescent="0.35">
      <c r="B76" s="223" t="s">
        <v>2</v>
      </c>
      <c r="C76" s="179" t="s">
        <v>335</v>
      </c>
      <c r="D76" s="156" t="s">
        <v>516</v>
      </c>
      <c r="E76" s="179" t="s">
        <v>23</v>
      </c>
      <c r="F76" s="159" t="s">
        <v>579</v>
      </c>
      <c r="G76" s="182" t="s">
        <v>31</v>
      </c>
      <c r="H76" s="224" t="s">
        <v>40</v>
      </c>
      <c r="I76" s="230"/>
      <c r="J76" s="182"/>
      <c r="K76" s="177"/>
      <c r="L76" s="177"/>
      <c r="M76" s="177"/>
      <c r="N76" s="177"/>
      <c r="O76" s="177"/>
      <c r="P76" s="182"/>
      <c r="Q76" s="226"/>
    </row>
    <row r="77" spans="2:17" ht="50.15" customHeight="1" x14ac:dyDescent="0.35">
      <c r="B77" s="223" t="s">
        <v>2</v>
      </c>
      <c r="C77" s="180" t="s">
        <v>336</v>
      </c>
      <c r="D77" s="154" t="s">
        <v>426</v>
      </c>
      <c r="E77" s="180" t="s">
        <v>23</v>
      </c>
      <c r="F77" s="158" t="s">
        <v>691</v>
      </c>
      <c r="G77" s="183" t="s">
        <v>31</v>
      </c>
      <c r="H77" s="232" t="s">
        <v>40</v>
      </c>
      <c r="I77" s="233"/>
      <c r="J77" s="183"/>
      <c r="K77" s="178"/>
      <c r="L77" s="178"/>
      <c r="M77" s="178"/>
      <c r="N77" s="178"/>
      <c r="O77" s="178"/>
      <c r="P77" s="183"/>
      <c r="Q77" s="234"/>
    </row>
    <row r="78" spans="2:17" ht="50.15" customHeight="1" x14ac:dyDescent="0.35">
      <c r="B78" s="223" t="s">
        <v>2</v>
      </c>
      <c r="C78" s="179" t="s">
        <v>337</v>
      </c>
      <c r="D78" s="156" t="s">
        <v>490</v>
      </c>
      <c r="E78" s="179" t="s">
        <v>22</v>
      </c>
      <c r="F78" s="159" t="s">
        <v>580</v>
      </c>
      <c r="G78" s="182" t="s">
        <v>31</v>
      </c>
      <c r="H78" s="224" t="s">
        <v>40</v>
      </c>
      <c r="I78" s="230"/>
      <c r="J78" s="182"/>
      <c r="K78" s="177"/>
      <c r="L78" s="177"/>
      <c r="M78" s="177"/>
      <c r="N78" s="177"/>
      <c r="O78" s="177"/>
      <c r="P78" s="182"/>
      <c r="Q78" s="226"/>
    </row>
    <row r="79" spans="2:17" ht="50.15" customHeight="1" x14ac:dyDescent="0.35">
      <c r="B79" s="223" t="s">
        <v>2</v>
      </c>
      <c r="C79" s="212" t="s">
        <v>338</v>
      </c>
      <c r="D79" s="284" t="s">
        <v>675</v>
      </c>
      <c r="E79" s="212" t="s">
        <v>22</v>
      </c>
      <c r="F79" s="215" t="s">
        <v>581</v>
      </c>
      <c r="G79" s="214" t="s">
        <v>31</v>
      </c>
      <c r="H79" s="227" t="s">
        <v>40</v>
      </c>
      <c r="I79" s="228"/>
      <c r="J79" s="214"/>
      <c r="K79" s="216"/>
      <c r="L79" s="216"/>
      <c r="M79" s="216"/>
      <c r="N79" s="216"/>
      <c r="O79" s="216"/>
      <c r="P79" s="214"/>
      <c r="Q79" s="229"/>
    </row>
    <row r="80" spans="2:17" ht="50.15" customHeight="1" x14ac:dyDescent="0.35">
      <c r="B80" s="223" t="s">
        <v>2</v>
      </c>
      <c r="C80" s="179" t="s">
        <v>339</v>
      </c>
      <c r="D80" s="156" t="s">
        <v>427</v>
      </c>
      <c r="E80" s="179" t="s">
        <v>22</v>
      </c>
      <c r="F80" s="159" t="s">
        <v>582</v>
      </c>
      <c r="G80" s="182" t="s">
        <v>31</v>
      </c>
      <c r="H80" s="224" t="s">
        <v>40</v>
      </c>
      <c r="I80" s="230"/>
      <c r="J80" s="182"/>
      <c r="K80" s="177"/>
      <c r="L80" s="177"/>
      <c r="M80" s="177"/>
      <c r="N80" s="177"/>
      <c r="O80" s="177"/>
      <c r="P80" s="182"/>
      <c r="Q80" s="226"/>
    </row>
    <row r="81" spans="2:17" ht="50.15" customHeight="1" x14ac:dyDescent="0.35">
      <c r="B81" s="223" t="s">
        <v>2</v>
      </c>
      <c r="C81" s="212" t="s">
        <v>340</v>
      </c>
      <c r="D81" s="217" t="s">
        <v>491</v>
      </c>
      <c r="E81" s="212" t="s">
        <v>22</v>
      </c>
      <c r="F81" s="215" t="s">
        <v>583</v>
      </c>
      <c r="G81" s="214" t="s">
        <v>31</v>
      </c>
      <c r="H81" s="227" t="s">
        <v>40</v>
      </c>
      <c r="I81" s="228"/>
      <c r="J81" s="214"/>
      <c r="K81" s="216"/>
      <c r="L81" s="216"/>
      <c r="M81" s="216"/>
      <c r="N81" s="216"/>
      <c r="O81" s="216"/>
      <c r="P81" s="214"/>
      <c r="Q81" s="229"/>
    </row>
    <row r="82" spans="2:17" ht="50.15" customHeight="1" x14ac:dyDescent="0.35">
      <c r="B82" s="223" t="s">
        <v>2</v>
      </c>
      <c r="C82" s="179" t="s">
        <v>341</v>
      </c>
      <c r="D82" s="156" t="s">
        <v>492</v>
      </c>
      <c r="E82" s="179" t="s">
        <v>22</v>
      </c>
      <c r="F82" s="156" t="s">
        <v>584</v>
      </c>
      <c r="G82" s="182" t="s">
        <v>31</v>
      </c>
      <c r="H82" s="224" t="s">
        <v>40</v>
      </c>
      <c r="I82" s="230"/>
      <c r="J82" s="182"/>
      <c r="K82" s="177"/>
      <c r="L82" s="177"/>
      <c r="M82" s="177"/>
      <c r="N82" s="177"/>
      <c r="O82" s="177"/>
      <c r="P82" s="182"/>
      <c r="Q82" s="226"/>
    </row>
    <row r="83" spans="2:17" ht="50.15" customHeight="1" x14ac:dyDescent="0.35">
      <c r="B83" s="223" t="s">
        <v>2</v>
      </c>
      <c r="C83" s="180" t="s">
        <v>342</v>
      </c>
      <c r="D83" s="154" t="s">
        <v>493</v>
      </c>
      <c r="E83" s="180" t="s">
        <v>22</v>
      </c>
      <c r="F83" s="154" t="s">
        <v>692</v>
      </c>
      <c r="G83" s="183" t="s">
        <v>31</v>
      </c>
      <c r="H83" s="224" t="s">
        <v>40</v>
      </c>
      <c r="I83" s="233"/>
      <c r="J83" s="183"/>
      <c r="K83" s="178"/>
      <c r="L83" s="178"/>
      <c r="M83" s="178"/>
      <c r="N83" s="178"/>
      <c r="O83" s="178"/>
      <c r="P83" s="183"/>
      <c r="Q83" s="234"/>
    </row>
    <row r="84" spans="2:17" ht="50.15" customHeight="1" x14ac:dyDescent="0.35">
      <c r="B84" s="223" t="s">
        <v>2</v>
      </c>
      <c r="C84" s="179" t="s">
        <v>343</v>
      </c>
      <c r="D84" s="156" t="s">
        <v>494</v>
      </c>
      <c r="E84" s="179" t="s">
        <v>23</v>
      </c>
      <c r="F84" s="159" t="s">
        <v>585</v>
      </c>
      <c r="G84" s="182" t="s">
        <v>31</v>
      </c>
      <c r="H84" s="224" t="s">
        <v>40</v>
      </c>
      <c r="I84" s="230"/>
      <c r="J84" s="182"/>
      <c r="K84" s="177"/>
      <c r="L84" s="177"/>
      <c r="M84" s="177"/>
      <c r="N84" s="177"/>
      <c r="O84" s="177"/>
      <c r="P84" s="182"/>
      <c r="Q84" s="226"/>
    </row>
    <row r="85" spans="2:17" ht="50.15" customHeight="1" x14ac:dyDescent="0.35">
      <c r="B85" s="223" t="s">
        <v>2</v>
      </c>
      <c r="C85" s="212" t="s">
        <v>344</v>
      </c>
      <c r="D85" s="284" t="s">
        <v>676</v>
      </c>
      <c r="E85" s="212" t="s">
        <v>23</v>
      </c>
      <c r="F85" s="217" t="s">
        <v>586</v>
      </c>
      <c r="G85" s="214" t="s">
        <v>31</v>
      </c>
      <c r="H85" s="227" t="s">
        <v>40</v>
      </c>
      <c r="I85" s="228"/>
      <c r="J85" s="214"/>
      <c r="K85" s="216"/>
      <c r="L85" s="216"/>
      <c r="M85" s="216"/>
      <c r="N85" s="216"/>
      <c r="O85" s="216"/>
      <c r="P85" s="214"/>
      <c r="Q85" s="229"/>
    </row>
    <row r="86" spans="2:17" ht="50.15" customHeight="1" x14ac:dyDescent="0.35">
      <c r="B86" s="223" t="s">
        <v>2</v>
      </c>
      <c r="C86" s="179" t="s">
        <v>345</v>
      </c>
      <c r="D86" s="156" t="s">
        <v>495</v>
      </c>
      <c r="E86" s="179" t="s">
        <v>23</v>
      </c>
      <c r="F86" s="159" t="s">
        <v>587</v>
      </c>
      <c r="G86" s="182" t="s">
        <v>31</v>
      </c>
      <c r="H86" s="224" t="s">
        <v>40</v>
      </c>
      <c r="I86" s="230"/>
      <c r="J86" s="182"/>
      <c r="K86" s="177"/>
      <c r="L86" s="177"/>
      <c r="M86" s="177"/>
      <c r="N86" s="177"/>
      <c r="O86" s="177"/>
      <c r="P86" s="182"/>
      <c r="Q86" s="226"/>
    </row>
    <row r="87" spans="2:17" ht="50.15" customHeight="1" x14ac:dyDescent="0.35">
      <c r="B87" s="231" t="s">
        <v>5</v>
      </c>
      <c r="C87" s="180" t="s">
        <v>346</v>
      </c>
      <c r="D87" s="154" t="s">
        <v>238</v>
      </c>
      <c r="E87" s="180" t="s">
        <v>23</v>
      </c>
      <c r="F87" s="154" t="s">
        <v>588</v>
      </c>
      <c r="G87" s="183" t="s">
        <v>31</v>
      </c>
      <c r="H87" s="224" t="s">
        <v>40</v>
      </c>
      <c r="I87" s="233"/>
      <c r="J87" s="183"/>
      <c r="K87" s="178"/>
      <c r="L87" s="178"/>
      <c r="M87" s="178"/>
      <c r="N87" s="178"/>
      <c r="O87" s="178"/>
      <c r="P87" s="183"/>
      <c r="Q87" s="234"/>
    </row>
    <row r="88" spans="2:17" ht="50.15" customHeight="1" x14ac:dyDescent="0.35">
      <c r="B88" s="231" t="s">
        <v>5</v>
      </c>
      <c r="C88" s="179" t="s">
        <v>347</v>
      </c>
      <c r="D88" s="156" t="s">
        <v>496</v>
      </c>
      <c r="E88" s="179" t="s">
        <v>23</v>
      </c>
      <c r="F88" s="159" t="s">
        <v>589</v>
      </c>
      <c r="G88" s="182" t="s">
        <v>31</v>
      </c>
      <c r="H88" s="224" t="s">
        <v>40</v>
      </c>
      <c r="I88" s="230"/>
      <c r="J88" s="182"/>
      <c r="K88" s="177"/>
      <c r="L88" s="177"/>
      <c r="M88" s="177"/>
      <c r="N88" s="177"/>
      <c r="O88" s="177"/>
      <c r="P88" s="182"/>
      <c r="Q88" s="226"/>
    </row>
    <row r="89" spans="2:17" ht="50.15" customHeight="1" x14ac:dyDescent="0.35">
      <c r="B89" s="231" t="s">
        <v>5</v>
      </c>
      <c r="C89" s="212" t="s">
        <v>348</v>
      </c>
      <c r="D89" s="217" t="s">
        <v>497</v>
      </c>
      <c r="E89" s="212" t="s">
        <v>23</v>
      </c>
      <c r="F89" s="215" t="s">
        <v>590</v>
      </c>
      <c r="G89" s="214" t="s">
        <v>31</v>
      </c>
      <c r="H89" s="227" t="s">
        <v>40</v>
      </c>
      <c r="I89" s="228"/>
      <c r="J89" s="214"/>
      <c r="K89" s="216"/>
      <c r="L89" s="216"/>
      <c r="M89" s="216"/>
      <c r="N89" s="216"/>
      <c r="O89" s="216"/>
      <c r="P89" s="214"/>
      <c r="Q89" s="229"/>
    </row>
    <row r="90" spans="2:17" ht="50.15" customHeight="1" x14ac:dyDescent="0.35">
      <c r="B90" s="231" t="s">
        <v>5</v>
      </c>
      <c r="C90" s="179" t="s">
        <v>349</v>
      </c>
      <c r="D90" s="156" t="s">
        <v>498</v>
      </c>
      <c r="E90" s="179" t="s">
        <v>23</v>
      </c>
      <c r="F90" s="159" t="s">
        <v>591</v>
      </c>
      <c r="G90" s="182" t="s">
        <v>31</v>
      </c>
      <c r="H90" s="224" t="s">
        <v>40</v>
      </c>
      <c r="I90" s="230"/>
      <c r="J90" s="182"/>
      <c r="K90" s="177"/>
      <c r="L90" s="177"/>
      <c r="M90" s="177"/>
      <c r="N90" s="177"/>
      <c r="O90" s="177"/>
      <c r="P90" s="182"/>
      <c r="Q90" s="226"/>
    </row>
    <row r="91" spans="2:17" ht="50.15" customHeight="1" x14ac:dyDescent="0.35">
      <c r="B91" s="231" t="s">
        <v>5</v>
      </c>
      <c r="C91" s="180" t="s">
        <v>350</v>
      </c>
      <c r="D91" s="154" t="s">
        <v>239</v>
      </c>
      <c r="E91" s="180" t="s">
        <v>23</v>
      </c>
      <c r="F91" s="158" t="s">
        <v>592</v>
      </c>
      <c r="G91" s="183" t="s">
        <v>31</v>
      </c>
      <c r="H91" s="232" t="s">
        <v>40</v>
      </c>
      <c r="I91" s="233"/>
      <c r="J91" s="183"/>
      <c r="K91" s="178"/>
      <c r="L91" s="178"/>
      <c r="M91" s="178"/>
      <c r="N91" s="178"/>
      <c r="O91" s="178"/>
      <c r="P91" s="183"/>
      <c r="Q91" s="234"/>
    </row>
    <row r="92" spans="2:17" ht="50.15" customHeight="1" x14ac:dyDescent="0.35">
      <c r="B92" s="231" t="s">
        <v>5</v>
      </c>
      <c r="C92" s="179" t="s">
        <v>351</v>
      </c>
      <c r="D92" s="156" t="s">
        <v>499</v>
      </c>
      <c r="E92" s="179" t="s">
        <v>22</v>
      </c>
      <c r="F92" s="156" t="s">
        <v>693</v>
      </c>
      <c r="G92" s="182" t="s">
        <v>31</v>
      </c>
      <c r="H92" s="224" t="s">
        <v>40</v>
      </c>
      <c r="I92" s="230"/>
      <c r="J92" s="182"/>
      <c r="K92" s="177"/>
      <c r="L92" s="177"/>
      <c r="M92" s="177"/>
      <c r="N92" s="177"/>
      <c r="O92" s="177"/>
      <c r="P92" s="182"/>
      <c r="Q92" s="226"/>
    </row>
    <row r="93" spans="2:17" ht="50.15" customHeight="1" x14ac:dyDescent="0.35">
      <c r="B93" s="231" t="s">
        <v>5</v>
      </c>
      <c r="C93" s="180" t="s">
        <v>352</v>
      </c>
      <c r="D93" s="154" t="s">
        <v>500</v>
      </c>
      <c r="E93" s="180" t="s">
        <v>22</v>
      </c>
      <c r="F93" s="158" t="s">
        <v>694</v>
      </c>
      <c r="G93" s="183" t="s">
        <v>31</v>
      </c>
      <c r="H93" s="224" t="s">
        <v>40</v>
      </c>
      <c r="I93" s="233"/>
      <c r="J93" s="183"/>
      <c r="K93" s="178"/>
      <c r="L93" s="178"/>
      <c r="M93" s="178"/>
      <c r="N93" s="178"/>
      <c r="O93" s="178"/>
      <c r="P93" s="183"/>
      <c r="Q93" s="234"/>
    </row>
    <row r="94" spans="2:17" ht="50.15" customHeight="1" x14ac:dyDescent="0.35">
      <c r="B94" s="231" t="s">
        <v>5</v>
      </c>
      <c r="C94" s="179" t="s">
        <v>353</v>
      </c>
      <c r="D94" s="156" t="s">
        <v>501</v>
      </c>
      <c r="E94" s="179" t="s">
        <v>22</v>
      </c>
      <c r="F94" s="159" t="s">
        <v>593</v>
      </c>
      <c r="G94" s="182" t="s">
        <v>31</v>
      </c>
      <c r="H94" s="224" t="s">
        <v>40</v>
      </c>
      <c r="I94" s="230"/>
      <c r="J94" s="182"/>
      <c r="K94" s="177"/>
      <c r="L94" s="177"/>
      <c r="M94" s="177"/>
      <c r="N94" s="177"/>
      <c r="O94" s="177"/>
      <c r="P94" s="182"/>
      <c r="Q94" s="226"/>
    </row>
    <row r="95" spans="2:17" ht="50.15" customHeight="1" x14ac:dyDescent="0.35">
      <c r="B95" s="231" t="s">
        <v>5</v>
      </c>
      <c r="C95" s="212" t="s">
        <v>354</v>
      </c>
      <c r="D95" s="217" t="s">
        <v>502</v>
      </c>
      <c r="E95" s="212" t="s">
        <v>22</v>
      </c>
      <c r="F95" s="217" t="s">
        <v>594</v>
      </c>
      <c r="G95" s="214" t="s">
        <v>31</v>
      </c>
      <c r="H95" s="227" t="s">
        <v>40</v>
      </c>
      <c r="I95" s="228"/>
      <c r="J95" s="214"/>
      <c r="K95" s="216"/>
      <c r="L95" s="216"/>
      <c r="M95" s="216"/>
      <c r="N95" s="216"/>
      <c r="O95" s="216"/>
      <c r="P95" s="214"/>
      <c r="Q95" s="229"/>
    </row>
    <row r="96" spans="2:17" ht="50.15" customHeight="1" x14ac:dyDescent="0.35">
      <c r="B96" s="231" t="s">
        <v>5</v>
      </c>
      <c r="C96" s="179" t="s">
        <v>355</v>
      </c>
      <c r="D96" s="156" t="s">
        <v>503</v>
      </c>
      <c r="E96" s="179" t="s">
        <v>22</v>
      </c>
      <c r="F96" s="156" t="s">
        <v>595</v>
      </c>
      <c r="G96" s="182" t="s">
        <v>31</v>
      </c>
      <c r="H96" s="224" t="s">
        <v>40</v>
      </c>
      <c r="I96" s="230"/>
      <c r="J96" s="182"/>
      <c r="K96" s="177"/>
      <c r="L96" s="177"/>
      <c r="M96" s="177"/>
      <c r="N96" s="177"/>
      <c r="O96" s="177"/>
      <c r="P96" s="182"/>
      <c r="Q96" s="226"/>
    </row>
    <row r="97" spans="2:17" ht="50.15" customHeight="1" x14ac:dyDescent="0.35">
      <c r="B97" s="231" t="s">
        <v>5</v>
      </c>
      <c r="C97" s="212" t="s">
        <v>356</v>
      </c>
      <c r="D97" s="217" t="s">
        <v>504</v>
      </c>
      <c r="E97" s="212" t="s">
        <v>22</v>
      </c>
      <c r="F97" s="215" t="s">
        <v>596</v>
      </c>
      <c r="G97" s="214" t="s">
        <v>31</v>
      </c>
      <c r="H97" s="227" t="s">
        <v>40</v>
      </c>
      <c r="I97" s="228"/>
      <c r="J97" s="214"/>
      <c r="K97" s="216"/>
      <c r="L97" s="216"/>
      <c r="M97" s="216"/>
      <c r="N97" s="216"/>
      <c r="O97" s="216"/>
      <c r="P97" s="214"/>
      <c r="Q97" s="229"/>
    </row>
    <row r="98" spans="2:17" ht="50.15" customHeight="1" x14ac:dyDescent="0.35">
      <c r="B98" s="223" t="s">
        <v>240</v>
      </c>
      <c r="C98" s="179" t="s">
        <v>357</v>
      </c>
      <c r="D98" s="156" t="s">
        <v>505</v>
      </c>
      <c r="E98" s="179" t="s">
        <v>22</v>
      </c>
      <c r="F98" s="156" t="s">
        <v>597</v>
      </c>
      <c r="G98" s="182" t="s">
        <v>31</v>
      </c>
      <c r="H98" s="224" t="s">
        <v>40</v>
      </c>
      <c r="I98" s="230"/>
      <c r="J98" s="182"/>
      <c r="K98" s="177"/>
      <c r="L98" s="177"/>
      <c r="M98" s="177"/>
      <c r="N98" s="177"/>
      <c r="O98" s="177"/>
      <c r="P98" s="182"/>
      <c r="Q98" s="226"/>
    </row>
    <row r="99" spans="2:17" ht="50.15" customHeight="1" x14ac:dyDescent="0.35">
      <c r="B99" s="223" t="s">
        <v>240</v>
      </c>
      <c r="C99" s="212" t="s">
        <v>358</v>
      </c>
      <c r="D99" s="217" t="s">
        <v>506</v>
      </c>
      <c r="E99" s="212" t="s">
        <v>22</v>
      </c>
      <c r="F99" s="215" t="s">
        <v>598</v>
      </c>
      <c r="G99" s="214" t="s">
        <v>31</v>
      </c>
      <c r="H99" s="227" t="s">
        <v>40</v>
      </c>
      <c r="I99" s="228"/>
      <c r="J99" s="214"/>
      <c r="K99" s="216"/>
      <c r="L99" s="216"/>
      <c r="M99" s="216"/>
      <c r="N99" s="216"/>
      <c r="O99" s="216"/>
      <c r="P99" s="214"/>
      <c r="Q99" s="229"/>
    </row>
    <row r="100" spans="2:17" ht="50.15" customHeight="1" x14ac:dyDescent="0.35">
      <c r="B100" s="223" t="s">
        <v>240</v>
      </c>
      <c r="C100" s="179" t="s">
        <v>359</v>
      </c>
      <c r="D100" s="156" t="s">
        <v>507</v>
      </c>
      <c r="E100" s="179" t="s">
        <v>22</v>
      </c>
      <c r="F100" s="156" t="s">
        <v>599</v>
      </c>
      <c r="G100" s="182" t="s">
        <v>31</v>
      </c>
      <c r="H100" s="224" t="s">
        <v>40</v>
      </c>
      <c r="I100" s="230"/>
      <c r="J100" s="182"/>
      <c r="K100" s="177"/>
      <c r="L100" s="177"/>
      <c r="M100" s="177"/>
      <c r="N100" s="177"/>
      <c r="O100" s="177"/>
      <c r="P100" s="182"/>
      <c r="Q100" s="226"/>
    </row>
    <row r="101" spans="2:17" ht="50.15" customHeight="1" x14ac:dyDescent="0.35">
      <c r="B101" s="223" t="s">
        <v>240</v>
      </c>
      <c r="C101" s="212" t="s">
        <v>360</v>
      </c>
      <c r="D101" s="154" t="s">
        <v>241</v>
      </c>
      <c r="E101" s="180" t="s">
        <v>22</v>
      </c>
      <c r="F101" s="154" t="s">
        <v>600</v>
      </c>
      <c r="G101" s="214" t="s">
        <v>31</v>
      </c>
      <c r="H101" s="227" t="s">
        <v>40</v>
      </c>
      <c r="I101" s="228"/>
      <c r="J101" s="214"/>
      <c r="K101" s="216"/>
      <c r="L101" s="216"/>
      <c r="M101" s="216"/>
      <c r="N101" s="216"/>
      <c r="O101" s="216"/>
      <c r="P101" s="214"/>
      <c r="Q101" s="229"/>
    </row>
    <row r="102" spans="2:17" ht="50.15" customHeight="1" x14ac:dyDescent="0.35">
      <c r="B102" s="223" t="s">
        <v>240</v>
      </c>
      <c r="C102" s="179" t="s">
        <v>361</v>
      </c>
      <c r="D102" s="156" t="s">
        <v>508</v>
      </c>
      <c r="E102" s="179" t="s">
        <v>22</v>
      </c>
      <c r="F102" s="156" t="s">
        <v>601</v>
      </c>
      <c r="G102" s="182" t="s">
        <v>31</v>
      </c>
      <c r="H102" s="224" t="s">
        <v>40</v>
      </c>
      <c r="I102" s="230"/>
      <c r="J102" s="182"/>
      <c r="K102" s="177"/>
      <c r="L102" s="177"/>
      <c r="M102" s="177"/>
      <c r="N102" s="177"/>
      <c r="O102" s="177"/>
      <c r="P102" s="182"/>
      <c r="Q102" s="226"/>
    </row>
    <row r="103" spans="2:17" ht="50.15" customHeight="1" x14ac:dyDescent="0.35">
      <c r="B103" s="223" t="s">
        <v>240</v>
      </c>
      <c r="C103" s="212" t="s">
        <v>362</v>
      </c>
      <c r="D103" s="217" t="s">
        <v>509</v>
      </c>
      <c r="E103" s="212" t="s">
        <v>22</v>
      </c>
      <c r="F103" s="217" t="s">
        <v>602</v>
      </c>
      <c r="G103" s="214" t="s">
        <v>31</v>
      </c>
      <c r="H103" s="227" t="s">
        <v>40</v>
      </c>
      <c r="I103" s="228"/>
      <c r="J103" s="214"/>
      <c r="K103" s="216"/>
      <c r="L103" s="216"/>
      <c r="M103" s="216"/>
      <c r="N103" s="216"/>
      <c r="O103" s="216"/>
      <c r="P103" s="214"/>
      <c r="Q103" s="229"/>
    </row>
    <row r="104" spans="2:17" ht="50.15" customHeight="1" x14ac:dyDescent="0.35">
      <c r="B104" s="223" t="s">
        <v>240</v>
      </c>
      <c r="C104" s="179" t="s">
        <v>363</v>
      </c>
      <c r="D104" s="156" t="s">
        <v>510</v>
      </c>
      <c r="E104" s="179" t="s">
        <v>22</v>
      </c>
      <c r="F104" s="159" t="s">
        <v>695</v>
      </c>
      <c r="G104" s="182" t="s">
        <v>31</v>
      </c>
      <c r="H104" s="224" t="s">
        <v>40</v>
      </c>
      <c r="I104" s="230"/>
      <c r="J104" s="182"/>
      <c r="K104" s="177"/>
      <c r="L104" s="177"/>
      <c r="M104" s="177"/>
      <c r="N104" s="177"/>
      <c r="O104" s="177"/>
      <c r="P104" s="182"/>
      <c r="Q104" s="226"/>
    </row>
    <row r="105" spans="2:17" ht="50.15" customHeight="1" x14ac:dyDescent="0.35">
      <c r="B105" s="223" t="s">
        <v>240</v>
      </c>
      <c r="C105" s="212" t="s">
        <v>364</v>
      </c>
      <c r="D105" s="217" t="s">
        <v>511</v>
      </c>
      <c r="E105" s="212" t="s">
        <v>22</v>
      </c>
      <c r="F105" s="217" t="s">
        <v>603</v>
      </c>
      <c r="G105" s="214" t="s">
        <v>31</v>
      </c>
      <c r="H105" s="227" t="s">
        <v>40</v>
      </c>
      <c r="I105" s="228"/>
      <c r="J105" s="214"/>
      <c r="K105" s="216"/>
      <c r="L105" s="216"/>
      <c r="M105" s="216"/>
      <c r="N105" s="216"/>
      <c r="O105" s="216"/>
      <c r="P105" s="214"/>
      <c r="Q105" s="229"/>
    </row>
    <row r="106" spans="2:17" ht="50.15" customHeight="1" x14ac:dyDescent="0.35">
      <c r="B106" s="223" t="s">
        <v>240</v>
      </c>
      <c r="C106" s="179" t="s">
        <v>365</v>
      </c>
      <c r="D106" s="156" t="s">
        <v>515</v>
      </c>
      <c r="E106" s="179" t="s">
        <v>23</v>
      </c>
      <c r="F106" s="159" t="s">
        <v>604</v>
      </c>
      <c r="G106" s="182" t="s">
        <v>31</v>
      </c>
      <c r="H106" s="224" t="s">
        <v>40</v>
      </c>
      <c r="I106" s="230"/>
      <c r="J106" s="182"/>
      <c r="K106" s="177"/>
      <c r="L106" s="177"/>
      <c r="M106" s="177"/>
      <c r="N106" s="177"/>
      <c r="O106" s="177"/>
      <c r="P106" s="182"/>
      <c r="Q106" s="226"/>
    </row>
    <row r="107" spans="2:17" ht="50.15" customHeight="1" x14ac:dyDescent="0.35">
      <c r="B107" s="223" t="s">
        <v>240</v>
      </c>
      <c r="C107" s="212" t="s">
        <v>366</v>
      </c>
      <c r="D107" s="217" t="s">
        <v>512</v>
      </c>
      <c r="E107" s="212" t="s">
        <v>22</v>
      </c>
      <c r="F107" s="215" t="s">
        <v>605</v>
      </c>
      <c r="G107" s="214" t="s">
        <v>31</v>
      </c>
      <c r="H107" s="227" t="s">
        <v>40</v>
      </c>
      <c r="I107" s="228"/>
      <c r="J107" s="214"/>
      <c r="K107" s="216"/>
      <c r="L107" s="216"/>
      <c r="M107" s="216"/>
      <c r="N107" s="216"/>
      <c r="O107" s="216"/>
      <c r="P107" s="214"/>
      <c r="Q107" s="229"/>
    </row>
    <row r="108" spans="2:17" ht="50.15" customHeight="1" x14ac:dyDescent="0.35">
      <c r="B108" s="223" t="s">
        <v>240</v>
      </c>
      <c r="C108" s="179" t="s">
        <v>367</v>
      </c>
      <c r="D108" s="156" t="s">
        <v>513</v>
      </c>
      <c r="E108" s="179" t="s">
        <v>22</v>
      </c>
      <c r="F108" s="159" t="s">
        <v>606</v>
      </c>
      <c r="G108" s="182" t="s">
        <v>31</v>
      </c>
      <c r="H108" s="224" t="s">
        <v>40</v>
      </c>
      <c r="I108" s="230"/>
      <c r="J108" s="182"/>
      <c r="K108" s="177"/>
      <c r="L108" s="177"/>
      <c r="M108" s="177"/>
      <c r="N108" s="177"/>
      <c r="O108" s="177"/>
      <c r="P108" s="182"/>
      <c r="Q108" s="226"/>
    </row>
    <row r="109" spans="2:17" ht="50.15" customHeight="1" x14ac:dyDescent="0.35">
      <c r="B109" s="237" t="s">
        <v>240</v>
      </c>
      <c r="C109" s="238" t="s">
        <v>368</v>
      </c>
      <c r="D109" s="239" t="s">
        <v>514</v>
      </c>
      <c r="E109" s="238" t="s">
        <v>22</v>
      </c>
      <c r="F109" s="240" t="s">
        <v>607</v>
      </c>
      <c r="G109" s="241" t="s">
        <v>31</v>
      </c>
      <c r="H109" s="242" t="s">
        <v>40</v>
      </c>
      <c r="I109" s="243"/>
      <c r="J109" s="241"/>
      <c r="K109" s="244"/>
      <c r="L109" s="244"/>
      <c r="M109" s="244"/>
      <c r="N109" s="244"/>
      <c r="O109" s="244"/>
      <c r="P109" s="241"/>
      <c r="Q109" s="245"/>
    </row>
    <row r="110" spans="2:17" x14ac:dyDescent="0.35">
      <c r="H110" s="107">
        <f>COUNTIF(H4:H109,"=Indéterminé")</f>
        <v>106</v>
      </c>
    </row>
    <row r="113" spans="2:9" x14ac:dyDescent="0.35">
      <c r="F113" s="65"/>
    </row>
    <row r="114" spans="2:9" x14ac:dyDescent="0.35">
      <c r="F114" s="65"/>
    </row>
    <row r="115" spans="2:9" x14ac:dyDescent="0.35">
      <c r="F115" s="65"/>
    </row>
    <row r="116" spans="2:9" x14ac:dyDescent="0.35">
      <c r="F116" s="65"/>
    </row>
    <row r="117" spans="2:9" x14ac:dyDescent="0.35">
      <c r="F117" s="65"/>
    </row>
    <row r="118" spans="2:9" x14ac:dyDescent="0.35">
      <c r="F118" s="65"/>
    </row>
    <row r="119" spans="2:9" x14ac:dyDescent="0.35">
      <c r="F119" s="65"/>
    </row>
    <row r="120" spans="2:9" x14ac:dyDescent="0.35">
      <c r="F120" s="65"/>
    </row>
    <row r="121" spans="2:9" x14ac:dyDescent="0.35">
      <c r="F121" s="65"/>
    </row>
    <row r="122" spans="2:9" x14ac:dyDescent="0.35">
      <c r="F122" s="65"/>
    </row>
    <row r="123" spans="2:9" x14ac:dyDescent="0.35">
      <c r="F123" s="65"/>
    </row>
    <row r="124" spans="2:9" x14ac:dyDescent="0.35">
      <c r="B124" s="100"/>
      <c r="C124" s="100"/>
      <c r="D124" s="100"/>
      <c r="F124" s="65"/>
      <c r="G124" s="100"/>
      <c r="H124" s="100"/>
      <c r="I124" s="100"/>
    </row>
    <row r="125" spans="2:9" x14ac:dyDescent="0.35">
      <c r="B125" s="100"/>
      <c r="C125" s="100"/>
      <c r="D125" s="100"/>
      <c r="F125" s="65"/>
      <c r="G125" s="100"/>
      <c r="H125" s="100"/>
      <c r="I125" s="100"/>
    </row>
    <row r="126" spans="2:9" x14ac:dyDescent="0.35">
      <c r="B126" s="100"/>
      <c r="C126" s="100"/>
      <c r="D126" s="100"/>
      <c r="F126" s="65"/>
      <c r="G126" s="100"/>
      <c r="H126" s="100"/>
      <c r="I126" s="100"/>
    </row>
    <row r="127" spans="2:9" x14ac:dyDescent="0.35">
      <c r="B127" s="100"/>
      <c r="C127" s="100"/>
      <c r="D127" s="100"/>
      <c r="F127" s="65"/>
      <c r="G127" s="100"/>
      <c r="H127" s="100"/>
      <c r="I127" s="100"/>
    </row>
    <row r="128" spans="2:9" x14ac:dyDescent="0.35">
      <c r="B128" s="100"/>
      <c r="C128" s="100"/>
      <c r="D128" s="100"/>
      <c r="F128" s="65"/>
      <c r="G128" s="100"/>
      <c r="H128" s="100"/>
      <c r="I128" s="100"/>
    </row>
    <row r="129" spans="6:6" s="100" customFormat="1" x14ac:dyDescent="0.35">
      <c r="F129" s="65"/>
    </row>
    <row r="130" spans="6:6" s="100" customFormat="1" x14ac:dyDescent="0.35">
      <c r="F130" s="65"/>
    </row>
    <row r="131" spans="6:6" s="100" customFormat="1" x14ac:dyDescent="0.35">
      <c r="F131" s="65"/>
    </row>
    <row r="132" spans="6:6" s="100" customFormat="1" x14ac:dyDescent="0.35">
      <c r="F132" s="65"/>
    </row>
    <row r="133" spans="6:6" s="100" customFormat="1" x14ac:dyDescent="0.35">
      <c r="F133" s="65"/>
    </row>
    <row r="134" spans="6:6" s="100" customFormat="1" x14ac:dyDescent="0.35">
      <c r="F134" s="65"/>
    </row>
    <row r="135" spans="6:6" s="100" customFormat="1" x14ac:dyDescent="0.35">
      <c r="F135" s="65"/>
    </row>
    <row r="136" spans="6:6" s="100" customFormat="1" x14ac:dyDescent="0.35">
      <c r="F136" s="65"/>
    </row>
    <row r="137" spans="6:6" s="100" customFormat="1" x14ac:dyDescent="0.35">
      <c r="F137" s="65"/>
    </row>
    <row r="138" spans="6:6" s="100" customFormat="1" x14ac:dyDescent="0.35">
      <c r="F138" s="65"/>
    </row>
    <row r="139" spans="6:6" s="100" customFormat="1" x14ac:dyDescent="0.35">
      <c r="F139" s="65"/>
    </row>
    <row r="140" spans="6:6" s="100" customFormat="1" x14ac:dyDescent="0.35">
      <c r="F140" s="65"/>
    </row>
    <row r="141" spans="6:6" s="100" customFormat="1" x14ac:dyDescent="0.35">
      <c r="F141" s="65"/>
    </row>
    <row r="142" spans="6:6" s="100" customFormat="1" x14ac:dyDescent="0.35">
      <c r="F142" s="65"/>
    </row>
    <row r="143" spans="6:6" s="100" customFormat="1" x14ac:dyDescent="0.35">
      <c r="F143" s="65"/>
    </row>
    <row r="144" spans="6:6" s="100" customFormat="1" x14ac:dyDescent="0.35">
      <c r="F144" s="65"/>
    </row>
    <row r="145" spans="6:6" s="100" customFormat="1" x14ac:dyDescent="0.35">
      <c r="F145" s="65"/>
    </row>
    <row r="146" spans="6:6" s="100" customFormat="1" x14ac:dyDescent="0.35">
      <c r="F146" s="65"/>
    </row>
    <row r="147" spans="6:6" s="100" customFormat="1" x14ac:dyDescent="0.35">
      <c r="F147" s="65"/>
    </row>
    <row r="148" spans="6:6" s="100" customFormat="1" x14ac:dyDescent="0.35">
      <c r="F148" s="65"/>
    </row>
    <row r="149" spans="6:6" s="100" customFormat="1" x14ac:dyDescent="0.35">
      <c r="F149" s="65"/>
    </row>
    <row r="150" spans="6:6" s="100" customFormat="1" x14ac:dyDescent="0.35">
      <c r="F150" s="65"/>
    </row>
    <row r="151" spans="6:6" s="100" customFormat="1" x14ac:dyDescent="0.35">
      <c r="F151" s="65"/>
    </row>
    <row r="152" spans="6:6" s="100" customFormat="1" x14ac:dyDescent="0.35">
      <c r="F152" s="65"/>
    </row>
    <row r="153" spans="6:6" s="100" customFormat="1" x14ac:dyDescent="0.35">
      <c r="F153" s="65"/>
    </row>
    <row r="154" spans="6:6" s="100" customFormat="1" x14ac:dyDescent="0.35">
      <c r="F154" s="65"/>
    </row>
    <row r="155" spans="6:6" s="100" customFormat="1" x14ac:dyDescent="0.35">
      <c r="F155" s="65"/>
    </row>
    <row r="156" spans="6:6" s="100" customFormat="1" x14ac:dyDescent="0.35">
      <c r="F156" s="65"/>
    </row>
    <row r="157" spans="6:6" s="100" customFormat="1" x14ac:dyDescent="0.35">
      <c r="F157" s="65"/>
    </row>
    <row r="158" spans="6:6" s="100" customFormat="1" x14ac:dyDescent="0.35">
      <c r="F158" s="65"/>
    </row>
    <row r="159" spans="6:6" s="100" customFormat="1" x14ac:dyDescent="0.35">
      <c r="F159" s="65"/>
    </row>
    <row r="160" spans="6:6" s="100" customFormat="1" x14ac:dyDescent="0.35">
      <c r="F160" s="65"/>
    </row>
    <row r="161" spans="6:6" s="100" customFormat="1" x14ac:dyDescent="0.35">
      <c r="F161" s="65"/>
    </row>
    <row r="162" spans="6:6" s="100" customFormat="1" x14ac:dyDescent="0.35">
      <c r="F162" s="65"/>
    </row>
    <row r="163" spans="6:6" s="100" customFormat="1" x14ac:dyDescent="0.35">
      <c r="F163" s="65"/>
    </row>
    <row r="164" spans="6:6" s="100" customFormat="1" x14ac:dyDescent="0.35">
      <c r="F164" s="65"/>
    </row>
    <row r="165" spans="6:6" s="100" customFormat="1" x14ac:dyDescent="0.35">
      <c r="F165" s="65"/>
    </row>
    <row r="166" spans="6:6" s="100" customFormat="1" x14ac:dyDescent="0.35">
      <c r="F166" s="65"/>
    </row>
    <row r="167" spans="6:6" s="100" customFormat="1" x14ac:dyDescent="0.35">
      <c r="F167" s="65"/>
    </row>
    <row r="168" spans="6:6" s="100" customFormat="1" x14ac:dyDescent="0.35">
      <c r="F168" s="65"/>
    </row>
    <row r="169" spans="6:6" s="100" customFormat="1" x14ac:dyDescent="0.35">
      <c r="F169" s="65"/>
    </row>
    <row r="170" spans="6:6" s="100" customFormat="1" x14ac:dyDescent="0.35">
      <c r="F170" s="65"/>
    </row>
    <row r="171" spans="6:6" s="100" customFormat="1" x14ac:dyDescent="0.35">
      <c r="F171" s="65"/>
    </row>
    <row r="172" spans="6:6" s="100" customFormat="1" x14ac:dyDescent="0.35">
      <c r="F172" s="65"/>
    </row>
    <row r="173" spans="6:6" s="100" customFormat="1" x14ac:dyDescent="0.35">
      <c r="F173" s="65"/>
    </row>
    <row r="174" spans="6:6" s="100" customFormat="1" x14ac:dyDescent="0.35">
      <c r="F174" s="65"/>
    </row>
    <row r="175" spans="6:6" s="100" customFormat="1" x14ac:dyDescent="0.35">
      <c r="F175" s="65"/>
    </row>
    <row r="176" spans="6:6" s="100" customFormat="1" x14ac:dyDescent="0.35">
      <c r="F176" s="65"/>
    </row>
    <row r="177" spans="6:6" s="100" customFormat="1" x14ac:dyDescent="0.35">
      <c r="F177" s="65"/>
    </row>
    <row r="178" spans="6:6" s="100" customFormat="1" x14ac:dyDescent="0.35">
      <c r="F178" s="65"/>
    </row>
    <row r="179" spans="6:6" s="100" customFormat="1" x14ac:dyDescent="0.35">
      <c r="F179" s="65"/>
    </row>
    <row r="180" spans="6:6" s="100" customFormat="1" x14ac:dyDescent="0.35">
      <c r="F180" s="65"/>
    </row>
    <row r="181" spans="6:6" s="100" customFormat="1" x14ac:dyDescent="0.35">
      <c r="F181" s="65"/>
    </row>
    <row r="182" spans="6:6" s="100" customFormat="1" x14ac:dyDescent="0.35">
      <c r="F182" s="65"/>
    </row>
    <row r="183" spans="6:6" s="100" customFormat="1" x14ac:dyDescent="0.35">
      <c r="F183" s="65"/>
    </row>
    <row r="184" spans="6:6" s="100" customFormat="1" x14ac:dyDescent="0.35">
      <c r="F184" s="65"/>
    </row>
    <row r="185" spans="6:6" s="100" customFormat="1" x14ac:dyDescent="0.35">
      <c r="F185" s="65"/>
    </row>
    <row r="186" spans="6:6" s="100" customFormat="1" x14ac:dyDescent="0.35">
      <c r="F186" s="65"/>
    </row>
    <row r="187" spans="6:6" s="100" customFormat="1" x14ac:dyDescent="0.35">
      <c r="F187" s="65"/>
    </row>
    <row r="188" spans="6:6" s="100" customFormat="1" x14ac:dyDescent="0.35">
      <c r="F188" s="65"/>
    </row>
    <row r="189" spans="6:6" s="100" customFormat="1" x14ac:dyDescent="0.35">
      <c r="F189" s="65"/>
    </row>
    <row r="190" spans="6:6" s="100" customFormat="1" x14ac:dyDescent="0.35">
      <c r="F190" s="65"/>
    </row>
    <row r="191" spans="6:6" s="100" customFormat="1" x14ac:dyDescent="0.35">
      <c r="F191" s="65"/>
    </row>
    <row r="192" spans="6:6" s="100" customFormat="1" x14ac:dyDescent="0.35">
      <c r="F192" s="65"/>
    </row>
    <row r="193" spans="6:6" s="100" customFormat="1" x14ac:dyDescent="0.35">
      <c r="F193" s="65"/>
    </row>
    <row r="194" spans="6:6" s="100" customFormat="1" x14ac:dyDescent="0.35">
      <c r="F194" s="65"/>
    </row>
    <row r="195" spans="6:6" s="100" customFormat="1" x14ac:dyDescent="0.35">
      <c r="F195" s="65"/>
    </row>
    <row r="196" spans="6:6" s="100" customFormat="1" x14ac:dyDescent="0.35">
      <c r="F196" s="65"/>
    </row>
    <row r="197" spans="6:6" s="100" customFormat="1" x14ac:dyDescent="0.35">
      <c r="F197" s="65"/>
    </row>
    <row r="198" spans="6:6" s="100" customFormat="1" x14ac:dyDescent="0.35">
      <c r="F198" s="65"/>
    </row>
    <row r="199" spans="6:6" s="100" customFormat="1" x14ac:dyDescent="0.35">
      <c r="F199" s="65"/>
    </row>
    <row r="200" spans="6:6" s="100" customFormat="1" x14ac:dyDescent="0.35">
      <c r="F200" s="65"/>
    </row>
    <row r="201" spans="6:6" s="100" customFormat="1" x14ac:dyDescent="0.35">
      <c r="F201" s="65"/>
    </row>
    <row r="202" spans="6:6" s="100" customFormat="1" x14ac:dyDescent="0.35">
      <c r="F202" s="65"/>
    </row>
    <row r="203" spans="6:6" s="100" customFormat="1" x14ac:dyDescent="0.35">
      <c r="F203" s="65"/>
    </row>
    <row r="204" spans="6:6" s="100" customFormat="1" x14ac:dyDescent="0.35">
      <c r="F204" s="65"/>
    </row>
    <row r="205" spans="6:6" s="100" customFormat="1" x14ac:dyDescent="0.35">
      <c r="F205" s="65"/>
    </row>
    <row r="206" spans="6:6" s="100" customFormat="1" x14ac:dyDescent="0.35">
      <c r="F206" s="65"/>
    </row>
    <row r="207" spans="6:6" s="100" customFormat="1" x14ac:dyDescent="0.35">
      <c r="F207" s="65"/>
    </row>
    <row r="208" spans="6:6" s="100" customFormat="1" x14ac:dyDescent="0.35">
      <c r="F208" s="65"/>
    </row>
    <row r="209" spans="6:6" s="100" customFormat="1" x14ac:dyDescent="0.35">
      <c r="F209" s="65"/>
    </row>
    <row r="210" spans="6:6" s="100" customFormat="1" x14ac:dyDescent="0.35">
      <c r="F210" s="65"/>
    </row>
    <row r="211" spans="6:6" s="100" customFormat="1" x14ac:dyDescent="0.35">
      <c r="F211" s="65"/>
    </row>
    <row r="212" spans="6:6" s="100" customFormat="1" x14ac:dyDescent="0.35">
      <c r="F212" s="65"/>
    </row>
    <row r="213" spans="6:6" s="100" customFormat="1" x14ac:dyDescent="0.35">
      <c r="F213" s="65"/>
    </row>
    <row r="214" spans="6:6" s="100" customFormat="1" x14ac:dyDescent="0.35">
      <c r="F214" s="65"/>
    </row>
    <row r="215" spans="6:6" s="100" customFormat="1" x14ac:dyDescent="0.35">
      <c r="F215" s="65"/>
    </row>
    <row r="216" spans="6:6" s="100" customFormat="1" x14ac:dyDescent="0.35">
      <c r="F216" s="65"/>
    </row>
    <row r="217" spans="6:6" s="100" customFormat="1" x14ac:dyDescent="0.35">
      <c r="F217" s="65"/>
    </row>
    <row r="218" spans="6:6" s="100" customFormat="1" x14ac:dyDescent="0.35">
      <c r="F218" s="65"/>
    </row>
    <row r="219" spans="6:6" s="100" customFormat="1" x14ac:dyDescent="0.35">
      <c r="F219" s="65"/>
    </row>
    <row r="220" spans="6:6" s="100" customFormat="1" x14ac:dyDescent="0.35">
      <c r="F220" s="65"/>
    </row>
    <row r="221" spans="6:6" s="100" customFormat="1" x14ac:dyDescent="0.35">
      <c r="F221" s="65"/>
    </row>
    <row r="222" spans="6:6" s="100" customFormat="1" x14ac:dyDescent="0.35">
      <c r="F222" s="65"/>
    </row>
    <row r="223" spans="6:6" s="100" customFormat="1" x14ac:dyDescent="0.35">
      <c r="F223" s="65"/>
    </row>
    <row r="224" spans="6:6" s="100" customFormat="1" x14ac:dyDescent="0.35">
      <c r="F224" s="65"/>
    </row>
    <row r="225" spans="6:6" s="100" customFormat="1" x14ac:dyDescent="0.35">
      <c r="F225" s="65"/>
    </row>
    <row r="226" spans="6:6" s="100" customFormat="1" x14ac:dyDescent="0.35">
      <c r="F226" s="65"/>
    </row>
    <row r="227" spans="6:6" s="100" customFormat="1" x14ac:dyDescent="0.35">
      <c r="F227" s="65"/>
    </row>
    <row r="228" spans="6:6" s="100" customFormat="1" x14ac:dyDescent="0.35">
      <c r="F228" s="65"/>
    </row>
    <row r="229" spans="6:6" s="100" customFormat="1" x14ac:dyDescent="0.35">
      <c r="F229" s="65"/>
    </row>
    <row r="230" spans="6:6" s="100" customFormat="1" x14ac:dyDescent="0.35">
      <c r="F230" s="65"/>
    </row>
    <row r="231" spans="6:6" s="100" customFormat="1" x14ac:dyDescent="0.35">
      <c r="F231" s="65"/>
    </row>
    <row r="232" spans="6:6" s="100" customFormat="1" x14ac:dyDescent="0.35">
      <c r="F232" s="65"/>
    </row>
    <row r="233" spans="6:6" s="100" customFormat="1" x14ac:dyDescent="0.35">
      <c r="F233" s="65"/>
    </row>
    <row r="234" spans="6:6" s="100" customFormat="1" x14ac:dyDescent="0.35">
      <c r="F234" s="65"/>
    </row>
    <row r="235" spans="6:6" s="100" customFormat="1" x14ac:dyDescent="0.35">
      <c r="F235" s="65"/>
    </row>
    <row r="236" spans="6:6" s="100" customFormat="1" x14ac:dyDescent="0.35">
      <c r="F236" s="65"/>
    </row>
    <row r="237" spans="6:6" s="100" customFormat="1" x14ac:dyDescent="0.35">
      <c r="F237" s="65"/>
    </row>
    <row r="238" spans="6:6" s="100" customFormat="1" x14ac:dyDescent="0.35">
      <c r="F238" s="65"/>
    </row>
    <row r="239" spans="6:6" s="100" customFormat="1" x14ac:dyDescent="0.35">
      <c r="F239" s="65"/>
    </row>
    <row r="240" spans="6:6" s="100" customFormat="1" x14ac:dyDescent="0.35">
      <c r="F240" s="65"/>
    </row>
    <row r="241" spans="6:6" s="100" customFormat="1" x14ac:dyDescent="0.35">
      <c r="F241" s="65"/>
    </row>
    <row r="242" spans="6:6" s="100" customFormat="1" x14ac:dyDescent="0.35">
      <c r="F242" s="65"/>
    </row>
    <row r="243" spans="6:6" s="100" customFormat="1" x14ac:dyDescent="0.35">
      <c r="F243" s="65"/>
    </row>
    <row r="244" spans="6:6" s="100" customFormat="1" x14ac:dyDescent="0.35">
      <c r="F244" s="65"/>
    </row>
    <row r="245" spans="6:6" s="100" customFormat="1" x14ac:dyDescent="0.35">
      <c r="F245" s="65"/>
    </row>
    <row r="246" spans="6:6" s="100" customFormat="1" x14ac:dyDescent="0.35">
      <c r="F246" s="65"/>
    </row>
    <row r="247" spans="6:6" s="100" customFormat="1" x14ac:dyDescent="0.35">
      <c r="F247" s="65"/>
    </row>
    <row r="248" spans="6:6" s="100" customFormat="1" x14ac:dyDescent="0.35">
      <c r="F248" s="65"/>
    </row>
    <row r="249" spans="6:6" s="100" customFormat="1" x14ac:dyDescent="0.35">
      <c r="F249" s="65"/>
    </row>
    <row r="250" spans="6:6" s="100" customFormat="1" x14ac:dyDescent="0.35">
      <c r="F250" s="65"/>
    </row>
    <row r="251" spans="6:6" s="100" customFormat="1" x14ac:dyDescent="0.35">
      <c r="F251" s="65"/>
    </row>
    <row r="252" spans="6:6" s="100" customFormat="1" x14ac:dyDescent="0.35">
      <c r="F252" s="65"/>
    </row>
    <row r="253" spans="6:6" s="100" customFormat="1" x14ac:dyDescent="0.35">
      <c r="F253" s="65"/>
    </row>
    <row r="254" spans="6:6" s="100" customFormat="1" x14ac:dyDescent="0.35">
      <c r="F254" s="65"/>
    </row>
    <row r="255" spans="6:6" s="100" customFormat="1" x14ac:dyDescent="0.35">
      <c r="F255" s="65"/>
    </row>
    <row r="256" spans="6:6" s="100" customFormat="1" x14ac:dyDescent="0.35">
      <c r="F256" s="65"/>
    </row>
    <row r="257" spans="6:6" s="100" customFormat="1" x14ac:dyDescent="0.35">
      <c r="F257" s="65"/>
    </row>
    <row r="258" spans="6:6" s="100" customFormat="1" x14ac:dyDescent="0.35">
      <c r="F258" s="65"/>
    </row>
    <row r="259" spans="6:6" s="100" customFormat="1" x14ac:dyDescent="0.35">
      <c r="F259" s="65"/>
    </row>
    <row r="260" spans="6:6" s="100" customFormat="1" x14ac:dyDescent="0.35">
      <c r="F260" s="65"/>
    </row>
    <row r="261" spans="6:6" s="100" customFormat="1" x14ac:dyDescent="0.35">
      <c r="F261" s="65"/>
    </row>
    <row r="262" spans="6:6" s="100" customFormat="1" x14ac:dyDescent="0.35">
      <c r="F262" s="65"/>
    </row>
    <row r="263" spans="6:6" s="100" customFormat="1" x14ac:dyDescent="0.35">
      <c r="F263" s="65"/>
    </row>
    <row r="264" spans="6:6" s="100" customFormat="1" x14ac:dyDescent="0.35">
      <c r="F264" s="65"/>
    </row>
    <row r="265" spans="6:6" s="100" customFormat="1" x14ac:dyDescent="0.35">
      <c r="F265" s="65"/>
    </row>
    <row r="266" spans="6:6" s="100" customFormat="1" x14ac:dyDescent="0.35">
      <c r="F266" s="65"/>
    </row>
    <row r="267" spans="6:6" s="100" customFormat="1" x14ac:dyDescent="0.35">
      <c r="F267" s="65"/>
    </row>
    <row r="268" spans="6:6" s="100" customFormat="1" x14ac:dyDescent="0.35">
      <c r="F268" s="65"/>
    </row>
    <row r="269" spans="6:6" s="100" customFormat="1" x14ac:dyDescent="0.35">
      <c r="F269" s="65"/>
    </row>
    <row r="270" spans="6:6" s="100" customFormat="1" x14ac:dyDescent="0.35">
      <c r="F270" s="65"/>
    </row>
    <row r="271" spans="6:6" s="100" customFormat="1" x14ac:dyDescent="0.35">
      <c r="F271" s="65"/>
    </row>
    <row r="272" spans="6:6" s="100" customFormat="1" x14ac:dyDescent="0.35">
      <c r="F272" s="65"/>
    </row>
    <row r="273" spans="6:6" s="100" customFormat="1" x14ac:dyDescent="0.35">
      <c r="F273" s="65"/>
    </row>
    <row r="274" spans="6:6" s="100" customFormat="1" x14ac:dyDescent="0.35">
      <c r="F274" s="65"/>
    </row>
    <row r="275" spans="6:6" s="100" customFormat="1" x14ac:dyDescent="0.35">
      <c r="F275" s="65"/>
    </row>
    <row r="276" spans="6:6" s="100" customFormat="1" x14ac:dyDescent="0.35">
      <c r="F276" s="65"/>
    </row>
    <row r="277" spans="6:6" s="100" customFormat="1" x14ac:dyDescent="0.35">
      <c r="F277" s="65"/>
    </row>
    <row r="278" spans="6:6" s="100" customFormat="1" x14ac:dyDescent="0.35">
      <c r="F278" s="65"/>
    </row>
    <row r="279" spans="6:6" s="100" customFormat="1" x14ac:dyDescent="0.35">
      <c r="F279" s="65"/>
    </row>
    <row r="280" spans="6:6" s="100" customFormat="1" x14ac:dyDescent="0.35">
      <c r="F280" s="65"/>
    </row>
    <row r="281" spans="6:6" s="100" customFormat="1" x14ac:dyDescent="0.35">
      <c r="F281" s="65"/>
    </row>
    <row r="282" spans="6:6" s="100" customFormat="1" x14ac:dyDescent="0.35">
      <c r="F282" s="65"/>
    </row>
    <row r="283" spans="6:6" s="100" customFormat="1" x14ac:dyDescent="0.35">
      <c r="F283" s="65"/>
    </row>
    <row r="284" spans="6:6" s="100" customFormat="1" x14ac:dyDescent="0.35">
      <c r="F284" s="65"/>
    </row>
    <row r="285" spans="6:6" s="100" customFormat="1" x14ac:dyDescent="0.35">
      <c r="F285" s="65"/>
    </row>
    <row r="286" spans="6:6" s="100" customFormat="1" x14ac:dyDescent="0.35">
      <c r="F286" s="65"/>
    </row>
    <row r="287" spans="6:6" s="100" customFormat="1" x14ac:dyDescent="0.35">
      <c r="F287" s="65"/>
    </row>
    <row r="288" spans="6:6" s="100" customFormat="1" x14ac:dyDescent="0.35">
      <c r="F288" s="65"/>
    </row>
    <row r="289" spans="6:6" s="100" customFormat="1" x14ac:dyDescent="0.35">
      <c r="F289" s="65"/>
    </row>
    <row r="290" spans="6:6" s="100" customFormat="1" x14ac:dyDescent="0.35">
      <c r="F290" s="65"/>
    </row>
    <row r="291" spans="6:6" s="100" customFormat="1" x14ac:dyDescent="0.35">
      <c r="F291" s="65"/>
    </row>
    <row r="292" spans="6:6" s="100" customFormat="1" x14ac:dyDescent="0.35">
      <c r="F292" s="65"/>
    </row>
    <row r="293" spans="6:6" s="100" customFormat="1" x14ac:dyDescent="0.35">
      <c r="F293" s="65"/>
    </row>
    <row r="294" spans="6:6" s="100" customFormat="1" x14ac:dyDescent="0.35">
      <c r="F294" s="65"/>
    </row>
    <row r="295" spans="6:6" s="100" customFormat="1" x14ac:dyDescent="0.35">
      <c r="F295" s="65"/>
    </row>
    <row r="296" spans="6:6" s="100" customFormat="1" x14ac:dyDescent="0.35">
      <c r="F296" s="65"/>
    </row>
    <row r="297" spans="6:6" s="100" customFormat="1" x14ac:dyDescent="0.35">
      <c r="F297" s="65"/>
    </row>
    <row r="298" spans="6:6" s="100" customFormat="1" x14ac:dyDescent="0.35">
      <c r="F298" s="65"/>
    </row>
    <row r="299" spans="6:6" s="100" customFormat="1" x14ac:dyDescent="0.35">
      <c r="F299" s="65"/>
    </row>
    <row r="300" spans="6:6" s="100" customFormat="1" x14ac:dyDescent="0.35">
      <c r="F300" s="65"/>
    </row>
    <row r="301" spans="6:6" s="100" customFormat="1" x14ac:dyDescent="0.35">
      <c r="F301" s="65"/>
    </row>
    <row r="302" spans="6:6" s="100" customFormat="1" x14ac:dyDescent="0.35">
      <c r="F302" s="65"/>
    </row>
    <row r="303" spans="6:6" s="100" customFormat="1" x14ac:dyDescent="0.35">
      <c r="F303" s="65"/>
    </row>
    <row r="304" spans="6:6" s="100" customFormat="1" x14ac:dyDescent="0.35">
      <c r="F304" s="65"/>
    </row>
    <row r="305" spans="6:6" s="100" customFormat="1" x14ac:dyDescent="0.35">
      <c r="F305" s="65"/>
    </row>
    <row r="306" spans="6:6" s="100" customFormat="1" x14ac:dyDescent="0.35">
      <c r="F306" s="65"/>
    </row>
    <row r="307" spans="6:6" s="100" customFormat="1" x14ac:dyDescent="0.35">
      <c r="F307" s="65"/>
    </row>
    <row r="308" spans="6:6" s="100" customFormat="1" x14ac:dyDescent="0.35">
      <c r="F308" s="65"/>
    </row>
    <row r="309" spans="6:6" s="100" customFormat="1" x14ac:dyDescent="0.35">
      <c r="F309" s="65"/>
    </row>
    <row r="310" spans="6:6" s="100" customFormat="1" x14ac:dyDescent="0.35">
      <c r="F310" s="65"/>
    </row>
    <row r="311" spans="6:6" s="100" customFormat="1" x14ac:dyDescent="0.35">
      <c r="F311" s="65"/>
    </row>
    <row r="312" spans="6:6" s="100" customFormat="1" x14ac:dyDescent="0.35">
      <c r="F312" s="65"/>
    </row>
    <row r="313" spans="6:6" s="100" customFormat="1" x14ac:dyDescent="0.35">
      <c r="F313" s="65"/>
    </row>
    <row r="314" spans="6:6" s="100" customFormat="1" x14ac:dyDescent="0.35">
      <c r="F314" s="65"/>
    </row>
    <row r="315" spans="6:6" s="100" customFormat="1" x14ac:dyDescent="0.35">
      <c r="F315" s="65"/>
    </row>
    <row r="316" spans="6:6" s="100" customFormat="1" x14ac:dyDescent="0.35">
      <c r="F316" s="65"/>
    </row>
    <row r="317" spans="6:6" s="100" customFormat="1" x14ac:dyDescent="0.35">
      <c r="F317" s="65"/>
    </row>
    <row r="318" spans="6:6" s="100" customFormat="1" x14ac:dyDescent="0.35">
      <c r="F318" s="65"/>
    </row>
    <row r="319" spans="6:6" s="100" customFormat="1" x14ac:dyDescent="0.35">
      <c r="F319" s="65"/>
    </row>
    <row r="320" spans="6:6" s="100" customFormat="1" x14ac:dyDescent="0.35">
      <c r="F320" s="65"/>
    </row>
    <row r="321" spans="6:6" s="100" customFormat="1" x14ac:dyDescent="0.35">
      <c r="F321" s="65"/>
    </row>
    <row r="322" spans="6:6" s="100" customFormat="1" x14ac:dyDescent="0.35">
      <c r="F322" s="65"/>
    </row>
    <row r="323" spans="6:6" s="100" customFormat="1" x14ac:dyDescent="0.35">
      <c r="F323" s="65"/>
    </row>
    <row r="324" spans="6:6" s="100" customFormat="1" x14ac:dyDescent="0.35">
      <c r="F324" s="65"/>
    </row>
    <row r="325" spans="6:6" s="100" customFormat="1" x14ac:dyDescent="0.35">
      <c r="F325" s="65"/>
    </row>
    <row r="326" spans="6:6" s="100" customFormat="1" x14ac:dyDescent="0.35">
      <c r="F326" s="65"/>
    </row>
    <row r="327" spans="6:6" s="100" customFormat="1" x14ac:dyDescent="0.35">
      <c r="F327" s="65"/>
    </row>
    <row r="328" spans="6:6" s="100" customFormat="1" x14ac:dyDescent="0.35">
      <c r="F328" s="65"/>
    </row>
    <row r="329" spans="6:6" s="100" customFormat="1" x14ac:dyDescent="0.35">
      <c r="F329" s="65"/>
    </row>
    <row r="330" spans="6:6" s="100" customFormat="1" x14ac:dyDescent="0.35">
      <c r="F330" s="65"/>
    </row>
    <row r="331" spans="6:6" s="100" customFormat="1" x14ac:dyDescent="0.35">
      <c r="F331" s="65"/>
    </row>
    <row r="332" spans="6:6" s="100" customFormat="1" x14ac:dyDescent="0.35">
      <c r="F332" s="65"/>
    </row>
    <row r="333" spans="6:6" s="100" customFormat="1" x14ac:dyDescent="0.35">
      <c r="F333" s="65"/>
    </row>
    <row r="334" spans="6:6" s="100" customFormat="1" x14ac:dyDescent="0.35">
      <c r="F334" s="65"/>
    </row>
    <row r="335" spans="6:6" s="100" customFormat="1" x14ac:dyDescent="0.35">
      <c r="F335" s="65"/>
    </row>
    <row r="336" spans="6:6" s="100" customFormat="1" x14ac:dyDescent="0.35">
      <c r="F336" s="65"/>
    </row>
    <row r="337" spans="6:6" s="100" customFormat="1" x14ac:dyDescent="0.35">
      <c r="F337" s="65"/>
    </row>
    <row r="338" spans="6:6" s="100" customFormat="1" x14ac:dyDescent="0.35">
      <c r="F338" s="65"/>
    </row>
    <row r="339" spans="6:6" s="100" customFormat="1" x14ac:dyDescent="0.35">
      <c r="F339" s="65"/>
    </row>
    <row r="340" spans="6:6" s="100" customFormat="1" x14ac:dyDescent="0.35">
      <c r="F340" s="65"/>
    </row>
    <row r="341" spans="6:6" s="100" customFormat="1" x14ac:dyDescent="0.35">
      <c r="F341" s="65"/>
    </row>
    <row r="342" spans="6:6" s="100" customFormat="1" x14ac:dyDescent="0.35">
      <c r="F342" s="65"/>
    </row>
    <row r="343" spans="6:6" s="100" customFormat="1" x14ac:dyDescent="0.35">
      <c r="F343" s="65"/>
    </row>
    <row r="344" spans="6:6" s="100" customFormat="1" x14ac:dyDescent="0.35">
      <c r="F344" s="65"/>
    </row>
    <row r="345" spans="6:6" s="100" customFormat="1" x14ac:dyDescent="0.35">
      <c r="F345" s="65"/>
    </row>
    <row r="346" spans="6:6" s="100" customFormat="1" x14ac:dyDescent="0.35">
      <c r="F346" s="65"/>
    </row>
    <row r="347" spans="6:6" s="100" customFormat="1" x14ac:dyDescent="0.35">
      <c r="F347" s="65"/>
    </row>
    <row r="348" spans="6:6" s="100" customFormat="1" x14ac:dyDescent="0.35">
      <c r="F348" s="65"/>
    </row>
    <row r="349" spans="6:6" s="100" customFormat="1" x14ac:dyDescent="0.35">
      <c r="F349" s="65"/>
    </row>
    <row r="350" spans="6:6" s="100" customFormat="1" x14ac:dyDescent="0.35">
      <c r="F350" s="65"/>
    </row>
    <row r="351" spans="6:6" s="100" customFormat="1" x14ac:dyDescent="0.35">
      <c r="F351" s="65"/>
    </row>
    <row r="352" spans="6:6" s="100" customFormat="1" x14ac:dyDescent="0.35">
      <c r="F352" s="65"/>
    </row>
    <row r="353" spans="6:6" s="100" customFormat="1" x14ac:dyDescent="0.35">
      <c r="F353" s="65"/>
    </row>
    <row r="354" spans="6:6" s="100" customFormat="1" x14ac:dyDescent="0.35">
      <c r="F354" s="65"/>
    </row>
    <row r="355" spans="6:6" s="100" customFormat="1" x14ac:dyDescent="0.35">
      <c r="F355" s="65"/>
    </row>
    <row r="356" spans="6:6" s="100" customFormat="1" x14ac:dyDescent="0.35">
      <c r="F356" s="65"/>
    </row>
    <row r="357" spans="6:6" s="100" customFormat="1" x14ac:dyDescent="0.35">
      <c r="F357" s="65"/>
    </row>
    <row r="358" spans="6:6" s="100" customFormat="1" x14ac:dyDescent="0.35">
      <c r="F358" s="65"/>
    </row>
    <row r="359" spans="6:6" s="100" customFormat="1" x14ac:dyDescent="0.35">
      <c r="F359" s="65"/>
    </row>
    <row r="360" spans="6:6" s="100" customFormat="1" x14ac:dyDescent="0.35">
      <c r="F360" s="65"/>
    </row>
    <row r="361" spans="6:6" s="100" customFormat="1" x14ac:dyDescent="0.35">
      <c r="F361" s="65"/>
    </row>
    <row r="362" spans="6:6" s="100" customFormat="1" x14ac:dyDescent="0.35">
      <c r="F362" s="65"/>
    </row>
    <row r="363" spans="6:6" s="100" customFormat="1" x14ac:dyDescent="0.35">
      <c r="F363" s="65"/>
    </row>
    <row r="364" spans="6:6" s="100" customFormat="1" x14ac:dyDescent="0.35">
      <c r="F364" s="65"/>
    </row>
    <row r="365" spans="6:6" s="100" customFormat="1" x14ac:dyDescent="0.35">
      <c r="F365" s="65"/>
    </row>
    <row r="366" spans="6:6" s="100" customFormat="1" x14ac:dyDescent="0.35">
      <c r="F366" s="65"/>
    </row>
    <row r="367" spans="6:6" s="100" customFormat="1" x14ac:dyDescent="0.35">
      <c r="F367" s="65"/>
    </row>
    <row r="368" spans="6:6" s="100" customFormat="1" x14ac:dyDescent="0.35">
      <c r="F368" s="65"/>
    </row>
    <row r="369" spans="6:6" s="100" customFormat="1" x14ac:dyDescent="0.35">
      <c r="F369" s="65"/>
    </row>
    <row r="370" spans="6:6" s="100" customFormat="1" x14ac:dyDescent="0.35">
      <c r="F370" s="65"/>
    </row>
    <row r="371" spans="6:6" s="100" customFormat="1" x14ac:dyDescent="0.35">
      <c r="F371" s="65"/>
    </row>
    <row r="372" spans="6:6" s="100" customFormat="1" x14ac:dyDescent="0.35">
      <c r="F372" s="65"/>
    </row>
    <row r="373" spans="6:6" s="100" customFormat="1" x14ac:dyDescent="0.35">
      <c r="F373" s="65"/>
    </row>
    <row r="374" spans="6:6" s="100" customFormat="1" x14ac:dyDescent="0.35">
      <c r="F374" s="65"/>
    </row>
    <row r="375" spans="6:6" s="100" customFormat="1" x14ac:dyDescent="0.35">
      <c r="F375" s="65"/>
    </row>
    <row r="376" spans="6:6" s="100" customFormat="1" x14ac:dyDescent="0.35">
      <c r="F376" s="65"/>
    </row>
    <row r="377" spans="6:6" s="100" customFormat="1" x14ac:dyDescent="0.35">
      <c r="F377" s="65"/>
    </row>
    <row r="378" spans="6:6" s="100" customFormat="1" x14ac:dyDescent="0.35">
      <c r="F378" s="65"/>
    </row>
    <row r="379" spans="6:6" s="100" customFormat="1" x14ac:dyDescent="0.35">
      <c r="F379" s="65"/>
    </row>
    <row r="380" spans="6:6" s="100" customFormat="1" x14ac:dyDescent="0.35">
      <c r="F380" s="65"/>
    </row>
    <row r="381" spans="6:6" s="100" customFormat="1" x14ac:dyDescent="0.35">
      <c r="F381" s="65"/>
    </row>
    <row r="382" spans="6:6" s="100" customFormat="1" x14ac:dyDescent="0.35">
      <c r="F382" s="65"/>
    </row>
    <row r="383" spans="6:6" s="100" customFormat="1" x14ac:dyDescent="0.35">
      <c r="F383" s="65"/>
    </row>
    <row r="384" spans="6:6" s="100" customFormat="1" x14ac:dyDescent="0.35">
      <c r="F384" s="65"/>
    </row>
    <row r="385" spans="6:6" s="100" customFormat="1" x14ac:dyDescent="0.35">
      <c r="F385" s="65"/>
    </row>
    <row r="386" spans="6:6" s="100" customFormat="1" x14ac:dyDescent="0.35">
      <c r="F386" s="65"/>
    </row>
    <row r="387" spans="6:6" s="100" customFormat="1" x14ac:dyDescent="0.35">
      <c r="F387" s="65"/>
    </row>
    <row r="388" spans="6:6" s="100" customFormat="1" x14ac:dyDescent="0.35">
      <c r="F388" s="65"/>
    </row>
    <row r="389" spans="6:6" s="100" customFormat="1" x14ac:dyDescent="0.35">
      <c r="F389" s="65"/>
    </row>
    <row r="390" spans="6:6" s="100" customFormat="1" x14ac:dyDescent="0.35">
      <c r="F390" s="65"/>
    </row>
    <row r="391" spans="6:6" s="100" customFormat="1" x14ac:dyDescent="0.35">
      <c r="F391" s="65"/>
    </row>
    <row r="392" spans="6:6" s="100" customFormat="1" x14ac:dyDescent="0.35">
      <c r="F392" s="65"/>
    </row>
    <row r="393" spans="6:6" s="100" customFormat="1" x14ac:dyDescent="0.35">
      <c r="F393" s="65"/>
    </row>
    <row r="394" spans="6:6" s="100" customFormat="1" x14ac:dyDescent="0.35">
      <c r="F394" s="65"/>
    </row>
    <row r="395" spans="6:6" s="100" customFormat="1" x14ac:dyDescent="0.35">
      <c r="F395" s="65"/>
    </row>
    <row r="396" spans="6:6" s="100" customFormat="1" x14ac:dyDescent="0.35">
      <c r="F396" s="65"/>
    </row>
    <row r="397" spans="6:6" s="100" customFormat="1" x14ac:dyDescent="0.35">
      <c r="F397" s="65"/>
    </row>
    <row r="398" spans="6:6" s="100" customFormat="1" x14ac:dyDescent="0.35">
      <c r="F398" s="65"/>
    </row>
    <row r="399" spans="6:6" s="100" customFormat="1" x14ac:dyDescent="0.35">
      <c r="F399" s="65"/>
    </row>
    <row r="400" spans="6:6" s="100" customFormat="1" x14ac:dyDescent="0.35">
      <c r="F400" s="65"/>
    </row>
    <row r="401" spans="6:6" s="100" customFormat="1" x14ac:dyDescent="0.35">
      <c r="F401" s="65"/>
    </row>
    <row r="402" spans="6:6" s="100" customFormat="1" x14ac:dyDescent="0.35">
      <c r="F402" s="65"/>
    </row>
    <row r="403" spans="6:6" s="100" customFormat="1" x14ac:dyDescent="0.35">
      <c r="F403" s="65"/>
    </row>
    <row r="404" spans="6:6" s="100" customFormat="1" x14ac:dyDescent="0.35">
      <c r="F404" s="65"/>
    </row>
    <row r="405" spans="6:6" s="100" customFormat="1" x14ac:dyDescent="0.35">
      <c r="F405" s="65"/>
    </row>
    <row r="406" spans="6:6" s="100" customFormat="1" x14ac:dyDescent="0.35">
      <c r="F406" s="65"/>
    </row>
    <row r="407" spans="6:6" s="100" customFormat="1" x14ac:dyDescent="0.35">
      <c r="F407" s="65"/>
    </row>
    <row r="408" spans="6:6" s="100" customFormat="1" x14ac:dyDescent="0.35">
      <c r="F408" s="65"/>
    </row>
    <row r="409" spans="6:6" s="100" customFormat="1" x14ac:dyDescent="0.35">
      <c r="F409" s="65"/>
    </row>
    <row r="410" spans="6:6" s="100" customFormat="1" x14ac:dyDescent="0.35">
      <c r="F410" s="65"/>
    </row>
    <row r="411" spans="6:6" s="100" customFormat="1" x14ac:dyDescent="0.35">
      <c r="F411" s="65"/>
    </row>
    <row r="412" spans="6:6" s="100" customFormat="1" x14ac:dyDescent="0.35">
      <c r="F412" s="65"/>
    </row>
    <row r="413" spans="6:6" s="100" customFormat="1" x14ac:dyDescent="0.35">
      <c r="F413" s="65"/>
    </row>
    <row r="414" spans="6:6" s="100" customFormat="1" x14ac:dyDescent="0.35">
      <c r="F414" s="65"/>
    </row>
    <row r="415" spans="6:6" s="100" customFormat="1" x14ac:dyDescent="0.35">
      <c r="F415" s="65"/>
    </row>
    <row r="416" spans="6:6" s="100" customFormat="1" x14ac:dyDescent="0.35">
      <c r="F416" s="65"/>
    </row>
    <row r="417" spans="6:6" s="100" customFormat="1" x14ac:dyDescent="0.35">
      <c r="F417" s="65"/>
    </row>
    <row r="418" spans="6:6" s="100" customFormat="1" x14ac:dyDescent="0.35">
      <c r="F418" s="65"/>
    </row>
    <row r="419" spans="6:6" s="100" customFormat="1" x14ac:dyDescent="0.35">
      <c r="F419" s="65"/>
    </row>
    <row r="420" spans="6:6" s="100" customFormat="1" x14ac:dyDescent="0.35">
      <c r="F420" s="65"/>
    </row>
    <row r="421" spans="6:6" s="100" customFormat="1" x14ac:dyDescent="0.35">
      <c r="F421" s="65"/>
    </row>
    <row r="422" spans="6:6" s="100" customFormat="1" x14ac:dyDescent="0.35">
      <c r="F422" s="65"/>
    </row>
    <row r="423" spans="6:6" s="100" customFormat="1" x14ac:dyDescent="0.35">
      <c r="F423" s="65"/>
    </row>
    <row r="424" spans="6:6" s="100" customFormat="1" x14ac:dyDescent="0.35">
      <c r="F424" s="65"/>
    </row>
    <row r="425" spans="6:6" s="100" customFormat="1" x14ac:dyDescent="0.35">
      <c r="F425" s="65"/>
    </row>
    <row r="426" spans="6:6" s="100" customFormat="1" x14ac:dyDescent="0.35">
      <c r="F426" s="65"/>
    </row>
    <row r="427" spans="6:6" s="100" customFormat="1" x14ac:dyDescent="0.35">
      <c r="F427" s="65"/>
    </row>
    <row r="428" spans="6:6" s="100" customFormat="1" x14ac:dyDescent="0.35">
      <c r="F428" s="65"/>
    </row>
    <row r="429" spans="6:6" s="100" customFormat="1" x14ac:dyDescent="0.35">
      <c r="F429" s="65"/>
    </row>
    <row r="430" spans="6:6" s="100" customFormat="1" x14ac:dyDescent="0.35">
      <c r="F430" s="65"/>
    </row>
    <row r="431" spans="6:6" s="100" customFormat="1" x14ac:dyDescent="0.35">
      <c r="F431" s="65"/>
    </row>
    <row r="432" spans="6:6" s="100" customFormat="1" x14ac:dyDescent="0.35">
      <c r="F432" s="65"/>
    </row>
    <row r="433" spans="6:6" s="100" customFormat="1" x14ac:dyDescent="0.35">
      <c r="F433" s="65"/>
    </row>
    <row r="434" spans="6:6" s="100" customFormat="1" x14ac:dyDescent="0.35">
      <c r="F434" s="65"/>
    </row>
    <row r="435" spans="6:6" s="100" customFormat="1" x14ac:dyDescent="0.35">
      <c r="F435" s="65"/>
    </row>
    <row r="436" spans="6:6" s="100" customFormat="1" x14ac:dyDescent="0.35">
      <c r="F436" s="65"/>
    </row>
    <row r="437" spans="6:6" s="100" customFormat="1" x14ac:dyDescent="0.35">
      <c r="F437" s="65"/>
    </row>
    <row r="438" spans="6:6" s="100" customFormat="1" x14ac:dyDescent="0.35">
      <c r="F438" s="65"/>
    </row>
    <row r="439" spans="6:6" s="100" customFormat="1" x14ac:dyDescent="0.35">
      <c r="F439" s="65"/>
    </row>
    <row r="440" spans="6:6" s="100" customFormat="1" x14ac:dyDescent="0.35">
      <c r="F440" s="65"/>
    </row>
    <row r="441" spans="6:6" s="100" customFormat="1" x14ac:dyDescent="0.35">
      <c r="F441" s="65"/>
    </row>
    <row r="442" spans="6:6" s="100" customFormat="1" x14ac:dyDescent="0.35">
      <c r="F442" s="65"/>
    </row>
    <row r="443" spans="6:6" s="100" customFormat="1" x14ac:dyDescent="0.35">
      <c r="F443" s="65"/>
    </row>
    <row r="444" spans="6:6" s="100" customFormat="1" x14ac:dyDescent="0.35">
      <c r="F444" s="65"/>
    </row>
    <row r="445" spans="6:6" s="100" customFormat="1" x14ac:dyDescent="0.35">
      <c r="F445" s="65"/>
    </row>
    <row r="446" spans="6:6" s="100" customFormat="1" x14ac:dyDescent="0.35">
      <c r="F446" s="65"/>
    </row>
    <row r="447" spans="6:6" s="100" customFormat="1" x14ac:dyDescent="0.35">
      <c r="F447" s="65"/>
    </row>
    <row r="448" spans="6:6" s="100" customFormat="1" x14ac:dyDescent="0.35">
      <c r="F448" s="65"/>
    </row>
    <row r="449" spans="6:6" s="100" customFormat="1" x14ac:dyDescent="0.35">
      <c r="F449" s="65"/>
    </row>
    <row r="450" spans="6:6" s="100" customFormat="1" x14ac:dyDescent="0.35">
      <c r="F450" s="65"/>
    </row>
    <row r="451" spans="6:6" s="100" customFormat="1" x14ac:dyDescent="0.35">
      <c r="F451" s="65"/>
    </row>
    <row r="452" spans="6:6" s="100" customFormat="1" x14ac:dyDescent="0.35">
      <c r="F452" s="65"/>
    </row>
    <row r="453" spans="6:6" s="100" customFormat="1" x14ac:dyDescent="0.35">
      <c r="F453" s="65"/>
    </row>
    <row r="454" spans="6:6" s="100" customFormat="1" x14ac:dyDescent="0.35">
      <c r="F454" s="65"/>
    </row>
    <row r="455" spans="6:6" s="100" customFormat="1" x14ac:dyDescent="0.35">
      <c r="F455" s="65"/>
    </row>
    <row r="456" spans="6:6" s="100" customFormat="1" x14ac:dyDescent="0.35">
      <c r="F456" s="65"/>
    </row>
    <row r="457" spans="6:6" s="100" customFormat="1" x14ac:dyDescent="0.35">
      <c r="F457" s="65"/>
    </row>
    <row r="458" spans="6:6" s="100" customFormat="1" x14ac:dyDescent="0.35">
      <c r="F458" s="65"/>
    </row>
    <row r="459" spans="6:6" s="100" customFormat="1" x14ac:dyDescent="0.35">
      <c r="F459" s="65"/>
    </row>
    <row r="460" spans="6:6" s="100" customFormat="1" x14ac:dyDescent="0.35">
      <c r="F460" s="65"/>
    </row>
    <row r="461" spans="6:6" s="100" customFormat="1" x14ac:dyDescent="0.35">
      <c r="F461" s="65"/>
    </row>
    <row r="462" spans="6:6" s="100" customFormat="1" x14ac:dyDescent="0.35">
      <c r="F462" s="65"/>
    </row>
    <row r="463" spans="6:6" s="100" customFormat="1" x14ac:dyDescent="0.35">
      <c r="F463" s="65"/>
    </row>
    <row r="464" spans="6:6" s="100" customFormat="1" x14ac:dyDescent="0.35">
      <c r="F464" s="65"/>
    </row>
    <row r="465" spans="6:6" s="100" customFormat="1" x14ac:dyDescent="0.35">
      <c r="F465" s="65"/>
    </row>
    <row r="466" spans="6:6" s="100" customFormat="1" x14ac:dyDescent="0.35">
      <c r="F466" s="65"/>
    </row>
    <row r="467" spans="6:6" s="100" customFormat="1" x14ac:dyDescent="0.35">
      <c r="F467" s="65"/>
    </row>
    <row r="468" spans="6:6" s="100" customFormat="1" x14ac:dyDescent="0.35">
      <c r="F468" s="65"/>
    </row>
    <row r="469" spans="6:6" s="100" customFormat="1" x14ac:dyDescent="0.35">
      <c r="F469" s="65"/>
    </row>
    <row r="470" spans="6:6" s="100" customFormat="1" x14ac:dyDescent="0.35">
      <c r="F470" s="65"/>
    </row>
    <row r="471" spans="6:6" s="100" customFormat="1" x14ac:dyDescent="0.35">
      <c r="F471" s="65"/>
    </row>
    <row r="472" spans="6:6" s="100" customFormat="1" x14ac:dyDescent="0.35">
      <c r="F472" s="65"/>
    </row>
    <row r="473" spans="6:6" s="100" customFormat="1" x14ac:dyDescent="0.35">
      <c r="F473" s="65"/>
    </row>
    <row r="474" spans="6:6" s="100" customFormat="1" x14ac:dyDescent="0.35">
      <c r="F474" s="65"/>
    </row>
    <row r="475" spans="6:6" s="100" customFormat="1" x14ac:dyDescent="0.35">
      <c r="F475" s="65"/>
    </row>
    <row r="476" spans="6:6" s="100" customFormat="1" x14ac:dyDescent="0.35">
      <c r="F476" s="65"/>
    </row>
    <row r="477" spans="6:6" s="100" customFormat="1" x14ac:dyDescent="0.35">
      <c r="F477" s="65"/>
    </row>
    <row r="478" spans="6:6" s="100" customFormat="1" x14ac:dyDescent="0.35">
      <c r="F478" s="65"/>
    </row>
    <row r="479" spans="6:6" s="100" customFormat="1" x14ac:dyDescent="0.35">
      <c r="F479" s="65"/>
    </row>
    <row r="480" spans="6:6" s="100" customFormat="1" x14ac:dyDescent="0.35">
      <c r="F480" s="65"/>
    </row>
    <row r="481" spans="6:6" s="100" customFormat="1" x14ac:dyDescent="0.35">
      <c r="F481" s="65"/>
    </row>
    <row r="482" spans="6:6" s="100" customFormat="1" x14ac:dyDescent="0.35">
      <c r="F482" s="65"/>
    </row>
    <row r="483" spans="6:6" s="100" customFormat="1" x14ac:dyDescent="0.35">
      <c r="F483" s="65"/>
    </row>
    <row r="484" spans="6:6" s="100" customFormat="1" x14ac:dyDescent="0.35">
      <c r="F484" s="65"/>
    </row>
    <row r="485" spans="6:6" s="100" customFormat="1" x14ac:dyDescent="0.35">
      <c r="F485" s="65"/>
    </row>
    <row r="486" spans="6:6" s="100" customFormat="1" x14ac:dyDescent="0.35">
      <c r="F486" s="65"/>
    </row>
    <row r="487" spans="6:6" s="100" customFormat="1" x14ac:dyDescent="0.35">
      <c r="F487" s="65"/>
    </row>
    <row r="488" spans="6:6" s="100" customFormat="1" x14ac:dyDescent="0.35">
      <c r="F488" s="65"/>
    </row>
    <row r="489" spans="6:6" s="100" customFormat="1" x14ac:dyDescent="0.35">
      <c r="F489" s="65"/>
    </row>
    <row r="490" spans="6:6" s="100" customFormat="1" x14ac:dyDescent="0.35">
      <c r="F490" s="65"/>
    </row>
    <row r="491" spans="6:6" s="100" customFormat="1" x14ac:dyDescent="0.35">
      <c r="F491" s="65"/>
    </row>
    <row r="492" spans="6:6" s="100" customFormat="1" x14ac:dyDescent="0.35">
      <c r="F492" s="65"/>
    </row>
    <row r="493" spans="6:6" s="100" customFormat="1" x14ac:dyDescent="0.35">
      <c r="F493" s="65"/>
    </row>
    <row r="494" spans="6:6" s="100" customFormat="1" x14ac:dyDescent="0.35">
      <c r="F494" s="65"/>
    </row>
    <row r="495" spans="6:6" s="100" customFormat="1" x14ac:dyDescent="0.35">
      <c r="F495" s="65"/>
    </row>
    <row r="496" spans="6:6" s="100" customFormat="1" x14ac:dyDescent="0.35">
      <c r="F496" s="65"/>
    </row>
    <row r="497" spans="6:6" s="100" customFormat="1" x14ac:dyDescent="0.35">
      <c r="F497" s="65"/>
    </row>
    <row r="498" spans="6:6" s="100" customFormat="1" x14ac:dyDescent="0.35">
      <c r="F498" s="65"/>
    </row>
    <row r="499" spans="6:6" s="100" customFormat="1" x14ac:dyDescent="0.35">
      <c r="F499" s="65"/>
    </row>
    <row r="500" spans="6:6" s="100" customFormat="1" x14ac:dyDescent="0.35">
      <c r="F500" s="65"/>
    </row>
    <row r="501" spans="6:6" s="100" customFormat="1" x14ac:dyDescent="0.35">
      <c r="F501" s="65"/>
    </row>
    <row r="502" spans="6:6" s="100" customFormat="1" x14ac:dyDescent="0.35">
      <c r="F502" s="65"/>
    </row>
    <row r="503" spans="6:6" s="100" customFormat="1" x14ac:dyDescent="0.35">
      <c r="F503" s="65"/>
    </row>
    <row r="504" spans="6:6" s="100" customFormat="1" x14ac:dyDescent="0.35">
      <c r="F504" s="65"/>
    </row>
    <row r="505" spans="6:6" s="100" customFormat="1" x14ac:dyDescent="0.35">
      <c r="F505" s="65"/>
    </row>
    <row r="506" spans="6:6" s="100" customFormat="1" x14ac:dyDescent="0.35">
      <c r="F506" s="65"/>
    </row>
    <row r="507" spans="6:6" s="100" customFormat="1" x14ac:dyDescent="0.35">
      <c r="F507" s="65"/>
    </row>
    <row r="508" spans="6:6" s="100" customFormat="1" x14ac:dyDescent="0.35">
      <c r="F508" s="65"/>
    </row>
    <row r="509" spans="6:6" s="100" customFormat="1" x14ac:dyDescent="0.35">
      <c r="F509" s="65"/>
    </row>
    <row r="510" spans="6:6" s="100" customFormat="1" x14ac:dyDescent="0.35">
      <c r="F510" s="65"/>
    </row>
    <row r="511" spans="6:6" s="100" customFormat="1" x14ac:dyDescent="0.35">
      <c r="F511" s="65"/>
    </row>
    <row r="512" spans="6:6" s="100" customFormat="1" x14ac:dyDescent="0.35">
      <c r="F512" s="65"/>
    </row>
    <row r="513" spans="6:6" s="100" customFormat="1" x14ac:dyDescent="0.35">
      <c r="F513" s="65"/>
    </row>
    <row r="514" spans="6:6" s="100" customFormat="1" x14ac:dyDescent="0.35">
      <c r="F514" s="65"/>
    </row>
    <row r="515" spans="6:6" s="100" customFormat="1" x14ac:dyDescent="0.35">
      <c r="F515" s="65"/>
    </row>
    <row r="516" spans="6:6" s="100" customFormat="1" x14ac:dyDescent="0.35">
      <c r="F516" s="65"/>
    </row>
    <row r="517" spans="6:6" s="100" customFormat="1" x14ac:dyDescent="0.35">
      <c r="F517" s="65"/>
    </row>
    <row r="518" spans="6:6" s="100" customFormat="1" x14ac:dyDescent="0.35">
      <c r="F518" s="65"/>
    </row>
    <row r="519" spans="6:6" s="100" customFormat="1" x14ac:dyDescent="0.35">
      <c r="F519" s="65"/>
    </row>
    <row r="520" spans="6:6" s="100" customFormat="1" x14ac:dyDescent="0.35">
      <c r="F520" s="65"/>
    </row>
    <row r="521" spans="6:6" s="100" customFormat="1" x14ac:dyDescent="0.35">
      <c r="F521" s="65"/>
    </row>
    <row r="522" spans="6:6" s="100" customFormat="1" x14ac:dyDescent="0.35">
      <c r="F522" s="65"/>
    </row>
    <row r="523" spans="6:6" s="100" customFormat="1" x14ac:dyDescent="0.35">
      <c r="F523" s="65"/>
    </row>
    <row r="524" spans="6:6" s="100" customFormat="1" x14ac:dyDescent="0.35">
      <c r="F524" s="65"/>
    </row>
    <row r="525" spans="6:6" s="100" customFormat="1" x14ac:dyDescent="0.35">
      <c r="F525" s="65"/>
    </row>
    <row r="526" spans="6:6" s="100" customFormat="1" x14ac:dyDescent="0.35">
      <c r="F526" s="65"/>
    </row>
    <row r="527" spans="6:6" s="100" customFormat="1" x14ac:dyDescent="0.35">
      <c r="F527" s="65"/>
    </row>
    <row r="528" spans="6:6" s="100" customFormat="1" x14ac:dyDescent="0.35">
      <c r="F528" s="65"/>
    </row>
    <row r="529" spans="6:6" s="100" customFormat="1" x14ac:dyDescent="0.35">
      <c r="F529" s="65"/>
    </row>
    <row r="530" spans="6:6" s="100" customFormat="1" x14ac:dyDescent="0.35">
      <c r="F530" s="65"/>
    </row>
    <row r="531" spans="6:6" s="100" customFormat="1" x14ac:dyDescent="0.35">
      <c r="F531" s="65"/>
    </row>
    <row r="532" spans="6:6" s="100" customFormat="1" x14ac:dyDescent="0.35">
      <c r="F532" s="65"/>
    </row>
    <row r="533" spans="6:6" s="100" customFormat="1" x14ac:dyDescent="0.35">
      <c r="F533" s="65"/>
    </row>
    <row r="534" spans="6:6" s="100" customFormat="1" x14ac:dyDescent="0.35">
      <c r="F534" s="65"/>
    </row>
    <row r="535" spans="6:6" s="100" customFormat="1" x14ac:dyDescent="0.35">
      <c r="F535" s="65"/>
    </row>
    <row r="536" spans="6:6" s="100" customFormat="1" x14ac:dyDescent="0.35">
      <c r="F536" s="65"/>
    </row>
    <row r="537" spans="6:6" s="100" customFormat="1" x14ac:dyDescent="0.35">
      <c r="F537" s="65"/>
    </row>
    <row r="538" spans="6:6" s="100" customFormat="1" x14ac:dyDescent="0.35">
      <c r="F538" s="65"/>
    </row>
    <row r="539" spans="6:6" s="100" customFormat="1" x14ac:dyDescent="0.35">
      <c r="F539" s="65"/>
    </row>
    <row r="540" spans="6:6" s="100" customFormat="1" x14ac:dyDescent="0.35">
      <c r="F540" s="65"/>
    </row>
    <row r="541" spans="6:6" s="100" customFormat="1" x14ac:dyDescent="0.35">
      <c r="F541" s="65"/>
    </row>
    <row r="542" spans="6:6" s="100" customFormat="1" x14ac:dyDescent="0.35">
      <c r="F542" s="65"/>
    </row>
    <row r="543" spans="6:6" s="100" customFormat="1" x14ac:dyDescent="0.35">
      <c r="F543" s="65"/>
    </row>
    <row r="544" spans="6:6" s="100" customFormat="1" x14ac:dyDescent="0.35">
      <c r="F544" s="65"/>
    </row>
    <row r="545" spans="6:6" s="100" customFormat="1" x14ac:dyDescent="0.35">
      <c r="F545" s="65"/>
    </row>
    <row r="546" spans="6:6" s="100" customFormat="1" x14ac:dyDescent="0.35">
      <c r="F546" s="65"/>
    </row>
    <row r="547" spans="6:6" s="100" customFormat="1" x14ac:dyDescent="0.35">
      <c r="F547" s="65"/>
    </row>
    <row r="548" spans="6:6" s="100" customFormat="1" x14ac:dyDescent="0.35">
      <c r="F548" s="65"/>
    </row>
    <row r="549" spans="6:6" s="100" customFormat="1" x14ac:dyDescent="0.35">
      <c r="F549" s="65"/>
    </row>
    <row r="550" spans="6:6" s="100" customFormat="1" x14ac:dyDescent="0.35">
      <c r="F550" s="65"/>
    </row>
    <row r="551" spans="6:6" s="100" customFormat="1" x14ac:dyDescent="0.35">
      <c r="F551" s="65"/>
    </row>
    <row r="552" spans="6:6" s="100" customFormat="1" x14ac:dyDescent="0.35">
      <c r="F552" s="65"/>
    </row>
    <row r="553" spans="6:6" s="100" customFormat="1" x14ac:dyDescent="0.35">
      <c r="F553" s="65"/>
    </row>
    <row r="554" spans="6:6" s="100" customFormat="1" x14ac:dyDescent="0.35">
      <c r="F554" s="65"/>
    </row>
    <row r="555" spans="6:6" s="100" customFormat="1" x14ac:dyDescent="0.35">
      <c r="F555" s="65"/>
    </row>
    <row r="556" spans="6:6" s="100" customFormat="1" x14ac:dyDescent="0.35">
      <c r="F556" s="65"/>
    </row>
    <row r="557" spans="6:6" s="100" customFormat="1" x14ac:dyDescent="0.35">
      <c r="F557" s="65"/>
    </row>
    <row r="558" spans="6:6" s="100" customFormat="1" x14ac:dyDescent="0.35">
      <c r="F558" s="65"/>
    </row>
    <row r="559" spans="6:6" s="100" customFormat="1" x14ac:dyDescent="0.35">
      <c r="F559" s="65"/>
    </row>
    <row r="560" spans="6:6" s="100" customFormat="1" x14ac:dyDescent="0.35">
      <c r="F560" s="65"/>
    </row>
    <row r="561" spans="6:6" s="100" customFormat="1" x14ac:dyDescent="0.35">
      <c r="F561" s="65"/>
    </row>
    <row r="562" spans="6:6" s="100" customFormat="1" x14ac:dyDescent="0.35">
      <c r="F562" s="65"/>
    </row>
    <row r="563" spans="6:6" s="100" customFormat="1" x14ac:dyDescent="0.35">
      <c r="F563" s="65"/>
    </row>
    <row r="564" spans="6:6" s="100" customFormat="1" x14ac:dyDescent="0.35">
      <c r="F564" s="65"/>
    </row>
    <row r="565" spans="6:6" s="100" customFormat="1" x14ac:dyDescent="0.35">
      <c r="F565" s="65"/>
    </row>
    <row r="566" spans="6:6" s="100" customFormat="1" x14ac:dyDescent="0.35">
      <c r="F566" s="65"/>
    </row>
    <row r="567" spans="6:6" s="100" customFormat="1" x14ac:dyDescent="0.35">
      <c r="F567" s="65"/>
    </row>
    <row r="568" spans="6:6" s="100" customFormat="1" x14ac:dyDescent="0.35">
      <c r="F568" s="65"/>
    </row>
    <row r="569" spans="6:6" s="100" customFormat="1" x14ac:dyDescent="0.35">
      <c r="F569" s="65"/>
    </row>
    <row r="570" spans="6:6" s="100" customFormat="1" x14ac:dyDescent="0.35">
      <c r="F570" s="65"/>
    </row>
    <row r="571" spans="6:6" s="100" customFormat="1" x14ac:dyDescent="0.35">
      <c r="F571" s="65"/>
    </row>
    <row r="572" spans="6:6" s="100" customFormat="1" x14ac:dyDescent="0.35">
      <c r="F572" s="65"/>
    </row>
    <row r="573" spans="6:6" s="100" customFormat="1" x14ac:dyDescent="0.35">
      <c r="F573" s="65"/>
    </row>
    <row r="574" spans="6:6" s="100" customFormat="1" x14ac:dyDescent="0.35">
      <c r="F574" s="65"/>
    </row>
    <row r="575" spans="6:6" s="100" customFormat="1" x14ac:dyDescent="0.35">
      <c r="F575" s="65"/>
    </row>
    <row r="576" spans="6:6" s="100" customFormat="1" x14ac:dyDescent="0.35">
      <c r="F576" s="65"/>
    </row>
    <row r="577" spans="6:6" s="100" customFormat="1" x14ac:dyDescent="0.35">
      <c r="F577" s="65"/>
    </row>
    <row r="578" spans="6:6" s="100" customFormat="1" x14ac:dyDescent="0.35">
      <c r="F578" s="65"/>
    </row>
    <row r="579" spans="6:6" s="100" customFormat="1" x14ac:dyDescent="0.35">
      <c r="F579" s="65"/>
    </row>
    <row r="580" spans="6:6" s="100" customFormat="1" x14ac:dyDescent="0.35">
      <c r="F580" s="65"/>
    </row>
    <row r="581" spans="6:6" s="100" customFormat="1" x14ac:dyDescent="0.35">
      <c r="F581" s="65"/>
    </row>
    <row r="582" spans="6:6" s="100" customFormat="1" x14ac:dyDescent="0.35">
      <c r="F582" s="65"/>
    </row>
    <row r="583" spans="6:6" s="100" customFormat="1" x14ac:dyDescent="0.35">
      <c r="F583" s="65"/>
    </row>
    <row r="584" spans="6:6" s="100" customFormat="1" x14ac:dyDescent="0.35">
      <c r="F584" s="65"/>
    </row>
    <row r="585" spans="6:6" s="100" customFormat="1" x14ac:dyDescent="0.35">
      <c r="F585" s="65"/>
    </row>
    <row r="586" spans="6:6" s="100" customFormat="1" x14ac:dyDescent="0.35">
      <c r="F586" s="65"/>
    </row>
    <row r="587" spans="6:6" s="100" customFormat="1" x14ac:dyDescent="0.35">
      <c r="F587" s="65"/>
    </row>
    <row r="588" spans="6:6" s="100" customFormat="1" x14ac:dyDescent="0.35">
      <c r="F588" s="65"/>
    </row>
    <row r="589" spans="6:6" s="100" customFormat="1" x14ac:dyDescent="0.35">
      <c r="F589" s="65"/>
    </row>
    <row r="590" spans="6:6" s="100" customFormat="1" x14ac:dyDescent="0.35">
      <c r="F590" s="65"/>
    </row>
    <row r="591" spans="6:6" s="100" customFormat="1" x14ac:dyDescent="0.35">
      <c r="F591" s="65"/>
    </row>
    <row r="592" spans="6:6" s="100" customFormat="1" x14ac:dyDescent="0.35">
      <c r="F592" s="65"/>
    </row>
    <row r="593" spans="6:6" s="100" customFormat="1" x14ac:dyDescent="0.35">
      <c r="F593" s="65"/>
    </row>
    <row r="594" spans="6:6" s="100" customFormat="1" x14ac:dyDescent="0.35">
      <c r="F594" s="65"/>
    </row>
    <row r="595" spans="6:6" s="100" customFormat="1" x14ac:dyDescent="0.35">
      <c r="F595" s="65"/>
    </row>
    <row r="596" spans="6:6" s="100" customFormat="1" x14ac:dyDescent="0.35">
      <c r="F596" s="65"/>
    </row>
    <row r="597" spans="6:6" s="100" customFormat="1" x14ac:dyDescent="0.35">
      <c r="F597" s="65"/>
    </row>
    <row r="598" spans="6:6" s="100" customFormat="1" x14ac:dyDescent="0.35">
      <c r="F598" s="65"/>
    </row>
    <row r="599" spans="6:6" s="100" customFormat="1" x14ac:dyDescent="0.35">
      <c r="F599" s="65"/>
    </row>
    <row r="600" spans="6:6" s="100" customFormat="1" x14ac:dyDescent="0.35">
      <c r="F600" s="65"/>
    </row>
    <row r="601" spans="6:6" s="100" customFormat="1" x14ac:dyDescent="0.35">
      <c r="F601" s="65"/>
    </row>
    <row r="602" spans="6:6" s="100" customFormat="1" x14ac:dyDescent="0.35">
      <c r="F602" s="65"/>
    </row>
    <row r="603" spans="6:6" s="100" customFormat="1" x14ac:dyDescent="0.35">
      <c r="F603" s="65"/>
    </row>
    <row r="604" spans="6:6" s="100" customFormat="1" x14ac:dyDescent="0.35">
      <c r="F604" s="65"/>
    </row>
    <row r="605" spans="6:6" s="100" customFormat="1" x14ac:dyDescent="0.35">
      <c r="F605" s="65"/>
    </row>
    <row r="606" spans="6:6" s="100" customFormat="1" x14ac:dyDescent="0.35">
      <c r="F606" s="65"/>
    </row>
    <row r="607" spans="6:6" s="100" customFormat="1" x14ac:dyDescent="0.35">
      <c r="F607" s="65"/>
    </row>
    <row r="608" spans="6:6" s="100" customFormat="1" x14ac:dyDescent="0.35">
      <c r="F608" s="65"/>
    </row>
    <row r="609" spans="6:6" s="100" customFormat="1" x14ac:dyDescent="0.35">
      <c r="F609" s="65"/>
    </row>
    <row r="610" spans="6:6" s="100" customFormat="1" x14ac:dyDescent="0.35">
      <c r="F610" s="65"/>
    </row>
    <row r="611" spans="6:6" s="100" customFormat="1" x14ac:dyDescent="0.35">
      <c r="F611" s="65"/>
    </row>
    <row r="612" spans="6:6" s="100" customFormat="1" x14ac:dyDescent="0.35">
      <c r="F612" s="65"/>
    </row>
    <row r="613" spans="6:6" s="100" customFormat="1" x14ac:dyDescent="0.35">
      <c r="F613" s="65"/>
    </row>
    <row r="614" spans="6:6" s="100" customFormat="1" x14ac:dyDescent="0.35">
      <c r="F614" s="65"/>
    </row>
    <row r="615" spans="6:6" s="100" customFormat="1" x14ac:dyDescent="0.35">
      <c r="F615" s="65"/>
    </row>
    <row r="616" spans="6:6" s="100" customFormat="1" x14ac:dyDescent="0.35">
      <c r="F616" s="65"/>
    </row>
    <row r="617" spans="6:6" s="100" customFormat="1" x14ac:dyDescent="0.35">
      <c r="F617" s="65"/>
    </row>
    <row r="618" spans="6:6" s="100" customFormat="1" x14ac:dyDescent="0.35">
      <c r="F618" s="65"/>
    </row>
    <row r="619" spans="6:6" s="100" customFormat="1" x14ac:dyDescent="0.35">
      <c r="F619" s="65"/>
    </row>
    <row r="620" spans="6:6" s="100" customFormat="1" x14ac:dyDescent="0.35">
      <c r="F620" s="65"/>
    </row>
    <row r="621" spans="6:6" s="100" customFormat="1" x14ac:dyDescent="0.35">
      <c r="F621" s="65"/>
    </row>
    <row r="622" spans="6:6" s="100" customFormat="1" x14ac:dyDescent="0.35">
      <c r="F622" s="65"/>
    </row>
    <row r="623" spans="6:6" s="100" customFormat="1" x14ac:dyDescent="0.35">
      <c r="F623" s="65"/>
    </row>
    <row r="624" spans="6:6" s="100" customFormat="1" x14ac:dyDescent="0.35">
      <c r="F624" s="65"/>
    </row>
    <row r="625" spans="6:6" s="100" customFormat="1" x14ac:dyDescent="0.35">
      <c r="F625" s="65"/>
    </row>
    <row r="626" spans="6:6" s="100" customFormat="1" x14ac:dyDescent="0.35">
      <c r="F626" s="65"/>
    </row>
    <row r="627" spans="6:6" s="100" customFormat="1" x14ac:dyDescent="0.35">
      <c r="F627" s="65"/>
    </row>
    <row r="628" spans="6:6" s="100" customFormat="1" x14ac:dyDescent="0.35">
      <c r="F628" s="65"/>
    </row>
    <row r="629" spans="6:6" s="100" customFormat="1" x14ac:dyDescent="0.35">
      <c r="F629" s="65"/>
    </row>
    <row r="630" spans="6:6" s="100" customFormat="1" x14ac:dyDescent="0.35">
      <c r="F630" s="65"/>
    </row>
    <row r="631" spans="6:6" s="100" customFormat="1" x14ac:dyDescent="0.35">
      <c r="F631" s="65"/>
    </row>
    <row r="632" spans="6:6" s="100" customFormat="1" x14ac:dyDescent="0.35">
      <c r="F632" s="65"/>
    </row>
    <row r="633" spans="6:6" s="100" customFormat="1" x14ac:dyDescent="0.35">
      <c r="F633" s="65"/>
    </row>
    <row r="634" spans="6:6" s="100" customFormat="1" x14ac:dyDescent="0.35">
      <c r="F634" s="65"/>
    </row>
    <row r="635" spans="6:6" s="100" customFormat="1" x14ac:dyDescent="0.35">
      <c r="F635" s="65"/>
    </row>
    <row r="636" spans="6:6" s="100" customFormat="1" x14ac:dyDescent="0.35">
      <c r="F636" s="65"/>
    </row>
    <row r="637" spans="6:6" s="100" customFormat="1" x14ac:dyDescent="0.35">
      <c r="F637" s="65"/>
    </row>
    <row r="638" spans="6:6" s="100" customFormat="1" x14ac:dyDescent="0.35">
      <c r="F638" s="65"/>
    </row>
    <row r="639" spans="6:6" s="100" customFormat="1" x14ac:dyDescent="0.35">
      <c r="F639" s="65"/>
    </row>
    <row r="640" spans="6:6" s="100" customFormat="1" x14ac:dyDescent="0.35">
      <c r="F640" s="65"/>
    </row>
    <row r="641" spans="6:6" s="100" customFormat="1" x14ac:dyDescent="0.35">
      <c r="F641" s="65"/>
    </row>
    <row r="642" spans="6:6" s="100" customFormat="1" x14ac:dyDescent="0.35">
      <c r="F642" s="65"/>
    </row>
    <row r="643" spans="6:6" s="100" customFormat="1" x14ac:dyDescent="0.35">
      <c r="F643" s="65"/>
    </row>
    <row r="644" spans="6:6" s="100" customFormat="1" x14ac:dyDescent="0.35">
      <c r="F644" s="65"/>
    </row>
    <row r="645" spans="6:6" s="100" customFormat="1" x14ac:dyDescent="0.35">
      <c r="F645" s="65"/>
    </row>
    <row r="646" spans="6:6" s="100" customFormat="1" x14ac:dyDescent="0.35">
      <c r="F646" s="65"/>
    </row>
    <row r="647" spans="6:6" s="100" customFormat="1" x14ac:dyDescent="0.35">
      <c r="F647" s="65"/>
    </row>
    <row r="648" spans="6:6" s="100" customFormat="1" x14ac:dyDescent="0.35">
      <c r="F648" s="65"/>
    </row>
    <row r="649" spans="6:6" s="100" customFormat="1" x14ac:dyDescent="0.35">
      <c r="F649" s="65"/>
    </row>
    <row r="650" spans="6:6" s="100" customFormat="1" x14ac:dyDescent="0.35">
      <c r="F650" s="65"/>
    </row>
    <row r="651" spans="6:6" s="100" customFormat="1" x14ac:dyDescent="0.35">
      <c r="F651" s="65"/>
    </row>
    <row r="652" spans="6:6" s="100" customFormat="1" x14ac:dyDescent="0.35">
      <c r="F652" s="65"/>
    </row>
    <row r="653" spans="6:6" s="100" customFormat="1" x14ac:dyDescent="0.35">
      <c r="F653" s="65"/>
    </row>
    <row r="654" spans="6:6" s="100" customFormat="1" x14ac:dyDescent="0.35">
      <c r="F654" s="65"/>
    </row>
    <row r="655" spans="6:6" s="100" customFormat="1" x14ac:dyDescent="0.35">
      <c r="F655" s="65"/>
    </row>
    <row r="656" spans="6:6" s="100" customFormat="1" x14ac:dyDescent="0.35">
      <c r="F656" s="65"/>
    </row>
    <row r="657" spans="6:6" s="100" customFormat="1" x14ac:dyDescent="0.35">
      <c r="F657" s="65"/>
    </row>
    <row r="658" spans="6:6" s="100" customFormat="1" x14ac:dyDescent="0.35">
      <c r="F658" s="65"/>
    </row>
    <row r="659" spans="6:6" s="100" customFormat="1" x14ac:dyDescent="0.35">
      <c r="F659" s="65"/>
    </row>
    <row r="660" spans="6:6" s="100" customFormat="1" x14ac:dyDescent="0.35">
      <c r="F660" s="65"/>
    </row>
    <row r="661" spans="6:6" s="100" customFormat="1" x14ac:dyDescent="0.35">
      <c r="F661" s="65"/>
    </row>
    <row r="662" spans="6:6" s="100" customFormat="1" x14ac:dyDescent="0.35">
      <c r="F662" s="65"/>
    </row>
    <row r="663" spans="6:6" s="100" customFormat="1" x14ac:dyDescent="0.35">
      <c r="F663" s="65"/>
    </row>
    <row r="664" spans="6:6" s="100" customFormat="1" x14ac:dyDescent="0.35">
      <c r="F664" s="65"/>
    </row>
    <row r="665" spans="6:6" s="100" customFormat="1" x14ac:dyDescent="0.35">
      <c r="F665" s="65"/>
    </row>
    <row r="666" spans="6:6" s="100" customFormat="1" x14ac:dyDescent="0.35">
      <c r="F666" s="65"/>
    </row>
  </sheetData>
  <conditionalFormatting sqref="Q1">
    <cfRule type="cellIs" dxfId="34" priority="43" operator="equal">
      <formula>"Indéterminé"</formula>
    </cfRule>
    <cfRule type="cellIs" dxfId="33" priority="44" operator="equal">
      <formula>"NA"</formula>
    </cfRule>
    <cfRule type="cellIs" dxfId="32" priority="45" operator="equal">
      <formula>"Invalidé"</formula>
    </cfRule>
    <cfRule type="cellIs" dxfId="31" priority="46" operator="equal">
      <formula>"Validé"</formula>
    </cfRule>
  </conditionalFormatting>
  <conditionalFormatting sqref="H1:H1048576">
    <cfRule type="cellIs" dxfId="30" priority="349" operator="equal">
      <formula>"Indéterminé"</formula>
    </cfRule>
    <cfRule type="cellIs" dxfId="29" priority="350" operator="equal">
      <formula>"NA"</formula>
    </cfRule>
    <cfRule type="cellIs" dxfId="28" priority="351" operator="equal">
      <formula>"Invalidé"</formula>
    </cfRule>
    <cfRule type="cellIs" dxfId="27" priority="352" operator="equal">
      <formula>"Validé"</formula>
    </cfRule>
  </conditionalFormatting>
  <dataValidations count="4">
    <dataValidation type="list" allowBlank="1" showInputMessage="1" showErrorMessage="1" sqref="H4:H109" xr:uid="{00000000-0002-0000-0A00-000001000000}">
      <formula1>Etat</formula1>
    </dataValidation>
    <dataValidation type="list" allowBlank="1" showInputMessage="1" showErrorMessage="1" sqref="P4:P109" xr:uid="{00000000-0002-0000-0A00-000002000000}">
      <formula1>Difficulte</formula1>
    </dataValidation>
    <dataValidation type="list" allowBlank="1" showInputMessage="1" showErrorMessage="1" sqref="G4:G109" xr:uid="{00000000-0002-0000-0A00-000003000000}">
      <formula1>méthode</formula1>
    </dataValidation>
    <dataValidation type="list" allowBlank="1" showInputMessage="1" showErrorMessage="1" sqref="Q4:Q109"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I633"/>
  <sheetViews>
    <sheetView zoomScale="80" zoomScaleNormal="80" workbookViewId="0">
      <pane ySplit="1" topLeftCell="A8" activePane="bottomLeft" state="frozen"/>
      <selection activeCell="B9" sqref="B9"/>
      <selection pane="bottomLeft" activeCell="N19" sqref="N19"/>
    </sheetView>
  </sheetViews>
  <sheetFormatPr baseColWidth="10" defaultColWidth="11.453125" defaultRowHeight="14.5" x14ac:dyDescent="0.35"/>
  <cols>
    <col min="1" max="1" width="2.7265625" style="15" customWidth="1"/>
    <col min="2" max="2" width="23" style="15" bestFit="1" customWidth="1"/>
    <col min="3" max="3" width="6.26953125" style="15" bestFit="1" customWidth="1"/>
    <col min="4" max="4" width="8" style="15" bestFit="1" customWidth="1"/>
    <col min="5" max="8" width="12.7265625" style="15" customWidth="1"/>
    <col min="9" max="9" width="6.453125" style="15" bestFit="1" customWidth="1"/>
    <col min="10" max="10" width="2.7265625" style="15" customWidth="1"/>
    <col min="11" max="11" width="2.7265625" style="197" customWidth="1"/>
    <col min="12" max="12" width="16.453125" style="8" customWidth="1"/>
    <col min="13" max="13" width="10.1796875" style="8" bestFit="1" customWidth="1"/>
    <col min="14" max="14" width="13.1796875" style="8" customWidth="1"/>
    <col min="15" max="15" width="13.453125" style="8" bestFit="1" customWidth="1"/>
    <col min="16" max="16" width="16.26953125" style="8" bestFit="1" customWidth="1"/>
    <col min="17" max="17" width="13" style="71" customWidth="1"/>
    <col min="18" max="18" width="8.1796875" style="71" customWidth="1"/>
    <col min="19" max="19" width="2.7265625" style="71" customWidth="1"/>
    <col min="20" max="20" width="10.1796875" style="8" bestFit="1" customWidth="1"/>
    <col min="21" max="21" width="2.7265625" style="71" customWidth="1"/>
    <col min="22" max="22" width="7.453125" style="8" customWidth="1"/>
    <col min="23" max="23" width="26.7265625" style="8" customWidth="1"/>
    <col min="24" max="24" width="2.7265625" style="71" customWidth="1"/>
    <col min="25" max="25" width="9.26953125" style="8" bestFit="1" customWidth="1"/>
    <col min="26" max="26" width="19.81640625" style="8" bestFit="1" customWidth="1"/>
    <col min="27" max="27" width="2.7265625" style="71" customWidth="1"/>
    <col min="28" max="28" width="13.453125" style="8" bestFit="1" customWidth="1"/>
    <col min="29" max="29" width="83.54296875" style="8" bestFit="1" customWidth="1"/>
    <col min="30" max="30" width="2.7265625" style="71" customWidth="1"/>
    <col min="31" max="31" width="37.26953125" style="15" bestFit="1" customWidth="1"/>
    <col min="32" max="32" width="6.453125" style="8" bestFit="1" customWidth="1"/>
    <col min="33" max="33" width="9.26953125" style="8" bestFit="1" customWidth="1"/>
    <col min="34" max="34" width="13.453125" style="8" bestFit="1" customWidth="1"/>
    <col min="35" max="35" width="83.54296875" style="8" bestFit="1" customWidth="1"/>
    <col min="36" max="16384" width="11.453125" style="8"/>
  </cols>
  <sheetData>
    <row r="1" spans="1:33" x14ac:dyDescent="0.35">
      <c r="A1" s="71"/>
      <c r="B1" s="24" t="s">
        <v>610</v>
      </c>
      <c r="C1" s="24" t="s">
        <v>258</v>
      </c>
      <c r="D1" s="24" t="s">
        <v>21</v>
      </c>
      <c r="E1" s="23" t="s">
        <v>9</v>
      </c>
      <c r="F1" s="23" t="s">
        <v>10</v>
      </c>
      <c r="G1" s="23" t="s">
        <v>40</v>
      </c>
      <c r="H1" s="23" t="s">
        <v>11</v>
      </c>
      <c r="I1" s="23" t="s">
        <v>36</v>
      </c>
      <c r="J1" s="71"/>
      <c r="L1" s="279" t="s">
        <v>38</v>
      </c>
      <c r="M1" s="279"/>
      <c r="N1" s="279"/>
      <c r="O1" s="279"/>
      <c r="P1" s="279"/>
      <c r="Q1" s="8"/>
      <c r="R1" s="8"/>
      <c r="T1" s="29" t="s">
        <v>25</v>
      </c>
      <c r="V1" s="28" t="s">
        <v>26</v>
      </c>
      <c r="W1" s="14"/>
      <c r="Y1" s="27" t="s">
        <v>30</v>
      </c>
      <c r="Z1" s="26"/>
      <c r="AB1" s="31" t="s">
        <v>39</v>
      </c>
      <c r="AC1" s="30"/>
      <c r="AD1" s="71" t="s">
        <v>45</v>
      </c>
      <c r="AE1" s="208" t="s">
        <v>624</v>
      </c>
      <c r="AF1" s="53" t="s">
        <v>44</v>
      </c>
      <c r="AG1" s="40" t="s">
        <v>45</v>
      </c>
    </row>
    <row r="2" spans="1:33" x14ac:dyDescent="0.35">
      <c r="A2" s="71"/>
      <c r="B2" s="77" t="str">
        <f>Modèle!B4</f>
        <v>Images</v>
      </c>
      <c r="C2" s="79" t="str">
        <f>Modèle!C4</f>
        <v>1.1</v>
      </c>
      <c r="D2" s="80" t="str">
        <f>Modèle!E4</f>
        <v>A</v>
      </c>
      <c r="E2" s="166">
        <f ca="1">COUNTIF(OFFSET(Synthèse!$G11,0,0,1,COUNTA(Synthèse!$10:$10)-6),"="&amp;$E$1)</f>
        <v>0</v>
      </c>
      <c r="F2" s="166">
        <f ca="1">COUNTIF(OFFSET(Synthèse!$G11,0,0,1,COUNTA(Synthèse!$10:$10)-6),"="&amp;$F$1)</f>
        <v>0</v>
      </c>
      <c r="G2" s="166">
        <f ca="1">COUNTIF(OFFSET(Synthèse!$G11,0,0,1,COUNTA(Synthèse!$10:$10)-6),"="&amp;$G$1)</f>
        <v>0</v>
      </c>
      <c r="H2" s="166">
        <f ca="1">COUNTIF(OFFSET(Synthèse!$G11,0,0,1,COUNTA(Synthèse!$10:$10)-6),"="&amp;$H$1)</f>
        <v>0</v>
      </c>
      <c r="I2" s="209">
        <f ca="1">SUM(E2:H2)</f>
        <v>0</v>
      </c>
      <c r="J2" s="71"/>
      <c r="L2" s="176" t="s">
        <v>43</v>
      </c>
      <c r="M2" s="20" t="s">
        <v>9</v>
      </c>
      <c r="N2" s="20" t="s">
        <v>10</v>
      </c>
      <c r="O2" s="20" t="s">
        <v>40</v>
      </c>
      <c r="P2" s="20" t="s">
        <v>35</v>
      </c>
      <c r="Q2" s="8"/>
      <c r="R2" s="8"/>
      <c r="T2" s="18" t="s">
        <v>407</v>
      </c>
      <c r="V2" s="19">
        <v>1</v>
      </c>
      <c r="W2" s="16" t="s">
        <v>27</v>
      </c>
      <c r="Y2" s="17" t="s">
        <v>31</v>
      </c>
      <c r="Z2" s="17" t="s">
        <v>33</v>
      </c>
      <c r="AB2" s="25" t="s">
        <v>10</v>
      </c>
      <c r="AC2" s="25" t="s">
        <v>16</v>
      </c>
      <c r="AE2" s="201" t="s">
        <v>615</v>
      </c>
      <c r="AF2" s="54">
        <f t="shared" ref="AF2:AF11" si="0">SUM($AG2:$ZQ2)</f>
        <v>0</v>
      </c>
      <c r="AG2" s="42">
        <f>SUMPRODUCT((Synthèse!G$11:G$116="Validé")*(Synthèse!$D$11:$D$116&lt;&gt;"AAA"))</f>
        <v>0</v>
      </c>
    </row>
    <row r="3" spans="1:33" x14ac:dyDescent="0.35">
      <c r="A3" s="71"/>
      <c r="B3" s="77" t="str">
        <f>Modèle!B5</f>
        <v>Images</v>
      </c>
      <c r="C3" s="79" t="str">
        <f>Modèle!C5</f>
        <v>1.2</v>
      </c>
      <c r="D3" s="80" t="str">
        <f>Modèle!E5</f>
        <v>A</v>
      </c>
      <c r="E3" s="166">
        <f ca="1">COUNTIF(OFFSET(Synthèse!$G12,0,0,1,COUNTA(Synthèse!$10:$10)-6),"="&amp;$E$1)</f>
        <v>0</v>
      </c>
      <c r="F3" s="166">
        <f ca="1">COUNTIF(OFFSET(Synthèse!$G12,0,0,1,COUNTA(Synthèse!$10:$10)-6),"="&amp;$F$1)</f>
        <v>0</v>
      </c>
      <c r="G3" s="166">
        <f ca="1">COUNTIF(OFFSET(Synthèse!$G12,0,0,1,COUNTA(Synthèse!$10:$10)-6),"="&amp;$G$1)</f>
        <v>0</v>
      </c>
      <c r="H3" s="166">
        <f ca="1">COUNTIF(OFFSET(Synthèse!$G12,0,0,1,COUNTA(Synthèse!$10:$10)-6),"="&amp;$H$1)</f>
        <v>0</v>
      </c>
      <c r="I3" s="209">
        <f t="shared" ref="I3:I66" ca="1" si="1">SUM(E3:H3)</f>
        <v>0</v>
      </c>
      <c r="J3" s="72"/>
      <c r="L3" s="163" t="s">
        <v>3</v>
      </c>
      <c r="M3" s="164">
        <f ca="1">SUMIFS(E$2:E$107,$B$2:$B$107,"="&amp;$L3,$D$2:$D$107,"&lt;&gt;AAA")</f>
        <v>0</v>
      </c>
      <c r="N3" s="164">
        <f t="shared" ref="N3:P15" ca="1" si="2">SUMIFS(F$2:F$107,$B$2:$B$107,"="&amp;$L3,$D$2:$D$107,"&lt;&gt;AAA")</f>
        <v>0</v>
      </c>
      <c r="O3" s="164">
        <f t="shared" ca="1" si="2"/>
        <v>0</v>
      </c>
      <c r="P3" s="164">
        <f t="shared" ca="1" si="2"/>
        <v>0</v>
      </c>
      <c r="Q3" s="8"/>
      <c r="R3" s="8"/>
      <c r="S3" s="72"/>
      <c r="T3" s="18" t="s">
        <v>408</v>
      </c>
      <c r="U3" s="72"/>
      <c r="V3" s="19">
        <v>2</v>
      </c>
      <c r="W3" s="16" t="s">
        <v>28</v>
      </c>
      <c r="Y3" s="17" t="s">
        <v>32</v>
      </c>
      <c r="Z3" s="17" t="s">
        <v>34</v>
      </c>
      <c r="AB3" s="25" t="s">
        <v>9</v>
      </c>
      <c r="AC3" s="25" t="s">
        <v>17</v>
      </c>
      <c r="AE3" s="201" t="s">
        <v>616</v>
      </c>
      <c r="AF3" s="54">
        <f t="shared" si="0"/>
        <v>0</v>
      </c>
      <c r="AG3" s="42">
        <f>SUMPRODUCT((Synthèse!G$11:G$116="Invalidé")*(Synthèse!$D$11:$D$116&lt;&gt;"AAA"))</f>
        <v>0</v>
      </c>
    </row>
    <row r="4" spans="1:33" ht="15.75" customHeight="1" x14ac:dyDescent="0.35">
      <c r="A4" s="73"/>
      <c r="B4" s="77" t="str">
        <f>Modèle!B6</f>
        <v>Images</v>
      </c>
      <c r="C4" s="79" t="str">
        <f>Modèle!C6</f>
        <v>1.3</v>
      </c>
      <c r="D4" s="80" t="str">
        <f>Modèle!E6</f>
        <v>A</v>
      </c>
      <c r="E4" s="166">
        <f ca="1">COUNTIF(OFFSET(Synthèse!$G13,0,0,1,COUNTA(Synthèse!$10:$10)-6),"="&amp;$E$1)</f>
        <v>0</v>
      </c>
      <c r="F4" s="166">
        <f ca="1">COUNTIF(OFFSET(Synthèse!$G13,0,0,1,COUNTA(Synthèse!$10:$10)-6),"="&amp;$F$1)</f>
        <v>0</v>
      </c>
      <c r="G4" s="166">
        <f ca="1">COUNTIF(OFFSET(Synthèse!$G13,0,0,1,COUNTA(Synthèse!$10:$10)-6),"="&amp;$G$1)</f>
        <v>0</v>
      </c>
      <c r="H4" s="166">
        <f ca="1">COUNTIF(OFFSET(Synthèse!$G13,0,0,1,COUNTA(Synthèse!$10:$10)-6),"="&amp;$H$1)</f>
        <v>0</v>
      </c>
      <c r="I4" s="209">
        <f t="shared" ca="1" si="1"/>
        <v>0</v>
      </c>
      <c r="J4" s="72"/>
      <c r="L4" s="163" t="s">
        <v>37</v>
      </c>
      <c r="M4" s="164">
        <f t="shared" ref="M4:M15" ca="1" si="3">SUMIFS(E$2:E$107,$B$2:$B$107,"="&amp;$L4,$D$2:$D$107,"&lt;&gt;AAA")</f>
        <v>0</v>
      </c>
      <c r="N4" s="164">
        <f t="shared" ca="1" si="2"/>
        <v>0</v>
      </c>
      <c r="O4" s="164">
        <f t="shared" ca="1" si="2"/>
        <v>0</v>
      </c>
      <c r="P4" s="164">
        <f t="shared" ca="1" si="2"/>
        <v>0</v>
      </c>
      <c r="Q4" s="8"/>
      <c r="R4" s="8"/>
      <c r="S4" s="72"/>
      <c r="T4" s="18" t="s">
        <v>409</v>
      </c>
      <c r="U4" s="72"/>
      <c r="V4" s="19">
        <v>3</v>
      </c>
      <c r="W4" s="16" t="s">
        <v>29</v>
      </c>
      <c r="Y4" s="9"/>
      <c r="Z4" s="9"/>
      <c r="AB4" s="25" t="s">
        <v>40</v>
      </c>
      <c r="AC4" s="25" t="s">
        <v>41</v>
      </c>
      <c r="AE4" s="201" t="s">
        <v>617</v>
      </c>
      <c r="AF4" s="54">
        <f t="shared" si="0"/>
        <v>0</v>
      </c>
      <c r="AG4" s="42">
        <f>SUMPRODUCT((Synthèse!G$11:G$116="Indéterminé")*(Synthèse!$D$11:$D$116&lt;&gt;"AAA"))</f>
        <v>0</v>
      </c>
    </row>
    <row r="5" spans="1:33" ht="15.75" customHeight="1" x14ac:dyDescent="0.35">
      <c r="A5" s="73"/>
      <c r="B5" s="77" t="str">
        <f>Modèle!B7</f>
        <v>Images</v>
      </c>
      <c r="C5" s="79" t="str">
        <f>Modèle!C7</f>
        <v>1.4</v>
      </c>
      <c r="D5" s="80" t="str">
        <f>Modèle!E7</f>
        <v>A</v>
      </c>
      <c r="E5" s="166">
        <f ca="1">COUNTIF(OFFSET(Synthèse!$G14,0,0,1,COUNTA(Synthèse!$10:$10)-6),"="&amp;$E$1)</f>
        <v>0</v>
      </c>
      <c r="F5" s="166">
        <f ca="1">COUNTIF(OFFSET(Synthèse!$G14,0,0,1,COUNTA(Synthèse!$10:$10)-6),"="&amp;$F$1)</f>
        <v>0</v>
      </c>
      <c r="G5" s="166">
        <f ca="1">COUNTIF(OFFSET(Synthèse!$G14,0,0,1,COUNTA(Synthèse!$10:$10)-6),"="&amp;$G$1)</f>
        <v>0</v>
      </c>
      <c r="H5" s="166">
        <f ca="1">COUNTIF(OFFSET(Synthèse!$G14,0,0,1,COUNTA(Synthèse!$10:$10)-6),"="&amp;$H$1)</f>
        <v>0</v>
      </c>
      <c r="I5" s="209">
        <f t="shared" ca="1" si="1"/>
        <v>0</v>
      </c>
      <c r="J5" s="71"/>
      <c r="L5" s="163" t="s">
        <v>1</v>
      </c>
      <c r="M5" s="164">
        <f t="shared" ca="1" si="3"/>
        <v>0</v>
      </c>
      <c r="N5" s="164">
        <f t="shared" ca="1" si="2"/>
        <v>0</v>
      </c>
      <c r="O5" s="164">
        <f t="shared" ca="1" si="2"/>
        <v>0</v>
      </c>
      <c r="P5" s="164">
        <f t="shared" ca="1" si="2"/>
        <v>0</v>
      </c>
      <c r="Q5" s="8"/>
      <c r="R5" s="8"/>
      <c r="X5" s="72"/>
      <c r="AB5" s="25" t="s">
        <v>11</v>
      </c>
      <c r="AC5" s="25" t="s">
        <v>42</v>
      </c>
      <c r="AE5" s="201" t="s">
        <v>618</v>
      </c>
      <c r="AF5" s="54">
        <f t="shared" si="0"/>
        <v>0</v>
      </c>
      <c r="AG5" s="42">
        <f>SUMPRODUCT((Synthèse!G$11:G$116="NA")*(Synthèse!$D$11:$D$116&lt;&gt;"AAA"))</f>
        <v>0</v>
      </c>
    </row>
    <row r="6" spans="1:33" x14ac:dyDescent="0.35">
      <c r="A6" s="73"/>
      <c r="B6" s="77" t="str">
        <f>Modèle!B8</f>
        <v>Images</v>
      </c>
      <c r="C6" s="79" t="str">
        <f>Modèle!C8</f>
        <v>1.5</v>
      </c>
      <c r="D6" s="80" t="str">
        <f>Modèle!E8</f>
        <v>A</v>
      </c>
      <c r="E6" s="166">
        <f ca="1">COUNTIF(OFFSET(Synthèse!$G15,0,0,1,COUNTA(Synthèse!$10:$10)-6),"="&amp;$E$1)</f>
        <v>0</v>
      </c>
      <c r="F6" s="166">
        <f ca="1">COUNTIF(OFFSET(Synthèse!$G15,0,0,1,COUNTA(Synthèse!$10:$10)-6),"="&amp;$F$1)</f>
        <v>0</v>
      </c>
      <c r="G6" s="166">
        <f ca="1">COUNTIF(OFFSET(Synthèse!$G15,0,0,1,COUNTA(Synthèse!$10:$10)-6),"="&amp;$G$1)</f>
        <v>0</v>
      </c>
      <c r="H6" s="166">
        <f ca="1">COUNTIF(OFFSET(Synthèse!$G15,0,0,1,COUNTA(Synthèse!$10:$10)-6),"="&amp;$H$1)</f>
        <v>0</v>
      </c>
      <c r="I6" s="209">
        <f t="shared" ca="1" si="1"/>
        <v>0</v>
      </c>
      <c r="J6" s="71"/>
      <c r="L6" s="163" t="s">
        <v>4</v>
      </c>
      <c r="M6" s="164">
        <f t="shared" ca="1" si="3"/>
        <v>0</v>
      </c>
      <c r="N6" s="164">
        <f t="shared" ca="1" si="2"/>
        <v>0</v>
      </c>
      <c r="O6" s="164">
        <f t="shared" ca="1" si="2"/>
        <v>0</v>
      </c>
      <c r="P6" s="164">
        <f t="shared" ca="1" si="2"/>
        <v>0</v>
      </c>
      <c r="Q6" s="8"/>
      <c r="R6" s="8"/>
      <c r="X6" s="72"/>
      <c r="AB6" s="25" t="s">
        <v>371</v>
      </c>
      <c r="AC6" s="25" t="s">
        <v>372</v>
      </c>
      <c r="AE6" s="202" t="s">
        <v>611</v>
      </c>
      <c r="AF6" s="55">
        <f t="shared" si="0"/>
        <v>0</v>
      </c>
      <c r="AG6" s="43">
        <f>SUMPRODUCT((Synthèse!G$11:G$116="Validé")*(Synthèse!$D$11:$D$116="AAA"))</f>
        <v>0</v>
      </c>
    </row>
    <row r="7" spans="1:33" x14ac:dyDescent="0.35">
      <c r="A7" s="71"/>
      <c r="B7" s="77" t="str">
        <f>Modèle!B9</f>
        <v>Images</v>
      </c>
      <c r="C7" s="79" t="str">
        <f>Modèle!C9</f>
        <v>1.6</v>
      </c>
      <c r="D7" s="80" t="str">
        <f>Modèle!E9</f>
        <v>A</v>
      </c>
      <c r="E7" s="166">
        <f ca="1">COUNTIF(OFFSET(Synthèse!$G16,0,0,1,COUNTA(Synthèse!$10:$10)-6),"="&amp;$E$1)</f>
        <v>0</v>
      </c>
      <c r="F7" s="166">
        <f ca="1">COUNTIF(OFFSET(Synthèse!$G16,0,0,1,COUNTA(Synthèse!$10:$10)-6),"="&amp;$F$1)</f>
        <v>0</v>
      </c>
      <c r="G7" s="166">
        <f ca="1">COUNTIF(OFFSET(Synthèse!$G16,0,0,1,COUNTA(Synthèse!$10:$10)-6),"="&amp;$G$1)</f>
        <v>0</v>
      </c>
      <c r="H7" s="166">
        <f ca="1">COUNTIF(OFFSET(Synthèse!$G16,0,0,1,COUNTA(Synthèse!$10:$10)-6),"="&amp;$H$1)</f>
        <v>0</v>
      </c>
      <c r="I7" s="209">
        <f t="shared" ca="1" si="1"/>
        <v>0</v>
      </c>
      <c r="J7" s="71"/>
      <c r="L7" s="163" t="s">
        <v>7</v>
      </c>
      <c r="M7" s="164">
        <f t="shared" ca="1" si="3"/>
        <v>0</v>
      </c>
      <c r="N7" s="164">
        <f t="shared" ca="1" si="2"/>
        <v>0</v>
      </c>
      <c r="O7" s="164">
        <f t="shared" ca="1" si="2"/>
        <v>0</v>
      </c>
      <c r="P7" s="164">
        <f t="shared" ca="1" si="2"/>
        <v>0</v>
      </c>
      <c r="Q7" s="8"/>
      <c r="R7" s="8"/>
      <c r="AE7" s="202" t="s">
        <v>612</v>
      </c>
      <c r="AF7" s="55">
        <f t="shared" si="0"/>
        <v>0</v>
      </c>
      <c r="AG7" s="43">
        <f>SUMPRODUCT((Synthèse!G$11:G$116="Invalidé")*(Synthèse!$D$11:$D$116="AAA"))</f>
        <v>0</v>
      </c>
    </row>
    <row r="8" spans="1:33" x14ac:dyDescent="0.35">
      <c r="A8" s="71"/>
      <c r="B8" s="77" t="str">
        <f>Modèle!B10</f>
        <v>Images</v>
      </c>
      <c r="C8" s="79" t="str">
        <f>Modèle!C10</f>
        <v>1.7</v>
      </c>
      <c r="D8" s="80" t="str">
        <f>Modèle!E10</f>
        <v>A</v>
      </c>
      <c r="E8" s="166">
        <f ca="1">COUNTIF(OFFSET(Synthèse!$G17,0,0,1,COUNTA(Synthèse!$10:$10)-6),"="&amp;$E$1)</f>
        <v>0</v>
      </c>
      <c r="F8" s="166">
        <f ca="1">COUNTIF(OFFSET(Synthèse!$G17,0,0,1,COUNTA(Synthèse!$10:$10)-6),"="&amp;$F$1)</f>
        <v>0</v>
      </c>
      <c r="G8" s="166">
        <f ca="1">COUNTIF(OFFSET(Synthèse!$G17,0,0,1,COUNTA(Synthèse!$10:$10)-6),"="&amp;$G$1)</f>
        <v>0</v>
      </c>
      <c r="H8" s="166">
        <f ca="1">COUNTIF(OFFSET(Synthèse!$G17,0,0,1,COUNTA(Synthèse!$10:$10)-6),"="&amp;$H$1)</f>
        <v>0</v>
      </c>
      <c r="I8" s="209">
        <f t="shared" ca="1" si="1"/>
        <v>0</v>
      </c>
      <c r="J8" s="71"/>
      <c r="L8" s="163" t="s">
        <v>234</v>
      </c>
      <c r="M8" s="164">
        <f t="shared" ca="1" si="3"/>
        <v>0</v>
      </c>
      <c r="N8" s="164">
        <f t="shared" ca="1" si="2"/>
        <v>0</v>
      </c>
      <c r="O8" s="164">
        <f t="shared" ca="1" si="2"/>
        <v>0</v>
      </c>
      <c r="P8" s="164">
        <f t="shared" ca="1" si="2"/>
        <v>0</v>
      </c>
      <c r="Q8" s="8"/>
      <c r="R8" s="8"/>
      <c r="AE8" s="202" t="s">
        <v>613</v>
      </c>
      <c r="AF8" s="55">
        <f t="shared" si="0"/>
        <v>0</v>
      </c>
      <c r="AG8" s="43">
        <f>SUMPRODUCT((Synthèse!G$11:G$116="Indéterminé")*(Synthèse!$D$11:$D$116="AAA"))</f>
        <v>0</v>
      </c>
    </row>
    <row r="9" spans="1:33" x14ac:dyDescent="0.35">
      <c r="A9" s="71"/>
      <c r="B9" s="77" t="str">
        <f>Modèle!B11</f>
        <v>Images</v>
      </c>
      <c r="C9" s="79" t="str">
        <f>Modèle!C11</f>
        <v>1.8</v>
      </c>
      <c r="D9" s="80" t="str">
        <f>Modèle!E11</f>
        <v>AA</v>
      </c>
      <c r="E9" s="166">
        <f ca="1">COUNTIF(OFFSET(Synthèse!$G18,0,0,1,COUNTA(Synthèse!$10:$10)-6),"="&amp;$E$1)</f>
        <v>0</v>
      </c>
      <c r="F9" s="166">
        <f ca="1">COUNTIF(OFFSET(Synthèse!$G18,0,0,1,COUNTA(Synthèse!$10:$10)-6),"="&amp;$F$1)</f>
        <v>0</v>
      </c>
      <c r="G9" s="166">
        <f ca="1">COUNTIF(OFFSET(Synthèse!$G18,0,0,1,COUNTA(Synthèse!$10:$10)-6),"="&amp;$G$1)</f>
        <v>0</v>
      </c>
      <c r="H9" s="166">
        <f ca="1">COUNTIF(OFFSET(Synthèse!$G18,0,0,1,COUNTA(Synthèse!$10:$10)-6),"="&amp;$H$1)</f>
        <v>0</v>
      </c>
      <c r="I9" s="209">
        <f t="shared" ca="1" si="1"/>
        <v>0</v>
      </c>
      <c r="J9" s="71"/>
      <c r="L9" s="163" t="s">
        <v>6</v>
      </c>
      <c r="M9" s="164">
        <f t="shared" ca="1" si="3"/>
        <v>0</v>
      </c>
      <c r="N9" s="164">
        <f t="shared" ca="1" si="2"/>
        <v>0</v>
      </c>
      <c r="O9" s="164">
        <f t="shared" ca="1" si="2"/>
        <v>0</v>
      </c>
      <c r="P9" s="164">
        <f t="shared" ca="1" si="2"/>
        <v>0</v>
      </c>
      <c r="Q9" s="8"/>
      <c r="R9" s="8"/>
      <c r="AE9" s="202" t="s">
        <v>614</v>
      </c>
      <c r="AF9" s="55">
        <f t="shared" si="0"/>
        <v>0</v>
      </c>
      <c r="AG9" s="43">
        <f>SUMPRODUCT((Synthèse!G$11:G$116="NA")*(Synthèse!$D$11:$D$116="AAA"))</f>
        <v>0</v>
      </c>
    </row>
    <row r="10" spans="1:33" ht="29" x14ac:dyDescent="0.35">
      <c r="A10" s="71"/>
      <c r="B10" s="77" t="str">
        <f>Modèle!B12</f>
        <v>Images</v>
      </c>
      <c r="C10" s="79" t="str">
        <f>Modèle!C12</f>
        <v>1.9</v>
      </c>
      <c r="D10" s="80" t="str">
        <f>Modèle!E12</f>
        <v>A</v>
      </c>
      <c r="E10" s="166">
        <f ca="1">COUNTIF(OFFSET(Synthèse!$G19,0,0,1,COUNTA(Synthèse!$10:$10)-6),"="&amp;$E$1)</f>
        <v>0</v>
      </c>
      <c r="F10" s="166">
        <f ca="1">COUNTIF(OFFSET(Synthèse!$G19,0,0,1,COUNTA(Synthèse!$10:$10)-6),"="&amp;$F$1)</f>
        <v>0</v>
      </c>
      <c r="G10" s="166">
        <f ca="1">COUNTIF(OFFSET(Synthèse!$G19,0,0,1,COUNTA(Synthèse!$10:$10)-6),"="&amp;$G$1)</f>
        <v>0</v>
      </c>
      <c r="H10" s="166">
        <f ca="1">COUNTIF(OFFSET(Synthèse!$G19,0,0,1,COUNTA(Synthèse!$10:$10)-6),"="&amp;$H$1)</f>
        <v>0</v>
      </c>
      <c r="I10" s="209">
        <f t="shared" ca="1" si="1"/>
        <v>0</v>
      </c>
      <c r="J10" s="71"/>
      <c r="L10" s="165" t="s">
        <v>235</v>
      </c>
      <c r="M10" s="164">
        <f t="shared" ca="1" si="3"/>
        <v>0</v>
      </c>
      <c r="N10" s="164">
        <f t="shared" ca="1" si="2"/>
        <v>0</v>
      </c>
      <c r="O10" s="164">
        <f t="shared" ca="1" si="2"/>
        <v>0</v>
      </c>
      <c r="P10" s="164">
        <f t="shared" ca="1" si="2"/>
        <v>0</v>
      </c>
      <c r="Q10" s="8"/>
      <c r="R10" s="8"/>
      <c r="T10" s="250" t="s">
        <v>248</v>
      </c>
      <c r="AB10" s="31" t="s">
        <v>374</v>
      </c>
      <c r="AC10" s="30"/>
      <c r="AE10" s="203" t="s">
        <v>619</v>
      </c>
      <c r="AF10" s="56">
        <f t="shared" si="0"/>
        <v>0</v>
      </c>
      <c r="AG10" s="46">
        <f t="shared" ref="AG10" si="4">SUM(AG$2:AG$5)</f>
        <v>0</v>
      </c>
    </row>
    <row r="11" spans="1:33" ht="29" x14ac:dyDescent="0.35">
      <c r="A11" s="73"/>
      <c r="B11" s="78" t="str">
        <f>Modèle!B13</f>
        <v>Cadres</v>
      </c>
      <c r="C11" s="81" t="str">
        <f>Modèle!C13</f>
        <v>2.1</v>
      </c>
      <c r="D11" s="82" t="str">
        <f>Modèle!E13</f>
        <v>A</v>
      </c>
      <c r="E11" s="166">
        <f ca="1">COUNTIF(OFFSET(Synthèse!$G20,0,0,1,COUNTA(Synthèse!$10:$10)-6),"="&amp;$E$1)</f>
        <v>0</v>
      </c>
      <c r="F11" s="166">
        <f ca="1">COUNTIF(OFFSET(Synthèse!$G20,0,0,1,COUNTA(Synthèse!$10:$10)-6),"="&amp;$F$1)</f>
        <v>0</v>
      </c>
      <c r="G11" s="166">
        <f ca="1">COUNTIF(OFFSET(Synthèse!$G20,0,0,1,COUNTA(Synthèse!$10:$10)-6),"="&amp;$G$1)</f>
        <v>0</v>
      </c>
      <c r="H11" s="166">
        <f ca="1">COUNTIF(OFFSET(Synthèse!$G20,0,0,1,COUNTA(Synthèse!$10:$10)-6),"="&amp;$H$1)</f>
        <v>0</v>
      </c>
      <c r="I11" s="209">
        <f t="shared" ca="1" si="1"/>
        <v>0</v>
      </c>
      <c r="J11" s="71"/>
      <c r="L11" s="165" t="s">
        <v>236</v>
      </c>
      <c r="M11" s="164">
        <f t="shared" ca="1" si="3"/>
        <v>0</v>
      </c>
      <c r="N11" s="164">
        <f t="shared" ca="1" si="2"/>
        <v>0</v>
      </c>
      <c r="O11" s="164">
        <f t="shared" ca="1" si="2"/>
        <v>0</v>
      </c>
      <c r="P11" s="164">
        <f t="shared" ca="1" si="2"/>
        <v>0</v>
      </c>
      <c r="Q11" s="8"/>
      <c r="R11" s="8"/>
      <c r="T11" s="113" t="s">
        <v>410</v>
      </c>
      <c r="AB11" s="25" t="s">
        <v>375</v>
      </c>
      <c r="AC11" s="25" t="s">
        <v>379</v>
      </c>
      <c r="AE11" s="204" t="s">
        <v>625</v>
      </c>
      <c r="AF11" s="41">
        <f t="shared" si="0"/>
        <v>0</v>
      </c>
      <c r="AG11" s="41">
        <f t="shared" ref="AG11" si="5">SUM(AG$2:AG$9)</f>
        <v>0</v>
      </c>
    </row>
    <row r="12" spans="1:33" ht="29" x14ac:dyDescent="0.35">
      <c r="A12" s="73"/>
      <c r="B12" s="78" t="str">
        <f>Modèle!B14</f>
        <v>Cadres</v>
      </c>
      <c r="C12" s="81" t="str">
        <f>Modèle!C14</f>
        <v>2.2</v>
      </c>
      <c r="D12" s="82" t="str">
        <f>Modèle!E14</f>
        <v>A</v>
      </c>
      <c r="E12" s="166">
        <f ca="1">COUNTIF(OFFSET(Synthèse!$G21,0,0,1,COUNTA(Synthèse!$10:$10)-6),"="&amp;$E$1)</f>
        <v>0</v>
      </c>
      <c r="F12" s="166">
        <f ca="1">COUNTIF(OFFSET(Synthèse!$G21,0,0,1,COUNTA(Synthèse!$10:$10)-6),"="&amp;$F$1)</f>
        <v>0</v>
      </c>
      <c r="G12" s="166">
        <f ca="1">COUNTIF(OFFSET(Synthèse!$G21,0,0,1,COUNTA(Synthèse!$10:$10)-6),"="&amp;$G$1)</f>
        <v>0</v>
      </c>
      <c r="H12" s="166">
        <f ca="1">COUNTIF(OFFSET(Synthèse!$G21,0,0,1,COUNTA(Synthèse!$10:$10)-6),"="&amp;$H$1)</f>
        <v>0</v>
      </c>
      <c r="I12" s="209">
        <f t="shared" ca="1" si="1"/>
        <v>0</v>
      </c>
      <c r="J12" s="71"/>
      <c r="L12" s="165" t="s">
        <v>237</v>
      </c>
      <c r="M12" s="164">
        <f t="shared" ca="1" si="3"/>
        <v>0</v>
      </c>
      <c r="N12" s="164">
        <f t="shared" ca="1" si="2"/>
        <v>0</v>
      </c>
      <c r="O12" s="164">
        <f t="shared" ca="1" si="2"/>
        <v>0</v>
      </c>
      <c r="P12" s="164">
        <f t="shared" ca="1" si="2"/>
        <v>0</v>
      </c>
      <c r="Q12" s="8"/>
      <c r="R12" s="8"/>
      <c r="T12" s="113" t="s">
        <v>411</v>
      </c>
      <c r="AB12" s="25" t="s">
        <v>376</v>
      </c>
      <c r="AC12" s="25" t="s">
        <v>380</v>
      </c>
      <c r="AE12" s="205"/>
      <c r="AF12" s="38"/>
      <c r="AG12" s="200" t="s">
        <v>45</v>
      </c>
    </row>
    <row r="13" spans="1:33" x14ac:dyDescent="0.35">
      <c r="A13" s="73"/>
      <c r="B13" s="77" t="str">
        <f>Modèle!B15</f>
        <v>Couleurs</v>
      </c>
      <c r="C13" s="79" t="str">
        <f>Modèle!C15</f>
        <v>3.1</v>
      </c>
      <c r="D13" s="80" t="str">
        <f>Modèle!E15</f>
        <v>A</v>
      </c>
      <c r="E13" s="166">
        <f ca="1">COUNTIF(OFFSET(Synthèse!$G22,0,0,1,COUNTA(Synthèse!$10:$10)-6),"="&amp;$E$1)</f>
        <v>0</v>
      </c>
      <c r="F13" s="166">
        <f ca="1">COUNTIF(OFFSET(Synthèse!$G22,0,0,1,COUNTA(Synthèse!$10:$10)-6),"="&amp;$F$1)</f>
        <v>0</v>
      </c>
      <c r="G13" s="166">
        <f ca="1">COUNTIF(OFFSET(Synthèse!$G22,0,0,1,COUNTA(Synthèse!$10:$10)-6),"="&amp;$G$1)</f>
        <v>0</v>
      </c>
      <c r="H13" s="166">
        <f ca="1">COUNTIF(OFFSET(Synthèse!$G22,0,0,1,COUNTA(Synthèse!$10:$10)-6),"="&amp;$H$1)</f>
        <v>0</v>
      </c>
      <c r="I13" s="209">
        <f t="shared" ca="1" si="1"/>
        <v>0</v>
      </c>
      <c r="J13" s="71"/>
      <c r="L13" s="163" t="s">
        <v>2</v>
      </c>
      <c r="M13" s="164">
        <f t="shared" ca="1" si="3"/>
        <v>0</v>
      </c>
      <c r="N13" s="164">
        <f t="shared" ca="1" si="2"/>
        <v>0</v>
      </c>
      <c r="O13" s="164">
        <f t="shared" ca="1" si="2"/>
        <v>0</v>
      </c>
      <c r="P13" s="164">
        <f t="shared" ca="1" si="2"/>
        <v>0</v>
      </c>
      <c r="Q13" s="8"/>
      <c r="R13" s="8"/>
      <c r="T13" s="113" t="s">
        <v>412</v>
      </c>
      <c r="AB13" s="25" t="s">
        <v>377</v>
      </c>
      <c r="AC13" s="25" t="s">
        <v>405</v>
      </c>
      <c r="AE13" s="206" t="s">
        <v>620</v>
      </c>
      <c r="AF13" s="39"/>
      <c r="AG13" s="44">
        <f t="shared" ref="AG13:AG15" si="6">IF(AG$10=0,0,CEILING(AG2/AG$10*100,0.5))</f>
        <v>0</v>
      </c>
    </row>
    <row r="14" spans="1:33" x14ac:dyDescent="0.35">
      <c r="A14" s="73"/>
      <c r="B14" s="77" t="str">
        <f>Modèle!B16</f>
        <v>Couleurs</v>
      </c>
      <c r="C14" s="79" t="str">
        <f>Modèle!C16</f>
        <v>3.2</v>
      </c>
      <c r="D14" s="80" t="str">
        <f>Modèle!E16</f>
        <v>AA</v>
      </c>
      <c r="E14" s="166">
        <f ca="1">COUNTIF(OFFSET(Synthèse!$G23,0,0,1,COUNTA(Synthèse!$10:$10)-6),"="&amp;$E$1)</f>
        <v>0</v>
      </c>
      <c r="F14" s="166">
        <f ca="1">COUNTIF(OFFSET(Synthèse!$G23,0,0,1,COUNTA(Synthèse!$10:$10)-6),"="&amp;$F$1)</f>
        <v>0</v>
      </c>
      <c r="G14" s="166">
        <f ca="1">COUNTIF(OFFSET(Synthèse!$G23,0,0,1,COUNTA(Synthèse!$10:$10)-6),"="&amp;$G$1)</f>
        <v>0</v>
      </c>
      <c r="H14" s="166">
        <f ca="1">COUNTIF(OFFSET(Synthèse!$G23,0,0,1,COUNTA(Synthèse!$10:$10)-6),"="&amp;$H$1)</f>
        <v>0</v>
      </c>
      <c r="I14" s="209">
        <f t="shared" ca="1" si="1"/>
        <v>0</v>
      </c>
      <c r="J14" s="71"/>
      <c r="L14" s="163" t="s">
        <v>5</v>
      </c>
      <c r="M14" s="164">
        <f t="shared" ca="1" si="3"/>
        <v>0</v>
      </c>
      <c r="N14" s="164">
        <f t="shared" ca="1" si="2"/>
        <v>0</v>
      </c>
      <c r="O14" s="164">
        <f t="shared" ca="1" si="2"/>
        <v>0</v>
      </c>
      <c r="P14" s="164">
        <f t="shared" ca="1" si="2"/>
        <v>0</v>
      </c>
      <c r="Q14" s="8"/>
      <c r="R14" s="8"/>
      <c r="T14" s="113" t="s">
        <v>413</v>
      </c>
      <c r="AB14" s="25" t="s">
        <v>378</v>
      </c>
      <c r="AC14" s="25" t="s">
        <v>406</v>
      </c>
      <c r="AE14" s="206" t="s">
        <v>621</v>
      </c>
      <c r="AF14" s="39"/>
      <c r="AG14" s="44">
        <f t="shared" si="6"/>
        <v>0</v>
      </c>
    </row>
    <row r="15" spans="1:33" x14ac:dyDescent="0.35">
      <c r="A15" s="73"/>
      <c r="B15" s="77" t="str">
        <f>Modèle!B17</f>
        <v>Couleurs</v>
      </c>
      <c r="C15" s="79" t="str">
        <f>Modèle!C17</f>
        <v>3.3</v>
      </c>
      <c r="D15" s="80" t="str">
        <f>Modèle!E17</f>
        <v>AA</v>
      </c>
      <c r="E15" s="166">
        <f ca="1">COUNTIF(OFFSET(Synthèse!$G24,0,0,1,COUNTA(Synthèse!$10:$10)-6),"="&amp;$E$1)</f>
        <v>0</v>
      </c>
      <c r="F15" s="166">
        <f ca="1">COUNTIF(OFFSET(Synthèse!$G24,0,0,1,COUNTA(Synthèse!$10:$10)-6),"="&amp;$F$1)</f>
        <v>0</v>
      </c>
      <c r="G15" s="166">
        <f ca="1">COUNTIF(OFFSET(Synthèse!$G24,0,0,1,COUNTA(Synthèse!$10:$10)-6),"="&amp;$G$1)</f>
        <v>0</v>
      </c>
      <c r="H15" s="166">
        <f ca="1">COUNTIF(OFFSET(Synthèse!$G24,0,0,1,COUNTA(Synthèse!$10:$10)-6),"="&amp;$H$1)</f>
        <v>0</v>
      </c>
      <c r="I15" s="209">
        <f t="shared" ca="1" si="1"/>
        <v>0</v>
      </c>
      <c r="J15" s="71"/>
      <c r="L15" s="163" t="s">
        <v>240</v>
      </c>
      <c r="M15" s="164">
        <f t="shared" ca="1" si="3"/>
        <v>0</v>
      </c>
      <c r="N15" s="164">
        <f t="shared" ca="1" si="2"/>
        <v>0</v>
      </c>
      <c r="O15" s="164">
        <f t="shared" ca="1" si="2"/>
        <v>0</v>
      </c>
      <c r="P15" s="164">
        <f t="shared" ca="1" si="2"/>
        <v>0</v>
      </c>
      <c r="Q15" s="8"/>
      <c r="R15" s="8"/>
      <c r="AE15" s="206" t="s">
        <v>622</v>
      </c>
      <c r="AF15" s="39"/>
      <c r="AG15" s="44">
        <f t="shared" si="6"/>
        <v>0</v>
      </c>
    </row>
    <row r="16" spans="1:33" ht="29" x14ac:dyDescent="0.35">
      <c r="A16" s="73"/>
      <c r="B16" s="185" t="str">
        <f>Modèle!B18</f>
        <v>Multimédia</v>
      </c>
      <c r="C16" s="186" t="str">
        <f>Modèle!C18</f>
        <v>4.1</v>
      </c>
      <c r="D16" s="187" t="str">
        <f>Modèle!E18</f>
        <v>A</v>
      </c>
      <c r="E16" s="166">
        <f ca="1">COUNTIF(OFFSET(Synthèse!$G25,0,0,1,COUNTA(Synthèse!$10:$10)-6),"="&amp;$E$1)</f>
        <v>0</v>
      </c>
      <c r="F16" s="166">
        <f ca="1">COUNTIF(OFFSET(Synthèse!$G25,0,0,1,COUNTA(Synthèse!$10:$10)-6),"="&amp;$F$1)</f>
        <v>0</v>
      </c>
      <c r="G16" s="166">
        <f ca="1">COUNTIF(OFFSET(Synthèse!$G25,0,0,1,COUNTA(Synthèse!$10:$10)-6),"="&amp;$G$1)</f>
        <v>0</v>
      </c>
      <c r="H16" s="166">
        <f ca="1">COUNTIF(OFFSET(Synthèse!$G25,0,0,1,COUNTA(Synthèse!$10:$10)-6),"="&amp;$H$1)</f>
        <v>0</v>
      </c>
      <c r="I16" s="209">
        <f t="shared" ca="1" si="1"/>
        <v>0</v>
      </c>
      <c r="J16" s="71"/>
      <c r="Q16" s="8"/>
      <c r="R16" s="8"/>
      <c r="AE16" s="207" t="s">
        <v>623</v>
      </c>
      <c r="AF16" s="39"/>
      <c r="AG16" s="45">
        <f t="shared" ref="AG16" si="7">IF(ISERROR(INT(AG2*100/(SUM(AG$2:AG$3)))),0,INT(AG2*100/(SUM(AG$2:AG$3))))</f>
        <v>0</v>
      </c>
    </row>
    <row r="17" spans="1:20" x14ac:dyDescent="0.35">
      <c r="A17" s="73"/>
      <c r="B17" s="185" t="str">
        <f>Modèle!B19</f>
        <v>Multimédia</v>
      </c>
      <c r="C17" s="186" t="str">
        <f>Modèle!C19</f>
        <v>4.2</v>
      </c>
      <c r="D17" s="187" t="str">
        <f>Modèle!E19</f>
        <v>A</v>
      </c>
      <c r="E17" s="166">
        <f ca="1">COUNTIF(OFFSET(Synthèse!$G26,0,0,1,COUNTA(Synthèse!$10:$10)-6),"="&amp;$E$1)</f>
        <v>0</v>
      </c>
      <c r="F17" s="166">
        <f ca="1">COUNTIF(OFFSET(Synthèse!$G26,0,0,1,COUNTA(Synthèse!$10:$10)-6),"="&amp;$F$1)</f>
        <v>0</v>
      </c>
      <c r="G17" s="166">
        <f ca="1">COUNTIF(OFFSET(Synthèse!$G26,0,0,1,COUNTA(Synthèse!$10:$10)-6),"="&amp;$G$1)</f>
        <v>0</v>
      </c>
      <c r="H17" s="166">
        <f ca="1">COUNTIF(OFFSET(Synthèse!$G26,0,0,1,COUNTA(Synthèse!$10:$10)-6),"="&amp;$H$1)</f>
        <v>0</v>
      </c>
      <c r="I17" s="209">
        <f t="shared" ca="1" si="1"/>
        <v>0</v>
      </c>
      <c r="J17" s="71"/>
      <c r="L17" s="173" t="s">
        <v>36</v>
      </c>
      <c r="M17" s="174">
        <f ca="1">SUM(M3:M15)</f>
        <v>0</v>
      </c>
      <c r="N17" s="174">
        <f ca="1">SUM(N3:N15)</f>
        <v>0</v>
      </c>
      <c r="O17" s="174">
        <f ca="1">SUM(O3:O15)</f>
        <v>0</v>
      </c>
      <c r="P17" s="174">
        <f ca="1">SUM(P3:P15)</f>
        <v>0</v>
      </c>
      <c r="Q17" s="8"/>
      <c r="R17" s="8"/>
    </row>
    <row r="18" spans="1:20" x14ac:dyDescent="0.35">
      <c r="A18" s="73"/>
      <c r="B18" s="185" t="str">
        <f>Modèle!B20</f>
        <v>Multimédia</v>
      </c>
      <c r="C18" s="186" t="str">
        <f>Modèle!C20</f>
        <v>4.3</v>
      </c>
      <c r="D18" s="187" t="str">
        <f>Modèle!E20</f>
        <v>A</v>
      </c>
      <c r="E18" s="166">
        <f ca="1">COUNTIF(OFFSET(Synthèse!$G27,0,0,1,COUNTA(Synthèse!$10:$10)-6),"="&amp;$E$1)</f>
        <v>0</v>
      </c>
      <c r="F18" s="166">
        <f ca="1">COUNTIF(OFFSET(Synthèse!$G27,0,0,1,COUNTA(Synthèse!$10:$10)-6),"="&amp;$F$1)</f>
        <v>0</v>
      </c>
      <c r="G18" s="166">
        <f ca="1">COUNTIF(OFFSET(Synthèse!$G27,0,0,1,COUNTA(Synthèse!$10:$10)-6),"="&amp;$G$1)</f>
        <v>0</v>
      </c>
      <c r="H18" s="166">
        <f ca="1">COUNTIF(OFFSET(Synthèse!$G27,0,0,1,COUNTA(Synthèse!$10:$10)-6),"="&amp;$H$1)</f>
        <v>0</v>
      </c>
      <c r="I18" s="209">
        <f t="shared" ca="1" si="1"/>
        <v>0</v>
      </c>
      <c r="J18" s="71"/>
      <c r="L18" s="173" t="s">
        <v>250</v>
      </c>
      <c r="M18" s="175" t="str">
        <f ca="1">IF(M17+N17&gt;0,(100/(M17+N17))*M17,"")</f>
        <v/>
      </c>
      <c r="N18" s="175" t="str">
        <f ca="1">IF(M17+N17&gt;0,(100/(M17+N17))*N17,"")</f>
        <v/>
      </c>
      <c r="Q18" s="8"/>
      <c r="R18" s="8"/>
    </row>
    <row r="19" spans="1:20" x14ac:dyDescent="0.35">
      <c r="A19" s="73"/>
      <c r="B19" s="185" t="str">
        <f>Modèle!B21</f>
        <v>Multimédia</v>
      </c>
      <c r="C19" s="186" t="str">
        <f>Modèle!C21</f>
        <v>4.4</v>
      </c>
      <c r="D19" s="187" t="str">
        <f>Modèle!E21</f>
        <v>A</v>
      </c>
      <c r="E19" s="166">
        <f ca="1">COUNTIF(OFFSET(Synthèse!$G28,0,0,1,COUNTA(Synthèse!$10:$10)-6),"="&amp;$E$1)</f>
        <v>0</v>
      </c>
      <c r="F19" s="166">
        <f ca="1">COUNTIF(OFFSET(Synthèse!$G28,0,0,1,COUNTA(Synthèse!$10:$10)-6),"="&amp;$F$1)</f>
        <v>0</v>
      </c>
      <c r="G19" s="166">
        <f ca="1">COUNTIF(OFFSET(Synthèse!$G28,0,0,1,COUNTA(Synthèse!$10:$10)-6),"="&amp;$G$1)</f>
        <v>0</v>
      </c>
      <c r="H19" s="166">
        <f ca="1">COUNTIF(OFFSET(Synthèse!$G28,0,0,1,COUNTA(Synthèse!$10:$10)-6),"="&amp;$H$1)</f>
        <v>0</v>
      </c>
      <c r="I19" s="209">
        <f t="shared" ca="1" si="1"/>
        <v>0</v>
      </c>
      <c r="J19" s="71"/>
      <c r="Q19" s="8"/>
      <c r="R19" s="8"/>
    </row>
    <row r="20" spans="1:20" x14ac:dyDescent="0.35">
      <c r="A20" s="73"/>
      <c r="B20" s="185" t="str">
        <f>Modèle!B22</f>
        <v>Multimédia</v>
      </c>
      <c r="C20" s="186" t="str">
        <f>Modèle!C22</f>
        <v>4.5</v>
      </c>
      <c r="D20" s="187" t="str">
        <f>Modèle!E22</f>
        <v>AA</v>
      </c>
      <c r="E20" s="166">
        <f ca="1">COUNTIF(OFFSET(Synthèse!$G29,0,0,1,COUNTA(Synthèse!$10:$10)-6),"="&amp;$E$1)</f>
        <v>0</v>
      </c>
      <c r="F20" s="166">
        <f ca="1">COUNTIF(OFFSET(Synthèse!$G29,0,0,1,COUNTA(Synthèse!$10:$10)-6),"="&amp;$F$1)</f>
        <v>0</v>
      </c>
      <c r="G20" s="166">
        <f ca="1">COUNTIF(OFFSET(Synthèse!$G29,0,0,1,COUNTA(Synthèse!$10:$10)-6),"="&amp;$G$1)</f>
        <v>0</v>
      </c>
      <c r="H20" s="166">
        <f ca="1">COUNTIF(OFFSET(Synthèse!$G29,0,0,1,COUNTA(Synthèse!$10:$10)-6),"="&amp;$H$1)</f>
        <v>0</v>
      </c>
      <c r="I20" s="209">
        <f t="shared" ca="1" si="1"/>
        <v>0</v>
      </c>
      <c r="J20" s="71"/>
      <c r="L20" s="279" t="s">
        <v>430</v>
      </c>
      <c r="M20" s="279"/>
      <c r="N20" s="279"/>
      <c r="O20"/>
      <c r="P20"/>
      <c r="Q20" s="8"/>
      <c r="R20" s="8"/>
    </row>
    <row r="21" spans="1:20" x14ac:dyDescent="0.35">
      <c r="A21" s="73"/>
      <c r="B21" s="185" t="str">
        <f>Modèle!B23</f>
        <v>Multimédia</v>
      </c>
      <c r="C21" s="186" t="str">
        <f>Modèle!C23</f>
        <v>4.6</v>
      </c>
      <c r="D21" s="187" t="str">
        <f>Modèle!E23</f>
        <v>AA</v>
      </c>
      <c r="E21" s="166">
        <f ca="1">COUNTIF(OFFSET(Synthèse!$G30,0,0,1,COUNTA(Synthèse!$10:$10)-6),"="&amp;$E$1)</f>
        <v>0</v>
      </c>
      <c r="F21" s="166">
        <f ca="1">COUNTIF(OFFSET(Synthèse!$G30,0,0,1,COUNTA(Synthèse!$10:$10)-6),"="&amp;$F$1)</f>
        <v>0</v>
      </c>
      <c r="G21" s="166">
        <f ca="1">COUNTIF(OFFSET(Synthèse!$G30,0,0,1,COUNTA(Synthèse!$10:$10)-6),"="&amp;$G$1)</f>
        <v>0</v>
      </c>
      <c r="H21" s="166">
        <f ca="1">COUNTIF(OFFSET(Synthèse!$G30,0,0,1,COUNTA(Synthèse!$10:$10)-6),"="&amp;$H$1)</f>
        <v>0</v>
      </c>
      <c r="I21" s="209">
        <f t="shared" ca="1" si="1"/>
        <v>0</v>
      </c>
      <c r="J21" s="71"/>
      <c r="L21" s="176" t="s">
        <v>251</v>
      </c>
      <c r="M21" s="20" t="s">
        <v>250</v>
      </c>
      <c r="N21" s="20" t="s">
        <v>252</v>
      </c>
      <c r="P21"/>
      <c r="Q21" s="8"/>
      <c r="R21" s="8"/>
    </row>
    <row r="22" spans="1:20" x14ac:dyDescent="0.35">
      <c r="A22" s="73"/>
      <c r="B22" s="185" t="str">
        <f>Modèle!B24</f>
        <v>Multimédia</v>
      </c>
      <c r="C22" s="186" t="str">
        <f>Modèle!C24</f>
        <v>4.7</v>
      </c>
      <c r="D22" s="187" t="str">
        <f>Modèle!E24</f>
        <v>A</v>
      </c>
      <c r="E22" s="166">
        <f ca="1">COUNTIF(OFFSET(Synthèse!$G31,0,0,1,COUNTA(Synthèse!$10:$10)-6),"="&amp;$E$1)</f>
        <v>0</v>
      </c>
      <c r="F22" s="166">
        <f ca="1">COUNTIF(OFFSET(Synthèse!$G31,0,0,1,COUNTA(Synthèse!$10:$10)-6),"="&amp;$F$1)</f>
        <v>0</v>
      </c>
      <c r="G22" s="166">
        <f ca="1">COUNTIF(OFFSET(Synthèse!$G31,0,0,1,COUNTA(Synthèse!$10:$10)-6),"="&amp;$G$1)</f>
        <v>0</v>
      </c>
      <c r="H22" s="166">
        <f ca="1">COUNTIF(OFFSET(Synthèse!$G31,0,0,1,COUNTA(Synthèse!$10:$10)-6),"="&amp;$H$1)</f>
        <v>0</v>
      </c>
      <c r="I22" s="209">
        <f t="shared" ca="1" si="1"/>
        <v>0</v>
      </c>
      <c r="J22" s="71"/>
      <c r="L22" s="22" t="s">
        <v>253</v>
      </c>
      <c r="M22" s="74" t="str">
        <f ca="1">IF(N22+N23&gt;0,(100/(N22+N23))*N22,"")</f>
        <v/>
      </c>
      <c r="N22" s="21">
        <f ca="1">COUNTIF(E2:E258,"&gt;0")</f>
        <v>0</v>
      </c>
      <c r="P22"/>
      <c r="Q22" s="8"/>
      <c r="R22" s="8"/>
    </row>
    <row r="23" spans="1:20" x14ac:dyDescent="0.35">
      <c r="A23" s="73"/>
      <c r="B23" s="185" t="str">
        <f>Modèle!B25</f>
        <v>Multimédia</v>
      </c>
      <c r="C23" s="186" t="str">
        <f>Modèle!C25</f>
        <v>4.8</v>
      </c>
      <c r="D23" s="187" t="str">
        <f>Modèle!E25</f>
        <v>A</v>
      </c>
      <c r="E23" s="166">
        <f ca="1">COUNTIF(OFFSET(Synthèse!$G32,0,0,1,COUNTA(Synthèse!$10:$10)-6),"="&amp;$E$1)</f>
        <v>0</v>
      </c>
      <c r="F23" s="166">
        <f ca="1">COUNTIF(OFFSET(Synthèse!$G32,0,0,1,COUNTA(Synthèse!$10:$10)-6),"="&amp;$F$1)</f>
        <v>0</v>
      </c>
      <c r="G23" s="166">
        <f ca="1">COUNTIF(OFFSET(Synthèse!$G32,0,0,1,COUNTA(Synthèse!$10:$10)-6),"="&amp;$G$1)</f>
        <v>0</v>
      </c>
      <c r="H23" s="166">
        <f ca="1">COUNTIF(OFFSET(Synthèse!$G32,0,0,1,COUNTA(Synthèse!$10:$10)-6),"="&amp;$H$1)</f>
        <v>0</v>
      </c>
      <c r="I23" s="209">
        <f t="shared" ca="1" si="1"/>
        <v>0</v>
      </c>
      <c r="J23" s="71"/>
      <c r="L23" s="22" t="s">
        <v>254</v>
      </c>
      <c r="M23" s="74" t="str">
        <f ca="1">IF(N22+N23&gt;0,(100/(N22+N23))*N23,"")</f>
        <v/>
      </c>
      <c r="N23" s="21">
        <f ca="1">COUNTIF(F2:F258,"&gt;0")</f>
        <v>0</v>
      </c>
      <c r="P23"/>
      <c r="Q23" s="8"/>
      <c r="R23" s="8"/>
    </row>
    <row r="24" spans="1:20" x14ac:dyDescent="0.35">
      <c r="A24" s="71"/>
      <c r="B24" s="185" t="str">
        <f>Modèle!B26</f>
        <v>Multimédia</v>
      </c>
      <c r="C24" s="186" t="str">
        <f>Modèle!C26</f>
        <v>4.9</v>
      </c>
      <c r="D24" s="187" t="str">
        <f>Modèle!E26</f>
        <v>A</v>
      </c>
      <c r="E24" s="166">
        <f ca="1">COUNTIF(OFFSET(Synthèse!$G33,0,0,1,COUNTA(Synthèse!$10:$10)-6),"="&amp;$E$1)</f>
        <v>0</v>
      </c>
      <c r="F24" s="166">
        <f ca="1">COUNTIF(OFFSET(Synthèse!$G33,0,0,1,COUNTA(Synthèse!$10:$10)-6),"="&amp;$F$1)</f>
        <v>0</v>
      </c>
      <c r="G24" s="166">
        <f ca="1">COUNTIF(OFFSET(Synthèse!$G33,0,0,1,COUNTA(Synthèse!$10:$10)-6),"="&amp;$G$1)</f>
        <v>0</v>
      </c>
      <c r="H24" s="166">
        <f ca="1">COUNTIF(OFFSET(Synthèse!$G33,0,0,1,COUNTA(Synthèse!$10:$10)-6),"="&amp;$H$1)</f>
        <v>0</v>
      </c>
      <c r="I24" s="209">
        <f t="shared" ca="1" si="1"/>
        <v>0</v>
      </c>
      <c r="J24" s="71"/>
      <c r="L24"/>
      <c r="M24"/>
      <c r="N24"/>
      <c r="O24"/>
      <c r="P24"/>
      <c r="Q24" s="8"/>
      <c r="R24" s="8"/>
    </row>
    <row r="25" spans="1:20" x14ac:dyDescent="0.35">
      <c r="A25" s="71"/>
      <c r="B25" s="78" t="str">
        <f>Modèle!B27</f>
        <v>Multimédia</v>
      </c>
      <c r="C25" s="81" t="str">
        <f>Modèle!C27</f>
        <v>4.10</v>
      </c>
      <c r="D25" s="82" t="str">
        <f>Modèle!E27</f>
        <v>A</v>
      </c>
      <c r="E25" s="166">
        <f ca="1">COUNTIF(OFFSET(Synthèse!$G34,0,0,1,COUNTA(Synthèse!$10:$10)-6),"="&amp;$E$1)</f>
        <v>0</v>
      </c>
      <c r="F25" s="166">
        <f ca="1">COUNTIF(OFFSET(Synthèse!$G34,0,0,1,COUNTA(Synthèse!$10:$10)-6),"="&amp;$F$1)</f>
        <v>0</v>
      </c>
      <c r="G25" s="166">
        <f ca="1">COUNTIF(OFFSET(Synthèse!$G34,0,0,1,COUNTA(Synthèse!$10:$10)-6),"="&amp;$G$1)</f>
        <v>0</v>
      </c>
      <c r="H25" s="166">
        <f ca="1">COUNTIF(OFFSET(Synthèse!$G34,0,0,1,COUNTA(Synthèse!$10:$10)-6),"="&amp;$H$1)</f>
        <v>0</v>
      </c>
      <c r="I25" s="209">
        <f t="shared" ca="1" si="1"/>
        <v>0</v>
      </c>
      <c r="J25" s="71"/>
      <c r="L25"/>
      <c r="M25"/>
      <c r="N25"/>
      <c r="O25"/>
      <c r="P25"/>
      <c r="Q25" s="8"/>
      <c r="R25" s="8"/>
    </row>
    <row r="26" spans="1:20" x14ac:dyDescent="0.35">
      <c r="A26" s="71"/>
      <c r="B26" s="78" t="str">
        <f>Modèle!B28</f>
        <v>Multimédia</v>
      </c>
      <c r="C26" s="81" t="str">
        <f>Modèle!C28</f>
        <v>4.11</v>
      </c>
      <c r="D26" s="82" t="str">
        <f>Modèle!E28</f>
        <v>A</v>
      </c>
      <c r="E26" s="166">
        <f ca="1">COUNTIF(OFFSET(Synthèse!$G35,0,0,1,COUNTA(Synthèse!$10:$10)-6),"="&amp;$E$1)</f>
        <v>0</v>
      </c>
      <c r="F26" s="166">
        <f ca="1">COUNTIF(OFFSET(Synthèse!$G35,0,0,1,COUNTA(Synthèse!$10:$10)-6),"="&amp;$F$1)</f>
        <v>0</v>
      </c>
      <c r="G26" s="166">
        <f ca="1">COUNTIF(OFFSET(Synthèse!$G35,0,0,1,COUNTA(Synthèse!$10:$10)-6),"="&amp;$G$1)</f>
        <v>0</v>
      </c>
      <c r="H26" s="166">
        <f ca="1">COUNTIF(OFFSET(Synthèse!$G35,0,0,1,COUNTA(Synthèse!$10:$10)-6),"="&amp;$H$1)</f>
        <v>0</v>
      </c>
      <c r="I26" s="209">
        <f t="shared" ca="1" si="1"/>
        <v>0</v>
      </c>
      <c r="J26" s="71"/>
      <c r="L26" s="279" t="s">
        <v>255</v>
      </c>
      <c r="M26" s="279"/>
      <c r="N26" s="279"/>
      <c r="O26" s="279"/>
      <c r="P26" s="279"/>
      <c r="Q26" s="279"/>
      <c r="R26" s="172"/>
    </row>
    <row r="27" spans="1:20" x14ac:dyDescent="0.35">
      <c r="A27" s="71"/>
      <c r="B27" s="78" t="str">
        <f>Modèle!B29</f>
        <v>Multimédia</v>
      </c>
      <c r="C27" s="81" t="str">
        <f>Modèle!C29</f>
        <v>4.12</v>
      </c>
      <c r="D27" s="82" t="str">
        <f>Modèle!E29</f>
        <v>A</v>
      </c>
      <c r="E27" s="166">
        <f ca="1">COUNTIF(OFFSET(Synthèse!$G36,0,0,1,COUNTA(Synthèse!$10:$10)-6),"="&amp;$E$1)</f>
        <v>0</v>
      </c>
      <c r="F27" s="166">
        <f ca="1">COUNTIF(OFFSET(Synthèse!$G36,0,0,1,COUNTA(Synthèse!$10:$10)-6),"="&amp;$F$1)</f>
        <v>0</v>
      </c>
      <c r="G27" s="166">
        <f ca="1">COUNTIF(OFFSET(Synthèse!$G36,0,0,1,COUNTA(Synthèse!$10:$10)-6),"="&amp;$G$1)</f>
        <v>0</v>
      </c>
      <c r="H27" s="166">
        <f ca="1">COUNTIF(OFFSET(Synthèse!$G36,0,0,1,COUNTA(Synthèse!$10:$10)-6),"="&amp;$H$1)</f>
        <v>0</v>
      </c>
      <c r="I27" s="209">
        <f t="shared" ca="1" si="1"/>
        <v>0</v>
      </c>
      <c r="J27" s="71"/>
      <c r="L27" s="52"/>
      <c r="M27" s="20" t="s">
        <v>243</v>
      </c>
      <c r="N27" s="20" t="s">
        <v>244</v>
      </c>
      <c r="O27" s="20" t="s">
        <v>245</v>
      </c>
      <c r="P27" s="20" t="s">
        <v>256</v>
      </c>
      <c r="Q27" s="86" t="s">
        <v>246</v>
      </c>
      <c r="R27" s="86"/>
    </row>
    <row r="28" spans="1:20" x14ac:dyDescent="0.35">
      <c r="A28" s="71"/>
      <c r="B28" s="78" t="str">
        <f>Modèle!B30</f>
        <v>Multimédia</v>
      </c>
      <c r="C28" s="81" t="str">
        <f>Modèle!C30</f>
        <v>4.13</v>
      </c>
      <c r="D28" s="82" t="str">
        <f>Modèle!E30</f>
        <v>A</v>
      </c>
      <c r="E28" s="166">
        <f ca="1">COUNTIF(OFFSET(Synthèse!$G37,0,0,1,COUNTA(Synthèse!$10:$10)-6),"="&amp;$E$1)</f>
        <v>0</v>
      </c>
      <c r="F28" s="166">
        <f ca="1">COUNTIF(OFFSET(Synthèse!$G37,0,0,1,COUNTA(Synthèse!$10:$10)-6),"="&amp;$F$1)</f>
        <v>0</v>
      </c>
      <c r="G28" s="166">
        <f ca="1">COUNTIF(OFFSET(Synthèse!$G37,0,0,1,COUNTA(Synthèse!$10:$10)-6),"="&amp;$G$1)</f>
        <v>0</v>
      </c>
      <c r="H28" s="166">
        <f ca="1">COUNTIF(OFFSET(Synthèse!$G37,0,0,1,COUNTA(Synthèse!$10:$10)-6),"="&amp;$H$1)</f>
        <v>0</v>
      </c>
      <c r="I28" s="209">
        <f t="shared" ca="1" si="1"/>
        <v>0</v>
      </c>
      <c r="J28" s="71"/>
      <c r="L28" s="22" t="s">
        <v>253</v>
      </c>
      <c r="M28" s="157">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157">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157">
        <f ca="1">COUNTIF(I55:I59,L28)+COUNTIF(I84:I87,L28)+COUNTIF(I103:I110,L28)+COUNTIF(I186:I188,L28)+COUNTIF(I210:I215,L28)+COUNTIF(I247:I248,L28)+COUNTIF(I268:I271,L28)+COUNTIF(I281:I295,L28)</f>
        <v>0</v>
      </c>
      <c r="P28" s="157">
        <f ca="1">COUNTIF(I55:I59,L28)+COUNTIF(I84:I87,L28)+COUNTIF(I103:I110,L28)+COUNTIF(I186:I188,L28)+COUNTIF(I210:I215,L28)+COUNTIF(I247:I248,L28)+COUNTIF(I268:I271,L28)+COUNTIF(I281:I295,L28)</f>
        <v>0</v>
      </c>
      <c r="Q28" s="87">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87"/>
    </row>
    <row r="29" spans="1:20" x14ac:dyDescent="0.35">
      <c r="A29" s="71"/>
      <c r="B29" s="77" t="str">
        <f>Modèle!B31</f>
        <v>Tableaux</v>
      </c>
      <c r="C29" s="79" t="str">
        <f>Modèle!C31</f>
        <v>5.1</v>
      </c>
      <c r="D29" s="80" t="str">
        <f>Modèle!E31</f>
        <v>A</v>
      </c>
      <c r="E29" s="166">
        <f ca="1">COUNTIF(OFFSET(Synthèse!$G38,0,0,1,COUNTA(Synthèse!$10:$10)-6),"="&amp;$E$1)</f>
        <v>0</v>
      </c>
      <c r="F29" s="166">
        <f ca="1">COUNTIF(OFFSET(Synthèse!$G38,0,0,1,COUNTA(Synthèse!$10:$10)-6),"="&amp;$F$1)</f>
        <v>0</v>
      </c>
      <c r="G29" s="166">
        <f ca="1">COUNTIF(OFFSET(Synthèse!$G38,0,0,1,COUNTA(Synthèse!$10:$10)-6),"="&amp;$G$1)</f>
        <v>0</v>
      </c>
      <c r="H29" s="166">
        <f ca="1">COUNTIF(OFFSET(Synthèse!$G38,0,0,1,COUNTA(Synthèse!$10:$10)-6),"="&amp;$H$1)</f>
        <v>0</v>
      </c>
      <c r="I29" s="209">
        <f t="shared" ca="1" si="1"/>
        <v>0</v>
      </c>
      <c r="J29" s="71"/>
      <c r="L29" s="22" t="s">
        <v>254</v>
      </c>
      <c r="M29" s="157">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157">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157">
        <f ca="1">COUNTIF(I55:I59,L29)+COUNTIF(I84:I87,L29)+COUNTIF(I103:I110,L29)+COUNTIF(I186:I188,L29)+COUNTIF(I210:I215,L29)+COUNTIF(I247:I248,L29)+COUNTIF(I268:I271,L29)+COUNTIF(I281:I295,L29)</f>
        <v>0</v>
      </c>
      <c r="P29" s="157">
        <f ca="1">COUNTIF(I55:I59,L29)+COUNTIF(I84:I87,L29)+COUNTIF(I103:I110,L29)+COUNTIF(I186:I188,L29)+COUNTIF(I210:I215,L29)+COUNTIF(I247:I248,L29)+COUNTIF(I268:I271,L29)+COUNTIF(I281:I295,L29)</f>
        <v>0</v>
      </c>
      <c r="Q29" s="87">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87"/>
      <c r="T29"/>
    </row>
    <row r="30" spans="1:20" x14ac:dyDescent="0.35">
      <c r="A30" s="71"/>
      <c r="B30" s="77" t="str">
        <f>Modèle!B32</f>
        <v>Tableaux</v>
      </c>
      <c r="C30" s="79" t="str">
        <f>Modèle!C32</f>
        <v>5.2</v>
      </c>
      <c r="D30" s="80" t="str">
        <f>Modèle!E32</f>
        <v>A</v>
      </c>
      <c r="E30" s="166">
        <f ca="1">COUNTIF(OFFSET(Synthèse!$G39,0,0,1,COUNTA(Synthèse!$10:$10)-6),"="&amp;$E$1)</f>
        <v>0</v>
      </c>
      <c r="F30" s="166">
        <f ca="1">COUNTIF(OFFSET(Synthèse!$G39,0,0,1,COUNTA(Synthèse!$10:$10)-6),"="&amp;$F$1)</f>
        <v>0</v>
      </c>
      <c r="G30" s="166">
        <f ca="1">COUNTIF(OFFSET(Synthèse!$G39,0,0,1,COUNTA(Synthèse!$10:$10)-6),"="&amp;$G$1)</f>
        <v>0</v>
      </c>
      <c r="H30" s="166">
        <f ca="1">COUNTIF(OFFSET(Synthèse!$G39,0,0,1,COUNTA(Synthèse!$10:$10)-6),"="&amp;$H$1)</f>
        <v>0</v>
      </c>
      <c r="I30" s="209">
        <f t="shared" ca="1" si="1"/>
        <v>0</v>
      </c>
      <c r="J30" s="71"/>
      <c r="L30" s="22" t="s">
        <v>257</v>
      </c>
      <c r="M30" s="75" t="str">
        <f ca="1">IF(M28+M29&gt;0,(100/(M28+M29))*M29,"")</f>
        <v/>
      </c>
      <c r="N30" s="75" t="str">
        <f ca="1">IF(N28+N29&gt;0,(100/(N28+N29))*N29,"")</f>
        <v/>
      </c>
      <c r="O30" s="75" t="str">
        <f t="shared" ref="O30:Q30" ca="1" si="8">IF(O28+O29&gt;0,(100/(O28+O29))*O29,"")</f>
        <v/>
      </c>
      <c r="P30" s="75" t="str">
        <f t="shared" ca="1" si="8"/>
        <v/>
      </c>
      <c r="Q30" s="75" t="str">
        <f t="shared" ca="1" si="8"/>
        <v/>
      </c>
      <c r="R30" s="88"/>
      <c r="T30"/>
    </row>
    <row r="31" spans="1:20" x14ac:dyDescent="0.35">
      <c r="A31" s="71"/>
      <c r="B31" s="77" t="str">
        <f>Modèle!B33</f>
        <v>Tableaux</v>
      </c>
      <c r="C31" s="79" t="str">
        <f>Modèle!C33</f>
        <v>5.3</v>
      </c>
      <c r="D31" s="80" t="str">
        <f>Modèle!E33</f>
        <v>A</v>
      </c>
      <c r="E31" s="166">
        <f ca="1">COUNTIF(OFFSET(Synthèse!$G40,0,0,1,COUNTA(Synthèse!$10:$10)-6),"="&amp;$E$1)</f>
        <v>0</v>
      </c>
      <c r="F31" s="166">
        <f ca="1">COUNTIF(OFFSET(Synthèse!$G40,0,0,1,COUNTA(Synthèse!$10:$10)-6),"="&amp;$F$1)</f>
        <v>0</v>
      </c>
      <c r="G31" s="166">
        <f ca="1">COUNTIF(OFFSET(Synthèse!$G40,0,0,1,COUNTA(Synthèse!$10:$10)-6),"="&amp;$G$1)</f>
        <v>0</v>
      </c>
      <c r="H31" s="166">
        <f ca="1">COUNTIF(OFFSET(Synthèse!$G40,0,0,1,COUNTA(Synthèse!$10:$10)-6),"="&amp;$H$1)</f>
        <v>0</v>
      </c>
      <c r="I31" s="209">
        <f t="shared" ca="1" si="1"/>
        <v>0</v>
      </c>
      <c r="J31" s="71"/>
      <c r="Q31" s="8"/>
      <c r="R31" s="8"/>
    </row>
    <row r="32" spans="1:20" x14ac:dyDescent="0.35">
      <c r="A32" s="71"/>
      <c r="B32" s="77" t="str">
        <f>Modèle!B34</f>
        <v>Tableaux</v>
      </c>
      <c r="C32" s="79" t="str">
        <f>Modèle!C34</f>
        <v>5.4</v>
      </c>
      <c r="D32" s="80" t="str">
        <f>Modèle!E34</f>
        <v>A</v>
      </c>
      <c r="E32" s="166">
        <f ca="1">COUNTIF(OFFSET(Synthèse!$G41,0,0,1,COUNTA(Synthèse!$10:$10)-6),"="&amp;$E$1)</f>
        <v>0</v>
      </c>
      <c r="F32" s="166">
        <f ca="1">COUNTIF(OFFSET(Synthèse!$G41,0,0,1,COUNTA(Synthèse!$10:$10)-6),"="&amp;$F$1)</f>
        <v>0</v>
      </c>
      <c r="G32" s="166">
        <f ca="1">COUNTIF(OFFSET(Synthèse!$G41,0,0,1,COUNTA(Synthèse!$10:$10)-6),"="&amp;$G$1)</f>
        <v>0</v>
      </c>
      <c r="H32" s="166">
        <f ca="1">COUNTIF(OFFSET(Synthèse!$G41,0,0,1,COUNTA(Synthèse!$10:$10)-6),"="&amp;$H$1)</f>
        <v>0</v>
      </c>
      <c r="I32" s="209">
        <f t="shared" ca="1" si="1"/>
        <v>0</v>
      </c>
      <c r="J32" s="71"/>
      <c r="L32" s="280" t="s">
        <v>429</v>
      </c>
      <c r="M32" s="280"/>
      <c r="N32" s="280"/>
      <c r="O32" s="280"/>
      <c r="P32" s="280"/>
      <c r="Q32" s="280"/>
      <c r="R32" s="280"/>
    </row>
    <row r="33" spans="1:18" x14ac:dyDescent="0.35">
      <c r="A33" s="71"/>
      <c r="B33" s="77" t="str">
        <f>Modèle!B35</f>
        <v>Tableaux</v>
      </c>
      <c r="C33" s="79" t="str">
        <f>Modèle!C35</f>
        <v>5.5</v>
      </c>
      <c r="D33" s="80" t="str">
        <f>Modèle!E35</f>
        <v>A</v>
      </c>
      <c r="E33" s="166">
        <f ca="1">COUNTIF(OFFSET(Synthèse!$G42,0,0,1,COUNTA(Synthèse!$10:$10)-6),"="&amp;$E$1)</f>
        <v>0</v>
      </c>
      <c r="F33" s="166">
        <f ca="1">COUNTIF(OFFSET(Synthèse!$G42,0,0,1,COUNTA(Synthèse!$10:$10)-6),"="&amp;$F$1)</f>
        <v>0</v>
      </c>
      <c r="G33" s="166">
        <f ca="1">COUNTIF(OFFSET(Synthèse!$G42,0,0,1,COUNTA(Synthèse!$10:$10)-6),"="&amp;$G$1)</f>
        <v>0</v>
      </c>
      <c r="H33" s="166">
        <f ca="1">COUNTIF(OFFSET(Synthèse!$G42,0,0,1,COUNTA(Synthèse!$10:$10)-6),"="&amp;$H$1)</f>
        <v>0</v>
      </c>
      <c r="I33" s="209">
        <f t="shared" ca="1" si="1"/>
        <v>0</v>
      </c>
      <c r="J33" s="71"/>
      <c r="K33" s="198"/>
      <c r="L33" s="171" t="s">
        <v>21</v>
      </c>
      <c r="M33" s="171" t="s">
        <v>608</v>
      </c>
      <c r="N33" s="171" t="s">
        <v>258</v>
      </c>
      <c r="O33" s="199" t="s">
        <v>9</v>
      </c>
      <c r="P33" s="199" t="s">
        <v>10</v>
      </c>
      <c r="Q33" s="199" t="s">
        <v>382</v>
      </c>
      <c r="R33" s="199" t="s">
        <v>11</v>
      </c>
    </row>
    <row r="34" spans="1:18" x14ac:dyDescent="0.35">
      <c r="A34" s="71"/>
      <c r="B34" s="77" t="str">
        <f>Modèle!B36</f>
        <v>Tableaux</v>
      </c>
      <c r="C34" s="79" t="str">
        <f>Modèle!C36</f>
        <v>5.6</v>
      </c>
      <c r="D34" s="80" t="str">
        <f>Modèle!E36</f>
        <v>A</v>
      </c>
      <c r="E34" s="166">
        <f ca="1">COUNTIF(OFFSET(Synthèse!$G43,0,0,1,COUNTA(Synthèse!$10:$10)-6),"="&amp;$E$1)</f>
        <v>0</v>
      </c>
      <c r="F34" s="166">
        <f ca="1">COUNTIF(OFFSET(Synthèse!$G43,0,0,1,COUNTA(Synthèse!$10:$10)-6),"="&amp;$F$1)</f>
        <v>0</v>
      </c>
      <c r="G34" s="166">
        <f ca="1">COUNTIF(OFFSET(Synthèse!$G43,0,0,1,COUNTA(Synthèse!$10:$10)-6),"="&amp;$G$1)</f>
        <v>0</v>
      </c>
      <c r="H34" s="166">
        <f ca="1">COUNTIF(OFFSET(Synthèse!$G43,0,0,1,COUNTA(Synthèse!$10:$10)-6),"="&amp;$H$1)</f>
        <v>0</v>
      </c>
      <c r="I34" s="209">
        <f t="shared" ca="1" si="1"/>
        <v>0</v>
      </c>
      <c r="J34" s="71"/>
      <c r="L34" s="167" t="s">
        <v>22</v>
      </c>
      <c r="M34" s="167"/>
      <c r="N34" s="167" t="s">
        <v>260</v>
      </c>
      <c r="O34" s="168">
        <f ca="1">IF(E2&gt;=1,0,1)</f>
        <v>1</v>
      </c>
      <c r="P34" s="168">
        <f ca="1">IF(E2&gt;=1,1,IF(G2&gt;=1,1,IF(F2&gt;=1,0,1)))</f>
        <v>1</v>
      </c>
      <c r="Q34" s="168">
        <f ca="1">IF(E2&gt;=1,1,IF(G2&gt;=1,0,1))</f>
        <v>1</v>
      </c>
      <c r="R34" s="168">
        <f ca="1">IF(E2&gt;=1,1,IF(G2&gt;=1,1,IF(F2&gt;=1,1,IF(H2&gt;=1,0,1))))</f>
        <v>1</v>
      </c>
    </row>
    <row r="35" spans="1:18" x14ac:dyDescent="0.35">
      <c r="A35" s="71"/>
      <c r="B35" s="77" t="str">
        <f>Modèle!B37</f>
        <v>Tableaux</v>
      </c>
      <c r="C35" s="79" t="str">
        <f>Modèle!C37</f>
        <v>5.7</v>
      </c>
      <c r="D35" s="80" t="str">
        <f>Modèle!E37</f>
        <v>A</v>
      </c>
      <c r="E35" s="166">
        <f ca="1">COUNTIF(OFFSET(Synthèse!$G44,0,0,1,COUNTA(Synthèse!$10:$10)-6),"="&amp;$E$1)</f>
        <v>0</v>
      </c>
      <c r="F35" s="166">
        <f ca="1">COUNTIF(OFFSET(Synthèse!$G44,0,0,1,COUNTA(Synthèse!$10:$10)-6),"="&amp;$F$1)</f>
        <v>0</v>
      </c>
      <c r="G35" s="166">
        <f ca="1">COUNTIF(OFFSET(Synthèse!$G44,0,0,1,COUNTA(Synthèse!$10:$10)-6),"="&amp;$G$1)</f>
        <v>0</v>
      </c>
      <c r="H35" s="166">
        <f ca="1">COUNTIF(OFFSET(Synthèse!$G44,0,0,1,COUNTA(Synthèse!$10:$10)-6),"="&amp;$H$1)</f>
        <v>0</v>
      </c>
      <c r="I35" s="209">
        <f t="shared" ca="1" si="1"/>
        <v>0</v>
      </c>
      <c r="J35" s="71"/>
      <c r="L35" s="167" t="s">
        <v>22</v>
      </c>
      <c r="M35" s="167"/>
      <c r="N35" s="167" t="s">
        <v>262</v>
      </c>
      <c r="O35" s="168">
        <f t="shared" ref="O35:O98" ca="1" si="9">IF(E3&gt;=1,0,1)</f>
        <v>1</v>
      </c>
      <c r="P35" s="168">
        <f t="shared" ref="P35:P98" ca="1" si="10">IF(E3&gt;=1,1,IF(G3&gt;=1,1,IF(F3&gt;=1,0,1)))</f>
        <v>1</v>
      </c>
      <c r="Q35" s="168">
        <f t="shared" ref="Q35:Q98" ca="1" si="11">IF(E3&gt;=1,1,IF(G3&gt;=1,0,1))</f>
        <v>1</v>
      </c>
      <c r="R35" s="168">
        <f t="shared" ref="R35:R98" ca="1" si="12">IF(E3&gt;=1,1,IF(G3&gt;=1,1,IF(F3&gt;=1,1,IF(H3&gt;=1,0,1))))</f>
        <v>1</v>
      </c>
    </row>
    <row r="36" spans="1:18" x14ac:dyDescent="0.35">
      <c r="A36" s="71"/>
      <c r="B36" s="77" t="str">
        <f>Modèle!B38</f>
        <v>Tableaux</v>
      </c>
      <c r="C36" s="79" t="str">
        <f>Modèle!C38</f>
        <v>5.8</v>
      </c>
      <c r="D36" s="80" t="str">
        <f>Modèle!E38</f>
        <v>A</v>
      </c>
      <c r="E36" s="166">
        <f ca="1">COUNTIF(OFFSET(Synthèse!$G45,0,0,1,COUNTA(Synthèse!$10:$10)-6),"="&amp;$E$1)</f>
        <v>0</v>
      </c>
      <c r="F36" s="166">
        <f ca="1">COUNTIF(OFFSET(Synthèse!$G45,0,0,1,COUNTA(Synthèse!$10:$10)-6),"="&amp;$F$1)</f>
        <v>0</v>
      </c>
      <c r="G36" s="166">
        <f ca="1">COUNTIF(OFFSET(Synthèse!$G45,0,0,1,COUNTA(Synthèse!$10:$10)-6),"="&amp;$G$1)</f>
        <v>0</v>
      </c>
      <c r="H36" s="166">
        <f ca="1">COUNTIF(OFFSET(Synthèse!$G45,0,0,1,COUNTA(Synthèse!$10:$10)-6),"="&amp;$H$1)</f>
        <v>0</v>
      </c>
      <c r="I36" s="209">
        <f t="shared" ca="1" si="1"/>
        <v>0</v>
      </c>
      <c r="J36" s="71"/>
      <c r="L36" s="167" t="s">
        <v>22</v>
      </c>
      <c r="M36" s="167"/>
      <c r="N36" s="167" t="s">
        <v>263</v>
      </c>
      <c r="O36" s="168">
        <f t="shared" ca="1" si="9"/>
        <v>1</v>
      </c>
      <c r="P36" s="168">
        <f t="shared" ca="1" si="10"/>
        <v>1</v>
      </c>
      <c r="Q36" s="168">
        <f t="shared" ca="1" si="11"/>
        <v>1</v>
      </c>
      <c r="R36" s="168">
        <f t="shared" ca="1" si="12"/>
        <v>1</v>
      </c>
    </row>
    <row r="37" spans="1:18" x14ac:dyDescent="0.35">
      <c r="A37" s="71"/>
      <c r="B37" s="78" t="str">
        <f>Modèle!B39</f>
        <v>Liens</v>
      </c>
      <c r="C37" s="81" t="str">
        <f>Modèle!C39</f>
        <v>6.1</v>
      </c>
      <c r="D37" s="82" t="str">
        <f>Modèle!E39</f>
        <v>A</v>
      </c>
      <c r="E37" s="166">
        <f ca="1">COUNTIF(OFFSET(Synthèse!$G46,0,0,1,COUNTA(Synthèse!$10:$10)-6),"="&amp;$E$1)</f>
        <v>0</v>
      </c>
      <c r="F37" s="166">
        <f ca="1">COUNTIF(OFFSET(Synthèse!$G46,0,0,1,COUNTA(Synthèse!$10:$10)-6),"="&amp;$F$1)</f>
        <v>0</v>
      </c>
      <c r="G37" s="166">
        <f ca="1">COUNTIF(OFFSET(Synthèse!$G46,0,0,1,COUNTA(Synthèse!$10:$10)-6),"="&amp;$G$1)</f>
        <v>0</v>
      </c>
      <c r="H37" s="166">
        <f ca="1">COUNTIF(OFFSET(Synthèse!$G46,0,0,1,COUNTA(Synthèse!$10:$10)-6),"="&amp;$H$1)</f>
        <v>0</v>
      </c>
      <c r="I37" s="209">
        <f t="shared" ca="1" si="1"/>
        <v>0</v>
      </c>
      <c r="J37" s="71"/>
      <c r="L37" s="167" t="s">
        <v>22</v>
      </c>
      <c r="M37" s="167"/>
      <c r="N37" s="167" t="s">
        <v>264</v>
      </c>
      <c r="O37" s="168">
        <f t="shared" ca="1" si="9"/>
        <v>1</v>
      </c>
      <c r="P37" s="168">
        <f t="shared" ca="1" si="10"/>
        <v>1</v>
      </c>
      <c r="Q37" s="168">
        <f t="shared" ca="1" si="11"/>
        <v>1</v>
      </c>
      <c r="R37" s="168">
        <f t="shared" ca="1" si="12"/>
        <v>1</v>
      </c>
    </row>
    <row r="38" spans="1:18" x14ac:dyDescent="0.35">
      <c r="A38" s="71"/>
      <c r="B38" s="78" t="str">
        <f>Modèle!B40</f>
        <v>Liens</v>
      </c>
      <c r="C38" s="81" t="str">
        <f>Modèle!C40</f>
        <v>6.2</v>
      </c>
      <c r="D38" s="82" t="str">
        <f>Modèle!E40</f>
        <v>A</v>
      </c>
      <c r="E38" s="166">
        <f ca="1">COUNTIF(OFFSET(Synthèse!$G47,0,0,1,COUNTA(Synthèse!$10:$10)-6),"="&amp;$E$1)</f>
        <v>0</v>
      </c>
      <c r="F38" s="166">
        <f ca="1">COUNTIF(OFFSET(Synthèse!$G47,0,0,1,COUNTA(Synthèse!$10:$10)-6),"="&amp;$F$1)</f>
        <v>0</v>
      </c>
      <c r="G38" s="166">
        <f ca="1">COUNTIF(OFFSET(Synthèse!$G47,0,0,1,COUNTA(Synthèse!$10:$10)-6),"="&amp;$G$1)</f>
        <v>0</v>
      </c>
      <c r="H38" s="166">
        <f ca="1">COUNTIF(OFFSET(Synthèse!$G47,0,0,1,COUNTA(Synthèse!$10:$10)-6),"="&amp;$H$1)</f>
        <v>0</v>
      </c>
      <c r="I38" s="209">
        <f t="shared" ca="1" si="1"/>
        <v>0</v>
      </c>
      <c r="J38" s="71"/>
      <c r="L38" s="167" t="s">
        <v>22</v>
      </c>
      <c r="M38" s="167"/>
      <c r="N38" s="167" t="s">
        <v>265</v>
      </c>
      <c r="O38" s="168">
        <f t="shared" ca="1" si="9"/>
        <v>1</v>
      </c>
      <c r="P38" s="168">
        <f t="shared" ca="1" si="10"/>
        <v>1</v>
      </c>
      <c r="Q38" s="168">
        <f t="shared" ca="1" si="11"/>
        <v>1</v>
      </c>
      <c r="R38" s="168">
        <f t="shared" ca="1" si="12"/>
        <v>1</v>
      </c>
    </row>
    <row r="39" spans="1:18" x14ac:dyDescent="0.35">
      <c r="A39" s="71"/>
      <c r="B39" s="77" t="str">
        <f>Modèle!B41</f>
        <v>Scripts</v>
      </c>
      <c r="C39" s="79" t="str">
        <f>Modèle!C41</f>
        <v>7.1</v>
      </c>
      <c r="D39" s="80" t="str">
        <f>Modèle!E41</f>
        <v>A</v>
      </c>
      <c r="E39" s="166">
        <f ca="1">COUNTIF(OFFSET(Synthèse!$G48,0,0,1,COUNTA(Synthèse!$10:$10)-6),"="&amp;$E$1)</f>
        <v>0</v>
      </c>
      <c r="F39" s="166">
        <f ca="1">COUNTIF(OFFSET(Synthèse!$G48,0,0,1,COUNTA(Synthèse!$10:$10)-6),"="&amp;$F$1)</f>
        <v>0</v>
      </c>
      <c r="G39" s="166">
        <f ca="1">COUNTIF(OFFSET(Synthèse!$G48,0,0,1,COUNTA(Synthèse!$10:$10)-6),"="&amp;$G$1)</f>
        <v>0</v>
      </c>
      <c r="H39" s="166">
        <f ca="1">COUNTIF(OFFSET(Synthèse!$G48,0,0,1,COUNTA(Synthèse!$10:$10)-6),"="&amp;$H$1)</f>
        <v>0</v>
      </c>
      <c r="I39" s="209">
        <f t="shared" ca="1" si="1"/>
        <v>0</v>
      </c>
      <c r="J39" s="71"/>
      <c r="L39" s="167" t="s">
        <v>22</v>
      </c>
      <c r="M39" s="167"/>
      <c r="N39" s="167" t="s">
        <v>266</v>
      </c>
      <c r="O39" s="168">
        <f t="shared" ca="1" si="9"/>
        <v>1</v>
      </c>
      <c r="P39" s="168">
        <f t="shared" ca="1" si="10"/>
        <v>1</v>
      </c>
      <c r="Q39" s="168">
        <f t="shared" ca="1" si="11"/>
        <v>1</v>
      </c>
      <c r="R39" s="168">
        <f t="shared" ca="1" si="12"/>
        <v>1</v>
      </c>
    </row>
    <row r="40" spans="1:18" x14ac:dyDescent="0.35">
      <c r="A40" s="71"/>
      <c r="B40" s="77" t="str">
        <f>Modèle!B42</f>
        <v>Scripts</v>
      </c>
      <c r="C40" s="79" t="str">
        <f>Modèle!C42</f>
        <v>7.2</v>
      </c>
      <c r="D40" s="80" t="str">
        <f>Modèle!E42</f>
        <v>A</v>
      </c>
      <c r="E40" s="166">
        <f ca="1">COUNTIF(OFFSET(Synthèse!$G49,0,0,1,COUNTA(Synthèse!$10:$10)-6),"="&amp;$E$1)</f>
        <v>0</v>
      </c>
      <c r="F40" s="166">
        <f ca="1">COUNTIF(OFFSET(Synthèse!$G49,0,0,1,COUNTA(Synthèse!$10:$10)-6),"="&amp;$F$1)</f>
        <v>0</v>
      </c>
      <c r="G40" s="166">
        <f ca="1">COUNTIF(OFFSET(Synthèse!$G49,0,0,1,COUNTA(Synthèse!$10:$10)-6),"="&amp;$G$1)</f>
        <v>0</v>
      </c>
      <c r="H40" s="166">
        <f ca="1">COUNTIF(OFFSET(Synthèse!$G49,0,0,1,COUNTA(Synthèse!$10:$10)-6),"="&amp;$H$1)</f>
        <v>0</v>
      </c>
      <c r="I40" s="209">
        <f t="shared" ca="1" si="1"/>
        <v>0</v>
      </c>
      <c r="J40" s="71"/>
      <c r="L40" s="167" t="s">
        <v>22</v>
      </c>
      <c r="M40" s="167"/>
      <c r="N40" s="167" t="s">
        <v>267</v>
      </c>
      <c r="O40" s="168">
        <f t="shared" ca="1" si="9"/>
        <v>1</v>
      </c>
      <c r="P40" s="168">
        <f t="shared" ca="1" si="10"/>
        <v>1</v>
      </c>
      <c r="Q40" s="168">
        <f t="shared" ca="1" si="11"/>
        <v>1</v>
      </c>
      <c r="R40" s="168">
        <f t="shared" ca="1" si="12"/>
        <v>1</v>
      </c>
    </row>
    <row r="41" spans="1:18" x14ac:dyDescent="0.35">
      <c r="A41" s="71"/>
      <c r="B41" s="77" t="str">
        <f>Modèle!B43</f>
        <v>Scripts</v>
      </c>
      <c r="C41" s="79" t="str">
        <f>Modèle!C43</f>
        <v>7.3</v>
      </c>
      <c r="D41" s="80" t="str">
        <f>Modèle!E43</f>
        <v>A</v>
      </c>
      <c r="E41" s="166">
        <f ca="1">COUNTIF(OFFSET(Synthèse!$G50,0,0,1,COUNTA(Synthèse!$10:$10)-6),"="&amp;$E$1)</f>
        <v>0</v>
      </c>
      <c r="F41" s="166">
        <f ca="1">COUNTIF(OFFSET(Synthèse!$G50,0,0,1,COUNTA(Synthèse!$10:$10)-6),"="&amp;$F$1)</f>
        <v>0</v>
      </c>
      <c r="G41" s="166">
        <f ca="1">COUNTIF(OFFSET(Synthèse!$G50,0,0,1,COUNTA(Synthèse!$10:$10)-6),"="&amp;$G$1)</f>
        <v>0</v>
      </c>
      <c r="H41" s="166">
        <f ca="1">COUNTIF(OFFSET(Synthèse!$G50,0,0,1,COUNTA(Synthèse!$10:$10)-6),"="&amp;$H$1)</f>
        <v>0</v>
      </c>
      <c r="I41" s="209">
        <f t="shared" ca="1" si="1"/>
        <v>0</v>
      </c>
      <c r="J41" s="71"/>
      <c r="L41" s="167" t="s">
        <v>23</v>
      </c>
      <c r="M41" s="167"/>
      <c r="N41" s="167" t="s">
        <v>269</v>
      </c>
      <c r="O41" s="168">
        <f t="shared" ca="1" si="9"/>
        <v>1</v>
      </c>
      <c r="P41" s="168">
        <f t="shared" ca="1" si="10"/>
        <v>1</v>
      </c>
      <c r="Q41" s="168">
        <f t="shared" ca="1" si="11"/>
        <v>1</v>
      </c>
      <c r="R41" s="168">
        <f t="shared" ca="1" si="12"/>
        <v>1</v>
      </c>
    </row>
    <row r="42" spans="1:18" x14ac:dyDescent="0.35">
      <c r="A42" s="71"/>
      <c r="B42" s="77" t="str">
        <f>Modèle!B44</f>
        <v>Scripts</v>
      </c>
      <c r="C42" s="79" t="str">
        <f>Modèle!C44</f>
        <v>7.4</v>
      </c>
      <c r="D42" s="80" t="str">
        <f>Modèle!E44</f>
        <v>A</v>
      </c>
      <c r="E42" s="166">
        <f ca="1">COUNTIF(OFFSET(Synthèse!$G51,0,0,1,COUNTA(Synthèse!$10:$10)-6),"="&amp;$E$1)</f>
        <v>0</v>
      </c>
      <c r="F42" s="166">
        <f ca="1">COUNTIF(OFFSET(Synthèse!$G51,0,0,1,COUNTA(Synthèse!$10:$10)-6),"="&amp;$F$1)</f>
        <v>0</v>
      </c>
      <c r="G42" s="166">
        <f ca="1">COUNTIF(OFFSET(Synthèse!$G51,0,0,1,COUNTA(Synthèse!$10:$10)-6),"="&amp;$G$1)</f>
        <v>0</v>
      </c>
      <c r="H42" s="166">
        <f ca="1">COUNTIF(OFFSET(Synthèse!$G51,0,0,1,COUNTA(Synthèse!$10:$10)-6),"="&amp;$H$1)</f>
        <v>0</v>
      </c>
      <c r="I42" s="209">
        <f t="shared" ca="1" si="1"/>
        <v>0</v>
      </c>
      <c r="J42" s="71"/>
      <c r="L42" s="167" t="s">
        <v>22</v>
      </c>
      <c r="M42" s="167"/>
      <c r="N42" s="167" t="s">
        <v>271</v>
      </c>
      <c r="O42" s="168">
        <f t="shared" ca="1" si="9"/>
        <v>1</v>
      </c>
      <c r="P42" s="168">
        <f t="shared" ca="1" si="10"/>
        <v>1</v>
      </c>
      <c r="Q42" s="168">
        <f t="shared" ca="1" si="11"/>
        <v>1</v>
      </c>
      <c r="R42" s="168">
        <f t="shared" ca="1" si="12"/>
        <v>1</v>
      </c>
    </row>
    <row r="43" spans="1:18" x14ac:dyDescent="0.35">
      <c r="A43" s="71"/>
      <c r="B43" s="77" t="str">
        <f>Modèle!B45</f>
        <v>Scripts</v>
      </c>
      <c r="C43" s="79" t="str">
        <f>Modèle!C45</f>
        <v>7.5</v>
      </c>
      <c r="D43" s="80" t="str">
        <f>Modèle!E45</f>
        <v>AA</v>
      </c>
      <c r="E43" s="166">
        <f ca="1">COUNTIF(OFFSET(Synthèse!$G52,0,0,1,COUNTA(Synthèse!$10:$10)-6),"="&amp;$E$1)</f>
        <v>0</v>
      </c>
      <c r="F43" s="166">
        <f ca="1">COUNTIF(OFFSET(Synthèse!$G52,0,0,1,COUNTA(Synthèse!$10:$10)-6),"="&amp;$F$1)</f>
        <v>0</v>
      </c>
      <c r="G43" s="166">
        <f ca="1">COUNTIF(OFFSET(Synthèse!$G52,0,0,1,COUNTA(Synthèse!$10:$10)-6),"="&amp;$G$1)</f>
        <v>0</v>
      </c>
      <c r="H43" s="166">
        <f ca="1">COUNTIF(OFFSET(Synthèse!$G52,0,0,1,COUNTA(Synthèse!$10:$10)-6),"="&amp;$H$1)</f>
        <v>0</v>
      </c>
      <c r="I43" s="209">
        <f t="shared" ca="1" si="1"/>
        <v>0</v>
      </c>
      <c r="J43" s="71"/>
      <c r="L43" s="169" t="s">
        <v>22</v>
      </c>
      <c r="M43" s="169"/>
      <c r="N43" s="169" t="s">
        <v>272</v>
      </c>
      <c r="O43" s="170">
        <f t="shared" ca="1" si="9"/>
        <v>1</v>
      </c>
      <c r="P43" s="170">
        <f t="shared" ca="1" si="10"/>
        <v>1</v>
      </c>
      <c r="Q43" s="170">
        <f t="shared" ca="1" si="11"/>
        <v>1</v>
      </c>
      <c r="R43" s="170">
        <f t="shared" ca="1" si="12"/>
        <v>1</v>
      </c>
    </row>
    <row r="44" spans="1:18" x14ac:dyDescent="0.35">
      <c r="A44" s="71"/>
      <c r="B44" s="185" t="str">
        <f>Modèle!B46</f>
        <v>Éléments Obligatoires</v>
      </c>
      <c r="C44" s="186" t="str">
        <f>Modèle!C46</f>
        <v>8.1</v>
      </c>
      <c r="D44" s="187" t="str">
        <f>Modèle!E46</f>
        <v>A</v>
      </c>
      <c r="E44" s="166">
        <f ca="1">COUNTIF(OFFSET(Synthèse!$G53,0,0,1,COUNTA(Synthèse!$10:$10)-6),"="&amp;$E$1)</f>
        <v>0</v>
      </c>
      <c r="F44" s="166">
        <f ca="1">COUNTIF(OFFSET(Synthèse!$G53,0,0,1,COUNTA(Synthèse!$10:$10)-6),"="&amp;$F$1)</f>
        <v>0</v>
      </c>
      <c r="G44" s="166">
        <f ca="1">COUNTIF(OFFSET(Synthèse!$G53,0,0,1,COUNTA(Synthèse!$10:$10)-6),"="&amp;$G$1)</f>
        <v>0</v>
      </c>
      <c r="H44" s="166">
        <f ca="1">COUNTIF(OFFSET(Synthèse!$G53,0,0,1,COUNTA(Synthèse!$10:$10)-6),"="&amp;$H$1)</f>
        <v>0</v>
      </c>
      <c r="I44" s="209">
        <f t="shared" ca="1" si="1"/>
        <v>0</v>
      </c>
      <c r="J44" s="71"/>
      <c r="L44" s="169" t="s">
        <v>22</v>
      </c>
      <c r="M44" s="169"/>
      <c r="N44" s="169" t="s">
        <v>273</v>
      </c>
      <c r="O44" s="170">
        <f t="shared" ca="1" si="9"/>
        <v>1</v>
      </c>
      <c r="P44" s="170">
        <f t="shared" ca="1" si="10"/>
        <v>1</v>
      </c>
      <c r="Q44" s="170">
        <f t="shared" ca="1" si="11"/>
        <v>1</v>
      </c>
      <c r="R44" s="170">
        <f t="shared" ca="1" si="12"/>
        <v>1</v>
      </c>
    </row>
    <row r="45" spans="1:18" x14ac:dyDescent="0.35">
      <c r="A45" s="71"/>
      <c r="B45" s="185" t="str">
        <f>Modèle!B47</f>
        <v>Éléments Obligatoires</v>
      </c>
      <c r="C45" s="186" t="str">
        <f>Modèle!C47</f>
        <v>8.2</v>
      </c>
      <c r="D45" s="187" t="str">
        <f>Modèle!E47</f>
        <v>A</v>
      </c>
      <c r="E45" s="166">
        <f ca="1">COUNTIF(OFFSET(Synthèse!$G54,0,0,1,COUNTA(Synthèse!$10:$10)-6),"="&amp;$E$1)</f>
        <v>0</v>
      </c>
      <c r="F45" s="166">
        <f ca="1">COUNTIF(OFFSET(Synthèse!$G54,0,0,1,COUNTA(Synthèse!$10:$10)-6),"="&amp;$F$1)</f>
        <v>0</v>
      </c>
      <c r="G45" s="166">
        <f ca="1">COUNTIF(OFFSET(Synthèse!$G54,0,0,1,COUNTA(Synthèse!$10:$10)-6),"="&amp;$G$1)</f>
        <v>0</v>
      </c>
      <c r="H45" s="166">
        <f ca="1">COUNTIF(OFFSET(Synthèse!$G54,0,0,1,COUNTA(Synthèse!$10:$10)-6),"="&amp;$H$1)</f>
        <v>0</v>
      </c>
      <c r="I45" s="209">
        <f t="shared" ca="1" si="1"/>
        <v>0</v>
      </c>
      <c r="J45" s="71"/>
      <c r="L45" s="167" t="s">
        <v>22</v>
      </c>
      <c r="M45" s="167"/>
      <c r="N45" s="167" t="s">
        <v>274</v>
      </c>
      <c r="O45" s="168">
        <f t="shared" ca="1" si="9"/>
        <v>1</v>
      </c>
      <c r="P45" s="168">
        <f t="shared" ca="1" si="10"/>
        <v>1</v>
      </c>
      <c r="Q45" s="168">
        <f t="shared" ca="1" si="11"/>
        <v>1</v>
      </c>
      <c r="R45" s="168">
        <f t="shared" ca="1" si="12"/>
        <v>1</v>
      </c>
    </row>
    <row r="46" spans="1:18" x14ac:dyDescent="0.35">
      <c r="A46" s="71"/>
      <c r="B46" s="185" t="str">
        <f>Modèle!B48</f>
        <v>Éléments Obligatoires</v>
      </c>
      <c r="C46" s="186" t="str">
        <f>Modèle!C48</f>
        <v>8.3</v>
      </c>
      <c r="D46" s="187" t="str">
        <f>Modèle!E48</f>
        <v>A</v>
      </c>
      <c r="E46" s="166">
        <f ca="1">COUNTIF(OFFSET(Synthèse!$G55,0,0,1,COUNTA(Synthèse!$10:$10)-6),"="&amp;$E$1)</f>
        <v>0</v>
      </c>
      <c r="F46" s="166">
        <f ca="1">COUNTIF(OFFSET(Synthèse!$G55,0,0,1,COUNTA(Synthèse!$10:$10)-6),"="&amp;$F$1)</f>
        <v>0</v>
      </c>
      <c r="G46" s="166">
        <f ca="1">COUNTIF(OFFSET(Synthèse!$G55,0,0,1,COUNTA(Synthèse!$10:$10)-6),"="&amp;$G$1)</f>
        <v>0</v>
      </c>
      <c r="H46" s="166">
        <f ca="1">COUNTIF(OFFSET(Synthèse!$G55,0,0,1,COUNTA(Synthèse!$10:$10)-6),"="&amp;$H$1)</f>
        <v>0</v>
      </c>
      <c r="I46" s="209">
        <f t="shared" ca="1" si="1"/>
        <v>0</v>
      </c>
      <c r="J46" s="71"/>
      <c r="L46" s="167" t="s">
        <v>23</v>
      </c>
      <c r="M46" s="167"/>
      <c r="N46" s="167" t="s">
        <v>275</v>
      </c>
      <c r="O46" s="168">
        <f t="shared" ca="1" si="9"/>
        <v>1</v>
      </c>
      <c r="P46" s="168">
        <f t="shared" ca="1" si="10"/>
        <v>1</v>
      </c>
      <c r="Q46" s="168">
        <f t="shared" ca="1" si="11"/>
        <v>1</v>
      </c>
      <c r="R46" s="168">
        <f t="shared" ca="1" si="12"/>
        <v>1</v>
      </c>
    </row>
    <row r="47" spans="1:18" x14ac:dyDescent="0.35">
      <c r="A47" s="71"/>
      <c r="B47" s="185" t="str">
        <f>Modèle!B49</f>
        <v>Éléments Obligatoires</v>
      </c>
      <c r="C47" s="186" t="str">
        <f>Modèle!C49</f>
        <v>8.4</v>
      </c>
      <c r="D47" s="187" t="str">
        <f>Modèle!E49</f>
        <v>A</v>
      </c>
      <c r="E47" s="166">
        <f ca="1">COUNTIF(OFFSET(Synthèse!$G56,0,0,1,COUNTA(Synthèse!$10:$10)-6),"="&amp;$E$1)</f>
        <v>0</v>
      </c>
      <c r="F47" s="166">
        <f ca="1">COUNTIF(OFFSET(Synthèse!$G56,0,0,1,COUNTA(Synthèse!$10:$10)-6),"="&amp;$F$1)</f>
        <v>0</v>
      </c>
      <c r="G47" s="166">
        <f ca="1">COUNTIF(OFFSET(Synthèse!$G56,0,0,1,COUNTA(Synthèse!$10:$10)-6),"="&amp;$G$1)</f>
        <v>0</v>
      </c>
      <c r="H47" s="166">
        <f ca="1">COUNTIF(OFFSET(Synthèse!$G56,0,0,1,COUNTA(Synthèse!$10:$10)-6),"="&amp;$H$1)</f>
        <v>0</v>
      </c>
      <c r="I47" s="209">
        <f t="shared" ca="1" si="1"/>
        <v>0</v>
      </c>
      <c r="J47" s="71"/>
      <c r="L47" s="167" t="s">
        <v>23</v>
      </c>
      <c r="M47" s="167"/>
      <c r="N47" s="167" t="s">
        <v>276</v>
      </c>
      <c r="O47" s="168">
        <f t="shared" ca="1" si="9"/>
        <v>1</v>
      </c>
      <c r="P47" s="168">
        <f t="shared" ca="1" si="10"/>
        <v>1</v>
      </c>
      <c r="Q47" s="168">
        <f t="shared" ca="1" si="11"/>
        <v>1</v>
      </c>
      <c r="R47" s="168">
        <f t="shared" ca="1" si="12"/>
        <v>1</v>
      </c>
    </row>
    <row r="48" spans="1:18" x14ac:dyDescent="0.35">
      <c r="A48" s="71"/>
      <c r="B48" s="185" t="str">
        <f>Modèle!B50</f>
        <v>Éléments Obligatoires</v>
      </c>
      <c r="C48" s="186" t="str">
        <f>Modèle!C50</f>
        <v>8.5</v>
      </c>
      <c r="D48" s="187" t="str">
        <f>Modèle!E50</f>
        <v>A</v>
      </c>
      <c r="E48" s="166">
        <f ca="1">COUNTIF(OFFSET(Synthèse!$G57,0,0,1,COUNTA(Synthèse!$10:$10)-6),"="&amp;$E$1)</f>
        <v>0</v>
      </c>
      <c r="F48" s="166">
        <f ca="1">COUNTIF(OFFSET(Synthèse!$G57,0,0,1,COUNTA(Synthèse!$10:$10)-6),"="&amp;$F$1)</f>
        <v>0</v>
      </c>
      <c r="G48" s="166">
        <f ca="1">COUNTIF(OFFSET(Synthèse!$G57,0,0,1,COUNTA(Synthèse!$10:$10)-6),"="&amp;$G$1)</f>
        <v>0</v>
      </c>
      <c r="H48" s="166">
        <f ca="1">COUNTIF(OFFSET(Synthèse!$G57,0,0,1,COUNTA(Synthèse!$10:$10)-6),"="&amp;$H$1)</f>
        <v>0</v>
      </c>
      <c r="I48" s="209">
        <f t="shared" ca="1" si="1"/>
        <v>0</v>
      </c>
      <c r="J48" s="71"/>
      <c r="L48" s="169" t="s">
        <v>22</v>
      </c>
      <c r="M48" s="169"/>
      <c r="N48" s="169" t="s">
        <v>277</v>
      </c>
      <c r="O48" s="170">
        <f t="shared" ca="1" si="9"/>
        <v>1</v>
      </c>
      <c r="P48" s="170">
        <f t="shared" ca="1" si="10"/>
        <v>1</v>
      </c>
      <c r="Q48" s="170">
        <f t="shared" ca="1" si="11"/>
        <v>1</v>
      </c>
      <c r="R48" s="170">
        <f t="shared" ca="1" si="12"/>
        <v>1</v>
      </c>
    </row>
    <row r="49" spans="1:18" x14ac:dyDescent="0.35">
      <c r="A49" s="71"/>
      <c r="B49" s="185" t="str">
        <f>Modèle!B51</f>
        <v>Éléments Obligatoires</v>
      </c>
      <c r="C49" s="186" t="str">
        <f>Modèle!C51</f>
        <v>8.6</v>
      </c>
      <c r="D49" s="187" t="str">
        <f>Modèle!E51</f>
        <v>A</v>
      </c>
      <c r="E49" s="166">
        <f ca="1">COUNTIF(OFFSET(Synthèse!$G58,0,0,1,COUNTA(Synthèse!$10:$10)-6),"="&amp;$E$1)</f>
        <v>0</v>
      </c>
      <c r="F49" s="166">
        <f ca="1">COUNTIF(OFFSET(Synthèse!$G58,0,0,1,COUNTA(Synthèse!$10:$10)-6),"="&amp;$F$1)</f>
        <v>0</v>
      </c>
      <c r="G49" s="166">
        <f ca="1">COUNTIF(OFFSET(Synthèse!$G58,0,0,1,COUNTA(Synthèse!$10:$10)-6),"="&amp;$G$1)</f>
        <v>0</v>
      </c>
      <c r="H49" s="166">
        <f ca="1">COUNTIF(OFFSET(Synthèse!$G58,0,0,1,COUNTA(Synthèse!$10:$10)-6),"="&amp;$H$1)</f>
        <v>0</v>
      </c>
      <c r="I49" s="209">
        <f t="shared" ca="1" si="1"/>
        <v>0</v>
      </c>
      <c r="J49" s="71"/>
      <c r="L49" s="169" t="s">
        <v>22</v>
      </c>
      <c r="M49" s="169"/>
      <c r="N49" s="169" t="s">
        <v>278</v>
      </c>
      <c r="O49" s="170">
        <f t="shared" ca="1" si="9"/>
        <v>1</v>
      </c>
      <c r="P49" s="170">
        <f t="shared" ca="1" si="10"/>
        <v>1</v>
      </c>
      <c r="Q49" s="170">
        <f t="shared" ca="1" si="11"/>
        <v>1</v>
      </c>
      <c r="R49" s="170">
        <f t="shared" ca="1" si="12"/>
        <v>1</v>
      </c>
    </row>
    <row r="50" spans="1:18" x14ac:dyDescent="0.35">
      <c r="A50" s="71"/>
      <c r="B50" s="185" t="str">
        <f>Modèle!B52</f>
        <v>Éléments Obligatoires</v>
      </c>
      <c r="C50" s="186" t="str">
        <f>Modèle!C52</f>
        <v>8.7</v>
      </c>
      <c r="D50" s="187" t="str">
        <f>Modèle!E52</f>
        <v>AA</v>
      </c>
      <c r="E50" s="166">
        <f ca="1">COUNTIF(OFFSET(Synthèse!$G59,0,0,1,COUNTA(Synthèse!$10:$10)-6),"="&amp;$E$1)</f>
        <v>0</v>
      </c>
      <c r="F50" s="166">
        <f ca="1">COUNTIF(OFFSET(Synthèse!$G59,0,0,1,COUNTA(Synthèse!$10:$10)-6),"="&amp;$F$1)</f>
        <v>0</v>
      </c>
      <c r="G50" s="166">
        <f ca="1">COUNTIF(OFFSET(Synthèse!$G59,0,0,1,COUNTA(Synthèse!$10:$10)-6),"="&amp;$G$1)</f>
        <v>0</v>
      </c>
      <c r="H50" s="166">
        <f ca="1">COUNTIF(OFFSET(Synthèse!$G59,0,0,1,COUNTA(Synthèse!$10:$10)-6),"="&amp;$H$1)</f>
        <v>0</v>
      </c>
      <c r="I50" s="209">
        <f t="shared" ca="1" si="1"/>
        <v>0</v>
      </c>
      <c r="J50" s="71"/>
      <c r="L50" s="169" t="s">
        <v>22</v>
      </c>
      <c r="M50" s="169"/>
      <c r="N50" s="169" t="s">
        <v>279</v>
      </c>
      <c r="O50" s="170">
        <f t="shared" ca="1" si="9"/>
        <v>1</v>
      </c>
      <c r="P50" s="170">
        <f t="shared" ca="1" si="10"/>
        <v>1</v>
      </c>
      <c r="Q50" s="170">
        <f t="shared" ca="1" si="11"/>
        <v>1</v>
      </c>
      <c r="R50" s="170">
        <f t="shared" ca="1" si="12"/>
        <v>1</v>
      </c>
    </row>
    <row r="51" spans="1:18" x14ac:dyDescent="0.35">
      <c r="A51" s="71"/>
      <c r="B51" s="185" t="str">
        <f>Modèle!B53</f>
        <v>Éléments Obligatoires</v>
      </c>
      <c r="C51" s="186" t="str">
        <f>Modèle!C53</f>
        <v>8.8</v>
      </c>
      <c r="D51" s="187" t="str">
        <f>Modèle!E53</f>
        <v>AA</v>
      </c>
      <c r="E51" s="166">
        <f ca="1">COUNTIF(OFFSET(Synthèse!$G60,0,0,1,COUNTA(Synthèse!$10:$10)-6),"="&amp;$E$1)</f>
        <v>0</v>
      </c>
      <c r="F51" s="166">
        <f ca="1">COUNTIF(OFFSET(Synthèse!$G60,0,0,1,COUNTA(Synthèse!$10:$10)-6),"="&amp;$F$1)</f>
        <v>0</v>
      </c>
      <c r="G51" s="166">
        <f ca="1">COUNTIF(OFFSET(Synthèse!$G60,0,0,1,COUNTA(Synthèse!$10:$10)-6),"="&amp;$G$1)</f>
        <v>0</v>
      </c>
      <c r="H51" s="166">
        <f ca="1">COUNTIF(OFFSET(Synthèse!$G60,0,0,1,COUNTA(Synthèse!$10:$10)-6),"="&amp;$H$1)</f>
        <v>0</v>
      </c>
      <c r="I51" s="209">
        <f t="shared" ca="1" si="1"/>
        <v>0</v>
      </c>
      <c r="J51" s="71"/>
      <c r="L51" s="169" t="s">
        <v>22</v>
      </c>
      <c r="M51" s="169"/>
      <c r="N51" s="169" t="s">
        <v>280</v>
      </c>
      <c r="O51" s="170">
        <f t="shared" ca="1" si="9"/>
        <v>1</v>
      </c>
      <c r="P51" s="170">
        <f t="shared" ca="1" si="10"/>
        <v>1</v>
      </c>
      <c r="Q51" s="170">
        <f t="shared" ca="1" si="11"/>
        <v>1</v>
      </c>
      <c r="R51" s="170">
        <f t="shared" ca="1" si="12"/>
        <v>1</v>
      </c>
    </row>
    <row r="52" spans="1:18" x14ac:dyDescent="0.35">
      <c r="A52" s="71"/>
      <c r="B52" s="185" t="str">
        <f>Modèle!B54</f>
        <v>Éléments Obligatoires</v>
      </c>
      <c r="C52" s="186" t="str">
        <f>Modèle!C54</f>
        <v>8.9</v>
      </c>
      <c r="D52" s="187" t="str">
        <f>Modèle!E54</f>
        <v>A</v>
      </c>
      <c r="E52" s="166">
        <f ca="1">COUNTIF(OFFSET(Synthèse!$G61,0,0,1,COUNTA(Synthèse!$10:$10)-6),"="&amp;$E$1)</f>
        <v>0</v>
      </c>
      <c r="F52" s="166">
        <f ca="1">COUNTIF(OFFSET(Synthèse!$G61,0,0,1,COUNTA(Synthèse!$10:$10)-6),"="&amp;$F$1)</f>
        <v>0</v>
      </c>
      <c r="G52" s="166">
        <f ca="1">COUNTIF(OFFSET(Synthèse!$G61,0,0,1,COUNTA(Synthèse!$10:$10)-6),"="&amp;$G$1)</f>
        <v>0</v>
      </c>
      <c r="H52" s="166">
        <f ca="1">COUNTIF(OFFSET(Synthèse!$G61,0,0,1,COUNTA(Synthèse!$10:$10)-6),"="&amp;$H$1)</f>
        <v>0</v>
      </c>
      <c r="I52" s="209">
        <f t="shared" ca="1" si="1"/>
        <v>0</v>
      </c>
      <c r="J52" s="71"/>
      <c r="L52" s="169" t="s">
        <v>23</v>
      </c>
      <c r="M52" s="169"/>
      <c r="N52" s="169" t="s">
        <v>281</v>
      </c>
      <c r="O52" s="170">
        <f t="shared" ca="1" si="9"/>
        <v>1</v>
      </c>
      <c r="P52" s="170">
        <f t="shared" ca="1" si="10"/>
        <v>1</v>
      </c>
      <c r="Q52" s="170">
        <f t="shared" ca="1" si="11"/>
        <v>1</v>
      </c>
      <c r="R52" s="170">
        <f t="shared" ca="1" si="12"/>
        <v>1</v>
      </c>
    </row>
    <row r="53" spans="1:18" x14ac:dyDescent="0.35">
      <c r="A53" s="71"/>
      <c r="B53" s="185" t="str">
        <f>Modèle!B55</f>
        <v>Éléments Obligatoires</v>
      </c>
      <c r="C53" s="186" t="str">
        <f>Modèle!C55</f>
        <v>8.10</v>
      </c>
      <c r="D53" s="187" t="str">
        <f>Modèle!E55</f>
        <v>A</v>
      </c>
      <c r="E53" s="166">
        <f ca="1">COUNTIF(OFFSET(Synthèse!$G62,0,0,1,COUNTA(Synthèse!$10:$10)-6),"="&amp;$E$1)</f>
        <v>0</v>
      </c>
      <c r="F53" s="166">
        <f ca="1">COUNTIF(OFFSET(Synthèse!$G62,0,0,1,COUNTA(Synthèse!$10:$10)-6),"="&amp;$F$1)</f>
        <v>0</v>
      </c>
      <c r="G53" s="166">
        <f ca="1">COUNTIF(OFFSET(Synthèse!$G62,0,0,1,COUNTA(Synthèse!$10:$10)-6),"="&amp;$G$1)</f>
        <v>0</v>
      </c>
      <c r="H53" s="166">
        <f ca="1">COUNTIF(OFFSET(Synthèse!$G62,0,0,1,COUNTA(Synthèse!$10:$10)-6),"="&amp;$H$1)</f>
        <v>0</v>
      </c>
      <c r="I53" s="209">
        <f t="shared" ca="1" si="1"/>
        <v>0</v>
      </c>
      <c r="J53" s="71"/>
      <c r="L53" s="169" t="s">
        <v>23</v>
      </c>
      <c r="M53" s="169"/>
      <c r="N53" s="169" t="s">
        <v>282</v>
      </c>
      <c r="O53" s="170">
        <f t="shared" ca="1" si="9"/>
        <v>1</v>
      </c>
      <c r="P53" s="170">
        <f t="shared" ca="1" si="10"/>
        <v>1</v>
      </c>
      <c r="Q53" s="170">
        <f t="shared" ca="1" si="11"/>
        <v>1</v>
      </c>
      <c r="R53" s="170">
        <f t="shared" ca="1" si="12"/>
        <v>1</v>
      </c>
    </row>
    <row r="54" spans="1:18" x14ac:dyDescent="0.35">
      <c r="A54" s="71"/>
      <c r="B54" s="77" t="str">
        <f>Modèle!B56</f>
        <v>Structuration de l'information</v>
      </c>
      <c r="C54" s="79" t="str">
        <f>Modèle!C56</f>
        <v>9.1</v>
      </c>
      <c r="D54" s="80" t="str">
        <f>Modèle!E56</f>
        <v>A</v>
      </c>
      <c r="E54" s="166">
        <f ca="1">COUNTIF(OFFSET(Synthèse!$G63,0,0,1,COUNTA(Synthèse!$10:$10)-6),"="&amp;$E$1)</f>
        <v>0</v>
      </c>
      <c r="F54" s="166">
        <f ca="1">COUNTIF(OFFSET(Synthèse!$G63,0,0,1,COUNTA(Synthèse!$10:$10)-6),"="&amp;$F$1)</f>
        <v>0</v>
      </c>
      <c r="G54" s="166">
        <f ca="1">COUNTIF(OFFSET(Synthèse!$G63,0,0,1,COUNTA(Synthèse!$10:$10)-6),"="&amp;$G$1)</f>
        <v>0</v>
      </c>
      <c r="H54" s="166">
        <f ca="1">COUNTIF(OFFSET(Synthèse!$G63,0,0,1,COUNTA(Synthèse!$10:$10)-6),"="&amp;$H$1)</f>
        <v>0</v>
      </c>
      <c r="I54" s="209">
        <f t="shared" ca="1" si="1"/>
        <v>0</v>
      </c>
      <c r="J54" s="71"/>
      <c r="L54" s="169" t="s">
        <v>22</v>
      </c>
      <c r="M54" s="169"/>
      <c r="N54" s="169" t="s">
        <v>283</v>
      </c>
      <c r="O54" s="170">
        <f t="shared" ca="1" si="9"/>
        <v>1</v>
      </c>
      <c r="P54" s="170">
        <f t="shared" ca="1" si="10"/>
        <v>1</v>
      </c>
      <c r="Q54" s="170">
        <f t="shared" ca="1" si="11"/>
        <v>1</v>
      </c>
      <c r="R54" s="170">
        <f t="shared" ca="1" si="12"/>
        <v>1</v>
      </c>
    </row>
    <row r="55" spans="1:18" x14ac:dyDescent="0.35">
      <c r="A55" s="71"/>
      <c r="B55" s="77" t="str">
        <f>Modèle!B57</f>
        <v>Structuration de l'information</v>
      </c>
      <c r="C55" s="79" t="str">
        <f>Modèle!C57</f>
        <v>9.2</v>
      </c>
      <c r="D55" s="80" t="str">
        <f>Modèle!E57</f>
        <v>A</v>
      </c>
      <c r="E55" s="166">
        <f ca="1">COUNTIF(OFFSET(Synthèse!$G64,0,0,1,COUNTA(Synthèse!$10:$10)-6),"="&amp;$E$1)</f>
        <v>0</v>
      </c>
      <c r="F55" s="166">
        <f ca="1">COUNTIF(OFFSET(Synthèse!$G64,0,0,1,COUNTA(Synthèse!$10:$10)-6),"="&amp;$F$1)</f>
        <v>0</v>
      </c>
      <c r="G55" s="166">
        <f ca="1">COUNTIF(OFFSET(Synthèse!$G64,0,0,1,COUNTA(Synthèse!$10:$10)-6),"="&amp;$G$1)</f>
        <v>0</v>
      </c>
      <c r="H55" s="166">
        <f ca="1">COUNTIF(OFFSET(Synthèse!$G64,0,0,1,COUNTA(Synthèse!$10:$10)-6),"="&amp;$H$1)</f>
        <v>0</v>
      </c>
      <c r="I55" s="209">
        <f t="shared" ca="1" si="1"/>
        <v>0</v>
      </c>
      <c r="J55" s="71"/>
      <c r="L55" s="169" t="s">
        <v>22</v>
      </c>
      <c r="M55" s="169"/>
      <c r="N55" s="169" t="s">
        <v>284</v>
      </c>
      <c r="O55" s="170">
        <f t="shared" ca="1" si="9"/>
        <v>1</v>
      </c>
      <c r="P55" s="170">
        <f t="shared" ca="1" si="10"/>
        <v>1</v>
      </c>
      <c r="Q55" s="170">
        <f t="shared" ca="1" si="11"/>
        <v>1</v>
      </c>
      <c r="R55" s="170">
        <f t="shared" ca="1" si="12"/>
        <v>1</v>
      </c>
    </row>
    <row r="56" spans="1:18" x14ac:dyDescent="0.35">
      <c r="A56" s="71"/>
      <c r="B56" s="77" t="str">
        <f>Modèle!B58</f>
        <v>Structuration de l'information</v>
      </c>
      <c r="C56" s="79" t="str">
        <f>Modèle!C58</f>
        <v>9.3</v>
      </c>
      <c r="D56" s="80" t="str">
        <f>Modèle!E58</f>
        <v>A</v>
      </c>
      <c r="E56" s="166">
        <f ca="1">COUNTIF(OFFSET(Synthèse!$G65,0,0,1,COUNTA(Synthèse!$10:$10)-6),"="&amp;$E$1)</f>
        <v>0</v>
      </c>
      <c r="F56" s="166">
        <f ca="1">COUNTIF(OFFSET(Synthèse!$G65,0,0,1,COUNTA(Synthèse!$10:$10)-6),"="&amp;$F$1)</f>
        <v>0</v>
      </c>
      <c r="G56" s="166">
        <f ca="1">COUNTIF(OFFSET(Synthèse!$G65,0,0,1,COUNTA(Synthèse!$10:$10)-6),"="&amp;$G$1)</f>
        <v>0</v>
      </c>
      <c r="H56" s="166">
        <f ca="1">COUNTIF(OFFSET(Synthèse!$G65,0,0,1,COUNTA(Synthèse!$10:$10)-6),"="&amp;$H$1)</f>
        <v>0</v>
      </c>
      <c r="I56" s="209">
        <f t="shared" ca="1" si="1"/>
        <v>0</v>
      </c>
      <c r="J56" s="71"/>
      <c r="L56" s="169" t="s">
        <v>22</v>
      </c>
      <c r="M56" s="169"/>
      <c r="N56" s="169" t="s">
        <v>285</v>
      </c>
      <c r="O56" s="170">
        <f t="shared" ca="1" si="9"/>
        <v>1</v>
      </c>
      <c r="P56" s="170">
        <f t="shared" ca="1" si="10"/>
        <v>1</v>
      </c>
      <c r="Q56" s="170">
        <f t="shared" ca="1" si="11"/>
        <v>1</v>
      </c>
      <c r="R56" s="170">
        <f t="shared" ca="1" si="12"/>
        <v>1</v>
      </c>
    </row>
    <row r="57" spans="1:18" x14ac:dyDescent="0.35">
      <c r="A57" s="71"/>
      <c r="B57" s="77" t="str">
        <f>Modèle!B59</f>
        <v>Structuration de l'information</v>
      </c>
      <c r="C57" s="79" t="str">
        <f>Modèle!C59</f>
        <v>9.4</v>
      </c>
      <c r="D57" s="80" t="str">
        <f>Modèle!E59</f>
        <v>A</v>
      </c>
      <c r="E57" s="166">
        <f ca="1">COUNTIF(OFFSET(Synthèse!$G66,0,0,1,COUNTA(Synthèse!$10:$10)-6),"="&amp;$E$1)</f>
        <v>0</v>
      </c>
      <c r="F57" s="166">
        <f ca="1">COUNTIF(OFFSET(Synthèse!$G66,0,0,1,COUNTA(Synthèse!$10:$10)-6),"="&amp;$F$1)</f>
        <v>0</v>
      </c>
      <c r="G57" s="166">
        <f ca="1">COUNTIF(OFFSET(Synthèse!$G66,0,0,1,COUNTA(Synthèse!$10:$10)-6),"="&amp;$G$1)</f>
        <v>0</v>
      </c>
      <c r="H57" s="166">
        <f ca="1">COUNTIF(OFFSET(Synthèse!$G66,0,0,1,COUNTA(Synthèse!$10:$10)-6),"="&amp;$H$1)</f>
        <v>0</v>
      </c>
      <c r="I57" s="209">
        <f t="shared" ca="1" si="1"/>
        <v>0</v>
      </c>
      <c r="J57" s="71"/>
      <c r="L57" s="169" t="s">
        <v>22</v>
      </c>
      <c r="M57" s="169"/>
      <c r="N57" s="169" t="s">
        <v>286</v>
      </c>
      <c r="O57" s="170">
        <f t="shared" ca="1" si="9"/>
        <v>1</v>
      </c>
      <c r="P57" s="170">
        <f t="shared" ca="1" si="10"/>
        <v>1</v>
      </c>
      <c r="Q57" s="170">
        <f t="shared" ca="1" si="11"/>
        <v>1</v>
      </c>
      <c r="R57" s="170">
        <f t="shared" ca="1" si="12"/>
        <v>1</v>
      </c>
    </row>
    <row r="58" spans="1:18" x14ac:dyDescent="0.35">
      <c r="A58" s="71"/>
      <c r="B58" s="77" t="str">
        <f>Modèle!B60</f>
        <v>Présentation de l'information</v>
      </c>
      <c r="C58" s="79" t="str">
        <f>Modèle!C60</f>
        <v>10.1</v>
      </c>
      <c r="D58" s="80" t="str">
        <f>Modèle!E60</f>
        <v>A</v>
      </c>
      <c r="E58" s="166">
        <f ca="1">COUNTIF(OFFSET(Synthèse!$G67,0,0,1,COUNTA(Synthèse!$10:$10)-6),"="&amp;$E$1)</f>
        <v>0</v>
      </c>
      <c r="F58" s="166">
        <f ca="1">COUNTIF(OFFSET(Synthèse!$G67,0,0,1,COUNTA(Synthèse!$10:$10)-6),"="&amp;$F$1)</f>
        <v>0</v>
      </c>
      <c r="G58" s="166">
        <f ca="1">COUNTIF(OFFSET(Synthèse!$G67,0,0,1,COUNTA(Synthèse!$10:$10)-6),"="&amp;$G$1)</f>
        <v>0</v>
      </c>
      <c r="H58" s="166">
        <f ca="1">COUNTIF(OFFSET(Synthèse!$G67,0,0,1,COUNTA(Synthèse!$10:$10)-6),"="&amp;$H$1)</f>
        <v>0</v>
      </c>
      <c r="I58" s="209">
        <f t="shared" ca="1" si="1"/>
        <v>0</v>
      </c>
      <c r="J58" s="71"/>
      <c r="L58" s="169" t="s">
        <v>22</v>
      </c>
      <c r="M58" s="169"/>
      <c r="N58" s="169" t="s">
        <v>287</v>
      </c>
      <c r="O58" s="170">
        <f t="shared" ca="1" si="9"/>
        <v>1</v>
      </c>
      <c r="P58" s="170">
        <f t="shared" ca="1" si="10"/>
        <v>1</v>
      </c>
      <c r="Q58" s="170">
        <f t="shared" ca="1" si="11"/>
        <v>1</v>
      </c>
      <c r="R58" s="170">
        <f t="shared" ca="1" si="12"/>
        <v>1</v>
      </c>
    </row>
    <row r="59" spans="1:18" x14ac:dyDescent="0.35">
      <c r="A59" s="71"/>
      <c r="B59" s="77" t="str">
        <f>Modèle!B61</f>
        <v>Présentation de l'information</v>
      </c>
      <c r="C59" s="79" t="str">
        <f>Modèle!C61</f>
        <v>10.2</v>
      </c>
      <c r="D59" s="80" t="str">
        <f>Modèle!E61</f>
        <v>A</v>
      </c>
      <c r="E59" s="166">
        <f ca="1">COUNTIF(OFFSET(Synthèse!$G68,0,0,1,COUNTA(Synthèse!$10:$10)-6),"="&amp;$E$1)</f>
        <v>0</v>
      </c>
      <c r="F59" s="166">
        <f ca="1">COUNTIF(OFFSET(Synthèse!$G68,0,0,1,COUNTA(Synthèse!$10:$10)-6),"="&amp;$F$1)</f>
        <v>0</v>
      </c>
      <c r="G59" s="166">
        <f ca="1">COUNTIF(OFFSET(Synthèse!$G68,0,0,1,COUNTA(Synthèse!$10:$10)-6),"="&amp;$G$1)</f>
        <v>0</v>
      </c>
      <c r="H59" s="166">
        <f ca="1">COUNTIF(OFFSET(Synthèse!$G68,0,0,1,COUNTA(Synthèse!$10:$10)-6),"="&amp;$H$1)</f>
        <v>0</v>
      </c>
      <c r="I59" s="209">
        <f t="shared" ca="1" si="1"/>
        <v>0</v>
      </c>
      <c r="J59" s="71"/>
      <c r="L59" s="169" t="s">
        <v>22</v>
      </c>
      <c r="M59" s="169"/>
      <c r="N59" s="169" t="s">
        <v>288</v>
      </c>
      <c r="O59" s="170">
        <f t="shared" ca="1" si="9"/>
        <v>1</v>
      </c>
      <c r="P59" s="170">
        <f t="shared" ca="1" si="10"/>
        <v>1</v>
      </c>
      <c r="Q59" s="170">
        <f t="shared" ca="1" si="11"/>
        <v>1</v>
      </c>
      <c r="R59" s="170">
        <f t="shared" ca="1" si="12"/>
        <v>1</v>
      </c>
    </row>
    <row r="60" spans="1:18" x14ac:dyDescent="0.35">
      <c r="A60" s="71"/>
      <c r="B60" s="77" t="str">
        <f>Modèle!B62</f>
        <v>Présentation de l'information</v>
      </c>
      <c r="C60" s="79" t="str">
        <f>Modèle!C62</f>
        <v>10.3</v>
      </c>
      <c r="D60" s="80" t="str">
        <f>Modèle!E62</f>
        <v>A</v>
      </c>
      <c r="E60" s="166">
        <f ca="1">COUNTIF(OFFSET(Synthèse!$G69,0,0,1,COUNTA(Synthèse!$10:$10)-6),"="&amp;$E$1)</f>
        <v>0</v>
      </c>
      <c r="F60" s="166">
        <f ca="1">COUNTIF(OFFSET(Synthèse!$G69,0,0,1,COUNTA(Synthèse!$10:$10)-6),"="&amp;$F$1)</f>
        <v>0</v>
      </c>
      <c r="G60" s="166">
        <f ca="1">COUNTIF(OFFSET(Synthèse!$G69,0,0,1,COUNTA(Synthèse!$10:$10)-6),"="&amp;$G$1)</f>
        <v>0</v>
      </c>
      <c r="H60" s="166">
        <f ca="1">COUNTIF(OFFSET(Synthèse!$G69,0,0,1,COUNTA(Synthèse!$10:$10)-6),"="&amp;$H$1)</f>
        <v>0</v>
      </c>
      <c r="I60" s="209">
        <f t="shared" ca="1" si="1"/>
        <v>0</v>
      </c>
      <c r="J60" s="71"/>
      <c r="L60" s="169" t="s">
        <v>22</v>
      </c>
      <c r="M60" s="169"/>
      <c r="N60" s="169" t="s">
        <v>289</v>
      </c>
      <c r="O60" s="170">
        <f t="shared" ca="1" si="9"/>
        <v>1</v>
      </c>
      <c r="P60" s="170">
        <f t="shared" ca="1" si="10"/>
        <v>1</v>
      </c>
      <c r="Q60" s="170">
        <f t="shared" ca="1" si="11"/>
        <v>1</v>
      </c>
      <c r="R60" s="170">
        <f t="shared" ca="1" si="12"/>
        <v>1</v>
      </c>
    </row>
    <row r="61" spans="1:18" x14ac:dyDescent="0.35">
      <c r="A61" s="71"/>
      <c r="B61" s="77" t="str">
        <f>Modèle!B63</f>
        <v>Présentation de l'information</v>
      </c>
      <c r="C61" s="79" t="str">
        <f>Modèle!C63</f>
        <v>10.4</v>
      </c>
      <c r="D61" s="80" t="str">
        <f>Modèle!E63</f>
        <v>AA</v>
      </c>
      <c r="E61" s="166">
        <f ca="1">COUNTIF(OFFSET(Synthèse!$G70,0,0,1,COUNTA(Synthèse!$10:$10)-6),"="&amp;$E$1)</f>
        <v>0</v>
      </c>
      <c r="F61" s="166">
        <f ca="1">COUNTIF(OFFSET(Synthèse!$G70,0,0,1,COUNTA(Synthèse!$10:$10)-6),"="&amp;$F$1)</f>
        <v>0</v>
      </c>
      <c r="G61" s="166">
        <f ca="1">COUNTIF(OFFSET(Synthèse!$G70,0,0,1,COUNTA(Synthèse!$10:$10)-6),"="&amp;$G$1)</f>
        <v>0</v>
      </c>
      <c r="H61" s="166">
        <f ca="1">COUNTIF(OFFSET(Synthèse!$G70,0,0,1,COUNTA(Synthèse!$10:$10)-6),"="&amp;$H$1)</f>
        <v>0</v>
      </c>
      <c r="I61" s="209">
        <f t="shared" ca="1" si="1"/>
        <v>0</v>
      </c>
      <c r="J61" s="71"/>
      <c r="L61" s="167" t="s">
        <v>22</v>
      </c>
      <c r="M61" s="167"/>
      <c r="N61" s="167" t="s">
        <v>290</v>
      </c>
      <c r="O61" s="168">
        <f t="shared" ca="1" si="9"/>
        <v>1</v>
      </c>
      <c r="P61" s="168">
        <f t="shared" ca="1" si="10"/>
        <v>1</v>
      </c>
      <c r="Q61" s="168">
        <f t="shared" ca="1" si="11"/>
        <v>1</v>
      </c>
      <c r="R61" s="168">
        <f t="shared" ca="1" si="12"/>
        <v>1</v>
      </c>
    </row>
    <row r="62" spans="1:18" x14ac:dyDescent="0.35">
      <c r="A62" s="71"/>
      <c r="B62" s="77" t="str">
        <f>Modèle!B64</f>
        <v>Présentation de l'information</v>
      </c>
      <c r="C62" s="79" t="str">
        <f>Modèle!C64</f>
        <v>10.5</v>
      </c>
      <c r="D62" s="80" t="str">
        <f>Modèle!E64</f>
        <v>AA</v>
      </c>
      <c r="E62" s="166">
        <f ca="1">COUNTIF(OFFSET(Synthèse!$G71,0,0,1,COUNTA(Synthèse!$10:$10)-6),"="&amp;$E$1)</f>
        <v>0</v>
      </c>
      <c r="F62" s="166">
        <f ca="1">COUNTIF(OFFSET(Synthèse!$G71,0,0,1,COUNTA(Synthèse!$10:$10)-6),"="&amp;$F$1)</f>
        <v>0</v>
      </c>
      <c r="G62" s="166">
        <f ca="1">COUNTIF(OFFSET(Synthèse!$G71,0,0,1,COUNTA(Synthèse!$10:$10)-6),"="&amp;$G$1)</f>
        <v>0</v>
      </c>
      <c r="H62" s="166">
        <f ca="1">COUNTIF(OFFSET(Synthèse!$G71,0,0,1,COUNTA(Synthèse!$10:$10)-6),"="&amp;$H$1)</f>
        <v>0</v>
      </c>
      <c r="I62" s="209">
        <f t="shared" ca="1" si="1"/>
        <v>0</v>
      </c>
      <c r="J62" s="71"/>
      <c r="L62" s="167" t="s">
        <v>22</v>
      </c>
      <c r="M62" s="167"/>
      <c r="N62" s="167" t="s">
        <v>291</v>
      </c>
      <c r="O62" s="168">
        <f t="shared" ca="1" si="9"/>
        <v>1</v>
      </c>
      <c r="P62" s="168">
        <f t="shared" ca="1" si="10"/>
        <v>1</v>
      </c>
      <c r="Q62" s="168">
        <f t="shared" ca="1" si="11"/>
        <v>1</v>
      </c>
      <c r="R62" s="168">
        <f t="shared" ca="1" si="12"/>
        <v>1</v>
      </c>
    </row>
    <row r="63" spans="1:18" x14ac:dyDescent="0.35">
      <c r="A63" s="71"/>
      <c r="B63" s="77" t="str">
        <f>Modèle!B65</f>
        <v>Présentation de l'information</v>
      </c>
      <c r="C63" s="79" t="str">
        <f>Modèle!C65</f>
        <v>10.6</v>
      </c>
      <c r="D63" s="80" t="str">
        <f>Modèle!E65</f>
        <v>A</v>
      </c>
      <c r="E63" s="166">
        <f ca="1">COUNTIF(OFFSET(Synthèse!$G72,0,0,1,COUNTA(Synthèse!$10:$10)-6),"="&amp;$E$1)</f>
        <v>0</v>
      </c>
      <c r="F63" s="166">
        <f ca="1">COUNTIF(OFFSET(Synthèse!$G72,0,0,1,COUNTA(Synthèse!$10:$10)-6),"="&amp;$F$1)</f>
        <v>0</v>
      </c>
      <c r="G63" s="166">
        <f ca="1">COUNTIF(OFFSET(Synthèse!$G72,0,0,1,COUNTA(Synthèse!$10:$10)-6),"="&amp;$G$1)</f>
        <v>0</v>
      </c>
      <c r="H63" s="166">
        <f ca="1">COUNTIF(OFFSET(Synthèse!$G72,0,0,1,COUNTA(Synthèse!$10:$10)-6),"="&amp;$H$1)</f>
        <v>0</v>
      </c>
      <c r="I63" s="209">
        <f t="shared" ca="1" si="1"/>
        <v>0</v>
      </c>
      <c r="J63" s="71"/>
      <c r="L63" s="167" t="s">
        <v>22</v>
      </c>
      <c r="M63" s="167"/>
      <c r="N63" s="167" t="s">
        <v>292</v>
      </c>
      <c r="O63" s="168">
        <f t="shared" ca="1" si="9"/>
        <v>1</v>
      </c>
      <c r="P63" s="168">
        <f t="shared" ca="1" si="10"/>
        <v>1</v>
      </c>
      <c r="Q63" s="168">
        <f t="shared" ca="1" si="11"/>
        <v>1</v>
      </c>
      <c r="R63" s="168">
        <f t="shared" ca="1" si="12"/>
        <v>1</v>
      </c>
    </row>
    <row r="64" spans="1:18" x14ac:dyDescent="0.35">
      <c r="A64" s="71"/>
      <c r="B64" s="77" t="str">
        <f>Modèle!B66</f>
        <v>Présentation de l'information</v>
      </c>
      <c r="C64" s="79" t="str">
        <f>Modèle!C66</f>
        <v>10.7</v>
      </c>
      <c r="D64" s="80" t="str">
        <f>Modèle!E66</f>
        <v>A</v>
      </c>
      <c r="E64" s="166">
        <f ca="1">COUNTIF(OFFSET(Synthèse!$G73,0,0,1,COUNTA(Synthèse!$10:$10)-6),"="&amp;$E$1)</f>
        <v>0</v>
      </c>
      <c r="F64" s="166">
        <f ca="1">COUNTIF(OFFSET(Synthèse!$G73,0,0,1,COUNTA(Synthèse!$10:$10)-6),"="&amp;$F$1)</f>
        <v>0</v>
      </c>
      <c r="G64" s="166">
        <f ca="1">COUNTIF(OFFSET(Synthèse!$G73,0,0,1,COUNTA(Synthèse!$10:$10)-6),"="&amp;$G$1)</f>
        <v>0</v>
      </c>
      <c r="H64" s="166">
        <f ca="1">COUNTIF(OFFSET(Synthèse!$G73,0,0,1,COUNTA(Synthèse!$10:$10)-6),"="&amp;$H$1)</f>
        <v>0</v>
      </c>
      <c r="I64" s="209">
        <f t="shared" ca="1" si="1"/>
        <v>0</v>
      </c>
      <c r="J64" s="71"/>
      <c r="L64" s="167" t="s">
        <v>22</v>
      </c>
      <c r="M64" s="167"/>
      <c r="N64" s="167" t="s">
        <v>293</v>
      </c>
      <c r="O64" s="168">
        <f t="shared" ca="1" si="9"/>
        <v>1</v>
      </c>
      <c r="P64" s="168">
        <f t="shared" ca="1" si="10"/>
        <v>1</v>
      </c>
      <c r="Q64" s="168">
        <f t="shared" ca="1" si="11"/>
        <v>1</v>
      </c>
      <c r="R64" s="168">
        <f t="shared" ca="1" si="12"/>
        <v>1</v>
      </c>
    </row>
    <row r="65" spans="1:18" x14ac:dyDescent="0.35">
      <c r="A65" s="71"/>
      <c r="B65" s="77" t="str">
        <f>Modèle!B67</f>
        <v>Présentation de l'information</v>
      </c>
      <c r="C65" s="79" t="str">
        <f>Modèle!C67</f>
        <v>10.8</v>
      </c>
      <c r="D65" s="80" t="str">
        <f>Modèle!E67</f>
        <v>A</v>
      </c>
      <c r="E65" s="166">
        <f ca="1">COUNTIF(OFFSET(Synthèse!$G74,0,0,1,COUNTA(Synthèse!$10:$10)-6),"="&amp;$E$1)</f>
        <v>0</v>
      </c>
      <c r="F65" s="166">
        <f ca="1">COUNTIF(OFFSET(Synthèse!$G74,0,0,1,COUNTA(Synthèse!$10:$10)-6),"="&amp;$F$1)</f>
        <v>0</v>
      </c>
      <c r="G65" s="166">
        <f ca="1">COUNTIF(OFFSET(Synthèse!$G74,0,0,1,COUNTA(Synthèse!$10:$10)-6),"="&amp;$G$1)</f>
        <v>0</v>
      </c>
      <c r="H65" s="166">
        <f ca="1">COUNTIF(OFFSET(Synthèse!$G74,0,0,1,COUNTA(Synthèse!$10:$10)-6),"="&amp;$H$1)</f>
        <v>0</v>
      </c>
      <c r="I65" s="209">
        <f t="shared" ca="1" si="1"/>
        <v>0</v>
      </c>
      <c r="J65" s="71"/>
      <c r="L65" s="167" t="s">
        <v>22</v>
      </c>
      <c r="M65" s="167"/>
      <c r="N65" s="167" t="s">
        <v>294</v>
      </c>
      <c r="O65" s="168">
        <f t="shared" ca="1" si="9"/>
        <v>1</v>
      </c>
      <c r="P65" s="168">
        <f t="shared" ca="1" si="10"/>
        <v>1</v>
      </c>
      <c r="Q65" s="168">
        <f t="shared" ca="1" si="11"/>
        <v>1</v>
      </c>
      <c r="R65" s="168">
        <f t="shared" ca="1" si="12"/>
        <v>1</v>
      </c>
    </row>
    <row r="66" spans="1:18" x14ac:dyDescent="0.35">
      <c r="A66" s="71"/>
      <c r="B66" s="77" t="str">
        <f>Modèle!B68</f>
        <v>Présentation de l'information</v>
      </c>
      <c r="C66" s="79" t="str">
        <f>Modèle!C68</f>
        <v>10.9</v>
      </c>
      <c r="D66" s="80" t="str">
        <f>Modèle!E68</f>
        <v>A</v>
      </c>
      <c r="E66" s="166">
        <f ca="1">COUNTIF(OFFSET(Synthèse!$G75,0,0,1,COUNTA(Synthèse!$10:$10)-6),"="&amp;$E$1)</f>
        <v>0</v>
      </c>
      <c r="F66" s="166">
        <f ca="1">COUNTIF(OFFSET(Synthèse!$G75,0,0,1,COUNTA(Synthèse!$10:$10)-6),"="&amp;$F$1)</f>
        <v>0</v>
      </c>
      <c r="G66" s="166">
        <f ca="1">COUNTIF(OFFSET(Synthèse!$G75,0,0,1,COUNTA(Synthèse!$10:$10)-6),"="&amp;$G$1)</f>
        <v>0</v>
      </c>
      <c r="H66" s="166">
        <f ca="1">COUNTIF(OFFSET(Synthèse!$G75,0,0,1,COUNTA(Synthèse!$10:$10)-6),"="&amp;$H$1)</f>
        <v>0</v>
      </c>
      <c r="I66" s="209">
        <f t="shared" ca="1" si="1"/>
        <v>0</v>
      </c>
      <c r="J66" s="71"/>
      <c r="L66" s="167" t="s">
        <v>22</v>
      </c>
      <c r="M66" s="167"/>
      <c r="N66" s="167" t="s">
        <v>295</v>
      </c>
      <c r="O66" s="168">
        <f t="shared" ca="1" si="9"/>
        <v>1</v>
      </c>
      <c r="P66" s="168">
        <f t="shared" ca="1" si="10"/>
        <v>1</v>
      </c>
      <c r="Q66" s="168">
        <f t="shared" ca="1" si="11"/>
        <v>1</v>
      </c>
      <c r="R66" s="168">
        <f t="shared" ca="1" si="12"/>
        <v>1</v>
      </c>
    </row>
    <row r="67" spans="1:18" x14ac:dyDescent="0.35">
      <c r="A67" s="71"/>
      <c r="B67" s="77" t="str">
        <f>Modèle!B69</f>
        <v>Présentation de l'information</v>
      </c>
      <c r="C67" s="79" t="str">
        <f>Modèle!C69</f>
        <v>10.10</v>
      </c>
      <c r="D67" s="80" t="str">
        <f>Modèle!E69</f>
        <v>A</v>
      </c>
      <c r="E67" s="166">
        <f ca="1">COUNTIF(OFFSET(Synthèse!$G76,0,0,1,COUNTA(Synthèse!$10:$10)-6),"="&amp;$E$1)</f>
        <v>0</v>
      </c>
      <c r="F67" s="166">
        <f ca="1">COUNTIF(OFFSET(Synthèse!$G76,0,0,1,COUNTA(Synthèse!$10:$10)-6),"="&amp;$F$1)</f>
        <v>0</v>
      </c>
      <c r="G67" s="166">
        <f ca="1">COUNTIF(OFFSET(Synthèse!$G76,0,0,1,COUNTA(Synthèse!$10:$10)-6),"="&amp;$G$1)</f>
        <v>0</v>
      </c>
      <c r="H67" s="166">
        <f ca="1">COUNTIF(OFFSET(Synthèse!$G76,0,0,1,COUNTA(Synthèse!$10:$10)-6),"="&amp;$H$1)</f>
        <v>0</v>
      </c>
      <c r="I67" s="209">
        <f t="shared" ref="I67:I107" ca="1" si="13">SUM(E67:H67)</f>
        <v>0</v>
      </c>
      <c r="J67" s="71"/>
      <c r="L67" s="167" t="s">
        <v>22</v>
      </c>
      <c r="M67" s="167"/>
      <c r="N67" s="167" t="s">
        <v>296</v>
      </c>
      <c r="O67" s="168">
        <f t="shared" ca="1" si="9"/>
        <v>1</v>
      </c>
      <c r="P67" s="168">
        <f t="shared" ca="1" si="10"/>
        <v>1</v>
      </c>
      <c r="Q67" s="168">
        <f t="shared" ca="1" si="11"/>
        <v>1</v>
      </c>
      <c r="R67" s="168">
        <f t="shared" ca="1" si="12"/>
        <v>1</v>
      </c>
    </row>
    <row r="68" spans="1:18" x14ac:dyDescent="0.35">
      <c r="A68" s="71"/>
      <c r="B68" s="77" t="str">
        <f>Modèle!B70</f>
        <v>Présentation de l'information</v>
      </c>
      <c r="C68" s="79" t="str">
        <f>Modèle!C70</f>
        <v>10.11</v>
      </c>
      <c r="D68" s="80" t="str">
        <f>Modèle!E70</f>
        <v>AA</v>
      </c>
      <c r="E68" s="166">
        <f ca="1">COUNTIF(OFFSET(Synthèse!$G77,0,0,1,COUNTA(Synthèse!$10:$10)-6),"="&amp;$E$1)</f>
        <v>0</v>
      </c>
      <c r="F68" s="166">
        <f ca="1">COUNTIF(OFFSET(Synthèse!$G77,0,0,1,COUNTA(Synthèse!$10:$10)-6),"="&amp;$F$1)</f>
        <v>0</v>
      </c>
      <c r="G68" s="166">
        <f ca="1">COUNTIF(OFFSET(Synthèse!$G77,0,0,1,COUNTA(Synthèse!$10:$10)-6),"="&amp;$G$1)</f>
        <v>0</v>
      </c>
      <c r="H68" s="166">
        <f ca="1">COUNTIF(OFFSET(Synthèse!$G77,0,0,1,COUNTA(Synthèse!$10:$10)-6),"="&amp;$H$1)</f>
        <v>0</v>
      </c>
      <c r="I68" s="209">
        <f t="shared" ca="1" si="13"/>
        <v>0</v>
      </c>
      <c r="J68" s="71"/>
      <c r="L68" s="167" t="s">
        <v>22</v>
      </c>
      <c r="M68" s="167"/>
      <c r="N68" s="167" t="s">
        <v>297</v>
      </c>
      <c r="O68" s="168">
        <f t="shared" ca="1" si="9"/>
        <v>1</v>
      </c>
      <c r="P68" s="168">
        <f t="shared" ca="1" si="10"/>
        <v>1</v>
      </c>
      <c r="Q68" s="168">
        <f t="shared" ca="1" si="11"/>
        <v>1</v>
      </c>
      <c r="R68" s="168">
        <f t="shared" ca="1" si="12"/>
        <v>1</v>
      </c>
    </row>
    <row r="69" spans="1:18" x14ac:dyDescent="0.35">
      <c r="A69" s="71"/>
      <c r="B69" s="77" t="str">
        <f>Modèle!B71</f>
        <v>Présentation de l'information</v>
      </c>
      <c r="C69" s="79" t="str">
        <f>Modèle!C71</f>
        <v>10.12</v>
      </c>
      <c r="D69" s="80" t="str">
        <f>Modèle!E71</f>
        <v>AA</v>
      </c>
      <c r="E69" s="166">
        <f ca="1">COUNTIF(OFFSET(Synthèse!$G78,0,0,1,COUNTA(Synthèse!$10:$10)-6),"="&amp;$E$1)</f>
        <v>0</v>
      </c>
      <c r="F69" s="166">
        <f ca="1">COUNTIF(OFFSET(Synthèse!$G78,0,0,1,COUNTA(Synthèse!$10:$10)-6),"="&amp;$F$1)</f>
        <v>0</v>
      </c>
      <c r="G69" s="166">
        <f ca="1">COUNTIF(OFFSET(Synthèse!$G78,0,0,1,COUNTA(Synthèse!$10:$10)-6),"="&amp;$G$1)</f>
        <v>0</v>
      </c>
      <c r="H69" s="166">
        <f ca="1">COUNTIF(OFFSET(Synthèse!$G78,0,0,1,COUNTA(Synthèse!$10:$10)-6),"="&amp;$H$1)</f>
        <v>0</v>
      </c>
      <c r="I69" s="209">
        <f t="shared" ca="1" si="13"/>
        <v>0</v>
      </c>
      <c r="J69" s="71"/>
      <c r="L69" s="169" t="s">
        <v>22</v>
      </c>
      <c r="M69" s="169"/>
      <c r="N69" s="169" t="s">
        <v>298</v>
      </c>
      <c r="O69" s="170">
        <f t="shared" ca="1" si="9"/>
        <v>1</v>
      </c>
      <c r="P69" s="170">
        <f t="shared" ca="1" si="10"/>
        <v>1</v>
      </c>
      <c r="Q69" s="170">
        <f t="shared" ca="1" si="11"/>
        <v>1</v>
      </c>
      <c r="R69" s="170">
        <f t="shared" ca="1" si="12"/>
        <v>1</v>
      </c>
    </row>
    <row r="70" spans="1:18" x14ac:dyDescent="0.35">
      <c r="A70" s="71"/>
      <c r="B70" s="77" t="str">
        <f>Modèle!B72</f>
        <v>Présentation de l'information</v>
      </c>
      <c r="C70" s="79" t="str">
        <f>Modèle!C72</f>
        <v>10.13</v>
      </c>
      <c r="D70" s="80" t="str">
        <f>Modèle!E72</f>
        <v>AA</v>
      </c>
      <c r="E70" s="166">
        <f ca="1">COUNTIF(OFFSET(Synthèse!$G79,0,0,1,COUNTA(Synthèse!$10:$10)-6),"="&amp;$E$1)</f>
        <v>0</v>
      </c>
      <c r="F70" s="166">
        <f ca="1">COUNTIF(OFFSET(Synthèse!$G79,0,0,1,COUNTA(Synthèse!$10:$10)-6),"="&amp;$F$1)</f>
        <v>0</v>
      </c>
      <c r="G70" s="166">
        <f ca="1">COUNTIF(OFFSET(Synthèse!$G79,0,0,1,COUNTA(Synthèse!$10:$10)-6),"="&amp;$G$1)</f>
        <v>0</v>
      </c>
      <c r="H70" s="166">
        <f ca="1">COUNTIF(OFFSET(Synthèse!$G79,0,0,1,COUNTA(Synthèse!$10:$10)-6),"="&amp;$H$1)</f>
        <v>0</v>
      </c>
      <c r="I70" s="209">
        <f t="shared" ca="1" si="13"/>
        <v>0</v>
      </c>
      <c r="J70" s="71"/>
      <c r="L70" s="169" t="s">
        <v>22</v>
      </c>
      <c r="M70" s="169"/>
      <c r="N70" s="169" t="s">
        <v>299</v>
      </c>
      <c r="O70" s="170">
        <f t="shared" ca="1" si="9"/>
        <v>1</v>
      </c>
      <c r="P70" s="170">
        <f t="shared" ca="1" si="10"/>
        <v>1</v>
      </c>
      <c r="Q70" s="170">
        <f t="shared" ca="1" si="11"/>
        <v>1</v>
      </c>
      <c r="R70" s="170">
        <f t="shared" ca="1" si="12"/>
        <v>1</v>
      </c>
    </row>
    <row r="71" spans="1:18" x14ac:dyDescent="0.35">
      <c r="A71" s="71"/>
      <c r="B71" s="77" t="str">
        <f>Modèle!B73</f>
        <v>Présentation de l'information</v>
      </c>
      <c r="C71" s="79" t="str">
        <f>Modèle!C73</f>
        <v>10.14</v>
      </c>
      <c r="D71" s="80" t="str">
        <f>Modèle!E73</f>
        <v>A</v>
      </c>
      <c r="E71" s="166">
        <f ca="1">COUNTIF(OFFSET(Synthèse!$G80,0,0,1,COUNTA(Synthèse!$10:$10)-6),"="&amp;$E$1)</f>
        <v>0</v>
      </c>
      <c r="F71" s="166">
        <f ca="1">COUNTIF(OFFSET(Synthèse!$G80,0,0,1,COUNTA(Synthèse!$10:$10)-6),"="&amp;$F$1)</f>
        <v>0</v>
      </c>
      <c r="G71" s="166">
        <f ca="1">COUNTIF(OFFSET(Synthèse!$G80,0,0,1,COUNTA(Synthèse!$10:$10)-6),"="&amp;$G$1)</f>
        <v>0</v>
      </c>
      <c r="H71" s="166">
        <f ca="1">COUNTIF(OFFSET(Synthèse!$G80,0,0,1,COUNTA(Synthèse!$10:$10)-6),"="&amp;$H$1)</f>
        <v>0</v>
      </c>
      <c r="I71" s="209">
        <f t="shared" ca="1" si="13"/>
        <v>0</v>
      </c>
      <c r="J71" s="71"/>
      <c r="L71" s="167" t="s">
        <v>22</v>
      </c>
      <c r="M71" s="167"/>
      <c r="N71" s="167" t="s">
        <v>300</v>
      </c>
      <c r="O71" s="168">
        <f t="shared" ca="1" si="9"/>
        <v>1</v>
      </c>
      <c r="P71" s="168">
        <f t="shared" ca="1" si="10"/>
        <v>1</v>
      </c>
      <c r="Q71" s="168">
        <f t="shared" ca="1" si="11"/>
        <v>1</v>
      </c>
      <c r="R71" s="168">
        <f t="shared" ca="1" si="12"/>
        <v>1</v>
      </c>
    </row>
    <row r="72" spans="1:18" x14ac:dyDescent="0.35">
      <c r="A72" s="71"/>
      <c r="B72" s="185" t="str">
        <f>Modèle!B74</f>
        <v>Formulaires</v>
      </c>
      <c r="C72" s="186" t="str">
        <f>Modèle!C74</f>
        <v>11.1</v>
      </c>
      <c r="D72" s="187" t="str">
        <f>Modèle!E74</f>
        <v>A</v>
      </c>
      <c r="E72" s="166">
        <f ca="1">COUNTIF(OFFSET(Synthèse!$G81,0,0,1,COUNTA(Synthèse!$10:$10)-6),"="&amp;$E$1)</f>
        <v>0</v>
      </c>
      <c r="F72" s="166">
        <f ca="1">COUNTIF(OFFSET(Synthèse!$G81,0,0,1,COUNTA(Synthèse!$10:$10)-6),"="&amp;$F$1)</f>
        <v>0</v>
      </c>
      <c r="G72" s="166">
        <f ca="1">COUNTIF(OFFSET(Synthèse!$G81,0,0,1,COUNTA(Synthèse!$10:$10)-6),"="&amp;$G$1)</f>
        <v>0</v>
      </c>
      <c r="H72" s="166">
        <f ca="1">COUNTIF(OFFSET(Synthèse!$G81,0,0,1,COUNTA(Synthèse!$10:$10)-6),"="&amp;$H$1)</f>
        <v>0</v>
      </c>
      <c r="I72" s="209">
        <f t="shared" ca="1" si="13"/>
        <v>0</v>
      </c>
      <c r="J72" s="71"/>
      <c r="L72" s="167" t="s">
        <v>22</v>
      </c>
      <c r="M72" s="167"/>
      <c r="N72" s="167" t="s">
        <v>301</v>
      </c>
      <c r="O72" s="168">
        <f t="shared" ca="1" si="9"/>
        <v>1</v>
      </c>
      <c r="P72" s="168">
        <f t="shared" ca="1" si="10"/>
        <v>1</v>
      </c>
      <c r="Q72" s="168">
        <f t="shared" ca="1" si="11"/>
        <v>1</v>
      </c>
      <c r="R72" s="168">
        <f t="shared" ca="1" si="12"/>
        <v>1</v>
      </c>
    </row>
    <row r="73" spans="1:18" x14ac:dyDescent="0.35">
      <c r="A73" s="71"/>
      <c r="B73" s="185" t="str">
        <f>Modèle!B75</f>
        <v>Formulaires</v>
      </c>
      <c r="C73" s="186" t="str">
        <f>Modèle!C75</f>
        <v>11.2</v>
      </c>
      <c r="D73" s="187" t="str">
        <f>Modèle!E75</f>
        <v>A</v>
      </c>
      <c r="E73" s="166">
        <f ca="1">COUNTIF(OFFSET(Synthèse!$G82,0,0,1,COUNTA(Synthèse!$10:$10)-6),"="&amp;$E$1)</f>
        <v>0</v>
      </c>
      <c r="F73" s="166">
        <f ca="1">COUNTIF(OFFSET(Synthèse!$G82,0,0,1,COUNTA(Synthèse!$10:$10)-6),"="&amp;$F$1)</f>
        <v>0</v>
      </c>
      <c r="G73" s="166">
        <f ca="1">COUNTIF(OFFSET(Synthèse!$G82,0,0,1,COUNTA(Synthèse!$10:$10)-6),"="&amp;$G$1)</f>
        <v>0</v>
      </c>
      <c r="H73" s="166">
        <f ca="1">COUNTIF(OFFSET(Synthèse!$G82,0,0,1,COUNTA(Synthèse!$10:$10)-6),"="&amp;$H$1)</f>
        <v>0</v>
      </c>
      <c r="I73" s="209">
        <f t="shared" ca="1" si="13"/>
        <v>0</v>
      </c>
      <c r="J73" s="71"/>
      <c r="L73" s="167" t="s">
        <v>22</v>
      </c>
      <c r="M73" s="167"/>
      <c r="N73" s="167" t="s">
        <v>302</v>
      </c>
      <c r="O73" s="168">
        <f t="shared" ca="1" si="9"/>
        <v>1</v>
      </c>
      <c r="P73" s="168">
        <f t="shared" ca="1" si="10"/>
        <v>1</v>
      </c>
      <c r="Q73" s="168">
        <f t="shared" ca="1" si="11"/>
        <v>1</v>
      </c>
      <c r="R73" s="168">
        <f t="shared" ca="1" si="12"/>
        <v>1</v>
      </c>
    </row>
    <row r="74" spans="1:18" x14ac:dyDescent="0.35">
      <c r="A74" s="71"/>
      <c r="B74" s="185" t="str">
        <f>Modèle!B76</f>
        <v>Formulaires</v>
      </c>
      <c r="C74" s="186" t="str">
        <f>Modèle!C76</f>
        <v>11.3</v>
      </c>
      <c r="D74" s="187" t="str">
        <f>Modèle!E76</f>
        <v>AA</v>
      </c>
      <c r="E74" s="166">
        <f ca="1">COUNTIF(OFFSET(Synthèse!$G83,0,0,1,COUNTA(Synthèse!$10:$10)-6),"="&amp;$E$1)</f>
        <v>0</v>
      </c>
      <c r="F74" s="166">
        <f ca="1">COUNTIF(OFFSET(Synthèse!$G83,0,0,1,COUNTA(Synthèse!$10:$10)-6),"="&amp;$F$1)</f>
        <v>0</v>
      </c>
      <c r="G74" s="166">
        <f ca="1">COUNTIF(OFFSET(Synthèse!$G83,0,0,1,COUNTA(Synthèse!$10:$10)-6),"="&amp;$G$1)</f>
        <v>0</v>
      </c>
      <c r="H74" s="166">
        <f ca="1">COUNTIF(OFFSET(Synthèse!$G83,0,0,1,COUNTA(Synthèse!$10:$10)-6),"="&amp;$H$1)</f>
        <v>0</v>
      </c>
      <c r="I74" s="209">
        <f t="shared" ca="1" si="13"/>
        <v>0</v>
      </c>
      <c r="J74" s="71"/>
      <c r="L74" s="167" t="s">
        <v>22</v>
      </c>
      <c r="M74" s="167"/>
      <c r="N74" s="167" t="s">
        <v>303</v>
      </c>
      <c r="O74" s="168">
        <f t="shared" ca="1" si="9"/>
        <v>1</v>
      </c>
      <c r="P74" s="168">
        <f t="shared" ca="1" si="10"/>
        <v>1</v>
      </c>
      <c r="Q74" s="168">
        <f t="shared" ca="1" si="11"/>
        <v>1</v>
      </c>
      <c r="R74" s="168">
        <f t="shared" ca="1" si="12"/>
        <v>1</v>
      </c>
    </row>
    <row r="75" spans="1:18" x14ac:dyDescent="0.35">
      <c r="A75" s="71"/>
      <c r="B75" s="185" t="str">
        <f>Modèle!B77</f>
        <v>Formulaires</v>
      </c>
      <c r="C75" s="186" t="str">
        <f>Modèle!C77</f>
        <v>11.4</v>
      </c>
      <c r="D75" s="187" t="str">
        <f>Modèle!E77</f>
        <v>AA</v>
      </c>
      <c r="E75" s="166">
        <f ca="1">COUNTIF(OFFSET(Synthèse!$G84,0,0,1,COUNTA(Synthèse!$10:$10)-6),"="&amp;$E$1)</f>
        <v>0</v>
      </c>
      <c r="F75" s="166">
        <f ca="1">COUNTIF(OFFSET(Synthèse!$G84,0,0,1,COUNTA(Synthèse!$10:$10)-6),"="&amp;$F$1)</f>
        <v>0</v>
      </c>
      <c r="G75" s="166">
        <f ca="1">COUNTIF(OFFSET(Synthèse!$G84,0,0,1,COUNTA(Synthèse!$10:$10)-6),"="&amp;$G$1)</f>
        <v>0</v>
      </c>
      <c r="H75" s="166">
        <f ca="1">COUNTIF(OFFSET(Synthèse!$G84,0,0,1,COUNTA(Synthèse!$10:$10)-6),"="&amp;$H$1)</f>
        <v>0</v>
      </c>
      <c r="I75" s="209">
        <f t="shared" ca="1" si="13"/>
        <v>0</v>
      </c>
      <c r="J75" s="71"/>
      <c r="L75" s="167" t="s">
        <v>23</v>
      </c>
      <c r="M75" s="167"/>
      <c r="N75" s="167" t="s">
        <v>304</v>
      </c>
      <c r="O75" s="168">
        <f t="shared" ca="1" si="9"/>
        <v>1</v>
      </c>
      <c r="P75" s="168">
        <f t="shared" ca="1" si="10"/>
        <v>1</v>
      </c>
      <c r="Q75" s="168">
        <f t="shared" ca="1" si="11"/>
        <v>1</v>
      </c>
      <c r="R75" s="168">
        <f t="shared" ca="1" si="12"/>
        <v>1</v>
      </c>
    </row>
    <row r="76" spans="1:18" x14ac:dyDescent="0.35">
      <c r="A76" s="71"/>
      <c r="B76" s="185" t="str">
        <f>Modèle!B78</f>
        <v>Formulaires</v>
      </c>
      <c r="C76" s="186" t="str">
        <f>Modèle!C78</f>
        <v>11.5</v>
      </c>
      <c r="D76" s="187" t="str">
        <f>Modèle!E78</f>
        <v>A</v>
      </c>
      <c r="E76" s="166">
        <f ca="1">COUNTIF(OFFSET(Synthèse!$G85,0,0,1,COUNTA(Synthèse!$10:$10)-6),"="&amp;$E$1)</f>
        <v>0</v>
      </c>
      <c r="F76" s="166">
        <f ca="1">COUNTIF(OFFSET(Synthèse!$G85,0,0,1,COUNTA(Synthèse!$10:$10)-6),"="&amp;$F$1)</f>
        <v>0</v>
      </c>
      <c r="G76" s="166">
        <f ca="1">COUNTIF(OFFSET(Synthèse!$G85,0,0,1,COUNTA(Synthèse!$10:$10)-6),"="&amp;$G$1)</f>
        <v>0</v>
      </c>
      <c r="H76" s="166">
        <f ca="1">COUNTIF(OFFSET(Synthèse!$G85,0,0,1,COUNTA(Synthèse!$10:$10)-6),"="&amp;$H$1)</f>
        <v>0</v>
      </c>
      <c r="I76" s="209">
        <f t="shared" ca="1" si="13"/>
        <v>0</v>
      </c>
      <c r="J76" s="71"/>
      <c r="L76" s="169" t="s">
        <v>22</v>
      </c>
      <c r="M76" s="169"/>
      <c r="N76" s="169" t="s">
        <v>305</v>
      </c>
      <c r="O76" s="170">
        <f t="shared" ca="1" si="9"/>
        <v>1</v>
      </c>
      <c r="P76" s="170">
        <f t="shared" ca="1" si="10"/>
        <v>1</v>
      </c>
      <c r="Q76" s="170">
        <f t="shared" ca="1" si="11"/>
        <v>1</v>
      </c>
      <c r="R76" s="170">
        <f t="shared" ca="1" si="12"/>
        <v>1</v>
      </c>
    </row>
    <row r="77" spans="1:18" x14ac:dyDescent="0.35">
      <c r="A77" s="71"/>
      <c r="B77" s="185" t="str">
        <f>Modèle!B79</f>
        <v>Formulaires</v>
      </c>
      <c r="C77" s="186" t="str">
        <f>Modèle!C79</f>
        <v>11.6</v>
      </c>
      <c r="D77" s="187" t="str">
        <f>Modèle!E79</f>
        <v>A</v>
      </c>
      <c r="E77" s="166">
        <f ca="1">COUNTIF(OFFSET(Synthèse!$G86,0,0,1,COUNTA(Synthèse!$10:$10)-6),"="&amp;$E$1)</f>
        <v>0</v>
      </c>
      <c r="F77" s="166">
        <f ca="1">COUNTIF(OFFSET(Synthèse!$G86,0,0,1,COUNTA(Synthèse!$10:$10)-6),"="&amp;$F$1)</f>
        <v>0</v>
      </c>
      <c r="G77" s="166">
        <f ca="1">COUNTIF(OFFSET(Synthèse!$G86,0,0,1,COUNTA(Synthèse!$10:$10)-6),"="&amp;$G$1)</f>
        <v>0</v>
      </c>
      <c r="H77" s="166">
        <f ca="1">COUNTIF(OFFSET(Synthèse!$G86,0,0,1,COUNTA(Synthèse!$10:$10)-6),"="&amp;$H$1)</f>
        <v>0</v>
      </c>
      <c r="I77" s="209">
        <f t="shared" ca="1" si="13"/>
        <v>0</v>
      </c>
      <c r="J77" s="71"/>
      <c r="L77" s="169" t="s">
        <v>22</v>
      </c>
      <c r="M77" s="169"/>
      <c r="N77" s="169" t="s">
        <v>306</v>
      </c>
      <c r="O77" s="170">
        <f t="shared" ca="1" si="9"/>
        <v>1</v>
      </c>
      <c r="P77" s="170">
        <f t="shared" ca="1" si="10"/>
        <v>1</v>
      </c>
      <c r="Q77" s="170">
        <f t="shared" ca="1" si="11"/>
        <v>1</v>
      </c>
      <c r="R77" s="170">
        <f t="shared" ca="1" si="12"/>
        <v>1</v>
      </c>
    </row>
    <row r="78" spans="1:18" x14ac:dyDescent="0.35">
      <c r="A78" s="71"/>
      <c r="B78" s="185" t="str">
        <f>Modèle!B80</f>
        <v>Formulaires</v>
      </c>
      <c r="C78" s="186" t="str">
        <f>Modèle!C80</f>
        <v>11.7</v>
      </c>
      <c r="D78" s="187" t="str">
        <f>Modèle!E80</f>
        <v>A</v>
      </c>
      <c r="E78" s="166">
        <f ca="1">COUNTIF(OFFSET(Synthèse!$G87,0,0,1,COUNTA(Synthèse!$10:$10)-6),"="&amp;$E$1)</f>
        <v>0</v>
      </c>
      <c r="F78" s="166">
        <f ca="1">COUNTIF(OFFSET(Synthèse!$G87,0,0,1,COUNTA(Synthèse!$10:$10)-6),"="&amp;$F$1)</f>
        <v>0</v>
      </c>
      <c r="G78" s="166">
        <f ca="1">COUNTIF(OFFSET(Synthèse!$G87,0,0,1,COUNTA(Synthèse!$10:$10)-6),"="&amp;$G$1)</f>
        <v>0</v>
      </c>
      <c r="H78" s="166">
        <f ca="1">COUNTIF(OFFSET(Synthèse!$G87,0,0,1,COUNTA(Synthèse!$10:$10)-6),"="&amp;$H$1)</f>
        <v>0</v>
      </c>
      <c r="I78" s="209">
        <f t="shared" ca="1" si="13"/>
        <v>0</v>
      </c>
      <c r="J78" s="71"/>
      <c r="L78" s="169" t="s">
        <v>22</v>
      </c>
      <c r="M78" s="169"/>
      <c r="N78" s="169" t="s">
        <v>307</v>
      </c>
      <c r="O78" s="170">
        <f t="shared" ca="1" si="9"/>
        <v>1</v>
      </c>
      <c r="P78" s="170">
        <f t="shared" ca="1" si="10"/>
        <v>1</v>
      </c>
      <c r="Q78" s="170">
        <f t="shared" ca="1" si="11"/>
        <v>1</v>
      </c>
      <c r="R78" s="170">
        <f t="shared" ca="1" si="12"/>
        <v>1</v>
      </c>
    </row>
    <row r="79" spans="1:18" x14ac:dyDescent="0.35">
      <c r="A79" s="71"/>
      <c r="B79" s="185" t="str">
        <f>Modèle!B81</f>
        <v>Formulaires</v>
      </c>
      <c r="C79" s="186" t="str">
        <f>Modèle!C81</f>
        <v>11.8</v>
      </c>
      <c r="D79" s="187" t="str">
        <f>Modèle!E81</f>
        <v>A</v>
      </c>
      <c r="E79" s="166">
        <f ca="1">COUNTIF(OFFSET(Synthèse!$G88,0,0,1,COUNTA(Synthèse!$10:$10)-6),"="&amp;$E$1)</f>
        <v>0</v>
      </c>
      <c r="F79" s="166">
        <f ca="1">COUNTIF(OFFSET(Synthèse!$G88,0,0,1,COUNTA(Synthèse!$10:$10)-6),"="&amp;$F$1)</f>
        <v>0</v>
      </c>
      <c r="G79" s="166">
        <f ca="1">COUNTIF(OFFSET(Synthèse!$G88,0,0,1,COUNTA(Synthèse!$10:$10)-6),"="&amp;$G$1)</f>
        <v>0</v>
      </c>
      <c r="H79" s="166">
        <f ca="1">COUNTIF(OFFSET(Synthèse!$G88,0,0,1,COUNTA(Synthèse!$10:$10)-6),"="&amp;$H$1)</f>
        <v>0</v>
      </c>
      <c r="I79" s="209">
        <f t="shared" ca="1" si="13"/>
        <v>0</v>
      </c>
      <c r="J79" s="71"/>
      <c r="L79" s="169" t="s">
        <v>22</v>
      </c>
      <c r="M79" s="169"/>
      <c r="N79" s="169" t="s">
        <v>308</v>
      </c>
      <c r="O79" s="170">
        <f t="shared" ca="1" si="9"/>
        <v>1</v>
      </c>
      <c r="P79" s="170">
        <f t="shared" ca="1" si="10"/>
        <v>1</v>
      </c>
      <c r="Q79" s="170">
        <f t="shared" ca="1" si="11"/>
        <v>1</v>
      </c>
      <c r="R79" s="170">
        <f t="shared" ca="1" si="12"/>
        <v>1</v>
      </c>
    </row>
    <row r="80" spans="1:18" x14ac:dyDescent="0.35">
      <c r="A80" s="71"/>
      <c r="B80" s="185" t="str">
        <f>Modèle!B82</f>
        <v>Formulaires</v>
      </c>
      <c r="C80" s="186" t="str">
        <f>Modèle!C82</f>
        <v>11.9</v>
      </c>
      <c r="D80" s="187" t="str">
        <f>Modèle!E82</f>
        <v>A</v>
      </c>
      <c r="E80" s="166">
        <f ca="1">COUNTIF(OFFSET(Synthèse!$G89,0,0,1,COUNTA(Synthèse!$10:$10)-6),"="&amp;$E$1)</f>
        <v>0</v>
      </c>
      <c r="F80" s="166">
        <f ca="1">COUNTIF(OFFSET(Synthèse!$G89,0,0,1,COUNTA(Synthèse!$10:$10)-6),"="&amp;$F$1)</f>
        <v>0</v>
      </c>
      <c r="G80" s="166">
        <f ca="1">COUNTIF(OFFSET(Synthèse!$G89,0,0,1,COUNTA(Synthèse!$10:$10)-6),"="&amp;$G$1)</f>
        <v>0</v>
      </c>
      <c r="H80" s="166">
        <f ca="1">COUNTIF(OFFSET(Synthèse!$G89,0,0,1,COUNTA(Synthèse!$10:$10)-6),"="&amp;$H$1)</f>
        <v>0</v>
      </c>
      <c r="I80" s="209">
        <f t="shared" ca="1" si="13"/>
        <v>0</v>
      </c>
      <c r="J80" s="71"/>
      <c r="L80" s="169" t="s">
        <v>22</v>
      </c>
      <c r="M80" s="169"/>
      <c r="N80" s="169" t="s">
        <v>309</v>
      </c>
      <c r="O80" s="170">
        <f t="shared" ca="1" si="9"/>
        <v>1</v>
      </c>
      <c r="P80" s="170">
        <f t="shared" ca="1" si="10"/>
        <v>1</v>
      </c>
      <c r="Q80" s="170">
        <f t="shared" ca="1" si="11"/>
        <v>1</v>
      </c>
      <c r="R80" s="170">
        <f t="shared" ca="1" si="12"/>
        <v>1</v>
      </c>
    </row>
    <row r="81" spans="1:18" x14ac:dyDescent="0.35">
      <c r="A81" s="71"/>
      <c r="B81" s="185" t="str">
        <f>Modèle!B83</f>
        <v>Formulaires</v>
      </c>
      <c r="C81" s="186" t="str">
        <f>Modèle!C83</f>
        <v>11.10</v>
      </c>
      <c r="D81" s="187" t="str">
        <f>Modèle!E83</f>
        <v>A</v>
      </c>
      <c r="E81" s="166">
        <f ca="1">COUNTIF(OFFSET(Synthèse!$G90,0,0,1,COUNTA(Synthèse!$10:$10)-6),"="&amp;$E$1)</f>
        <v>0</v>
      </c>
      <c r="F81" s="166">
        <f ca="1">COUNTIF(OFFSET(Synthèse!$G90,0,0,1,COUNTA(Synthèse!$10:$10)-6),"="&amp;$F$1)</f>
        <v>0</v>
      </c>
      <c r="G81" s="166">
        <f ca="1">COUNTIF(OFFSET(Synthèse!$G90,0,0,1,COUNTA(Synthèse!$10:$10)-6),"="&amp;$G$1)</f>
        <v>0</v>
      </c>
      <c r="H81" s="166">
        <f ca="1">COUNTIF(OFFSET(Synthèse!$G90,0,0,1,COUNTA(Synthèse!$10:$10)-6),"="&amp;$H$1)</f>
        <v>0</v>
      </c>
      <c r="I81" s="209">
        <f t="shared" ca="1" si="13"/>
        <v>0</v>
      </c>
      <c r="J81" s="71"/>
      <c r="L81" s="169" t="s">
        <v>22</v>
      </c>
      <c r="M81" s="169"/>
      <c r="N81" s="169" t="s">
        <v>310</v>
      </c>
      <c r="O81" s="170">
        <f t="shared" ca="1" si="9"/>
        <v>1</v>
      </c>
      <c r="P81" s="170">
        <f t="shared" ca="1" si="10"/>
        <v>1</v>
      </c>
      <c r="Q81" s="170">
        <f t="shared" ca="1" si="11"/>
        <v>1</v>
      </c>
      <c r="R81" s="170">
        <f t="shared" ca="1" si="12"/>
        <v>1</v>
      </c>
    </row>
    <row r="82" spans="1:18" x14ac:dyDescent="0.35">
      <c r="A82" s="71"/>
      <c r="B82" s="185" t="str">
        <f>Modèle!B84</f>
        <v>Formulaires</v>
      </c>
      <c r="C82" s="186" t="str">
        <f>Modèle!C84</f>
        <v>11.11</v>
      </c>
      <c r="D82" s="187" t="str">
        <f>Modèle!E84</f>
        <v>AA</v>
      </c>
      <c r="E82" s="166">
        <f ca="1">COUNTIF(OFFSET(Synthèse!$G91,0,0,1,COUNTA(Synthèse!$10:$10)-6),"="&amp;$E$1)</f>
        <v>0</v>
      </c>
      <c r="F82" s="166">
        <f ca="1">COUNTIF(OFFSET(Synthèse!$G91,0,0,1,COUNTA(Synthèse!$10:$10)-6),"="&amp;$F$1)</f>
        <v>0</v>
      </c>
      <c r="G82" s="166">
        <f ca="1">COUNTIF(OFFSET(Synthèse!$G91,0,0,1,COUNTA(Synthèse!$10:$10)-6),"="&amp;$G$1)</f>
        <v>0</v>
      </c>
      <c r="H82" s="166">
        <f ca="1">COUNTIF(OFFSET(Synthèse!$G91,0,0,1,COUNTA(Synthèse!$10:$10)-6),"="&amp;$H$1)</f>
        <v>0</v>
      </c>
      <c r="I82" s="209">
        <f t="shared" ca="1" si="13"/>
        <v>0</v>
      </c>
      <c r="J82" s="71"/>
      <c r="L82" s="169" t="s">
        <v>23</v>
      </c>
      <c r="M82" s="169"/>
      <c r="N82" s="169" t="s">
        <v>311</v>
      </c>
      <c r="O82" s="170">
        <f t="shared" ca="1" si="9"/>
        <v>1</v>
      </c>
      <c r="P82" s="170">
        <f t="shared" ca="1" si="10"/>
        <v>1</v>
      </c>
      <c r="Q82" s="170">
        <f t="shared" ca="1" si="11"/>
        <v>1</v>
      </c>
      <c r="R82" s="170">
        <f t="shared" ca="1" si="12"/>
        <v>1</v>
      </c>
    </row>
    <row r="83" spans="1:18" x14ac:dyDescent="0.35">
      <c r="A83" s="71"/>
      <c r="B83" s="185" t="str">
        <f>Modèle!B85</f>
        <v>Formulaires</v>
      </c>
      <c r="C83" s="186" t="str">
        <f>Modèle!C85</f>
        <v>11.12</v>
      </c>
      <c r="D83" s="187" t="str">
        <f>Modèle!E85</f>
        <v>AA</v>
      </c>
      <c r="E83" s="166">
        <f ca="1">COUNTIF(OFFSET(Synthèse!$G92,0,0,1,COUNTA(Synthèse!$10:$10)-6),"="&amp;$E$1)</f>
        <v>0</v>
      </c>
      <c r="F83" s="166">
        <f ca="1">COUNTIF(OFFSET(Synthèse!$G92,0,0,1,COUNTA(Synthèse!$10:$10)-6),"="&amp;$F$1)</f>
        <v>0</v>
      </c>
      <c r="G83" s="166">
        <f ca="1">COUNTIF(OFFSET(Synthèse!$G92,0,0,1,COUNTA(Synthèse!$10:$10)-6),"="&amp;$G$1)</f>
        <v>0</v>
      </c>
      <c r="H83" s="166">
        <f ca="1">COUNTIF(OFFSET(Synthèse!$G92,0,0,1,COUNTA(Synthèse!$10:$10)-6),"="&amp;$H$1)</f>
        <v>0</v>
      </c>
      <c r="I83" s="209">
        <f t="shared" ca="1" si="13"/>
        <v>0</v>
      </c>
      <c r="J83" s="71"/>
      <c r="L83" s="169" t="s">
        <v>23</v>
      </c>
      <c r="M83" s="169"/>
      <c r="N83" s="169" t="s">
        <v>312</v>
      </c>
      <c r="O83" s="170">
        <f t="shared" ca="1" si="9"/>
        <v>1</v>
      </c>
      <c r="P83" s="170">
        <f t="shared" ca="1" si="10"/>
        <v>1</v>
      </c>
      <c r="Q83" s="170">
        <f t="shared" ca="1" si="11"/>
        <v>1</v>
      </c>
      <c r="R83" s="170">
        <f t="shared" ca="1" si="12"/>
        <v>1</v>
      </c>
    </row>
    <row r="84" spans="1:18" x14ac:dyDescent="0.35">
      <c r="A84" s="71"/>
      <c r="B84" s="185" t="str">
        <f>Modèle!B86</f>
        <v>Formulaires</v>
      </c>
      <c r="C84" s="186" t="str">
        <f>Modèle!C86</f>
        <v>11.13</v>
      </c>
      <c r="D84" s="187" t="str">
        <f>Modèle!E86</f>
        <v>AA</v>
      </c>
      <c r="E84" s="166">
        <f ca="1">COUNTIF(OFFSET(Synthèse!$G93,0,0,1,COUNTA(Synthèse!$10:$10)-6),"="&amp;$E$1)</f>
        <v>0</v>
      </c>
      <c r="F84" s="166">
        <f ca="1">COUNTIF(OFFSET(Synthèse!$G93,0,0,1,COUNTA(Synthèse!$10:$10)-6),"="&amp;$F$1)</f>
        <v>0</v>
      </c>
      <c r="G84" s="166">
        <f ca="1">COUNTIF(OFFSET(Synthèse!$G93,0,0,1,COUNTA(Synthèse!$10:$10)-6),"="&amp;$G$1)</f>
        <v>0</v>
      </c>
      <c r="H84" s="166">
        <f ca="1">COUNTIF(OFFSET(Synthèse!$G93,0,0,1,COUNTA(Synthèse!$10:$10)-6),"="&amp;$H$1)</f>
        <v>0</v>
      </c>
      <c r="I84" s="209">
        <f t="shared" ca="1" si="13"/>
        <v>0</v>
      </c>
      <c r="J84" s="71"/>
      <c r="L84" s="169" t="s">
        <v>22</v>
      </c>
      <c r="M84" s="169"/>
      <c r="N84" s="169" t="s">
        <v>313</v>
      </c>
      <c r="O84" s="170">
        <f t="shared" ca="1" si="9"/>
        <v>1</v>
      </c>
      <c r="P84" s="170">
        <f t="shared" ca="1" si="10"/>
        <v>1</v>
      </c>
      <c r="Q84" s="170">
        <f t="shared" ca="1" si="11"/>
        <v>1</v>
      </c>
      <c r="R84" s="170">
        <f t="shared" ca="1" si="12"/>
        <v>1</v>
      </c>
    </row>
    <row r="85" spans="1:18" x14ac:dyDescent="0.35">
      <c r="A85" s="71"/>
      <c r="B85" s="77" t="str">
        <f>Modèle!B87</f>
        <v>Navigation</v>
      </c>
      <c r="C85" s="79" t="str">
        <f>Modèle!C87</f>
        <v>12.1</v>
      </c>
      <c r="D85" s="80" t="str">
        <f>Modèle!E87</f>
        <v>AA</v>
      </c>
      <c r="E85" s="166">
        <f ca="1">COUNTIF(OFFSET(Synthèse!$G94,0,0,1,COUNTA(Synthèse!$10:$10)-6),"="&amp;$E$1)</f>
        <v>0</v>
      </c>
      <c r="F85" s="166">
        <f ca="1">COUNTIF(OFFSET(Synthèse!$G94,0,0,1,COUNTA(Synthèse!$10:$10)-6),"="&amp;$F$1)</f>
        <v>0</v>
      </c>
      <c r="G85" s="166">
        <f ca="1">COUNTIF(OFFSET(Synthèse!$G94,0,0,1,COUNTA(Synthèse!$10:$10)-6),"="&amp;$G$1)</f>
        <v>0</v>
      </c>
      <c r="H85" s="166">
        <f ca="1">COUNTIF(OFFSET(Synthèse!$G94,0,0,1,COUNTA(Synthèse!$10:$10)-6),"="&amp;$H$1)</f>
        <v>0</v>
      </c>
      <c r="I85" s="209">
        <f t="shared" ca="1" si="13"/>
        <v>0</v>
      </c>
      <c r="J85" s="71"/>
      <c r="L85" s="169" t="s">
        <v>22</v>
      </c>
      <c r="M85" s="169"/>
      <c r="N85" s="169" t="s">
        <v>314</v>
      </c>
      <c r="O85" s="170">
        <f t="shared" ca="1" si="9"/>
        <v>1</v>
      </c>
      <c r="P85" s="170">
        <f t="shared" ca="1" si="10"/>
        <v>1</v>
      </c>
      <c r="Q85" s="170">
        <f t="shared" ca="1" si="11"/>
        <v>1</v>
      </c>
      <c r="R85" s="170">
        <f t="shared" ca="1" si="12"/>
        <v>1</v>
      </c>
    </row>
    <row r="86" spans="1:18" x14ac:dyDescent="0.35">
      <c r="A86" s="71"/>
      <c r="B86" s="77" t="str">
        <f>Modèle!B88</f>
        <v>Navigation</v>
      </c>
      <c r="C86" s="79" t="str">
        <f>Modèle!C88</f>
        <v>12.2</v>
      </c>
      <c r="D86" s="80" t="str">
        <f>Modèle!E88</f>
        <v>AA</v>
      </c>
      <c r="E86" s="166">
        <f ca="1">COUNTIF(OFFSET(Synthèse!$G95,0,0,1,COUNTA(Synthèse!$10:$10)-6),"="&amp;$E$1)</f>
        <v>0</v>
      </c>
      <c r="F86" s="166">
        <f ca="1">COUNTIF(OFFSET(Synthèse!$G95,0,0,1,COUNTA(Synthèse!$10:$10)-6),"="&amp;$F$1)</f>
        <v>0</v>
      </c>
      <c r="G86" s="166">
        <f ca="1">COUNTIF(OFFSET(Synthèse!$G95,0,0,1,COUNTA(Synthèse!$10:$10)-6),"="&amp;$G$1)</f>
        <v>0</v>
      </c>
      <c r="H86" s="166">
        <f ca="1">COUNTIF(OFFSET(Synthèse!$G95,0,0,1,COUNTA(Synthèse!$10:$10)-6),"="&amp;$H$1)</f>
        <v>0</v>
      </c>
      <c r="I86" s="209">
        <f t="shared" ca="1" si="13"/>
        <v>0</v>
      </c>
      <c r="J86" s="71"/>
      <c r="L86" s="167" t="s">
        <v>22</v>
      </c>
      <c r="M86" s="167"/>
      <c r="N86" s="167" t="s">
        <v>315</v>
      </c>
      <c r="O86" s="168">
        <f t="shared" ca="1" si="9"/>
        <v>1</v>
      </c>
      <c r="P86" s="168">
        <f t="shared" ca="1" si="10"/>
        <v>1</v>
      </c>
      <c r="Q86" s="168">
        <f t="shared" ca="1" si="11"/>
        <v>1</v>
      </c>
      <c r="R86" s="168">
        <f t="shared" ca="1" si="12"/>
        <v>1</v>
      </c>
    </row>
    <row r="87" spans="1:18" x14ac:dyDescent="0.35">
      <c r="A87" s="71"/>
      <c r="B87" s="77" t="str">
        <f>Modèle!B89</f>
        <v>Navigation</v>
      </c>
      <c r="C87" s="79" t="str">
        <f>Modèle!C89</f>
        <v>12.3</v>
      </c>
      <c r="D87" s="80" t="str">
        <f>Modèle!E89</f>
        <v>AA</v>
      </c>
      <c r="E87" s="166">
        <f ca="1">COUNTIF(OFFSET(Synthèse!$G96,0,0,1,COUNTA(Synthèse!$10:$10)-6),"="&amp;$E$1)</f>
        <v>0</v>
      </c>
      <c r="F87" s="166">
        <f ca="1">COUNTIF(OFFSET(Synthèse!$G96,0,0,1,COUNTA(Synthèse!$10:$10)-6),"="&amp;$F$1)</f>
        <v>0</v>
      </c>
      <c r="G87" s="166">
        <f ca="1">COUNTIF(OFFSET(Synthèse!$G96,0,0,1,COUNTA(Synthèse!$10:$10)-6),"="&amp;$G$1)</f>
        <v>0</v>
      </c>
      <c r="H87" s="166">
        <f ca="1">COUNTIF(OFFSET(Synthèse!$G96,0,0,1,COUNTA(Synthèse!$10:$10)-6),"="&amp;$H$1)</f>
        <v>0</v>
      </c>
      <c r="I87" s="209">
        <f t="shared" ca="1" si="13"/>
        <v>0</v>
      </c>
      <c r="J87" s="71"/>
      <c r="L87" s="167" t="s">
        <v>22</v>
      </c>
      <c r="M87" s="167"/>
      <c r="N87" s="167" t="s">
        <v>316</v>
      </c>
      <c r="O87" s="168">
        <f t="shared" ca="1" si="9"/>
        <v>1</v>
      </c>
      <c r="P87" s="168">
        <f t="shared" ca="1" si="10"/>
        <v>1</v>
      </c>
      <c r="Q87" s="168">
        <f t="shared" ca="1" si="11"/>
        <v>1</v>
      </c>
      <c r="R87" s="168">
        <f t="shared" ca="1" si="12"/>
        <v>1</v>
      </c>
    </row>
    <row r="88" spans="1:18" x14ac:dyDescent="0.35">
      <c r="A88" s="71"/>
      <c r="B88" s="77" t="str">
        <f>Modèle!B90</f>
        <v>Navigation</v>
      </c>
      <c r="C88" s="79" t="str">
        <f>Modèle!C90</f>
        <v>12.4</v>
      </c>
      <c r="D88" s="80" t="str">
        <f>Modèle!E90</f>
        <v>AA</v>
      </c>
      <c r="E88" s="166">
        <f ca="1">COUNTIF(OFFSET(Synthèse!$G97,0,0,1,COUNTA(Synthèse!$10:$10)-6),"="&amp;$E$1)</f>
        <v>0</v>
      </c>
      <c r="F88" s="166">
        <f ca="1">COUNTIF(OFFSET(Synthèse!$G97,0,0,1,COUNTA(Synthèse!$10:$10)-6),"="&amp;$F$1)</f>
        <v>0</v>
      </c>
      <c r="G88" s="166">
        <f ca="1">COUNTIF(OFFSET(Synthèse!$G97,0,0,1,COUNTA(Synthèse!$10:$10)-6),"="&amp;$G$1)</f>
        <v>0</v>
      </c>
      <c r="H88" s="166">
        <f ca="1">COUNTIF(OFFSET(Synthèse!$G97,0,0,1,COUNTA(Synthèse!$10:$10)-6),"="&amp;$H$1)</f>
        <v>0</v>
      </c>
      <c r="I88" s="209">
        <f t="shared" ca="1" si="13"/>
        <v>0</v>
      </c>
      <c r="J88" s="71"/>
      <c r="L88" s="167" t="s">
        <v>22</v>
      </c>
      <c r="M88" s="167"/>
      <c r="N88" s="167" t="s">
        <v>317</v>
      </c>
      <c r="O88" s="168">
        <f t="shared" ca="1" si="9"/>
        <v>1</v>
      </c>
      <c r="P88" s="168">
        <f t="shared" ca="1" si="10"/>
        <v>1</v>
      </c>
      <c r="Q88" s="168">
        <f t="shared" ca="1" si="11"/>
        <v>1</v>
      </c>
      <c r="R88" s="168">
        <f t="shared" ca="1" si="12"/>
        <v>1</v>
      </c>
    </row>
    <row r="89" spans="1:18" x14ac:dyDescent="0.35">
      <c r="A89" s="71"/>
      <c r="B89" s="77" t="str">
        <f>Modèle!B91</f>
        <v>Navigation</v>
      </c>
      <c r="C89" s="79" t="str">
        <f>Modèle!C91</f>
        <v>12.5</v>
      </c>
      <c r="D89" s="80" t="str">
        <f>Modèle!E91</f>
        <v>AA</v>
      </c>
      <c r="E89" s="166">
        <f ca="1">COUNTIF(OFFSET(Synthèse!$G98,0,0,1,COUNTA(Synthèse!$10:$10)-6),"="&amp;$E$1)</f>
        <v>0</v>
      </c>
      <c r="F89" s="166">
        <f ca="1">COUNTIF(OFFSET(Synthèse!$G98,0,0,1,COUNTA(Synthèse!$10:$10)-6),"="&amp;$F$1)</f>
        <v>0</v>
      </c>
      <c r="G89" s="166">
        <f ca="1">COUNTIF(OFFSET(Synthèse!$G98,0,0,1,COUNTA(Synthèse!$10:$10)-6),"="&amp;$G$1)</f>
        <v>0</v>
      </c>
      <c r="H89" s="166">
        <f ca="1">COUNTIF(OFFSET(Synthèse!$G98,0,0,1,COUNTA(Synthèse!$10:$10)-6),"="&amp;$H$1)</f>
        <v>0</v>
      </c>
      <c r="I89" s="209">
        <f t="shared" ca="1" si="13"/>
        <v>0</v>
      </c>
      <c r="J89" s="71"/>
      <c r="L89" s="167" t="s">
        <v>22</v>
      </c>
      <c r="M89" s="167"/>
      <c r="N89" s="167" t="s">
        <v>318</v>
      </c>
      <c r="O89" s="168">
        <f t="shared" ca="1" si="9"/>
        <v>1</v>
      </c>
      <c r="P89" s="168">
        <f t="shared" ca="1" si="10"/>
        <v>1</v>
      </c>
      <c r="Q89" s="168">
        <f t="shared" ca="1" si="11"/>
        <v>1</v>
      </c>
      <c r="R89" s="168">
        <f t="shared" ca="1" si="12"/>
        <v>1</v>
      </c>
    </row>
    <row r="90" spans="1:18" x14ac:dyDescent="0.35">
      <c r="A90" s="71"/>
      <c r="B90" s="77" t="str">
        <f>Modèle!B92</f>
        <v>Navigation</v>
      </c>
      <c r="C90" s="79" t="str">
        <f>Modèle!C92</f>
        <v>12.6</v>
      </c>
      <c r="D90" s="80" t="str">
        <f>Modèle!E92</f>
        <v>A</v>
      </c>
      <c r="E90" s="166">
        <f ca="1">COUNTIF(OFFSET(Synthèse!$G99,0,0,1,COUNTA(Synthèse!$10:$10)-6),"="&amp;$E$1)</f>
        <v>0</v>
      </c>
      <c r="F90" s="166">
        <f ca="1">COUNTIF(OFFSET(Synthèse!$G99,0,0,1,COUNTA(Synthèse!$10:$10)-6),"="&amp;$F$1)</f>
        <v>0</v>
      </c>
      <c r="G90" s="166">
        <f ca="1">COUNTIF(OFFSET(Synthèse!$G99,0,0,1,COUNTA(Synthèse!$10:$10)-6),"="&amp;$G$1)</f>
        <v>0</v>
      </c>
      <c r="H90" s="166">
        <f ca="1">COUNTIF(OFFSET(Synthèse!$G99,0,0,1,COUNTA(Synthèse!$10:$10)-6),"="&amp;$H$1)</f>
        <v>0</v>
      </c>
      <c r="I90" s="209">
        <f t="shared" ca="1" si="13"/>
        <v>0</v>
      </c>
      <c r="J90" s="71"/>
      <c r="L90" s="169" t="s">
        <v>22</v>
      </c>
      <c r="M90" s="169"/>
      <c r="N90" s="169" t="s">
        <v>319</v>
      </c>
      <c r="O90" s="170">
        <f t="shared" ca="1" si="9"/>
        <v>1</v>
      </c>
      <c r="P90" s="170">
        <f t="shared" ca="1" si="10"/>
        <v>1</v>
      </c>
      <c r="Q90" s="170">
        <f t="shared" ca="1" si="11"/>
        <v>1</v>
      </c>
      <c r="R90" s="170">
        <f t="shared" ca="1" si="12"/>
        <v>1</v>
      </c>
    </row>
    <row r="91" spans="1:18" x14ac:dyDescent="0.35">
      <c r="A91" s="71"/>
      <c r="B91" s="77" t="str">
        <f>Modèle!B93</f>
        <v>Navigation</v>
      </c>
      <c r="C91" s="79" t="str">
        <f>Modèle!C93</f>
        <v>12.7</v>
      </c>
      <c r="D91" s="80" t="str">
        <f>Modèle!E93</f>
        <v>A</v>
      </c>
      <c r="E91" s="166">
        <f ca="1">COUNTIF(OFFSET(Synthèse!$G100,0,0,1,COUNTA(Synthèse!$10:$10)-6),"="&amp;$E$1)</f>
        <v>0</v>
      </c>
      <c r="F91" s="166">
        <f ca="1">COUNTIF(OFFSET(Synthèse!$G100,0,0,1,COUNTA(Synthèse!$10:$10)-6),"="&amp;$F$1)</f>
        <v>0</v>
      </c>
      <c r="G91" s="166">
        <f ca="1">COUNTIF(OFFSET(Synthèse!$G100,0,0,1,COUNTA(Synthèse!$10:$10)-6),"="&amp;$G$1)</f>
        <v>0</v>
      </c>
      <c r="H91" s="166">
        <f ca="1">COUNTIF(OFFSET(Synthèse!$G100,0,0,1,COUNTA(Synthèse!$10:$10)-6),"="&amp;$H$1)</f>
        <v>0</v>
      </c>
      <c r="I91" s="209">
        <f t="shared" ca="1" si="13"/>
        <v>0</v>
      </c>
      <c r="J91" s="71"/>
      <c r="L91" s="169" t="s">
        <v>22</v>
      </c>
      <c r="M91" s="169"/>
      <c r="N91" s="169" t="s">
        <v>320</v>
      </c>
      <c r="O91" s="170">
        <f t="shared" ca="1" si="9"/>
        <v>1</v>
      </c>
      <c r="P91" s="170">
        <f t="shared" ca="1" si="10"/>
        <v>1</v>
      </c>
      <c r="Q91" s="170">
        <f t="shared" ca="1" si="11"/>
        <v>1</v>
      </c>
      <c r="R91" s="170">
        <f t="shared" ca="1" si="12"/>
        <v>1</v>
      </c>
    </row>
    <row r="92" spans="1:18" x14ac:dyDescent="0.35">
      <c r="A92" s="71"/>
      <c r="B92" s="77" t="str">
        <f>Modèle!B94</f>
        <v>Navigation</v>
      </c>
      <c r="C92" s="79" t="str">
        <f>Modèle!C94</f>
        <v>12.8</v>
      </c>
      <c r="D92" s="80" t="str">
        <f>Modèle!E94</f>
        <v>A</v>
      </c>
      <c r="E92" s="166">
        <f ca="1">COUNTIF(OFFSET(Synthèse!$G101,0,0,1,COUNTA(Synthèse!$10:$10)-6),"="&amp;$E$1)</f>
        <v>0</v>
      </c>
      <c r="F92" s="166">
        <f ca="1">COUNTIF(OFFSET(Synthèse!$G101,0,0,1,COUNTA(Synthèse!$10:$10)-6),"="&amp;$F$1)</f>
        <v>0</v>
      </c>
      <c r="G92" s="166">
        <f ca="1">COUNTIF(OFFSET(Synthèse!$G101,0,0,1,COUNTA(Synthèse!$10:$10)-6),"="&amp;$G$1)</f>
        <v>0</v>
      </c>
      <c r="H92" s="166">
        <f ca="1">COUNTIF(OFFSET(Synthèse!$G101,0,0,1,COUNTA(Synthèse!$10:$10)-6),"="&amp;$H$1)</f>
        <v>0</v>
      </c>
      <c r="I92" s="209">
        <f t="shared" ca="1" si="13"/>
        <v>0</v>
      </c>
      <c r="J92" s="71"/>
      <c r="L92" s="169" t="s">
        <v>22</v>
      </c>
      <c r="M92" s="169"/>
      <c r="N92" s="169" t="s">
        <v>321</v>
      </c>
      <c r="O92" s="170">
        <f t="shared" ca="1" si="9"/>
        <v>1</v>
      </c>
      <c r="P92" s="170">
        <f t="shared" ca="1" si="10"/>
        <v>1</v>
      </c>
      <c r="Q92" s="170">
        <f t="shared" ca="1" si="11"/>
        <v>1</v>
      </c>
      <c r="R92" s="170">
        <f t="shared" ca="1" si="12"/>
        <v>1</v>
      </c>
    </row>
    <row r="93" spans="1:18" x14ac:dyDescent="0.35">
      <c r="A93" s="71"/>
      <c r="B93" s="77" t="str">
        <f>Modèle!B95</f>
        <v>Navigation</v>
      </c>
      <c r="C93" s="79" t="str">
        <f>Modèle!C95</f>
        <v>12.9</v>
      </c>
      <c r="D93" s="80" t="str">
        <f>Modèle!E95</f>
        <v>A</v>
      </c>
      <c r="E93" s="166">
        <f ca="1">COUNTIF(OFFSET(Synthèse!$G102,0,0,1,COUNTA(Synthèse!$10:$10)-6),"="&amp;$E$1)</f>
        <v>0</v>
      </c>
      <c r="F93" s="166">
        <f ca="1">COUNTIF(OFFSET(Synthèse!$G102,0,0,1,COUNTA(Synthèse!$10:$10)-6),"="&amp;$F$1)</f>
        <v>0</v>
      </c>
      <c r="G93" s="166">
        <f ca="1">COUNTIF(OFFSET(Synthèse!$G102,0,0,1,COUNTA(Synthèse!$10:$10)-6),"="&amp;$G$1)</f>
        <v>0</v>
      </c>
      <c r="H93" s="166">
        <f ca="1">COUNTIF(OFFSET(Synthèse!$G102,0,0,1,COUNTA(Synthèse!$10:$10)-6),"="&amp;$H$1)</f>
        <v>0</v>
      </c>
      <c r="I93" s="209">
        <f t="shared" ca="1" si="13"/>
        <v>0</v>
      </c>
      <c r="J93" s="71"/>
      <c r="L93" s="169" t="s">
        <v>23</v>
      </c>
      <c r="M93" s="169"/>
      <c r="N93" s="169" t="s">
        <v>322</v>
      </c>
      <c r="O93" s="170">
        <f t="shared" ca="1" si="9"/>
        <v>1</v>
      </c>
      <c r="P93" s="170">
        <f t="shared" ca="1" si="10"/>
        <v>1</v>
      </c>
      <c r="Q93" s="170">
        <f t="shared" ca="1" si="11"/>
        <v>1</v>
      </c>
      <c r="R93" s="170">
        <f t="shared" ca="1" si="12"/>
        <v>1</v>
      </c>
    </row>
    <row r="94" spans="1:18" x14ac:dyDescent="0.35">
      <c r="A94" s="71"/>
      <c r="B94" s="77" t="str">
        <f>Modèle!B96</f>
        <v>Navigation</v>
      </c>
      <c r="C94" s="79" t="str">
        <f>Modèle!C96</f>
        <v>12.10</v>
      </c>
      <c r="D94" s="80" t="str">
        <f>Modèle!E96</f>
        <v>A</v>
      </c>
      <c r="E94" s="166">
        <f ca="1">COUNTIF(OFFSET(Synthèse!$G103,0,0,1,COUNTA(Synthèse!$10:$10)-6),"="&amp;$E$1)</f>
        <v>0</v>
      </c>
      <c r="F94" s="166">
        <f ca="1">COUNTIF(OFFSET(Synthèse!$G103,0,0,1,COUNTA(Synthèse!$10:$10)-6),"="&amp;$F$1)</f>
        <v>0</v>
      </c>
      <c r="G94" s="166">
        <f ca="1">COUNTIF(OFFSET(Synthèse!$G103,0,0,1,COUNTA(Synthèse!$10:$10)-6),"="&amp;$G$1)</f>
        <v>0</v>
      </c>
      <c r="H94" s="166">
        <f ca="1">COUNTIF(OFFSET(Synthèse!$G103,0,0,1,COUNTA(Synthèse!$10:$10)-6),"="&amp;$H$1)</f>
        <v>0</v>
      </c>
      <c r="I94" s="209">
        <f t="shared" ca="1" si="13"/>
        <v>0</v>
      </c>
      <c r="J94" s="71"/>
      <c r="L94" s="169" t="s">
        <v>23</v>
      </c>
      <c r="M94" s="169"/>
      <c r="N94" s="169" t="s">
        <v>323</v>
      </c>
      <c r="O94" s="170">
        <f t="shared" ca="1" si="9"/>
        <v>1</v>
      </c>
      <c r="P94" s="170">
        <f t="shared" ca="1" si="10"/>
        <v>1</v>
      </c>
      <c r="Q94" s="170">
        <f t="shared" ca="1" si="11"/>
        <v>1</v>
      </c>
      <c r="R94" s="170">
        <f t="shared" ca="1" si="12"/>
        <v>1</v>
      </c>
    </row>
    <row r="95" spans="1:18" x14ac:dyDescent="0.35">
      <c r="A95" s="71"/>
      <c r="B95" s="77" t="str">
        <f>Modèle!B97</f>
        <v>Navigation</v>
      </c>
      <c r="C95" s="79" t="str">
        <f>Modèle!C97</f>
        <v>12.11</v>
      </c>
      <c r="D95" s="80" t="str">
        <f>Modèle!E97</f>
        <v>A</v>
      </c>
      <c r="E95" s="166">
        <f ca="1">COUNTIF(OFFSET(Synthèse!$G104,0,0,1,COUNTA(Synthèse!$10:$10)-6),"="&amp;$E$1)</f>
        <v>0</v>
      </c>
      <c r="F95" s="166">
        <f ca="1">COUNTIF(OFFSET(Synthèse!$G104,0,0,1,COUNTA(Synthèse!$10:$10)-6),"="&amp;$F$1)</f>
        <v>0</v>
      </c>
      <c r="G95" s="166">
        <f ca="1">COUNTIF(OFFSET(Synthèse!$G104,0,0,1,COUNTA(Synthèse!$10:$10)-6),"="&amp;$G$1)</f>
        <v>0</v>
      </c>
      <c r="H95" s="166">
        <f ca="1">COUNTIF(OFFSET(Synthèse!$G104,0,0,1,COUNTA(Synthèse!$10:$10)-6),"="&amp;$H$1)</f>
        <v>0</v>
      </c>
      <c r="I95" s="209">
        <f t="shared" ca="1" si="13"/>
        <v>0</v>
      </c>
      <c r="J95" s="71"/>
      <c r="L95" s="169" t="s">
        <v>22</v>
      </c>
      <c r="M95" s="169"/>
      <c r="N95" s="169" t="s">
        <v>324</v>
      </c>
      <c r="O95" s="170">
        <f t="shared" ca="1" si="9"/>
        <v>1</v>
      </c>
      <c r="P95" s="170">
        <f t="shared" ca="1" si="10"/>
        <v>1</v>
      </c>
      <c r="Q95" s="170">
        <f t="shared" ca="1" si="11"/>
        <v>1</v>
      </c>
      <c r="R95" s="170">
        <f t="shared" ca="1" si="12"/>
        <v>1</v>
      </c>
    </row>
    <row r="96" spans="1:18" x14ac:dyDescent="0.35">
      <c r="A96" s="71"/>
      <c r="B96" s="185" t="str">
        <f>Modèle!B98</f>
        <v>Consultation</v>
      </c>
      <c r="C96" s="186" t="str">
        <f>Modèle!C98</f>
        <v>13.1</v>
      </c>
      <c r="D96" s="187" t="str">
        <f>Modèle!E98</f>
        <v>A</v>
      </c>
      <c r="E96" s="166">
        <f ca="1">COUNTIF(OFFSET(Synthèse!$G105,0,0,1,COUNTA(Synthèse!$10:$10)-6),"="&amp;$E$1)</f>
        <v>0</v>
      </c>
      <c r="F96" s="166">
        <f ca="1">COUNTIF(OFFSET(Synthèse!$G105,0,0,1,COUNTA(Synthèse!$10:$10)-6),"="&amp;$F$1)</f>
        <v>0</v>
      </c>
      <c r="G96" s="166">
        <f ca="1">COUNTIF(OFFSET(Synthèse!$G105,0,0,1,COUNTA(Synthèse!$10:$10)-6),"="&amp;$G$1)</f>
        <v>0</v>
      </c>
      <c r="H96" s="166">
        <f ca="1">COUNTIF(OFFSET(Synthèse!$G105,0,0,1,COUNTA(Synthèse!$10:$10)-6),"="&amp;$H$1)</f>
        <v>0</v>
      </c>
      <c r="I96" s="209">
        <f t="shared" ca="1" si="13"/>
        <v>0</v>
      </c>
      <c r="J96" s="71"/>
      <c r="L96" s="169" t="s">
        <v>22</v>
      </c>
      <c r="M96" s="169"/>
      <c r="N96" s="169" t="s">
        <v>325</v>
      </c>
      <c r="O96" s="170">
        <f t="shared" ca="1" si="9"/>
        <v>1</v>
      </c>
      <c r="P96" s="170">
        <f t="shared" ca="1" si="10"/>
        <v>1</v>
      </c>
      <c r="Q96" s="170">
        <f t="shared" ca="1" si="11"/>
        <v>1</v>
      </c>
      <c r="R96" s="170">
        <f t="shared" ca="1" si="12"/>
        <v>1</v>
      </c>
    </row>
    <row r="97" spans="1:18" x14ac:dyDescent="0.35">
      <c r="A97" s="71"/>
      <c r="B97" s="185" t="str">
        <f>Modèle!B99</f>
        <v>Consultation</v>
      </c>
      <c r="C97" s="186" t="str">
        <f>Modèle!C99</f>
        <v>13.2</v>
      </c>
      <c r="D97" s="187" t="str">
        <f>Modèle!E99</f>
        <v>A</v>
      </c>
      <c r="E97" s="166">
        <f ca="1">COUNTIF(OFFSET(Synthèse!$G106,0,0,1,COUNTA(Synthèse!$10:$10)-6),"="&amp;$E$1)</f>
        <v>0</v>
      </c>
      <c r="F97" s="166">
        <f ca="1">COUNTIF(OFFSET(Synthèse!$G106,0,0,1,COUNTA(Synthèse!$10:$10)-6),"="&amp;$F$1)</f>
        <v>0</v>
      </c>
      <c r="G97" s="166">
        <f ca="1">COUNTIF(OFFSET(Synthèse!$G106,0,0,1,COUNTA(Synthèse!$10:$10)-6),"="&amp;$G$1)</f>
        <v>0</v>
      </c>
      <c r="H97" s="166">
        <f ca="1">COUNTIF(OFFSET(Synthèse!$G106,0,0,1,COUNTA(Synthèse!$10:$10)-6),"="&amp;$H$1)</f>
        <v>0</v>
      </c>
      <c r="I97" s="209">
        <f t="shared" ca="1" si="13"/>
        <v>0</v>
      </c>
      <c r="J97" s="71"/>
      <c r="L97" s="169" t="s">
        <v>22</v>
      </c>
      <c r="M97" s="169"/>
      <c r="N97" s="169" t="s">
        <v>326</v>
      </c>
      <c r="O97" s="170">
        <f t="shared" ca="1" si="9"/>
        <v>1</v>
      </c>
      <c r="P97" s="170">
        <f t="shared" ca="1" si="10"/>
        <v>1</v>
      </c>
      <c r="Q97" s="170">
        <f t="shared" ca="1" si="11"/>
        <v>1</v>
      </c>
      <c r="R97" s="170">
        <f t="shared" ca="1" si="12"/>
        <v>1</v>
      </c>
    </row>
    <row r="98" spans="1:18" x14ac:dyDescent="0.35">
      <c r="A98" s="71"/>
      <c r="B98" s="185" t="str">
        <f>Modèle!B100</f>
        <v>Consultation</v>
      </c>
      <c r="C98" s="186" t="str">
        <f>Modèle!C100</f>
        <v>13.3</v>
      </c>
      <c r="D98" s="187" t="str">
        <f>Modèle!E100</f>
        <v>A</v>
      </c>
      <c r="E98" s="166">
        <f ca="1">COUNTIF(OFFSET(Synthèse!$G107,0,0,1,COUNTA(Synthèse!$10:$10)-6),"="&amp;$E$1)</f>
        <v>0</v>
      </c>
      <c r="F98" s="166">
        <f ca="1">COUNTIF(OFFSET(Synthèse!$G107,0,0,1,COUNTA(Synthèse!$10:$10)-6),"="&amp;$F$1)</f>
        <v>0</v>
      </c>
      <c r="G98" s="166">
        <f ca="1">COUNTIF(OFFSET(Synthèse!$G107,0,0,1,COUNTA(Synthèse!$10:$10)-6),"="&amp;$G$1)</f>
        <v>0</v>
      </c>
      <c r="H98" s="166">
        <f ca="1">COUNTIF(OFFSET(Synthèse!$G107,0,0,1,COUNTA(Synthèse!$10:$10)-6),"="&amp;$H$1)</f>
        <v>0</v>
      </c>
      <c r="I98" s="209">
        <f t="shared" ca="1" si="13"/>
        <v>0</v>
      </c>
      <c r="J98" s="71"/>
      <c r="L98" s="169" t="s">
        <v>22</v>
      </c>
      <c r="M98" s="169"/>
      <c r="N98" s="169" t="s">
        <v>327</v>
      </c>
      <c r="O98" s="170">
        <f t="shared" ca="1" si="9"/>
        <v>1</v>
      </c>
      <c r="P98" s="170">
        <f t="shared" ca="1" si="10"/>
        <v>1</v>
      </c>
      <c r="Q98" s="170">
        <f t="shared" ca="1" si="11"/>
        <v>1</v>
      </c>
      <c r="R98" s="170">
        <f t="shared" ca="1" si="12"/>
        <v>1</v>
      </c>
    </row>
    <row r="99" spans="1:18" x14ac:dyDescent="0.35">
      <c r="A99" s="71"/>
      <c r="B99" s="185" t="str">
        <f>Modèle!B101</f>
        <v>Consultation</v>
      </c>
      <c r="C99" s="186" t="str">
        <f>Modèle!C101</f>
        <v>13.4</v>
      </c>
      <c r="D99" s="187" t="str">
        <f>Modèle!E101</f>
        <v>A</v>
      </c>
      <c r="E99" s="166">
        <f ca="1">COUNTIF(OFFSET(Synthèse!$G108,0,0,1,COUNTA(Synthèse!$10:$10)-6),"="&amp;$E$1)</f>
        <v>0</v>
      </c>
      <c r="F99" s="166">
        <f ca="1">COUNTIF(OFFSET(Synthèse!$G108,0,0,1,COUNTA(Synthèse!$10:$10)-6),"="&amp;$F$1)</f>
        <v>0</v>
      </c>
      <c r="G99" s="166">
        <f ca="1">COUNTIF(OFFSET(Synthèse!$G108,0,0,1,COUNTA(Synthèse!$10:$10)-6),"="&amp;$G$1)</f>
        <v>0</v>
      </c>
      <c r="H99" s="166">
        <f ca="1">COUNTIF(OFFSET(Synthèse!$G108,0,0,1,COUNTA(Synthèse!$10:$10)-6),"="&amp;$H$1)</f>
        <v>0</v>
      </c>
      <c r="I99" s="209">
        <f t="shared" ca="1" si="13"/>
        <v>0</v>
      </c>
      <c r="J99" s="71"/>
      <c r="L99" s="169" t="s">
        <v>22</v>
      </c>
      <c r="M99" s="169"/>
      <c r="N99" s="169" t="s">
        <v>328</v>
      </c>
      <c r="O99" s="170">
        <f t="shared" ref="O99:O139" ca="1" si="14">IF(E67&gt;=1,0,1)</f>
        <v>1</v>
      </c>
      <c r="P99" s="170">
        <f t="shared" ref="P99:P139" ca="1" si="15">IF(E67&gt;=1,1,IF(G67&gt;=1,1,IF(F67&gt;=1,0,1)))</f>
        <v>1</v>
      </c>
      <c r="Q99" s="170">
        <f t="shared" ref="Q99:Q139" ca="1" si="16">IF(E67&gt;=1,1,IF(G67&gt;=1,0,1))</f>
        <v>1</v>
      </c>
      <c r="R99" s="170">
        <f t="shared" ref="R99:R139" ca="1" si="17">IF(E67&gt;=1,1,IF(G67&gt;=1,1,IF(F67&gt;=1,1,IF(H67&gt;=1,0,1))))</f>
        <v>1</v>
      </c>
    </row>
    <row r="100" spans="1:18" x14ac:dyDescent="0.35">
      <c r="A100" s="71"/>
      <c r="B100" s="185" t="str">
        <f>Modèle!B102</f>
        <v>Consultation</v>
      </c>
      <c r="C100" s="186" t="str">
        <f>Modèle!C102</f>
        <v>13.5</v>
      </c>
      <c r="D100" s="187" t="str">
        <f>Modèle!E102</f>
        <v>A</v>
      </c>
      <c r="E100" s="166">
        <f ca="1">COUNTIF(OFFSET(Synthèse!$G109,0,0,1,COUNTA(Synthèse!$10:$10)-6),"="&amp;$E$1)</f>
        <v>0</v>
      </c>
      <c r="F100" s="166">
        <f ca="1">COUNTIF(OFFSET(Synthèse!$G109,0,0,1,COUNTA(Synthèse!$10:$10)-6),"="&amp;$F$1)</f>
        <v>0</v>
      </c>
      <c r="G100" s="166">
        <f ca="1">COUNTIF(OFFSET(Synthèse!$G109,0,0,1,COUNTA(Synthèse!$10:$10)-6),"="&amp;$G$1)</f>
        <v>0</v>
      </c>
      <c r="H100" s="166">
        <f ca="1">COUNTIF(OFFSET(Synthèse!$G109,0,0,1,COUNTA(Synthèse!$10:$10)-6),"="&amp;$H$1)</f>
        <v>0</v>
      </c>
      <c r="I100" s="209">
        <f t="shared" ca="1" si="13"/>
        <v>0</v>
      </c>
      <c r="J100" s="71"/>
      <c r="L100" s="169" t="s">
        <v>23</v>
      </c>
      <c r="M100" s="169"/>
      <c r="N100" s="169" t="s">
        <v>329</v>
      </c>
      <c r="O100" s="170">
        <f t="shared" ca="1" si="14"/>
        <v>1</v>
      </c>
      <c r="P100" s="170">
        <f t="shared" ca="1" si="15"/>
        <v>1</v>
      </c>
      <c r="Q100" s="170">
        <f t="shared" ca="1" si="16"/>
        <v>1</v>
      </c>
      <c r="R100" s="170">
        <f t="shared" ca="1" si="17"/>
        <v>1</v>
      </c>
    </row>
    <row r="101" spans="1:18" x14ac:dyDescent="0.35">
      <c r="A101" s="71"/>
      <c r="B101" s="185" t="str">
        <f>Modèle!B103</f>
        <v>Consultation</v>
      </c>
      <c r="C101" s="186" t="str">
        <f>Modèle!C103</f>
        <v>13.6</v>
      </c>
      <c r="D101" s="187" t="str">
        <f>Modèle!E103</f>
        <v>A</v>
      </c>
      <c r="E101" s="166">
        <f ca="1">COUNTIF(OFFSET(Synthèse!$G110,0,0,1,COUNTA(Synthèse!$10:$10)-6),"="&amp;$E$1)</f>
        <v>0</v>
      </c>
      <c r="F101" s="166">
        <f ca="1">COUNTIF(OFFSET(Synthèse!$G110,0,0,1,COUNTA(Synthèse!$10:$10)-6),"="&amp;$F$1)</f>
        <v>0</v>
      </c>
      <c r="G101" s="166">
        <f ca="1">COUNTIF(OFFSET(Synthèse!$G110,0,0,1,COUNTA(Synthèse!$10:$10)-6),"="&amp;$G$1)</f>
        <v>0</v>
      </c>
      <c r="H101" s="166">
        <f ca="1">COUNTIF(OFFSET(Synthèse!$G110,0,0,1,COUNTA(Synthèse!$10:$10)-6),"="&amp;$H$1)</f>
        <v>0</v>
      </c>
      <c r="I101" s="209">
        <f t="shared" ca="1" si="13"/>
        <v>0</v>
      </c>
      <c r="J101" s="71"/>
      <c r="L101" s="169" t="s">
        <v>23</v>
      </c>
      <c r="M101" s="169"/>
      <c r="N101" s="169" t="s">
        <v>330</v>
      </c>
      <c r="O101" s="170">
        <f t="shared" ca="1" si="14"/>
        <v>1</v>
      </c>
      <c r="P101" s="170">
        <f t="shared" ca="1" si="15"/>
        <v>1</v>
      </c>
      <c r="Q101" s="170">
        <f t="shared" ca="1" si="16"/>
        <v>1</v>
      </c>
      <c r="R101" s="170">
        <f t="shared" ca="1" si="17"/>
        <v>1</v>
      </c>
    </row>
    <row r="102" spans="1:18" x14ac:dyDescent="0.35">
      <c r="A102" s="71"/>
      <c r="B102" s="185" t="str">
        <f>Modèle!B104</f>
        <v>Consultation</v>
      </c>
      <c r="C102" s="186" t="str">
        <f>Modèle!C104</f>
        <v>13.7</v>
      </c>
      <c r="D102" s="187" t="str">
        <f>Modèle!E104</f>
        <v>A</v>
      </c>
      <c r="E102" s="166">
        <f ca="1">COUNTIF(OFFSET(Synthèse!$G111,0,0,1,COUNTA(Synthèse!$10:$10)-6),"="&amp;$E$1)</f>
        <v>0</v>
      </c>
      <c r="F102" s="166">
        <f ca="1">COUNTIF(OFFSET(Synthèse!$G111,0,0,1,COUNTA(Synthèse!$10:$10)-6),"="&amp;$F$1)</f>
        <v>0</v>
      </c>
      <c r="G102" s="166">
        <f ca="1">COUNTIF(OFFSET(Synthèse!$G111,0,0,1,COUNTA(Synthèse!$10:$10)-6),"="&amp;$G$1)</f>
        <v>0</v>
      </c>
      <c r="H102" s="166">
        <f ca="1">COUNTIF(OFFSET(Synthèse!$G111,0,0,1,COUNTA(Synthèse!$10:$10)-6),"="&amp;$H$1)</f>
        <v>0</v>
      </c>
      <c r="I102" s="209">
        <f t="shared" ca="1" si="13"/>
        <v>0</v>
      </c>
      <c r="J102" s="71"/>
      <c r="L102" s="169" t="s">
        <v>23</v>
      </c>
      <c r="M102" s="169"/>
      <c r="N102" s="169" t="s">
        <v>331</v>
      </c>
      <c r="O102" s="170">
        <f t="shared" ca="1" si="14"/>
        <v>1</v>
      </c>
      <c r="P102" s="170">
        <f t="shared" ca="1" si="15"/>
        <v>1</v>
      </c>
      <c r="Q102" s="170">
        <f t="shared" ca="1" si="16"/>
        <v>1</v>
      </c>
      <c r="R102" s="170">
        <f t="shared" ca="1" si="17"/>
        <v>1</v>
      </c>
    </row>
    <row r="103" spans="1:18" x14ac:dyDescent="0.35">
      <c r="A103" s="71"/>
      <c r="B103" s="185" t="str">
        <f>Modèle!B105</f>
        <v>Consultation</v>
      </c>
      <c r="C103" s="186" t="str">
        <f>Modèle!C105</f>
        <v>13.8</v>
      </c>
      <c r="D103" s="187" t="str">
        <f>Modèle!E105</f>
        <v>A</v>
      </c>
      <c r="E103" s="166">
        <f ca="1">COUNTIF(OFFSET(Synthèse!$G112,0,0,1,COUNTA(Synthèse!$10:$10)-6),"="&amp;$E$1)</f>
        <v>0</v>
      </c>
      <c r="F103" s="166">
        <f ca="1">COUNTIF(OFFSET(Synthèse!$G112,0,0,1,COUNTA(Synthèse!$10:$10)-6),"="&amp;$F$1)</f>
        <v>0</v>
      </c>
      <c r="G103" s="166">
        <f ca="1">COUNTIF(OFFSET(Synthèse!$G112,0,0,1,COUNTA(Synthèse!$10:$10)-6),"="&amp;$G$1)</f>
        <v>0</v>
      </c>
      <c r="H103" s="166">
        <f ca="1">COUNTIF(OFFSET(Synthèse!$G112,0,0,1,COUNTA(Synthèse!$10:$10)-6),"="&amp;$H$1)</f>
        <v>0</v>
      </c>
      <c r="I103" s="209">
        <f t="shared" ca="1" si="13"/>
        <v>0</v>
      </c>
      <c r="J103" s="71"/>
      <c r="L103" s="169" t="s">
        <v>22</v>
      </c>
      <c r="M103" s="169"/>
      <c r="N103" s="169" t="s">
        <v>332</v>
      </c>
      <c r="O103" s="170">
        <f t="shared" ca="1" si="14"/>
        <v>1</v>
      </c>
      <c r="P103" s="170">
        <f t="shared" ca="1" si="15"/>
        <v>1</v>
      </c>
      <c r="Q103" s="170">
        <f t="shared" ca="1" si="16"/>
        <v>1</v>
      </c>
      <c r="R103" s="170">
        <f t="shared" ca="1" si="17"/>
        <v>1</v>
      </c>
    </row>
    <row r="104" spans="1:18" x14ac:dyDescent="0.35">
      <c r="A104" s="71"/>
      <c r="B104" s="185" t="str">
        <f>Modèle!B106</f>
        <v>Consultation</v>
      </c>
      <c r="C104" s="186" t="str">
        <f>Modèle!C106</f>
        <v>13.9</v>
      </c>
      <c r="D104" s="187" t="str">
        <f>Modèle!E106</f>
        <v>AA</v>
      </c>
      <c r="E104" s="166">
        <f ca="1">COUNTIF(OFFSET(Synthèse!$G113,0,0,1,COUNTA(Synthèse!$10:$10)-6),"="&amp;$E$1)</f>
        <v>0</v>
      </c>
      <c r="F104" s="166">
        <f ca="1">COUNTIF(OFFSET(Synthèse!$G113,0,0,1,COUNTA(Synthèse!$10:$10)-6),"="&amp;$F$1)</f>
        <v>0</v>
      </c>
      <c r="G104" s="166">
        <f ca="1">COUNTIF(OFFSET(Synthèse!$G113,0,0,1,COUNTA(Synthèse!$10:$10)-6),"="&amp;$G$1)</f>
        <v>0</v>
      </c>
      <c r="H104" s="166">
        <f ca="1">COUNTIF(OFFSET(Synthèse!$G113,0,0,1,COUNTA(Synthèse!$10:$10)-6),"="&amp;$H$1)</f>
        <v>0</v>
      </c>
      <c r="I104" s="209">
        <f t="shared" ca="1" si="13"/>
        <v>0</v>
      </c>
      <c r="J104" s="71"/>
      <c r="L104" s="167" t="s">
        <v>22</v>
      </c>
      <c r="M104" s="167"/>
      <c r="N104" s="167" t="s">
        <v>333</v>
      </c>
      <c r="O104" s="168">
        <f t="shared" ca="1" si="14"/>
        <v>1</v>
      </c>
      <c r="P104" s="168">
        <f t="shared" ca="1" si="15"/>
        <v>1</v>
      </c>
      <c r="Q104" s="168">
        <f t="shared" ca="1" si="16"/>
        <v>1</v>
      </c>
      <c r="R104" s="168">
        <f t="shared" ca="1" si="17"/>
        <v>1</v>
      </c>
    </row>
    <row r="105" spans="1:18" x14ac:dyDescent="0.35">
      <c r="A105" s="71"/>
      <c r="B105" s="185" t="str">
        <f>Modèle!B107</f>
        <v>Consultation</v>
      </c>
      <c r="C105" s="186" t="str">
        <f>Modèle!C107</f>
        <v>13.10</v>
      </c>
      <c r="D105" s="187" t="str">
        <f>Modèle!E107</f>
        <v>A</v>
      </c>
      <c r="E105" s="166">
        <f ca="1">COUNTIF(OFFSET(Synthèse!$G114,0,0,1,COUNTA(Synthèse!$10:$10)-6),"="&amp;$E$1)</f>
        <v>0</v>
      </c>
      <c r="F105" s="166">
        <f ca="1">COUNTIF(OFFSET(Synthèse!$G114,0,0,1,COUNTA(Synthèse!$10:$10)-6),"="&amp;$F$1)</f>
        <v>0</v>
      </c>
      <c r="G105" s="166">
        <f ca="1">COUNTIF(OFFSET(Synthèse!$G114,0,0,1,COUNTA(Synthèse!$10:$10)-6),"="&amp;$G$1)</f>
        <v>0</v>
      </c>
      <c r="H105" s="166">
        <f ca="1">COUNTIF(OFFSET(Synthèse!$G114,0,0,1,COUNTA(Synthèse!$10:$10)-6),"="&amp;$H$1)</f>
        <v>0</v>
      </c>
      <c r="I105" s="209">
        <f t="shared" ca="1" si="13"/>
        <v>0</v>
      </c>
      <c r="J105" s="71"/>
      <c r="L105" s="167" t="s">
        <v>22</v>
      </c>
      <c r="M105" s="167"/>
      <c r="N105" s="167" t="s">
        <v>334</v>
      </c>
      <c r="O105" s="168">
        <f t="shared" ca="1" si="14"/>
        <v>1</v>
      </c>
      <c r="P105" s="168">
        <f t="shared" ca="1" si="15"/>
        <v>1</v>
      </c>
      <c r="Q105" s="168">
        <f t="shared" ca="1" si="16"/>
        <v>1</v>
      </c>
      <c r="R105" s="168">
        <f t="shared" ca="1" si="17"/>
        <v>1</v>
      </c>
    </row>
    <row r="106" spans="1:18" x14ac:dyDescent="0.35">
      <c r="A106" s="71"/>
      <c r="B106" s="185" t="str">
        <f>Modèle!B108</f>
        <v>Consultation</v>
      </c>
      <c r="C106" s="186" t="str">
        <f>Modèle!C108</f>
        <v>13.11</v>
      </c>
      <c r="D106" s="187" t="str">
        <f>Modèle!E108</f>
        <v>A</v>
      </c>
      <c r="E106" s="166">
        <f ca="1">COUNTIF(OFFSET(Synthèse!$G115,0,0,1,COUNTA(Synthèse!$10:$10)-6),"="&amp;$E$1)</f>
        <v>0</v>
      </c>
      <c r="F106" s="166">
        <f ca="1">COUNTIF(OFFSET(Synthèse!$G115,0,0,1,COUNTA(Synthèse!$10:$10)-6),"="&amp;$F$1)</f>
        <v>0</v>
      </c>
      <c r="G106" s="166">
        <f ca="1">COUNTIF(OFFSET(Synthèse!$G115,0,0,1,COUNTA(Synthèse!$10:$10)-6),"="&amp;$G$1)</f>
        <v>0</v>
      </c>
      <c r="H106" s="166">
        <f ca="1">COUNTIF(OFFSET(Synthèse!$G115,0,0,1,COUNTA(Synthèse!$10:$10)-6),"="&amp;$H$1)</f>
        <v>0</v>
      </c>
      <c r="I106" s="209">
        <f t="shared" ca="1" si="13"/>
        <v>0</v>
      </c>
      <c r="J106" s="71"/>
      <c r="L106" s="167" t="s">
        <v>23</v>
      </c>
      <c r="M106" s="167"/>
      <c r="N106" s="167" t="s">
        <v>335</v>
      </c>
      <c r="O106" s="168">
        <f t="shared" ca="1" si="14"/>
        <v>1</v>
      </c>
      <c r="P106" s="168">
        <f t="shared" ca="1" si="15"/>
        <v>1</v>
      </c>
      <c r="Q106" s="168">
        <f t="shared" ca="1" si="16"/>
        <v>1</v>
      </c>
      <c r="R106" s="168">
        <f t="shared" ca="1" si="17"/>
        <v>1</v>
      </c>
    </row>
    <row r="107" spans="1:18" x14ac:dyDescent="0.35">
      <c r="A107" s="71"/>
      <c r="B107" s="185" t="str">
        <f>Modèle!B109</f>
        <v>Consultation</v>
      </c>
      <c r="C107" s="186" t="str">
        <f>Modèle!C109</f>
        <v>13.12</v>
      </c>
      <c r="D107" s="187" t="str">
        <f>Modèle!E109</f>
        <v>A</v>
      </c>
      <c r="E107" s="166">
        <f ca="1">COUNTIF(OFFSET(Synthèse!$G116,0,0,1,COUNTA(Synthèse!$10:$10)-6),"="&amp;$E$1)</f>
        <v>0</v>
      </c>
      <c r="F107" s="166">
        <f ca="1">COUNTIF(OFFSET(Synthèse!$G116,0,0,1,COUNTA(Synthèse!$10:$10)-6),"="&amp;$F$1)</f>
        <v>0</v>
      </c>
      <c r="G107" s="166">
        <f ca="1">COUNTIF(OFFSET(Synthèse!$G116,0,0,1,COUNTA(Synthèse!$10:$10)-6),"="&amp;$G$1)</f>
        <v>0</v>
      </c>
      <c r="H107" s="166">
        <f ca="1">COUNTIF(OFFSET(Synthèse!$G116,0,0,1,COUNTA(Synthèse!$10:$10)-6),"="&amp;$H$1)</f>
        <v>0</v>
      </c>
      <c r="I107" s="209">
        <f t="shared" ca="1" si="13"/>
        <v>0</v>
      </c>
      <c r="J107" s="71"/>
      <c r="L107" s="167" t="s">
        <v>23</v>
      </c>
      <c r="M107" s="167"/>
      <c r="N107" s="167" t="s">
        <v>336</v>
      </c>
      <c r="O107" s="168">
        <f t="shared" ca="1" si="14"/>
        <v>1</v>
      </c>
      <c r="P107" s="168">
        <f t="shared" ca="1" si="15"/>
        <v>1</v>
      </c>
      <c r="Q107" s="168">
        <f t="shared" ca="1" si="16"/>
        <v>1</v>
      </c>
      <c r="R107" s="168">
        <f t="shared" ca="1" si="17"/>
        <v>1</v>
      </c>
    </row>
    <row r="108" spans="1:18" x14ac:dyDescent="0.35">
      <c r="B108" s="185"/>
      <c r="C108" s="186"/>
      <c r="D108" s="187"/>
      <c r="E108" s="188"/>
      <c r="F108" s="188"/>
      <c r="G108" s="188"/>
      <c r="H108" s="188"/>
      <c r="I108" s="189"/>
      <c r="L108" s="167" t="s">
        <v>22</v>
      </c>
      <c r="M108" s="167"/>
      <c r="N108" s="167" t="s">
        <v>337</v>
      </c>
      <c r="O108" s="168">
        <f t="shared" ca="1" si="14"/>
        <v>1</v>
      </c>
      <c r="P108" s="168">
        <f t="shared" ca="1" si="15"/>
        <v>1</v>
      </c>
      <c r="Q108" s="168">
        <f t="shared" ca="1" si="16"/>
        <v>1</v>
      </c>
      <c r="R108" s="168">
        <f t="shared" ca="1" si="17"/>
        <v>1</v>
      </c>
    </row>
    <row r="109" spans="1:18" x14ac:dyDescent="0.35">
      <c r="B109" s="185"/>
      <c r="C109" s="186"/>
      <c r="D109" s="187"/>
      <c r="E109" s="188"/>
      <c r="F109" s="188"/>
      <c r="G109" s="188"/>
      <c r="H109" s="188"/>
      <c r="I109" s="189"/>
      <c r="L109" s="167" t="s">
        <v>22</v>
      </c>
      <c r="M109" s="167"/>
      <c r="N109" s="167" t="s">
        <v>338</v>
      </c>
      <c r="O109" s="168">
        <f t="shared" ca="1" si="14"/>
        <v>1</v>
      </c>
      <c r="P109" s="168">
        <f t="shared" ca="1" si="15"/>
        <v>1</v>
      </c>
      <c r="Q109" s="168">
        <f t="shared" ca="1" si="16"/>
        <v>1</v>
      </c>
      <c r="R109" s="168">
        <f t="shared" ca="1" si="17"/>
        <v>1</v>
      </c>
    </row>
    <row r="110" spans="1:18" x14ac:dyDescent="0.35">
      <c r="B110" s="185"/>
      <c r="C110" s="186"/>
      <c r="D110" s="187"/>
      <c r="E110" s="188"/>
      <c r="F110" s="188"/>
      <c r="G110" s="188"/>
      <c r="H110" s="188"/>
      <c r="I110" s="189"/>
      <c r="L110" s="167" t="s">
        <v>22</v>
      </c>
      <c r="M110" s="167"/>
      <c r="N110" s="167" t="s">
        <v>339</v>
      </c>
      <c r="O110" s="168">
        <f t="shared" ca="1" si="14"/>
        <v>1</v>
      </c>
      <c r="P110" s="168">
        <f t="shared" ca="1" si="15"/>
        <v>1</v>
      </c>
      <c r="Q110" s="168">
        <f t="shared" ca="1" si="16"/>
        <v>1</v>
      </c>
      <c r="R110" s="168">
        <f t="shared" ca="1" si="17"/>
        <v>1</v>
      </c>
    </row>
    <row r="111" spans="1:18" x14ac:dyDescent="0.35">
      <c r="B111" s="185"/>
      <c r="C111" s="186"/>
      <c r="D111" s="187"/>
      <c r="E111" s="188"/>
      <c r="F111" s="188"/>
      <c r="G111" s="188"/>
      <c r="H111" s="188"/>
      <c r="I111" s="189"/>
      <c r="L111" s="167" t="s">
        <v>22</v>
      </c>
      <c r="M111" s="167"/>
      <c r="N111" s="167" t="s">
        <v>340</v>
      </c>
      <c r="O111" s="168">
        <f t="shared" ca="1" si="14"/>
        <v>1</v>
      </c>
      <c r="P111" s="168">
        <f t="shared" ca="1" si="15"/>
        <v>1</v>
      </c>
      <c r="Q111" s="168">
        <f t="shared" ca="1" si="16"/>
        <v>1</v>
      </c>
      <c r="R111" s="168">
        <f t="shared" ca="1" si="17"/>
        <v>1</v>
      </c>
    </row>
    <row r="112" spans="1:18" x14ac:dyDescent="0.35">
      <c r="B112" s="185"/>
      <c r="C112" s="186"/>
      <c r="D112" s="187"/>
      <c r="E112" s="188"/>
      <c r="F112" s="188"/>
      <c r="G112" s="188"/>
      <c r="H112" s="188"/>
      <c r="I112" s="189"/>
      <c r="L112" s="167" t="s">
        <v>22</v>
      </c>
      <c r="M112" s="167"/>
      <c r="N112" s="167" t="s">
        <v>341</v>
      </c>
      <c r="O112" s="168">
        <f t="shared" ca="1" si="14"/>
        <v>1</v>
      </c>
      <c r="P112" s="168">
        <f t="shared" ca="1" si="15"/>
        <v>1</v>
      </c>
      <c r="Q112" s="168">
        <f t="shared" ca="1" si="16"/>
        <v>1</v>
      </c>
      <c r="R112" s="168">
        <f t="shared" ca="1" si="17"/>
        <v>1</v>
      </c>
    </row>
    <row r="113" spans="2:18" x14ac:dyDescent="0.35">
      <c r="B113" s="185"/>
      <c r="C113" s="186"/>
      <c r="D113" s="187"/>
      <c r="E113" s="188"/>
      <c r="F113" s="188"/>
      <c r="G113" s="188"/>
      <c r="H113" s="188"/>
      <c r="I113" s="189"/>
      <c r="L113" s="167" t="s">
        <v>22</v>
      </c>
      <c r="M113" s="167"/>
      <c r="N113" s="167" t="s">
        <v>342</v>
      </c>
      <c r="O113" s="168">
        <f t="shared" ca="1" si="14"/>
        <v>1</v>
      </c>
      <c r="P113" s="168">
        <f t="shared" ca="1" si="15"/>
        <v>1</v>
      </c>
      <c r="Q113" s="168">
        <f t="shared" ca="1" si="16"/>
        <v>1</v>
      </c>
      <c r="R113" s="168">
        <f t="shared" ca="1" si="17"/>
        <v>1</v>
      </c>
    </row>
    <row r="114" spans="2:18" x14ac:dyDescent="0.35">
      <c r="B114" s="185"/>
      <c r="C114" s="186"/>
      <c r="D114" s="187"/>
      <c r="E114" s="188"/>
      <c r="F114" s="188"/>
      <c r="G114" s="188"/>
      <c r="H114" s="188"/>
      <c r="I114" s="189"/>
      <c r="L114" s="167" t="s">
        <v>23</v>
      </c>
      <c r="M114" s="167"/>
      <c r="N114" s="167" t="s">
        <v>343</v>
      </c>
      <c r="O114" s="168">
        <f t="shared" ca="1" si="14"/>
        <v>1</v>
      </c>
      <c r="P114" s="168">
        <f t="shared" ca="1" si="15"/>
        <v>1</v>
      </c>
      <c r="Q114" s="168">
        <f t="shared" ca="1" si="16"/>
        <v>1</v>
      </c>
      <c r="R114" s="168">
        <f t="shared" ca="1" si="17"/>
        <v>1</v>
      </c>
    </row>
    <row r="115" spans="2:18" x14ac:dyDescent="0.35">
      <c r="B115" s="185"/>
      <c r="C115" s="186"/>
      <c r="D115" s="187"/>
      <c r="E115" s="188"/>
      <c r="F115" s="188"/>
      <c r="G115" s="188"/>
      <c r="H115" s="188"/>
      <c r="I115" s="189"/>
      <c r="L115" s="167" t="s">
        <v>23</v>
      </c>
      <c r="M115" s="167"/>
      <c r="N115" s="167" t="s">
        <v>344</v>
      </c>
      <c r="O115" s="168">
        <f t="shared" ca="1" si="14"/>
        <v>1</v>
      </c>
      <c r="P115" s="168">
        <f t="shared" ca="1" si="15"/>
        <v>1</v>
      </c>
      <c r="Q115" s="168">
        <f t="shared" ca="1" si="16"/>
        <v>1</v>
      </c>
      <c r="R115" s="168">
        <f t="shared" ca="1" si="17"/>
        <v>1</v>
      </c>
    </row>
    <row r="116" spans="2:18" x14ac:dyDescent="0.35">
      <c r="B116" s="185"/>
      <c r="C116" s="186"/>
      <c r="D116" s="187"/>
      <c r="E116" s="188"/>
      <c r="F116" s="188"/>
      <c r="G116" s="188"/>
      <c r="H116" s="188"/>
      <c r="I116" s="189"/>
      <c r="L116" s="167" t="s">
        <v>23</v>
      </c>
      <c r="M116" s="167"/>
      <c r="N116" s="167" t="s">
        <v>345</v>
      </c>
      <c r="O116" s="168">
        <f t="shared" ca="1" si="14"/>
        <v>1</v>
      </c>
      <c r="P116" s="168">
        <f t="shared" ca="1" si="15"/>
        <v>1</v>
      </c>
      <c r="Q116" s="168">
        <f t="shared" ca="1" si="16"/>
        <v>1</v>
      </c>
      <c r="R116" s="168">
        <f t="shared" ca="1" si="17"/>
        <v>1</v>
      </c>
    </row>
    <row r="117" spans="2:18" x14ac:dyDescent="0.35">
      <c r="B117" s="185"/>
      <c r="C117" s="186"/>
      <c r="D117" s="187"/>
      <c r="E117" s="188"/>
      <c r="F117" s="188"/>
      <c r="G117" s="188"/>
      <c r="H117" s="188"/>
      <c r="I117" s="189"/>
      <c r="L117" s="169" t="s">
        <v>23</v>
      </c>
      <c r="M117" s="169"/>
      <c r="N117" s="169" t="s">
        <v>346</v>
      </c>
      <c r="O117" s="170">
        <f t="shared" ca="1" si="14"/>
        <v>1</v>
      </c>
      <c r="P117" s="170">
        <f t="shared" ca="1" si="15"/>
        <v>1</v>
      </c>
      <c r="Q117" s="170">
        <f t="shared" ca="1" si="16"/>
        <v>1</v>
      </c>
      <c r="R117" s="170">
        <f t="shared" ca="1" si="17"/>
        <v>1</v>
      </c>
    </row>
    <row r="118" spans="2:18" x14ac:dyDescent="0.35">
      <c r="B118" s="185"/>
      <c r="C118" s="186"/>
      <c r="D118" s="187"/>
      <c r="E118" s="188"/>
      <c r="F118" s="188"/>
      <c r="G118" s="188"/>
      <c r="H118" s="188"/>
      <c r="I118" s="189"/>
      <c r="L118" s="169" t="s">
        <v>23</v>
      </c>
      <c r="M118" s="169"/>
      <c r="N118" s="169" t="s">
        <v>347</v>
      </c>
      <c r="O118" s="170">
        <f t="shared" ca="1" si="14"/>
        <v>1</v>
      </c>
      <c r="P118" s="170">
        <f t="shared" ca="1" si="15"/>
        <v>1</v>
      </c>
      <c r="Q118" s="170">
        <f t="shared" ca="1" si="16"/>
        <v>1</v>
      </c>
      <c r="R118" s="170">
        <f t="shared" ca="1" si="17"/>
        <v>1</v>
      </c>
    </row>
    <row r="119" spans="2:18" x14ac:dyDescent="0.35">
      <c r="B119" s="185"/>
      <c r="C119" s="186"/>
      <c r="D119" s="187"/>
      <c r="E119" s="188"/>
      <c r="F119" s="188"/>
      <c r="G119" s="188"/>
      <c r="H119" s="188"/>
      <c r="I119" s="189"/>
      <c r="L119" s="169" t="s">
        <v>23</v>
      </c>
      <c r="M119" s="169"/>
      <c r="N119" s="169" t="s">
        <v>348</v>
      </c>
      <c r="O119" s="170">
        <f t="shared" ca="1" si="14"/>
        <v>1</v>
      </c>
      <c r="P119" s="170">
        <f t="shared" ca="1" si="15"/>
        <v>1</v>
      </c>
      <c r="Q119" s="170">
        <f t="shared" ca="1" si="16"/>
        <v>1</v>
      </c>
      <c r="R119" s="170">
        <f t="shared" ca="1" si="17"/>
        <v>1</v>
      </c>
    </row>
    <row r="120" spans="2:18" x14ac:dyDescent="0.35">
      <c r="B120" s="185"/>
      <c r="C120" s="186"/>
      <c r="D120" s="187"/>
      <c r="E120" s="188"/>
      <c r="F120" s="188"/>
      <c r="G120" s="188"/>
      <c r="H120" s="188"/>
      <c r="I120" s="189"/>
      <c r="L120" s="169" t="s">
        <v>23</v>
      </c>
      <c r="M120" s="169"/>
      <c r="N120" s="169" t="s">
        <v>349</v>
      </c>
      <c r="O120" s="170">
        <f t="shared" ca="1" si="14"/>
        <v>1</v>
      </c>
      <c r="P120" s="170">
        <f t="shared" ca="1" si="15"/>
        <v>1</v>
      </c>
      <c r="Q120" s="170">
        <f t="shared" ca="1" si="16"/>
        <v>1</v>
      </c>
      <c r="R120" s="170">
        <f t="shared" ca="1" si="17"/>
        <v>1</v>
      </c>
    </row>
    <row r="121" spans="2:18" x14ac:dyDescent="0.35">
      <c r="B121" s="185"/>
      <c r="C121" s="186"/>
      <c r="D121" s="187"/>
      <c r="E121" s="188"/>
      <c r="F121" s="188"/>
      <c r="G121" s="188"/>
      <c r="H121" s="188"/>
      <c r="I121" s="189"/>
      <c r="L121" s="169" t="s">
        <v>23</v>
      </c>
      <c r="M121" s="169"/>
      <c r="N121" s="169" t="s">
        <v>350</v>
      </c>
      <c r="O121" s="170">
        <f t="shared" ca="1" si="14"/>
        <v>1</v>
      </c>
      <c r="P121" s="170">
        <f t="shared" ca="1" si="15"/>
        <v>1</v>
      </c>
      <c r="Q121" s="170">
        <f t="shared" ca="1" si="16"/>
        <v>1</v>
      </c>
      <c r="R121" s="170">
        <f t="shared" ca="1" si="17"/>
        <v>1</v>
      </c>
    </row>
    <row r="122" spans="2:18" x14ac:dyDescent="0.35">
      <c r="B122" s="185"/>
      <c r="C122" s="186"/>
      <c r="D122" s="187"/>
      <c r="E122" s="188"/>
      <c r="F122" s="188"/>
      <c r="G122" s="188"/>
      <c r="H122" s="188"/>
      <c r="I122" s="189"/>
      <c r="L122" s="169" t="s">
        <v>22</v>
      </c>
      <c r="M122" s="169"/>
      <c r="N122" s="169" t="s">
        <v>351</v>
      </c>
      <c r="O122" s="170">
        <f t="shared" ca="1" si="14"/>
        <v>1</v>
      </c>
      <c r="P122" s="170">
        <f t="shared" ca="1" si="15"/>
        <v>1</v>
      </c>
      <c r="Q122" s="170">
        <f t="shared" ca="1" si="16"/>
        <v>1</v>
      </c>
      <c r="R122" s="170">
        <f t="shared" ca="1" si="17"/>
        <v>1</v>
      </c>
    </row>
    <row r="123" spans="2:18" x14ac:dyDescent="0.35">
      <c r="B123" s="185"/>
      <c r="C123" s="186"/>
      <c r="D123" s="187"/>
      <c r="E123" s="188"/>
      <c r="F123" s="188"/>
      <c r="G123" s="188"/>
      <c r="H123" s="188"/>
      <c r="I123" s="189"/>
      <c r="L123" s="169" t="s">
        <v>22</v>
      </c>
      <c r="M123" s="169"/>
      <c r="N123" s="169" t="s">
        <v>352</v>
      </c>
      <c r="O123" s="170">
        <f t="shared" ca="1" si="14"/>
        <v>1</v>
      </c>
      <c r="P123" s="170">
        <f t="shared" ca="1" si="15"/>
        <v>1</v>
      </c>
      <c r="Q123" s="170">
        <f t="shared" ca="1" si="16"/>
        <v>1</v>
      </c>
      <c r="R123" s="170">
        <f t="shared" ca="1" si="17"/>
        <v>1</v>
      </c>
    </row>
    <row r="124" spans="2:18" x14ac:dyDescent="0.35">
      <c r="B124" s="185"/>
      <c r="C124" s="186"/>
      <c r="D124" s="187"/>
      <c r="E124" s="188"/>
      <c r="F124" s="188"/>
      <c r="G124" s="188"/>
      <c r="H124" s="188"/>
      <c r="I124" s="189"/>
      <c r="L124" s="169" t="s">
        <v>22</v>
      </c>
      <c r="M124" s="169"/>
      <c r="N124" s="169" t="s">
        <v>353</v>
      </c>
      <c r="O124" s="170">
        <f t="shared" ca="1" si="14"/>
        <v>1</v>
      </c>
      <c r="P124" s="170">
        <f t="shared" ca="1" si="15"/>
        <v>1</v>
      </c>
      <c r="Q124" s="170">
        <f t="shared" ca="1" si="16"/>
        <v>1</v>
      </c>
      <c r="R124" s="170">
        <f t="shared" ca="1" si="17"/>
        <v>1</v>
      </c>
    </row>
    <row r="125" spans="2:18" x14ac:dyDescent="0.35">
      <c r="B125" s="185"/>
      <c r="C125" s="186"/>
      <c r="D125" s="187"/>
      <c r="E125" s="188"/>
      <c r="F125" s="188"/>
      <c r="G125" s="188"/>
      <c r="H125" s="188"/>
      <c r="I125" s="189"/>
      <c r="L125" s="169" t="s">
        <v>22</v>
      </c>
      <c r="M125" s="169"/>
      <c r="N125" s="169" t="s">
        <v>354</v>
      </c>
      <c r="O125" s="170">
        <f t="shared" ca="1" si="14"/>
        <v>1</v>
      </c>
      <c r="P125" s="170">
        <f t="shared" ca="1" si="15"/>
        <v>1</v>
      </c>
      <c r="Q125" s="170">
        <f t="shared" ca="1" si="16"/>
        <v>1</v>
      </c>
      <c r="R125" s="170">
        <f t="shared" ca="1" si="17"/>
        <v>1</v>
      </c>
    </row>
    <row r="126" spans="2:18" x14ac:dyDescent="0.35">
      <c r="B126" s="185"/>
      <c r="C126" s="186"/>
      <c r="D126" s="187"/>
      <c r="E126" s="188"/>
      <c r="F126" s="188"/>
      <c r="G126" s="188"/>
      <c r="H126" s="188"/>
      <c r="I126" s="189"/>
      <c r="L126" s="169" t="s">
        <v>22</v>
      </c>
      <c r="M126" s="169"/>
      <c r="N126" s="169" t="s">
        <v>355</v>
      </c>
      <c r="O126" s="170">
        <f t="shared" ca="1" si="14"/>
        <v>1</v>
      </c>
      <c r="P126" s="170">
        <f t="shared" ca="1" si="15"/>
        <v>1</v>
      </c>
      <c r="Q126" s="170">
        <f t="shared" ca="1" si="16"/>
        <v>1</v>
      </c>
      <c r="R126" s="170">
        <f t="shared" ca="1" si="17"/>
        <v>1</v>
      </c>
    </row>
    <row r="127" spans="2:18" x14ac:dyDescent="0.35">
      <c r="B127" s="185"/>
      <c r="C127" s="186"/>
      <c r="D127" s="187"/>
      <c r="E127" s="188"/>
      <c r="F127" s="188"/>
      <c r="G127" s="188"/>
      <c r="H127" s="188"/>
      <c r="I127" s="189"/>
      <c r="L127" s="169" t="s">
        <v>22</v>
      </c>
      <c r="M127" s="169"/>
      <c r="N127" s="169" t="s">
        <v>356</v>
      </c>
      <c r="O127" s="170">
        <f t="shared" ca="1" si="14"/>
        <v>1</v>
      </c>
      <c r="P127" s="170">
        <f t="shared" ca="1" si="15"/>
        <v>1</v>
      </c>
      <c r="Q127" s="170">
        <f t="shared" ca="1" si="16"/>
        <v>1</v>
      </c>
      <c r="R127" s="170">
        <f t="shared" ca="1" si="17"/>
        <v>1</v>
      </c>
    </row>
    <row r="128" spans="2:18" x14ac:dyDescent="0.35">
      <c r="B128" s="185"/>
      <c r="C128" s="186"/>
      <c r="D128" s="187"/>
      <c r="E128" s="188"/>
      <c r="F128" s="188"/>
      <c r="G128" s="188"/>
      <c r="H128" s="188"/>
      <c r="I128" s="189"/>
      <c r="L128" s="167" t="s">
        <v>22</v>
      </c>
      <c r="M128" s="167"/>
      <c r="N128" s="167" t="s">
        <v>357</v>
      </c>
      <c r="O128" s="168">
        <f t="shared" ca="1" si="14"/>
        <v>1</v>
      </c>
      <c r="P128" s="168">
        <f t="shared" ca="1" si="15"/>
        <v>1</v>
      </c>
      <c r="Q128" s="168">
        <f t="shared" ca="1" si="16"/>
        <v>1</v>
      </c>
      <c r="R128" s="168">
        <f t="shared" ca="1" si="17"/>
        <v>1</v>
      </c>
    </row>
    <row r="129" spans="2:18" x14ac:dyDescent="0.35">
      <c r="B129" s="185"/>
      <c r="C129" s="186"/>
      <c r="D129" s="187"/>
      <c r="E129" s="188"/>
      <c r="F129" s="188"/>
      <c r="G129" s="188"/>
      <c r="H129" s="188"/>
      <c r="I129" s="189"/>
      <c r="L129" s="167" t="s">
        <v>22</v>
      </c>
      <c r="M129" s="167"/>
      <c r="N129" s="167" t="s">
        <v>358</v>
      </c>
      <c r="O129" s="168">
        <f t="shared" ca="1" si="14"/>
        <v>1</v>
      </c>
      <c r="P129" s="168">
        <f t="shared" ca="1" si="15"/>
        <v>1</v>
      </c>
      <c r="Q129" s="168">
        <f t="shared" ca="1" si="16"/>
        <v>1</v>
      </c>
      <c r="R129" s="168">
        <f t="shared" ca="1" si="17"/>
        <v>1</v>
      </c>
    </row>
    <row r="130" spans="2:18" x14ac:dyDescent="0.35">
      <c r="B130" s="185"/>
      <c r="C130" s="186"/>
      <c r="D130" s="187"/>
      <c r="E130" s="188"/>
      <c r="F130" s="188"/>
      <c r="G130" s="188"/>
      <c r="H130" s="188"/>
      <c r="I130" s="189"/>
      <c r="L130" s="167" t="s">
        <v>22</v>
      </c>
      <c r="M130" s="167"/>
      <c r="N130" s="167" t="s">
        <v>359</v>
      </c>
      <c r="O130" s="168">
        <f t="shared" ca="1" si="14"/>
        <v>1</v>
      </c>
      <c r="P130" s="168">
        <f t="shared" ca="1" si="15"/>
        <v>1</v>
      </c>
      <c r="Q130" s="168">
        <f t="shared" ca="1" si="16"/>
        <v>1</v>
      </c>
      <c r="R130" s="168">
        <f t="shared" ca="1" si="17"/>
        <v>1</v>
      </c>
    </row>
    <row r="131" spans="2:18" x14ac:dyDescent="0.35">
      <c r="B131" s="185"/>
      <c r="C131" s="186"/>
      <c r="D131" s="187"/>
      <c r="E131" s="188"/>
      <c r="F131" s="188"/>
      <c r="G131" s="188"/>
      <c r="H131" s="188"/>
      <c r="I131" s="189"/>
      <c r="L131" s="167" t="s">
        <v>22</v>
      </c>
      <c r="M131" s="167"/>
      <c r="N131" s="167" t="s">
        <v>360</v>
      </c>
      <c r="O131" s="168">
        <f t="shared" ca="1" si="14"/>
        <v>1</v>
      </c>
      <c r="P131" s="168">
        <f t="shared" ca="1" si="15"/>
        <v>1</v>
      </c>
      <c r="Q131" s="168">
        <f t="shared" ca="1" si="16"/>
        <v>1</v>
      </c>
      <c r="R131" s="168">
        <f t="shared" ca="1" si="17"/>
        <v>1</v>
      </c>
    </row>
    <row r="132" spans="2:18" x14ac:dyDescent="0.35">
      <c r="B132" s="185"/>
      <c r="C132" s="186"/>
      <c r="D132" s="187"/>
      <c r="E132" s="188"/>
      <c r="F132" s="188"/>
      <c r="G132" s="188"/>
      <c r="H132" s="188"/>
      <c r="I132" s="189"/>
      <c r="L132" s="167" t="s">
        <v>22</v>
      </c>
      <c r="M132" s="167"/>
      <c r="N132" s="167" t="s">
        <v>361</v>
      </c>
      <c r="O132" s="168">
        <f t="shared" ca="1" si="14"/>
        <v>1</v>
      </c>
      <c r="P132" s="168">
        <f t="shared" ca="1" si="15"/>
        <v>1</v>
      </c>
      <c r="Q132" s="168">
        <f t="shared" ca="1" si="16"/>
        <v>1</v>
      </c>
      <c r="R132" s="168">
        <f t="shared" ca="1" si="17"/>
        <v>1</v>
      </c>
    </row>
    <row r="133" spans="2:18" x14ac:dyDescent="0.35">
      <c r="B133" s="185"/>
      <c r="C133" s="186"/>
      <c r="D133" s="187"/>
      <c r="E133" s="188"/>
      <c r="F133" s="188"/>
      <c r="G133" s="188"/>
      <c r="H133" s="188"/>
      <c r="I133" s="189"/>
      <c r="L133" s="167" t="s">
        <v>22</v>
      </c>
      <c r="M133" s="167"/>
      <c r="N133" s="167" t="s">
        <v>362</v>
      </c>
      <c r="O133" s="168">
        <f t="shared" ca="1" si="14"/>
        <v>1</v>
      </c>
      <c r="P133" s="168">
        <f t="shared" ca="1" si="15"/>
        <v>1</v>
      </c>
      <c r="Q133" s="168">
        <f t="shared" ca="1" si="16"/>
        <v>1</v>
      </c>
      <c r="R133" s="168">
        <f t="shared" ca="1" si="17"/>
        <v>1</v>
      </c>
    </row>
    <row r="134" spans="2:18" x14ac:dyDescent="0.35">
      <c r="B134" s="185"/>
      <c r="C134" s="186"/>
      <c r="D134" s="187"/>
      <c r="E134" s="188"/>
      <c r="F134" s="188"/>
      <c r="G134" s="188"/>
      <c r="H134" s="188"/>
      <c r="I134" s="189"/>
      <c r="L134" s="167" t="s">
        <v>22</v>
      </c>
      <c r="M134" s="167"/>
      <c r="N134" s="167" t="s">
        <v>363</v>
      </c>
      <c r="O134" s="168">
        <f t="shared" ca="1" si="14"/>
        <v>1</v>
      </c>
      <c r="P134" s="168">
        <f t="shared" ca="1" si="15"/>
        <v>1</v>
      </c>
      <c r="Q134" s="168">
        <f t="shared" ca="1" si="16"/>
        <v>1</v>
      </c>
      <c r="R134" s="168">
        <f t="shared" ca="1" si="17"/>
        <v>1</v>
      </c>
    </row>
    <row r="135" spans="2:18" x14ac:dyDescent="0.35">
      <c r="B135" s="185"/>
      <c r="C135" s="186"/>
      <c r="D135" s="187"/>
      <c r="E135" s="188"/>
      <c r="F135" s="188"/>
      <c r="G135" s="188"/>
      <c r="H135" s="188"/>
      <c r="I135" s="189"/>
      <c r="L135" s="167" t="s">
        <v>22</v>
      </c>
      <c r="M135" s="167"/>
      <c r="N135" s="167" t="s">
        <v>364</v>
      </c>
      <c r="O135" s="168">
        <f t="shared" ca="1" si="14"/>
        <v>1</v>
      </c>
      <c r="P135" s="168">
        <f t="shared" ca="1" si="15"/>
        <v>1</v>
      </c>
      <c r="Q135" s="168">
        <f t="shared" ca="1" si="16"/>
        <v>1</v>
      </c>
      <c r="R135" s="168">
        <f t="shared" ca="1" si="17"/>
        <v>1</v>
      </c>
    </row>
    <row r="136" spans="2:18" x14ac:dyDescent="0.35">
      <c r="B136" s="185"/>
      <c r="C136" s="186"/>
      <c r="D136" s="187"/>
      <c r="E136" s="188"/>
      <c r="F136" s="188"/>
      <c r="G136" s="188"/>
      <c r="H136" s="188"/>
      <c r="I136" s="189"/>
      <c r="L136" s="167" t="s">
        <v>23</v>
      </c>
      <c r="M136" s="167"/>
      <c r="N136" s="167" t="s">
        <v>365</v>
      </c>
      <c r="O136" s="168">
        <f t="shared" ca="1" si="14"/>
        <v>1</v>
      </c>
      <c r="P136" s="168">
        <f t="shared" ca="1" si="15"/>
        <v>1</v>
      </c>
      <c r="Q136" s="168">
        <f t="shared" ca="1" si="16"/>
        <v>1</v>
      </c>
      <c r="R136" s="168">
        <f t="shared" ca="1" si="17"/>
        <v>1</v>
      </c>
    </row>
    <row r="137" spans="2:18" x14ac:dyDescent="0.35">
      <c r="B137" s="185"/>
      <c r="C137" s="186"/>
      <c r="D137" s="187"/>
      <c r="E137" s="188"/>
      <c r="F137" s="188"/>
      <c r="G137" s="188"/>
      <c r="H137" s="188"/>
      <c r="I137" s="189"/>
      <c r="L137" s="167" t="s">
        <v>22</v>
      </c>
      <c r="M137" s="167"/>
      <c r="N137" s="167" t="s">
        <v>366</v>
      </c>
      <c r="O137" s="168">
        <f t="shared" ca="1" si="14"/>
        <v>1</v>
      </c>
      <c r="P137" s="168">
        <f t="shared" ca="1" si="15"/>
        <v>1</v>
      </c>
      <c r="Q137" s="168">
        <f t="shared" ca="1" si="16"/>
        <v>1</v>
      </c>
      <c r="R137" s="168">
        <f t="shared" ca="1" si="17"/>
        <v>1</v>
      </c>
    </row>
    <row r="138" spans="2:18" x14ac:dyDescent="0.35">
      <c r="B138" s="185"/>
      <c r="C138" s="186"/>
      <c r="D138" s="187"/>
      <c r="E138" s="188"/>
      <c r="F138" s="188"/>
      <c r="G138" s="188"/>
      <c r="H138" s="188"/>
      <c r="I138" s="189"/>
      <c r="L138" s="167" t="s">
        <v>22</v>
      </c>
      <c r="M138" s="167"/>
      <c r="N138" s="167" t="s">
        <v>367</v>
      </c>
      <c r="O138" s="168">
        <f t="shared" ca="1" si="14"/>
        <v>1</v>
      </c>
      <c r="P138" s="168">
        <f t="shared" ca="1" si="15"/>
        <v>1</v>
      </c>
      <c r="Q138" s="168">
        <f t="shared" ca="1" si="16"/>
        <v>1</v>
      </c>
      <c r="R138" s="168">
        <f t="shared" ca="1" si="17"/>
        <v>1</v>
      </c>
    </row>
    <row r="139" spans="2:18" x14ac:dyDescent="0.35">
      <c r="B139" s="185"/>
      <c r="C139" s="186"/>
      <c r="D139" s="187"/>
      <c r="E139" s="188"/>
      <c r="F139" s="188"/>
      <c r="G139" s="188"/>
      <c r="H139" s="188"/>
      <c r="I139" s="189"/>
      <c r="L139" s="167" t="s">
        <v>22</v>
      </c>
      <c r="M139" s="167"/>
      <c r="N139" s="167" t="s">
        <v>368</v>
      </c>
      <c r="O139" s="168">
        <f t="shared" ca="1" si="14"/>
        <v>1</v>
      </c>
      <c r="P139" s="168">
        <f t="shared" ca="1" si="15"/>
        <v>1</v>
      </c>
      <c r="Q139" s="168">
        <f t="shared" ca="1" si="16"/>
        <v>1</v>
      </c>
      <c r="R139" s="168">
        <f t="shared" ca="1" si="17"/>
        <v>1</v>
      </c>
    </row>
    <row r="140" spans="2:18" x14ac:dyDescent="0.35">
      <c r="B140" s="185"/>
      <c r="C140" s="186"/>
      <c r="D140" s="187"/>
      <c r="E140" s="188"/>
      <c r="F140" s="188"/>
      <c r="G140" s="188"/>
      <c r="H140" s="188"/>
      <c r="I140" s="189"/>
      <c r="N140" s="171" t="s">
        <v>369</v>
      </c>
      <c r="O140" s="171">
        <f ca="1">COUNTIFS(O$34:O$139,"=0")</f>
        <v>0</v>
      </c>
      <c r="P140" s="171">
        <f ca="1">106-SUM(P34:P139)</f>
        <v>0</v>
      </c>
      <c r="Q140" s="171">
        <f ca="1">106-SUM(Q34:Q139)</f>
        <v>0</v>
      </c>
      <c r="R140" s="171">
        <f ca="1">106-SUM(R34:R139)</f>
        <v>0</v>
      </c>
    </row>
    <row r="141" spans="2:18" x14ac:dyDescent="0.35">
      <c r="B141" s="185"/>
      <c r="C141" s="186"/>
      <c r="D141" s="187"/>
      <c r="E141" s="188"/>
      <c r="F141" s="188"/>
      <c r="G141" s="188"/>
      <c r="H141" s="188"/>
      <c r="I141" s="189"/>
      <c r="N141" s="171" t="s">
        <v>251</v>
      </c>
      <c r="O141" s="171" t="str">
        <f ca="1">IF(P140+O140&gt;0,P140/(P140+O140)*100,"")</f>
        <v/>
      </c>
      <c r="P141" s="171" t="str">
        <f ca="1">IF(P140+O140&gt;0,O140/(P140+O140)*100,"")</f>
        <v/>
      </c>
      <c r="Q141" s="8"/>
      <c r="R141" s="8"/>
    </row>
    <row r="142" spans="2:18" x14ac:dyDescent="0.35">
      <c r="B142" s="185"/>
      <c r="C142" s="186"/>
      <c r="D142" s="187"/>
      <c r="E142" s="188"/>
      <c r="F142" s="188"/>
      <c r="G142" s="188"/>
      <c r="H142" s="188"/>
      <c r="I142" s="189"/>
      <c r="L142" s="14" t="s">
        <v>259</v>
      </c>
      <c r="M142" s="14">
        <f>COUNTIF(M34:M139,"Niv1")</f>
        <v>0</v>
      </c>
      <c r="N142" s="76" t="s">
        <v>259</v>
      </c>
      <c r="O142" s="76">
        <f ca="1">COUNTIFS(O$34:O$139,"=0",$M$34:$M$139,"Niv1")</f>
        <v>0</v>
      </c>
      <c r="P142" s="76">
        <f ca="1">COUNTIFS(P$34:P$139,"=0",$M$34:$M$139,"Niv1")</f>
        <v>0</v>
      </c>
      <c r="Q142" s="76">
        <f ca="1">COUNTIFS(R$34:R$139,"=0",$M$34:$M$139,"Niv1")</f>
        <v>0</v>
      </c>
      <c r="R142" s="76"/>
    </row>
    <row r="143" spans="2:18" x14ac:dyDescent="0.35">
      <c r="B143" s="185"/>
      <c r="C143" s="186"/>
      <c r="D143" s="187"/>
      <c r="E143" s="188"/>
      <c r="F143" s="188"/>
      <c r="G143" s="188"/>
      <c r="H143" s="188"/>
      <c r="I143" s="189"/>
      <c r="L143" s="14" t="s">
        <v>261</v>
      </c>
      <c r="M143" s="14">
        <f>COUNTIF(M$34:M$139,"Niv2")</f>
        <v>0</v>
      </c>
      <c r="N143" s="76" t="s">
        <v>261</v>
      </c>
      <c r="O143" s="76">
        <f ca="1">COUNTIFS(O$34:O$139,"=0",$M$34:$M$139,"Niv2")</f>
        <v>0</v>
      </c>
      <c r="P143" s="76">
        <f ca="1">COUNTIFS(P$34:P$139,"=0",$M$34:$M$139,"Niv2")</f>
        <v>0</v>
      </c>
      <c r="Q143" s="76">
        <f ca="1">COUNTIFS(R$34:R$139,"=0",$M$34:$M$139,"Niv2")</f>
        <v>0</v>
      </c>
      <c r="R143" s="76"/>
    </row>
    <row r="144" spans="2:18" x14ac:dyDescent="0.35">
      <c r="B144" s="185"/>
      <c r="C144" s="186"/>
      <c r="D144" s="187"/>
      <c r="E144" s="188"/>
      <c r="F144" s="188"/>
      <c r="G144" s="188"/>
      <c r="H144" s="188"/>
      <c r="I144" s="189"/>
      <c r="L144" s="14" t="s">
        <v>268</v>
      </c>
      <c r="M144" s="14">
        <f>COUNTIF(M$34:M$139,"Niv3")</f>
        <v>0</v>
      </c>
      <c r="N144" s="76" t="s">
        <v>268</v>
      </c>
      <c r="O144" s="76">
        <f ca="1">COUNTIFS(O$34:O$139,"=0",$M$34:$M$139,"Niv3")</f>
        <v>0</v>
      </c>
      <c r="P144" s="76">
        <f ca="1">COUNTIFS(P$34:P$139,"=0",$M$34:$M$139,"Niv3")</f>
        <v>0</v>
      </c>
      <c r="Q144" s="76">
        <f ca="1">COUNTIFS(R$34:R$139,"=0",$M$34:$M$139,"Niv3")</f>
        <v>0</v>
      </c>
      <c r="R144" s="76"/>
    </row>
    <row r="145" spans="2:18" x14ac:dyDescent="0.35">
      <c r="B145" s="185"/>
      <c r="C145" s="186"/>
      <c r="D145" s="187"/>
      <c r="E145" s="188"/>
      <c r="F145" s="188"/>
      <c r="G145" s="188"/>
      <c r="H145" s="188"/>
      <c r="I145" s="189"/>
      <c r="L145" s="14" t="s">
        <v>270</v>
      </c>
      <c r="M145" s="14">
        <f>COUNTIF(M$34:M$139,"Niv5")</f>
        <v>0</v>
      </c>
      <c r="N145" s="76" t="s">
        <v>270</v>
      </c>
      <c r="O145" s="76">
        <f ca="1">COUNTIFS(O$34:O$139,"=0",$M$34:$M$139,"Niv5")</f>
        <v>0</v>
      </c>
      <c r="P145" s="76">
        <f ca="1">COUNTIFS(P$34:P$139,"=0",$M$34:$M$139,"Niv5")</f>
        <v>0</v>
      </c>
      <c r="Q145" s="76">
        <f ca="1">COUNTIFS(R$34:R$139,"=0",$M$34:$M$139,"Niv5")</f>
        <v>0</v>
      </c>
      <c r="R145" s="76"/>
    </row>
    <row r="146" spans="2:18" x14ac:dyDescent="0.35">
      <c r="B146" s="185"/>
      <c r="C146" s="186"/>
      <c r="D146" s="187"/>
      <c r="E146" s="188"/>
      <c r="F146" s="188"/>
      <c r="G146" s="188"/>
      <c r="H146" s="188"/>
      <c r="I146" s="189"/>
      <c r="L146" s="8" t="s">
        <v>36</v>
      </c>
      <c r="M146" s="8">
        <f>SUM(M142:M145)</f>
        <v>0</v>
      </c>
      <c r="Q146" s="8"/>
      <c r="R146" s="8"/>
    </row>
    <row r="147" spans="2:18" x14ac:dyDescent="0.35">
      <c r="B147" s="185"/>
      <c r="C147" s="186"/>
      <c r="D147" s="187"/>
      <c r="E147" s="188"/>
      <c r="F147" s="188"/>
      <c r="G147" s="188"/>
      <c r="H147" s="188"/>
      <c r="I147" s="189"/>
      <c r="Q147" s="8"/>
      <c r="R147" s="8"/>
    </row>
    <row r="148" spans="2:18" x14ac:dyDescent="0.35">
      <c r="B148" s="185"/>
      <c r="C148" s="186"/>
      <c r="D148" s="187"/>
      <c r="E148" s="188"/>
      <c r="F148" s="188"/>
      <c r="G148" s="188"/>
      <c r="H148" s="188"/>
      <c r="I148" s="189"/>
      <c r="L148" s="8" t="s">
        <v>22</v>
      </c>
      <c r="M148" s="8">
        <f>COUNTIF(L$34:L$139,"A")</f>
        <v>82</v>
      </c>
      <c r="N148" s="281" t="s">
        <v>428</v>
      </c>
      <c r="O148" s="76" t="s">
        <v>259</v>
      </c>
      <c r="P148" s="76" t="str">
        <f ca="1">IF(O142+P142&gt;0,P142/(O142+P142)*100,"")</f>
        <v/>
      </c>
      <c r="Q148" s="8"/>
      <c r="R148" s="8"/>
    </row>
    <row r="149" spans="2:18" x14ac:dyDescent="0.35">
      <c r="B149" s="185"/>
      <c r="C149" s="186"/>
      <c r="D149" s="187"/>
      <c r="E149" s="188"/>
      <c r="F149" s="188"/>
      <c r="G149" s="188"/>
      <c r="H149" s="188"/>
      <c r="I149" s="189"/>
      <c r="L149" s="8" t="s">
        <v>23</v>
      </c>
      <c r="M149" s="8">
        <f>COUNTIF(L$34:L$139,"AA")</f>
        <v>24</v>
      </c>
      <c r="N149" s="281"/>
      <c r="O149" s="76" t="s">
        <v>261</v>
      </c>
      <c r="P149" s="76" t="str">
        <f ca="1">IF(O143+P143&gt;0,P143/(O143+P143)*100,"")</f>
        <v/>
      </c>
      <c r="Q149" s="8"/>
      <c r="R149" s="8"/>
    </row>
    <row r="150" spans="2:18" x14ac:dyDescent="0.35">
      <c r="B150" s="185"/>
      <c r="C150" s="186"/>
      <c r="D150" s="187"/>
      <c r="E150" s="188"/>
      <c r="F150" s="188"/>
      <c r="G150" s="188"/>
      <c r="H150" s="188"/>
      <c r="I150" s="189"/>
      <c r="L150" s="8" t="s">
        <v>24</v>
      </c>
      <c r="M150" s="8">
        <f>COUNTIF(L$34:L$139,"AAA")</f>
        <v>0</v>
      </c>
      <c r="N150" s="281"/>
      <c r="O150" s="76" t="s">
        <v>268</v>
      </c>
      <c r="P150" s="76" t="str">
        <f ca="1">IFERROR(_xlfn.IFS($P$144/($O$144+$P$144)*100&gt;=50,100,$P$144/($O$144+$P$144)*100&lt;50,$P$144/($O$144+$P$144)*100*2),"")</f>
        <v/>
      </c>
      <c r="Q150" s="8"/>
      <c r="R150" s="8"/>
    </row>
    <row r="151" spans="2:18" x14ac:dyDescent="0.35">
      <c r="B151" s="185"/>
      <c r="C151" s="186"/>
      <c r="D151" s="187"/>
      <c r="E151" s="188"/>
      <c r="F151" s="188"/>
      <c r="G151" s="188"/>
      <c r="H151" s="188"/>
      <c r="I151" s="189"/>
      <c r="L151" s="8" t="s">
        <v>36</v>
      </c>
      <c r="M151" s="8">
        <f>SUM(M148:M150)</f>
        <v>106</v>
      </c>
      <c r="N151" s="281"/>
      <c r="O151" s="76" t="s">
        <v>370</v>
      </c>
      <c r="P151" s="76" t="str">
        <f ca="1">IF($O$144+$P$144&gt;0,$P$144/($O$144+$P$144)*100,"")</f>
        <v/>
      </c>
      <c r="Q151" s="8"/>
      <c r="R151" s="8"/>
    </row>
    <row r="152" spans="2:18" x14ac:dyDescent="0.35">
      <c r="B152" s="185"/>
      <c r="C152" s="186"/>
      <c r="D152" s="187"/>
      <c r="E152" s="188"/>
      <c r="F152" s="188"/>
      <c r="G152" s="188"/>
      <c r="H152" s="188"/>
      <c r="I152" s="189"/>
      <c r="N152" s="281"/>
      <c r="O152" s="76" t="s">
        <v>270</v>
      </c>
      <c r="P152" s="76">
        <f ca="1">IF(SUM(O145+P145)&gt;=1,P145/(O145+P145)*100,0)</f>
        <v>0</v>
      </c>
      <c r="Q152" s="8"/>
      <c r="R152" s="8"/>
    </row>
    <row r="153" spans="2:18" x14ac:dyDescent="0.35">
      <c r="B153" s="185"/>
      <c r="C153" s="186"/>
      <c r="D153" s="187"/>
      <c r="E153" s="188"/>
      <c r="F153" s="188"/>
      <c r="G153" s="188"/>
      <c r="H153" s="188"/>
      <c r="I153" s="189"/>
      <c r="Q153" s="8"/>
      <c r="R153" s="8"/>
    </row>
    <row r="154" spans="2:18" x14ac:dyDescent="0.35">
      <c r="B154" s="185"/>
      <c r="C154" s="186"/>
      <c r="D154" s="187"/>
      <c r="E154" s="188"/>
      <c r="F154" s="188"/>
      <c r="G154" s="188"/>
      <c r="H154" s="188"/>
      <c r="I154" s="189"/>
      <c r="Q154" s="8"/>
      <c r="R154" s="8"/>
    </row>
    <row r="155" spans="2:18" x14ac:dyDescent="0.35">
      <c r="B155" s="185"/>
      <c r="C155" s="186"/>
      <c r="D155" s="187"/>
      <c r="E155" s="188"/>
      <c r="F155" s="188"/>
      <c r="G155" s="188"/>
      <c r="H155" s="188"/>
      <c r="I155" s="189"/>
      <c r="Q155" s="8"/>
      <c r="R155" s="8"/>
    </row>
    <row r="156" spans="2:18" x14ac:dyDescent="0.35">
      <c r="B156" s="185"/>
      <c r="C156" s="186"/>
      <c r="D156" s="187"/>
      <c r="E156" s="188"/>
      <c r="F156" s="188"/>
      <c r="G156" s="188"/>
      <c r="H156" s="188"/>
      <c r="I156" s="189"/>
      <c r="Q156" s="8"/>
      <c r="R156" s="8"/>
    </row>
    <row r="157" spans="2:18" x14ac:dyDescent="0.35">
      <c r="B157" s="185"/>
      <c r="C157" s="186"/>
      <c r="D157" s="187"/>
      <c r="E157" s="188"/>
      <c r="F157" s="188"/>
      <c r="G157" s="188"/>
      <c r="H157" s="188"/>
      <c r="I157" s="189"/>
      <c r="Q157" s="8"/>
      <c r="R157" s="8"/>
    </row>
    <row r="158" spans="2:18" x14ac:dyDescent="0.35">
      <c r="B158" s="185"/>
      <c r="C158" s="186"/>
      <c r="D158" s="187"/>
      <c r="E158" s="188"/>
      <c r="F158" s="188"/>
      <c r="G158" s="188"/>
      <c r="H158" s="188"/>
      <c r="I158" s="189"/>
      <c r="Q158" s="8"/>
      <c r="R158" s="8"/>
    </row>
    <row r="159" spans="2:18" x14ac:dyDescent="0.35">
      <c r="B159" s="185"/>
      <c r="C159" s="186"/>
      <c r="D159" s="187"/>
      <c r="E159" s="188"/>
      <c r="F159" s="188"/>
      <c r="G159" s="188"/>
      <c r="H159" s="188"/>
      <c r="I159" s="189"/>
      <c r="Q159" s="8"/>
      <c r="R159" s="8"/>
    </row>
    <row r="160" spans="2:18" x14ac:dyDescent="0.35">
      <c r="B160" s="185"/>
      <c r="C160" s="186"/>
      <c r="D160" s="187"/>
      <c r="E160" s="188"/>
      <c r="F160" s="188"/>
      <c r="G160" s="188"/>
      <c r="H160" s="188"/>
      <c r="I160" s="189"/>
      <c r="Q160" s="8"/>
      <c r="R160" s="8"/>
    </row>
    <row r="161" spans="2:18" x14ac:dyDescent="0.35">
      <c r="B161" s="185"/>
      <c r="C161" s="186"/>
      <c r="D161" s="187"/>
      <c r="E161" s="188"/>
      <c r="F161" s="188"/>
      <c r="G161" s="188"/>
      <c r="H161" s="188"/>
      <c r="I161" s="189"/>
      <c r="Q161" s="8"/>
      <c r="R161" s="8"/>
    </row>
    <row r="162" spans="2:18" x14ac:dyDescent="0.35">
      <c r="B162" s="185"/>
      <c r="C162" s="186"/>
      <c r="D162" s="187"/>
      <c r="E162" s="188"/>
      <c r="F162" s="188"/>
      <c r="G162" s="188"/>
      <c r="H162" s="188"/>
      <c r="I162" s="189"/>
      <c r="Q162" s="8"/>
      <c r="R162" s="8"/>
    </row>
    <row r="163" spans="2:18" x14ac:dyDescent="0.35">
      <c r="B163" s="185"/>
      <c r="C163" s="186"/>
      <c r="D163" s="187"/>
      <c r="E163" s="188"/>
      <c r="F163" s="188"/>
      <c r="G163" s="188"/>
      <c r="H163" s="188"/>
      <c r="I163" s="189"/>
      <c r="Q163" s="8"/>
      <c r="R163" s="8"/>
    </row>
    <row r="164" spans="2:18" x14ac:dyDescent="0.35">
      <c r="B164" s="185"/>
      <c r="C164" s="186"/>
      <c r="D164" s="187"/>
      <c r="E164" s="188"/>
      <c r="F164" s="188"/>
      <c r="G164" s="188"/>
      <c r="H164" s="188"/>
      <c r="I164" s="189"/>
      <c r="Q164" s="8"/>
      <c r="R164" s="8"/>
    </row>
    <row r="165" spans="2:18" x14ac:dyDescent="0.35">
      <c r="B165" s="185"/>
      <c r="C165" s="186"/>
      <c r="D165" s="187"/>
      <c r="E165" s="188"/>
      <c r="F165" s="188"/>
      <c r="G165" s="188"/>
      <c r="H165" s="188"/>
      <c r="I165" s="189"/>
      <c r="Q165" s="8"/>
      <c r="R165" s="8"/>
    </row>
    <row r="166" spans="2:18" x14ac:dyDescent="0.35">
      <c r="B166" s="185"/>
      <c r="C166" s="186"/>
      <c r="D166" s="187"/>
      <c r="E166" s="188"/>
      <c r="F166" s="188"/>
      <c r="G166" s="188"/>
      <c r="H166" s="188"/>
      <c r="I166" s="189"/>
      <c r="Q166" s="8"/>
      <c r="R166" s="8"/>
    </row>
    <row r="167" spans="2:18" x14ac:dyDescent="0.35">
      <c r="B167" s="185"/>
      <c r="C167" s="186"/>
      <c r="D167" s="187"/>
      <c r="E167" s="188"/>
      <c r="F167" s="188"/>
      <c r="G167" s="188"/>
      <c r="H167" s="188"/>
      <c r="I167" s="189"/>
      <c r="L167" s="15"/>
      <c r="N167" s="15"/>
      <c r="P167" s="15"/>
      <c r="Q167" s="8"/>
      <c r="R167" s="8"/>
    </row>
    <row r="168" spans="2:18" x14ac:dyDescent="0.35">
      <c r="B168" s="185"/>
      <c r="C168" s="186"/>
      <c r="D168" s="187"/>
      <c r="E168" s="188"/>
      <c r="F168" s="188"/>
      <c r="G168" s="188"/>
      <c r="H168" s="188"/>
      <c r="I168" s="189"/>
      <c r="Q168" s="8"/>
      <c r="R168" s="8"/>
    </row>
    <row r="169" spans="2:18" x14ac:dyDescent="0.35">
      <c r="B169" s="185"/>
      <c r="C169" s="186"/>
      <c r="D169" s="187"/>
      <c r="E169" s="188"/>
      <c r="F169" s="188"/>
      <c r="G169" s="188"/>
      <c r="H169" s="188"/>
      <c r="I169" s="189"/>
      <c r="Q169" s="8"/>
      <c r="R169" s="8"/>
    </row>
    <row r="170" spans="2:18" x14ac:dyDescent="0.35">
      <c r="B170" s="185"/>
      <c r="C170" s="186"/>
      <c r="D170" s="187"/>
      <c r="E170" s="188"/>
      <c r="F170" s="188"/>
      <c r="G170" s="188"/>
      <c r="H170" s="188"/>
      <c r="I170" s="189"/>
      <c r="Q170" s="8"/>
      <c r="R170" s="8"/>
    </row>
    <row r="171" spans="2:18" x14ac:dyDescent="0.35">
      <c r="B171" s="185"/>
      <c r="C171" s="186"/>
      <c r="D171" s="187"/>
      <c r="E171" s="188"/>
      <c r="F171" s="188"/>
      <c r="G171" s="188"/>
      <c r="H171" s="188"/>
      <c r="I171" s="189"/>
      <c r="Q171" s="8"/>
      <c r="R171" s="8"/>
    </row>
    <row r="172" spans="2:18" x14ac:dyDescent="0.35">
      <c r="B172" s="185"/>
      <c r="C172" s="186"/>
      <c r="D172" s="187"/>
      <c r="E172" s="188"/>
      <c r="F172" s="188"/>
      <c r="G172" s="188"/>
      <c r="H172" s="188"/>
      <c r="I172" s="189"/>
      <c r="Q172" s="8"/>
      <c r="R172" s="8"/>
    </row>
    <row r="173" spans="2:18" x14ac:dyDescent="0.35">
      <c r="B173" s="185"/>
      <c r="C173" s="186"/>
      <c r="D173" s="187"/>
      <c r="E173" s="188"/>
      <c r="F173" s="188"/>
      <c r="G173" s="188"/>
      <c r="H173" s="188"/>
      <c r="I173" s="189"/>
      <c r="Q173" s="8"/>
      <c r="R173" s="8"/>
    </row>
    <row r="174" spans="2:18" x14ac:dyDescent="0.35">
      <c r="B174" s="185"/>
      <c r="C174" s="186"/>
      <c r="D174" s="187"/>
      <c r="E174" s="188"/>
      <c r="F174" s="188"/>
      <c r="G174" s="188"/>
      <c r="H174" s="188"/>
      <c r="I174" s="189"/>
      <c r="Q174" s="8"/>
      <c r="R174" s="8"/>
    </row>
    <row r="175" spans="2:18" x14ac:dyDescent="0.35">
      <c r="B175" s="185"/>
      <c r="C175" s="186"/>
      <c r="D175" s="187"/>
      <c r="E175" s="188"/>
      <c r="F175" s="188"/>
      <c r="G175" s="188"/>
      <c r="H175" s="188"/>
      <c r="I175" s="189"/>
      <c r="Q175" s="8"/>
      <c r="R175" s="8"/>
    </row>
    <row r="176" spans="2:18" x14ac:dyDescent="0.35">
      <c r="B176" s="185"/>
      <c r="C176" s="186"/>
      <c r="D176" s="187"/>
      <c r="E176" s="188"/>
      <c r="F176" s="188"/>
      <c r="G176" s="188"/>
      <c r="H176" s="188"/>
      <c r="I176" s="189"/>
      <c r="Q176" s="8"/>
      <c r="R176" s="8"/>
    </row>
    <row r="177" spans="2:18" x14ac:dyDescent="0.35">
      <c r="B177" s="185"/>
      <c r="C177" s="186"/>
      <c r="D177" s="187"/>
      <c r="E177" s="188"/>
      <c r="F177" s="188"/>
      <c r="G177" s="188"/>
      <c r="H177" s="188"/>
      <c r="I177" s="189"/>
      <c r="Q177" s="8"/>
      <c r="R177" s="8"/>
    </row>
    <row r="178" spans="2:18" x14ac:dyDescent="0.35">
      <c r="B178" s="190"/>
      <c r="C178" s="191"/>
      <c r="D178" s="192"/>
      <c r="E178" s="193"/>
      <c r="F178" s="193"/>
      <c r="G178" s="193"/>
      <c r="H178" s="193"/>
      <c r="I178" s="189"/>
      <c r="Q178" s="8"/>
      <c r="R178" s="8"/>
    </row>
    <row r="179" spans="2:18" x14ac:dyDescent="0.35">
      <c r="B179" s="190"/>
      <c r="C179" s="191"/>
      <c r="D179" s="192"/>
      <c r="E179" s="193"/>
      <c r="F179" s="193"/>
      <c r="G179" s="193"/>
      <c r="H179" s="193"/>
      <c r="I179" s="189"/>
      <c r="Q179" s="8"/>
      <c r="R179" s="8"/>
    </row>
    <row r="180" spans="2:18" x14ac:dyDescent="0.35">
      <c r="B180" s="190"/>
      <c r="C180" s="191"/>
      <c r="D180" s="192"/>
      <c r="E180" s="193"/>
      <c r="F180" s="193"/>
      <c r="G180" s="193"/>
      <c r="H180" s="193"/>
      <c r="I180" s="189"/>
      <c r="Q180" s="8"/>
      <c r="R180" s="8"/>
    </row>
    <row r="181" spans="2:18" x14ac:dyDescent="0.35">
      <c r="B181" s="190"/>
      <c r="C181" s="191"/>
      <c r="D181" s="192"/>
      <c r="E181" s="193"/>
      <c r="F181" s="193"/>
      <c r="G181" s="193"/>
      <c r="H181" s="193"/>
      <c r="I181" s="189"/>
      <c r="Q181" s="8"/>
      <c r="R181" s="8"/>
    </row>
    <row r="182" spans="2:18" x14ac:dyDescent="0.35">
      <c r="B182" s="190"/>
      <c r="C182" s="191"/>
      <c r="D182" s="192"/>
      <c r="E182" s="193"/>
      <c r="F182" s="193"/>
      <c r="G182" s="193"/>
      <c r="H182" s="193"/>
      <c r="I182" s="189"/>
      <c r="Q182" s="8"/>
      <c r="R182" s="8"/>
    </row>
    <row r="183" spans="2:18" x14ac:dyDescent="0.35">
      <c r="B183" s="190"/>
      <c r="C183" s="191"/>
      <c r="D183" s="192"/>
      <c r="E183" s="193"/>
      <c r="F183" s="193"/>
      <c r="G183" s="193"/>
      <c r="H183" s="193"/>
      <c r="I183" s="189"/>
      <c r="Q183" s="8"/>
      <c r="R183" s="8"/>
    </row>
    <row r="184" spans="2:18" x14ac:dyDescent="0.35">
      <c r="B184" s="190"/>
      <c r="C184" s="191"/>
      <c r="D184" s="192"/>
      <c r="E184" s="193"/>
      <c r="F184" s="193"/>
      <c r="G184" s="193"/>
      <c r="H184" s="193"/>
      <c r="I184" s="189"/>
      <c r="Q184" s="8"/>
      <c r="R184" s="8"/>
    </row>
    <row r="185" spans="2:18" x14ac:dyDescent="0.35">
      <c r="B185" s="190"/>
      <c r="C185" s="191"/>
      <c r="D185" s="192"/>
      <c r="E185" s="193"/>
      <c r="F185" s="193"/>
      <c r="G185" s="193"/>
      <c r="H185" s="193"/>
      <c r="I185" s="189"/>
      <c r="Q185" s="8"/>
      <c r="R185" s="8"/>
    </row>
    <row r="186" spans="2:18" x14ac:dyDescent="0.35">
      <c r="B186" s="190"/>
      <c r="C186" s="191"/>
      <c r="D186" s="192"/>
      <c r="E186" s="193"/>
      <c r="F186" s="193"/>
      <c r="G186" s="193"/>
      <c r="H186" s="193"/>
      <c r="I186" s="189"/>
      <c r="Q186" s="8"/>
      <c r="R186" s="8"/>
    </row>
    <row r="187" spans="2:18" x14ac:dyDescent="0.35">
      <c r="B187" s="194"/>
      <c r="C187" s="195"/>
      <c r="D187" s="192"/>
      <c r="E187" s="193"/>
      <c r="F187" s="193"/>
      <c r="G187" s="193"/>
      <c r="H187" s="193"/>
      <c r="I187" s="189"/>
      <c r="Q187" s="8"/>
      <c r="R187" s="8"/>
    </row>
    <row r="188" spans="2:18" x14ac:dyDescent="0.35">
      <c r="B188" s="194"/>
      <c r="C188" s="195"/>
      <c r="D188" s="192"/>
      <c r="E188" s="193"/>
      <c r="F188" s="193"/>
      <c r="G188" s="193"/>
      <c r="H188" s="193"/>
      <c r="I188" s="189"/>
      <c r="Q188" s="8"/>
      <c r="R188" s="8"/>
    </row>
    <row r="189" spans="2:18" x14ac:dyDescent="0.35">
      <c r="B189" s="194"/>
      <c r="C189" s="195"/>
      <c r="D189" s="192"/>
      <c r="E189" s="193"/>
      <c r="F189" s="193"/>
      <c r="G189" s="193"/>
      <c r="H189" s="193"/>
      <c r="I189" s="189"/>
      <c r="Q189" s="8"/>
      <c r="R189" s="8"/>
    </row>
    <row r="190" spans="2:18" x14ac:dyDescent="0.35">
      <c r="B190" s="194"/>
      <c r="C190" s="195"/>
      <c r="D190" s="192"/>
      <c r="E190" s="193"/>
      <c r="F190" s="193"/>
      <c r="G190" s="193"/>
      <c r="H190" s="193"/>
      <c r="I190" s="189"/>
      <c r="Q190" s="8"/>
      <c r="R190" s="8"/>
    </row>
    <row r="191" spans="2:18" x14ac:dyDescent="0.35">
      <c r="B191" s="194"/>
      <c r="C191" s="195"/>
      <c r="D191" s="192"/>
      <c r="E191" s="193"/>
      <c r="F191" s="193"/>
      <c r="G191" s="193"/>
      <c r="H191" s="193"/>
      <c r="I191" s="189"/>
      <c r="Q191" s="8"/>
      <c r="R191" s="8"/>
    </row>
    <row r="192" spans="2:18" x14ac:dyDescent="0.35">
      <c r="B192" s="194"/>
      <c r="C192" s="195"/>
      <c r="D192" s="192"/>
      <c r="E192" s="193"/>
      <c r="F192" s="193"/>
      <c r="G192" s="193"/>
      <c r="H192" s="193"/>
      <c r="I192" s="189"/>
      <c r="Q192" s="8"/>
      <c r="R192" s="8"/>
    </row>
    <row r="193" spans="2:35" x14ac:dyDescent="0.35">
      <c r="B193" s="194"/>
      <c r="C193" s="195"/>
      <c r="D193" s="192"/>
      <c r="E193" s="193"/>
      <c r="F193" s="193"/>
      <c r="G193" s="193"/>
      <c r="H193" s="193"/>
      <c r="I193" s="189"/>
      <c r="Q193" s="8"/>
      <c r="R193" s="8"/>
      <c r="AH193" s="15">
        <v>25</v>
      </c>
      <c r="AI193" s="8">
        <v>26</v>
      </c>
    </row>
    <row r="194" spans="2:35" x14ac:dyDescent="0.35">
      <c r="B194" s="194"/>
      <c r="C194" s="195"/>
      <c r="D194" s="192"/>
      <c r="E194" s="193"/>
      <c r="F194" s="193"/>
      <c r="G194" s="193"/>
      <c r="H194" s="193"/>
      <c r="I194" s="189"/>
      <c r="Q194" s="8"/>
      <c r="R194" s="8"/>
      <c r="T194" s="15"/>
      <c r="V194" s="15"/>
      <c r="Z194" s="15"/>
      <c r="AB194" s="15"/>
      <c r="AF194" s="15"/>
    </row>
    <row r="195" spans="2:35" x14ac:dyDescent="0.35">
      <c r="B195" s="194"/>
      <c r="C195" s="195"/>
      <c r="D195" s="192"/>
      <c r="E195" s="193"/>
      <c r="F195" s="193"/>
      <c r="G195" s="193"/>
      <c r="H195" s="193"/>
      <c r="I195" s="189"/>
      <c r="Q195" s="8"/>
      <c r="R195" s="8"/>
    </row>
    <row r="196" spans="2:35" x14ac:dyDescent="0.35">
      <c r="B196" s="194"/>
      <c r="C196" s="195"/>
      <c r="D196" s="192"/>
      <c r="E196" s="193"/>
      <c r="F196" s="193"/>
      <c r="G196" s="193"/>
      <c r="H196" s="193"/>
      <c r="I196" s="189"/>
      <c r="Q196" s="8"/>
      <c r="R196" s="8"/>
    </row>
    <row r="197" spans="2:35" x14ac:dyDescent="0.35">
      <c r="B197" s="194"/>
      <c r="C197" s="195"/>
      <c r="D197" s="192"/>
      <c r="E197" s="193"/>
      <c r="F197" s="193"/>
      <c r="G197" s="193"/>
      <c r="H197" s="193"/>
      <c r="I197" s="189"/>
      <c r="Q197" s="8"/>
      <c r="R197" s="8"/>
    </row>
    <row r="198" spans="2:35" x14ac:dyDescent="0.35">
      <c r="B198" s="194"/>
      <c r="C198" s="195"/>
      <c r="D198" s="192"/>
      <c r="E198" s="193"/>
      <c r="F198" s="193"/>
      <c r="G198" s="193"/>
      <c r="H198" s="193"/>
      <c r="I198" s="189"/>
      <c r="Q198" s="8"/>
      <c r="R198" s="8"/>
    </row>
    <row r="199" spans="2:35" x14ac:dyDescent="0.35">
      <c r="B199" s="194"/>
      <c r="C199" s="195"/>
      <c r="D199" s="192"/>
      <c r="E199" s="193"/>
      <c r="F199" s="193"/>
      <c r="G199" s="193"/>
      <c r="H199" s="193"/>
      <c r="I199" s="189"/>
      <c r="Q199" s="8"/>
      <c r="R199" s="8"/>
    </row>
    <row r="200" spans="2:35" x14ac:dyDescent="0.35">
      <c r="B200" s="194"/>
      <c r="C200" s="195"/>
      <c r="D200" s="192"/>
      <c r="E200" s="193"/>
      <c r="F200" s="193"/>
      <c r="G200" s="193"/>
      <c r="H200" s="193"/>
      <c r="I200" s="189"/>
      <c r="Q200" s="8"/>
      <c r="R200" s="8"/>
    </row>
    <row r="201" spans="2:35" x14ac:dyDescent="0.35">
      <c r="B201" s="194"/>
      <c r="C201" s="195"/>
      <c r="D201" s="192"/>
      <c r="E201" s="193"/>
      <c r="F201" s="193"/>
      <c r="G201" s="193"/>
      <c r="H201" s="193"/>
      <c r="I201" s="189"/>
      <c r="Q201" s="8"/>
      <c r="R201" s="8"/>
    </row>
    <row r="202" spans="2:35" x14ac:dyDescent="0.35">
      <c r="B202" s="194"/>
      <c r="C202" s="195"/>
      <c r="D202" s="192"/>
      <c r="E202" s="193"/>
      <c r="F202" s="193"/>
      <c r="G202" s="193"/>
      <c r="H202" s="193"/>
      <c r="I202" s="189"/>
      <c r="Q202" s="8"/>
      <c r="R202" s="8"/>
    </row>
    <row r="203" spans="2:35" x14ac:dyDescent="0.35">
      <c r="B203" s="194"/>
      <c r="C203" s="195"/>
      <c r="D203" s="192"/>
      <c r="E203" s="193"/>
      <c r="F203" s="193"/>
      <c r="G203" s="193"/>
      <c r="H203" s="193"/>
      <c r="I203" s="189"/>
      <c r="Q203" s="8"/>
      <c r="R203" s="8"/>
    </row>
    <row r="204" spans="2:35" x14ac:dyDescent="0.35">
      <c r="B204" s="194"/>
      <c r="C204" s="195"/>
      <c r="D204" s="192"/>
      <c r="E204" s="193"/>
      <c r="F204" s="193"/>
      <c r="G204" s="193"/>
      <c r="H204" s="193"/>
      <c r="I204" s="189"/>
      <c r="Q204" s="8"/>
      <c r="R204" s="8"/>
    </row>
    <row r="205" spans="2:35" x14ac:dyDescent="0.35">
      <c r="B205" s="194"/>
      <c r="C205" s="195"/>
      <c r="D205" s="192"/>
      <c r="E205" s="193"/>
      <c r="F205" s="193"/>
      <c r="G205" s="193"/>
      <c r="H205" s="193"/>
      <c r="I205" s="189"/>
      <c r="Q205" s="8"/>
      <c r="R205" s="8"/>
    </row>
    <row r="206" spans="2:35" x14ac:dyDescent="0.35">
      <c r="B206" s="194"/>
      <c r="C206" s="195"/>
      <c r="D206" s="192"/>
      <c r="E206" s="193"/>
      <c r="F206" s="193"/>
      <c r="G206" s="193"/>
      <c r="H206" s="193"/>
      <c r="I206" s="189"/>
      <c r="Q206" s="8"/>
      <c r="R206" s="8"/>
    </row>
    <row r="207" spans="2:35" x14ac:dyDescent="0.35">
      <c r="B207" s="194"/>
      <c r="C207" s="195"/>
      <c r="D207" s="192"/>
      <c r="E207" s="193"/>
      <c r="F207" s="193"/>
      <c r="G207" s="193"/>
      <c r="H207" s="193"/>
      <c r="I207" s="189"/>
      <c r="Q207" s="8"/>
      <c r="R207" s="8"/>
    </row>
    <row r="208" spans="2:35" x14ac:dyDescent="0.35">
      <c r="B208" s="194"/>
      <c r="C208" s="195"/>
      <c r="D208" s="192"/>
      <c r="E208" s="193"/>
      <c r="F208" s="193"/>
      <c r="G208" s="193"/>
      <c r="H208" s="193"/>
      <c r="I208" s="189"/>
      <c r="Q208" s="8"/>
      <c r="R208" s="8"/>
    </row>
    <row r="209" spans="2:18" x14ac:dyDescent="0.35">
      <c r="B209" s="194"/>
      <c r="C209" s="195"/>
      <c r="D209" s="192"/>
      <c r="E209" s="193"/>
      <c r="F209" s="193"/>
      <c r="G209" s="193"/>
      <c r="H209" s="193"/>
      <c r="I209" s="189"/>
      <c r="Q209" s="8"/>
      <c r="R209" s="8"/>
    </row>
    <row r="210" spans="2:18" x14ac:dyDescent="0.35">
      <c r="B210" s="194"/>
      <c r="C210" s="195"/>
      <c r="D210" s="192"/>
      <c r="E210" s="193"/>
      <c r="F210" s="193"/>
      <c r="G210" s="193"/>
      <c r="H210" s="193"/>
      <c r="I210" s="189"/>
      <c r="Q210" s="8"/>
      <c r="R210" s="8"/>
    </row>
    <row r="211" spans="2:18" x14ac:dyDescent="0.35">
      <c r="B211" s="194"/>
      <c r="C211" s="195"/>
      <c r="D211" s="192"/>
      <c r="E211" s="193"/>
      <c r="F211" s="193"/>
      <c r="G211" s="193"/>
      <c r="H211" s="193"/>
      <c r="I211" s="189"/>
      <c r="Q211" s="8"/>
      <c r="R211" s="8"/>
    </row>
    <row r="212" spans="2:18" x14ac:dyDescent="0.35">
      <c r="B212" s="194"/>
      <c r="C212" s="195"/>
      <c r="D212" s="192"/>
      <c r="E212" s="193"/>
      <c r="F212" s="193"/>
      <c r="G212" s="193"/>
      <c r="H212" s="193"/>
      <c r="I212" s="189"/>
      <c r="Q212" s="8"/>
      <c r="R212" s="8"/>
    </row>
    <row r="213" spans="2:18" x14ac:dyDescent="0.35">
      <c r="B213" s="194"/>
      <c r="C213" s="195"/>
      <c r="D213" s="192"/>
      <c r="E213" s="193"/>
      <c r="F213" s="193"/>
      <c r="G213" s="193"/>
      <c r="H213" s="193"/>
      <c r="I213" s="189"/>
      <c r="Q213" s="8"/>
      <c r="R213" s="8"/>
    </row>
    <row r="214" spans="2:18" x14ac:dyDescent="0.35">
      <c r="B214" s="194"/>
      <c r="C214" s="195"/>
      <c r="D214" s="192"/>
      <c r="E214" s="193"/>
      <c r="F214" s="193"/>
      <c r="G214" s="193"/>
      <c r="H214" s="193"/>
      <c r="I214" s="189"/>
      <c r="Q214" s="8"/>
      <c r="R214" s="8"/>
    </row>
    <row r="215" spans="2:18" x14ac:dyDescent="0.35">
      <c r="B215" s="194"/>
      <c r="C215" s="195"/>
      <c r="D215" s="192"/>
      <c r="E215" s="193"/>
      <c r="F215" s="193"/>
      <c r="G215" s="193"/>
      <c r="H215" s="193"/>
      <c r="I215" s="189"/>
      <c r="Q215" s="8"/>
      <c r="R215" s="8"/>
    </row>
    <row r="216" spans="2:18" x14ac:dyDescent="0.35">
      <c r="B216" s="194"/>
      <c r="C216" s="195"/>
      <c r="D216" s="192"/>
      <c r="E216" s="193"/>
      <c r="F216" s="193"/>
      <c r="G216" s="193"/>
      <c r="H216" s="193"/>
      <c r="I216" s="189"/>
      <c r="Q216" s="8"/>
      <c r="R216" s="8"/>
    </row>
    <row r="217" spans="2:18" x14ac:dyDescent="0.35">
      <c r="B217" s="194"/>
      <c r="C217" s="195"/>
      <c r="D217" s="192"/>
      <c r="E217" s="193"/>
      <c r="F217" s="193"/>
      <c r="G217" s="193"/>
      <c r="H217" s="193"/>
      <c r="I217" s="189"/>
      <c r="Q217" s="8"/>
      <c r="R217" s="8"/>
    </row>
    <row r="218" spans="2:18" x14ac:dyDescent="0.35">
      <c r="B218" s="194"/>
      <c r="C218" s="195"/>
      <c r="D218" s="192"/>
      <c r="E218" s="193"/>
      <c r="F218" s="193"/>
      <c r="G218" s="193"/>
      <c r="H218" s="193"/>
      <c r="I218" s="189"/>
      <c r="Q218" s="8"/>
      <c r="R218" s="8"/>
    </row>
    <row r="219" spans="2:18" x14ac:dyDescent="0.35">
      <c r="B219" s="194"/>
      <c r="C219" s="195"/>
      <c r="D219" s="192"/>
      <c r="E219" s="193"/>
      <c r="F219" s="193"/>
      <c r="G219" s="193"/>
      <c r="H219" s="193"/>
      <c r="I219" s="189"/>
      <c r="Q219" s="8"/>
      <c r="R219" s="8"/>
    </row>
    <row r="220" spans="2:18" x14ac:dyDescent="0.35">
      <c r="B220" s="194"/>
      <c r="C220" s="195"/>
      <c r="D220" s="192"/>
      <c r="E220" s="193"/>
      <c r="F220" s="193"/>
      <c r="G220" s="193"/>
      <c r="H220" s="193"/>
      <c r="I220" s="189"/>
      <c r="Q220" s="8"/>
      <c r="R220" s="8"/>
    </row>
    <row r="221" spans="2:18" x14ac:dyDescent="0.35">
      <c r="B221" s="194"/>
      <c r="C221" s="195"/>
      <c r="D221" s="192"/>
      <c r="E221" s="193"/>
      <c r="F221" s="193"/>
      <c r="G221" s="193"/>
      <c r="H221" s="193"/>
      <c r="I221" s="189"/>
      <c r="Q221" s="8"/>
      <c r="R221" s="8"/>
    </row>
    <row r="222" spans="2:18" x14ac:dyDescent="0.35">
      <c r="B222" s="194"/>
      <c r="C222" s="195"/>
      <c r="D222" s="192"/>
      <c r="E222" s="193"/>
      <c r="F222" s="193"/>
      <c r="G222" s="193"/>
      <c r="H222" s="193"/>
      <c r="I222" s="189"/>
      <c r="Q222" s="8"/>
      <c r="R222" s="8"/>
    </row>
    <row r="223" spans="2:18" x14ac:dyDescent="0.35">
      <c r="B223" s="194"/>
      <c r="C223" s="195"/>
      <c r="D223" s="192"/>
      <c r="E223" s="193"/>
      <c r="F223" s="193"/>
      <c r="G223" s="193"/>
      <c r="H223" s="193"/>
      <c r="I223" s="189"/>
      <c r="Q223" s="8"/>
      <c r="R223" s="8"/>
    </row>
    <row r="224" spans="2:18" x14ac:dyDescent="0.35">
      <c r="B224" s="194"/>
      <c r="C224" s="195"/>
      <c r="D224" s="192"/>
      <c r="E224" s="193"/>
      <c r="F224" s="193"/>
      <c r="G224" s="193"/>
      <c r="H224" s="193"/>
      <c r="I224" s="189"/>
      <c r="Q224" s="8"/>
      <c r="R224" s="8"/>
    </row>
    <row r="225" spans="2:18" x14ac:dyDescent="0.35">
      <c r="B225" s="194"/>
      <c r="C225" s="195"/>
      <c r="D225" s="192"/>
      <c r="E225" s="193"/>
      <c r="F225" s="193"/>
      <c r="G225" s="193"/>
      <c r="H225" s="193"/>
      <c r="I225" s="189"/>
      <c r="Q225" s="8"/>
      <c r="R225" s="8"/>
    </row>
    <row r="226" spans="2:18" x14ac:dyDescent="0.35">
      <c r="B226" s="194"/>
      <c r="C226" s="195"/>
      <c r="D226" s="192"/>
      <c r="E226" s="193"/>
      <c r="F226" s="193"/>
      <c r="G226" s="193"/>
      <c r="H226" s="193"/>
      <c r="I226" s="189"/>
      <c r="Q226" s="8"/>
      <c r="R226" s="8"/>
    </row>
    <row r="227" spans="2:18" x14ac:dyDescent="0.35">
      <c r="B227" s="194"/>
      <c r="C227" s="195"/>
      <c r="D227" s="192"/>
      <c r="E227" s="193"/>
      <c r="F227" s="193"/>
      <c r="G227" s="193"/>
      <c r="H227" s="193"/>
      <c r="I227" s="189"/>
      <c r="Q227" s="8"/>
      <c r="R227" s="8"/>
    </row>
    <row r="228" spans="2:18" x14ac:dyDescent="0.35">
      <c r="B228" s="194"/>
      <c r="C228" s="195"/>
      <c r="D228" s="192"/>
      <c r="E228" s="193"/>
      <c r="F228" s="193"/>
      <c r="G228" s="193"/>
      <c r="H228" s="193"/>
      <c r="I228" s="189"/>
      <c r="Q228" s="8"/>
      <c r="R228" s="8"/>
    </row>
    <row r="229" spans="2:18" x14ac:dyDescent="0.35">
      <c r="B229" s="194"/>
      <c r="C229" s="195"/>
      <c r="D229" s="192"/>
      <c r="E229" s="193"/>
      <c r="F229" s="193"/>
      <c r="G229" s="193"/>
      <c r="H229" s="193"/>
      <c r="I229" s="189"/>
      <c r="Q229" s="8"/>
      <c r="R229" s="8"/>
    </row>
    <row r="230" spans="2:18" x14ac:dyDescent="0.35">
      <c r="B230" s="194"/>
      <c r="C230" s="195"/>
      <c r="D230" s="192"/>
      <c r="E230" s="193"/>
      <c r="F230" s="193"/>
      <c r="G230" s="193"/>
      <c r="H230" s="193"/>
      <c r="I230" s="189"/>
      <c r="Q230" s="8"/>
      <c r="R230" s="8"/>
    </row>
    <row r="231" spans="2:18" x14ac:dyDescent="0.35">
      <c r="B231" s="194"/>
      <c r="C231" s="195"/>
      <c r="D231" s="192"/>
      <c r="E231" s="193"/>
      <c r="F231" s="193"/>
      <c r="G231" s="193"/>
      <c r="H231" s="193"/>
      <c r="I231" s="189"/>
      <c r="Q231" s="8"/>
      <c r="R231" s="8"/>
    </row>
    <row r="232" spans="2:18" x14ac:dyDescent="0.35">
      <c r="B232" s="194"/>
      <c r="C232" s="195"/>
      <c r="D232" s="192"/>
      <c r="E232" s="193"/>
      <c r="F232" s="193"/>
      <c r="G232" s="193"/>
      <c r="H232" s="193"/>
      <c r="I232" s="189"/>
      <c r="Q232" s="8"/>
      <c r="R232" s="8"/>
    </row>
    <row r="233" spans="2:18" x14ac:dyDescent="0.35">
      <c r="B233" s="194"/>
      <c r="C233" s="195"/>
      <c r="D233" s="192"/>
      <c r="E233" s="193"/>
      <c r="F233" s="193"/>
      <c r="G233" s="193"/>
      <c r="H233" s="193"/>
      <c r="I233" s="189"/>
      <c r="Q233" s="8"/>
      <c r="R233" s="8"/>
    </row>
    <row r="234" spans="2:18" x14ac:dyDescent="0.35">
      <c r="B234" s="194"/>
      <c r="C234" s="195"/>
      <c r="D234" s="192"/>
      <c r="E234" s="193"/>
      <c r="F234" s="193"/>
      <c r="G234" s="193"/>
      <c r="H234" s="193"/>
      <c r="I234" s="189"/>
      <c r="Q234" s="8"/>
      <c r="R234" s="8"/>
    </row>
    <row r="235" spans="2:18" x14ac:dyDescent="0.35">
      <c r="B235" s="194"/>
      <c r="C235" s="195"/>
      <c r="D235" s="192"/>
      <c r="E235" s="193"/>
      <c r="F235" s="193"/>
      <c r="G235" s="193"/>
      <c r="H235" s="193"/>
      <c r="I235" s="189"/>
      <c r="Q235" s="8"/>
      <c r="R235" s="8"/>
    </row>
    <row r="236" spans="2:18" x14ac:dyDescent="0.35">
      <c r="B236" s="194"/>
      <c r="C236" s="195"/>
      <c r="D236" s="192"/>
      <c r="E236" s="193"/>
      <c r="F236" s="193"/>
      <c r="G236" s="193"/>
      <c r="H236" s="193"/>
      <c r="I236" s="189"/>
      <c r="Q236" s="8"/>
      <c r="R236" s="8"/>
    </row>
    <row r="237" spans="2:18" x14ac:dyDescent="0.35">
      <c r="B237" s="194"/>
      <c r="C237" s="195"/>
      <c r="D237" s="192"/>
      <c r="E237" s="193"/>
      <c r="F237" s="193"/>
      <c r="G237" s="193"/>
      <c r="H237" s="193"/>
      <c r="I237" s="189"/>
      <c r="Q237" s="8"/>
      <c r="R237" s="8"/>
    </row>
    <row r="238" spans="2:18" x14ac:dyDescent="0.35">
      <c r="B238" s="194"/>
      <c r="C238" s="195"/>
      <c r="D238" s="192"/>
      <c r="E238" s="193"/>
      <c r="F238" s="193"/>
      <c r="G238" s="193"/>
      <c r="H238" s="193"/>
      <c r="I238" s="189"/>
      <c r="Q238" s="8"/>
      <c r="R238" s="8"/>
    </row>
    <row r="239" spans="2:18" x14ac:dyDescent="0.35">
      <c r="B239" s="194"/>
      <c r="C239" s="195"/>
      <c r="D239" s="192"/>
      <c r="E239" s="193"/>
      <c r="F239" s="193"/>
      <c r="G239" s="193"/>
      <c r="H239" s="193"/>
      <c r="I239" s="189"/>
      <c r="Q239" s="8"/>
      <c r="R239" s="8"/>
    </row>
    <row r="240" spans="2:18" x14ac:dyDescent="0.35">
      <c r="B240" s="194"/>
      <c r="C240" s="195"/>
      <c r="D240" s="192"/>
      <c r="E240" s="193"/>
      <c r="F240" s="193"/>
      <c r="G240" s="193"/>
      <c r="H240" s="193"/>
      <c r="I240" s="189"/>
      <c r="Q240" s="8"/>
      <c r="R240" s="8"/>
    </row>
    <row r="241" spans="2:18" x14ac:dyDescent="0.35">
      <c r="B241" s="194"/>
      <c r="C241" s="195"/>
      <c r="D241" s="192"/>
      <c r="E241" s="193"/>
      <c r="F241" s="193"/>
      <c r="G241" s="193"/>
      <c r="H241" s="193"/>
      <c r="I241" s="189"/>
      <c r="Q241" s="8"/>
      <c r="R241" s="8"/>
    </row>
    <row r="242" spans="2:18" x14ac:dyDescent="0.35">
      <c r="B242" s="194"/>
      <c r="C242" s="195"/>
      <c r="D242" s="192"/>
      <c r="E242" s="193"/>
      <c r="F242" s="193"/>
      <c r="G242" s="193"/>
      <c r="H242" s="193"/>
      <c r="I242" s="189"/>
      <c r="Q242" s="8"/>
      <c r="R242" s="8"/>
    </row>
    <row r="243" spans="2:18" x14ac:dyDescent="0.35">
      <c r="B243" s="194"/>
      <c r="C243" s="195"/>
      <c r="D243" s="192"/>
      <c r="E243" s="193"/>
      <c r="F243" s="193"/>
      <c r="G243" s="193"/>
      <c r="H243" s="193"/>
      <c r="I243" s="189"/>
      <c r="Q243" s="8"/>
      <c r="R243" s="8"/>
    </row>
    <row r="244" spans="2:18" x14ac:dyDescent="0.35">
      <c r="B244" s="194"/>
      <c r="C244" s="195"/>
      <c r="D244" s="192"/>
      <c r="E244" s="193"/>
      <c r="F244" s="193"/>
      <c r="G244" s="193"/>
      <c r="H244" s="193"/>
      <c r="I244" s="189"/>
      <c r="Q244" s="8"/>
      <c r="R244" s="8"/>
    </row>
    <row r="245" spans="2:18" x14ac:dyDescent="0.35">
      <c r="B245" s="194"/>
      <c r="C245" s="195"/>
      <c r="D245" s="192"/>
      <c r="E245" s="193"/>
      <c r="F245" s="193"/>
      <c r="G245" s="193"/>
      <c r="H245" s="193"/>
      <c r="I245" s="189"/>
      <c r="Q245" s="8"/>
      <c r="R245" s="8"/>
    </row>
    <row r="246" spans="2:18" x14ac:dyDescent="0.35">
      <c r="B246" s="194"/>
      <c r="C246" s="195"/>
      <c r="D246" s="192"/>
      <c r="E246" s="193"/>
      <c r="F246" s="193"/>
      <c r="G246" s="193"/>
      <c r="H246" s="193"/>
      <c r="I246" s="189"/>
      <c r="Q246" s="8"/>
      <c r="R246" s="8"/>
    </row>
    <row r="247" spans="2:18" x14ac:dyDescent="0.35">
      <c r="B247" s="194"/>
      <c r="C247" s="195"/>
      <c r="D247" s="192"/>
      <c r="E247" s="193"/>
      <c r="F247" s="193"/>
      <c r="G247" s="193"/>
      <c r="H247" s="193"/>
      <c r="I247" s="189"/>
      <c r="Q247" s="8"/>
      <c r="R247" s="8"/>
    </row>
    <row r="248" spans="2:18" x14ac:dyDescent="0.35">
      <c r="B248" s="194"/>
      <c r="C248" s="195"/>
      <c r="D248" s="192"/>
      <c r="E248" s="193"/>
      <c r="F248" s="193"/>
      <c r="G248" s="193"/>
      <c r="H248" s="193"/>
      <c r="I248" s="189"/>
      <c r="Q248" s="8"/>
      <c r="R248" s="8"/>
    </row>
    <row r="249" spans="2:18" x14ac:dyDescent="0.35">
      <c r="B249" s="194"/>
      <c r="C249" s="195"/>
      <c r="D249" s="192"/>
      <c r="E249" s="193"/>
      <c r="F249" s="193"/>
      <c r="G249" s="193"/>
      <c r="H249" s="193"/>
      <c r="I249" s="189"/>
      <c r="Q249" s="8"/>
      <c r="R249" s="8"/>
    </row>
    <row r="250" spans="2:18" x14ac:dyDescent="0.35">
      <c r="B250" s="194"/>
      <c r="C250" s="195"/>
      <c r="D250" s="192"/>
      <c r="E250" s="193"/>
      <c r="F250" s="193"/>
      <c r="G250" s="193"/>
      <c r="H250" s="193"/>
      <c r="I250" s="189"/>
      <c r="Q250" s="8"/>
      <c r="R250" s="8"/>
    </row>
    <row r="251" spans="2:18" x14ac:dyDescent="0.35">
      <c r="B251" s="194"/>
      <c r="C251" s="195"/>
      <c r="D251" s="192"/>
      <c r="E251" s="193"/>
      <c r="F251" s="193"/>
      <c r="G251" s="193"/>
      <c r="H251" s="193"/>
      <c r="I251" s="189"/>
      <c r="Q251" s="8"/>
      <c r="R251" s="8"/>
    </row>
    <row r="252" spans="2:18" x14ac:dyDescent="0.35">
      <c r="B252" s="194"/>
      <c r="C252" s="195"/>
      <c r="D252" s="192"/>
      <c r="E252" s="193"/>
      <c r="F252" s="193"/>
      <c r="G252" s="193"/>
      <c r="H252" s="193"/>
      <c r="I252" s="189"/>
      <c r="Q252" s="8"/>
      <c r="R252" s="8"/>
    </row>
    <row r="253" spans="2:18" x14ac:dyDescent="0.35">
      <c r="B253" s="194"/>
      <c r="C253" s="195"/>
      <c r="D253" s="192"/>
      <c r="E253" s="193"/>
      <c r="F253" s="193"/>
      <c r="G253" s="193"/>
      <c r="H253" s="193"/>
      <c r="I253" s="189"/>
      <c r="Q253" s="8"/>
      <c r="R253" s="8"/>
    </row>
    <row r="254" spans="2:18" x14ac:dyDescent="0.35">
      <c r="B254" s="194"/>
      <c r="C254" s="195"/>
      <c r="D254" s="192"/>
      <c r="E254" s="193"/>
      <c r="F254" s="193"/>
      <c r="G254" s="193"/>
      <c r="H254" s="193"/>
      <c r="I254" s="189"/>
      <c r="Q254" s="8"/>
      <c r="R254" s="8"/>
    </row>
    <row r="255" spans="2:18" x14ac:dyDescent="0.35">
      <c r="B255" s="194"/>
      <c r="C255" s="195"/>
      <c r="D255" s="192"/>
      <c r="E255" s="193"/>
      <c r="F255" s="193"/>
      <c r="G255" s="193"/>
      <c r="H255" s="193"/>
      <c r="I255" s="189"/>
      <c r="Q255" s="8"/>
      <c r="R255" s="8"/>
    </row>
    <row r="256" spans="2:18" x14ac:dyDescent="0.35">
      <c r="B256" s="194"/>
      <c r="C256" s="195"/>
      <c r="D256" s="192"/>
      <c r="E256" s="193"/>
      <c r="F256" s="193"/>
      <c r="G256" s="193"/>
      <c r="H256" s="193"/>
      <c r="I256" s="189"/>
      <c r="Q256" s="8"/>
      <c r="R256" s="8"/>
    </row>
    <row r="257" spans="2:18" x14ac:dyDescent="0.35">
      <c r="B257" s="194"/>
      <c r="C257" s="195"/>
      <c r="D257" s="192"/>
      <c r="E257" s="193"/>
      <c r="F257" s="193"/>
      <c r="G257" s="193"/>
      <c r="H257" s="193"/>
      <c r="I257" s="189"/>
      <c r="Q257" s="8"/>
      <c r="R257" s="8"/>
    </row>
    <row r="258" spans="2:18" x14ac:dyDescent="0.35">
      <c r="B258" s="194"/>
      <c r="C258" s="195"/>
      <c r="D258" s="192"/>
      <c r="E258" s="193"/>
      <c r="F258" s="193"/>
      <c r="G258" s="193"/>
      <c r="H258" s="193"/>
      <c r="I258" s="189"/>
      <c r="Q258" s="8"/>
      <c r="R258" s="8"/>
    </row>
    <row r="259" spans="2:18" x14ac:dyDescent="0.35">
      <c r="D259" s="196"/>
      <c r="E259" s="196"/>
      <c r="F259" s="196"/>
      <c r="G259" s="196"/>
      <c r="H259" s="196"/>
      <c r="Q259" s="8"/>
      <c r="R259" s="8"/>
    </row>
    <row r="260" spans="2:18" x14ac:dyDescent="0.35">
      <c r="Q260" s="8"/>
      <c r="R260" s="8"/>
    </row>
    <row r="261" spans="2:18" x14ac:dyDescent="0.35">
      <c r="Q261" s="8"/>
      <c r="R261" s="8"/>
    </row>
    <row r="262" spans="2:18" x14ac:dyDescent="0.35">
      <c r="Q262" s="8"/>
      <c r="R262" s="8"/>
    </row>
    <row r="263" spans="2:18" x14ac:dyDescent="0.35">
      <c r="Q263" s="8"/>
      <c r="R263" s="8"/>
    </row>
    <row r="264" spans="2:18" x14ac:dyDescent="0.35">
      <c r="Q264" s="8"/>
      <c r="R264" s="8"/>
    </row>
    <row r="265" spans="2:18" x14ac:dyDescent="0.35">
      <c r="Q265" s="8"/>
      <c r="R265" s="8"/>
    </row>
    <row r="266" spans="2:18" x14ac:dyDescent="0.35">
      <c r="Q266" s="8"/>
      <c r="R266" s="8"/>
    </row>
    <row r="267" spans="2:18" x14ac:dyDescent="0.35">
      <c r="Q267" s="8"/>
      <c r="R267" s="8"/>
    </row>
    <row r="268" spans="2:18" x14ac:dyDescent="0.35">
      <c r="Q268" s="8"/>
      <c r="R268" s="8"/>
    </row>
    <row r="269" spans="2:18" x14ac:dyDescent="0.35">
      <c r="Q269" s="8"/>
      <c r="R269" s="8"/>
    </row>
    <row r="270" spans="2:18" x14ac:dyDescent="0.35">
      <c r="Q270" s="8"/>
      <c r="R270" s="8"/>
    </row>
    <row r="271" spans="2:18" x14ac:dyDescent="0.35">
      <c r="Q271" s="8"/>
      <c r="R271" s="8"/>
    </row>
    <row r="272" spans="2:18" x14ac:dyDescent="0.35">
      <c r="Q272" s="8"/>
      <c r="R272" s="8"/>
    </row>
    <row r="273" spans="17:18" x14ac:dyDescent="0.35">
      <c r="Q273" s="8"/>
      <c r="R273" s="8"/>
    </row>
    <row r="274" spans="17:18" x14ac:dyDescent="0.35">
      <c r="Q274" s="8"/>
      <c r="R274" s="8"/>
    </row>
    <row r="275" spans="17:18" x14ac:dyDescent="0.35">
      <c r="Q275" s="8"/>
      <c r="R275" s="8"/>
    </row>
    <row r="276" spans="17:18" x14ac:dyDescent="0.35">
      <c r="Q276" s="8"/>
      <c r="R276" s="8"/>
    </row>
    <row r="277" spans="17:18" x14ac:dyDescent="0.35">
      <c r="Q277" s="8"/>
      <c r="R277" s="8"/>
    </row>
    <row r="278" spans="17:18" x14ac:dyDescent="0.35">
      <c r="Q278" s="8"/>
      <c r="R278" s="8"/>
    </row>
    <row r="279" spans="17:18" x14ac:dyDescent="0.35">
      <c r="Q279" s="8"/>
      <c r="R279" s="8"/>
    </row>
    <row r="280" spans="17:18" x14ac:dyDescent="0.35">
      <c r="Q280" s="8"/>
      <c r="R280" s="8"/>
    </row>
    <row r="281" spans="17:18" x14ac:dyDescent="0.35">
      <c r="Q281" s="8"/>
      <c r="R281" s="8"/>
    </row>
    <row r="282" spans="17:18" x14ac:dyDescent="0.35">
      <c r="Q282" s="8"/>
      <c r="R282" s="8"/>
    </row>
    <row r="283" spans="17:18" x14ac:dyDescent="0.35">
      <c r="Q283" s="8"/>
      <c r="R283" s="8"/>
    </row>
    <row r="284" spans="17:18" x14ac:dyDescent="0.35">
      <c r="Q284" s="8"/>
      <c r="R284" s="8"/>
    </row>
    <row r="285" spans="17:18" x14ac:dyDescent="0.35">
      <c r="Q285" s="8"/>
      <c r="R285" s="8"/>
    </row>
    <row r="286" spans="17:18" x14ac:dyDescent="0.35">
      <c r="Q286" s="8"/>
      <c r="R286" s="8"/>
    </row>
    <row r="287" spans="17:18" x14ac:dyDescent="0.35">
      <c r="Q287" s="8"/>
      <c r="R287" s="8"/>
    </row>
    <row r="288" spans="17:18" x14ac:dyDescent="0.35">
      <c r="Q288" s="8"/>
      <c r="R288" s="8"/>
    </row>
    <row r="289" spans="17:18" x14ac:dyDescent="0.35">
      <c r="Q289" s="8"/>
      <c r="R289" s="8"/>
    </row>
    <row r="290" spans="17:18" x14ac:dyDescent="0.35">
      <c r="Q290" s="8"/>
      <c r="R290" s="8"/>
    </row>
    <row r="291" spans="17:18" x14ac:dyDescent="0.35">
      <c r="Q291" s="8"/>
      <c r="R291" s="8"/>
    </row>
    <row r="292" spans="17:18" x14ac:dyDescent="0.35">
      <c r="Q292" s="8"/>
      <c r="R292" s="8"/>
    </row>
    <row r="293" spans="17:18" x14ac:dyDescent="0.35">
      <c r="Q293" s="8"/>
      <c r="R293" s="8"/>
    </row>
    <row r="294" spans="17:18" x14ac:dyDescent="0.35">
      <c r="Q294" s="8"/>
      <c r="R294" s="8"/>
    </row>
    <row r="295" spans="17:18" x14ac:dyDescent="0.35">
      <c r="Q295" s="8"/>
      <c r="R295" s="8"/>
    </row>
    <row r="296" spans="17:18" x14ac:dyDescent="0.35">
      <c r="Q296" s="8"/>
      <c r="R296" s="8"/>
    </row>
    <row r="297" spans="17:18" x14ac:dyDescent="0.35">
      <c r="Q297" s="8"/>
      <c r="R297" s="8"/>
    </row>
    <row r="298" spans="17:18" x14ac:dyDescent="0.35">
      <c r="Q298" s="8"/>
      <c r="R298" s="8"/>
    </row>
    <row r="299" spans="17:18" x14ac:dyDescent="0.35">
      <c r="Q299" s="8"/>
      <c r="R299" s="8"/>
    </row>
    <row r="300" spans="17:18" x14ac:dyDescent="0.35">
      <c r="Q300" s="8"/>
      <c r="R300" s="8"/>
    </row>
    <row r="301" spans="17:18" x14ac:dyDescent="0.35">
      <c r="Q301" s="8"/>
      <c r="R301" s="8"/>
    </row>
    <row r="302" spans="17:18" x14ac:dyDescent="0.35">
      <c r="Q302" s="8"/>
      <c r="R302" s="8"/>
    </row>
    <row r="303" spans="17:18" x14ac:dyDescent="0.35">
      <c r="Q303" s="8"/>
      <c r="R303" s="8"/>
    </row>
    <row r="304" spans="17:18" x14ac:dyDescent="0.35">
      <c r="Q304" s="8"/>
      <c r="R304" s="8"/>
    </row>
    <row r="305" spans="17:18" x14ac:dyDescent="0.35">
      <c r="Q305" s="8"/>
      <c r="R305" s="8"/>
    </row>
    <row r="306" spans="17:18" x14ac:dyDescent="0.35">
      <c r="Q306" s="8"/>
      <c r="R306" s="8"/>
    </row>
    <row r="307" spans="17:18" x14ac:dyDescent="0.35">
      <c r="Q307" s="8"/>
      <c r="R307" s="8"/>
    </row>
    <row r="308" spans="17:18" x14ac:dyDescent="0.35">
      <c r="Q308" s="8"/>
      <c r="R308" s="8"/>
    </row>
    <row r="309" spans="17:18" x14ac:dyDescent="0.35">
      <c r="Q309" s="8"/>
      <c r="R309" s="8"/>
    </row>
    <row r="310" spans="17:18" x14ac:dyDescent="0.35">
      <c r="Q310" s="8"/>
      <c r="R310" s="8"/>
    </row>
    <row r="311" spans="17:18" x14ac:dyDescent="0.35">
      <c r="Q311" s="8"/>
      <c r="R311" s="8"/>
    </row>
    <row r="312" spans="17:18" x14ac:dyDescent="0.35">
      <c r="Q312" s="8"/>
      <c r="R312" s="8"/>
    </row>
    <row r="313" spans="17:18" x14ac:dyDescent="0.35">
      <c r="Q313" s="8"/>
      <c r="R313" s="8"/>
    </row>
    <row r="314" spans="17:18" x14ac:dyDescent="0.35">
      <c r="Q314" s="8"/>
      <c r="R314" s="8"/>
    </row>
    <row r="315" spans="17:18" x14ac:dyDescent="0.35">
      <c r="Q315" s="8"/>
      <c r="R315" s="8"/>
    </row>
    <row r="316" spans="17:18" x14ac:dyDescent="0.35">
      <c r="Q316" s="8"/>
      <c r="R316" s="8"/>
    </row>
    <row r="317" spans="17:18" x14ac:dyDescent="0.35">
      <c r="Q317" s="8"/>
      <c r="R317" s="8"/>
    </row>
    <row r="318" spans="17:18" x14ac:dyDescent="0.35">
      <c r="Q318" s="8"/>
      <c r="R318" s="8"/>
    </row>
    <row r="319" spans="17:18" x14ac:dyDescent="0.35">
      <c r="Q319" s="8"/>
      <c r="R319" s="8"/>
    </row>
    <row r="320" spans="17:18" x14ac:dyDescent="0.35">
      <c r="Q320" s="8"/>
      <c r="R320" s="8"/>
    </row>
    <row r="321" spans="17:18" x14ac:dyDescent="0.35">
      <c r="Q321" s="8"/>
      <c r="R321" s="8"/>
    </row>
    <row r="322" spans="17:18" x14ac:dyDescent="0.35">
      <c r="Q322" s="8"/>
      <c r="R322" s="8"/>
    </row>
    <row r="323" spans="17:18" x14ac:dyDescent="0.35">
      <c r="Q323" s="8"/>
      <c r="R323" s="8"/>
    </row>
    <row r="324" spans="17:18" x14ac:dyDescent="0.35">
      <c r="Q324" s="8"/>
      <c r="R324" s="8"/>
    </row>
    <row r="325" spans="17:18" x14ac:dyDescent="0.35">
      <c r="Q325" s="8"/>
      <c r="R325" s="8"/>
    </row>
    <row r="326" spans="17:18" x14ac:dyDescent="0.35">
      <c r="Q326" s="8"/>
      <c r="R326" s="8"/>
    </row>
    <row r="327" spans="17:18" x14ac:dyDescent="0.35">
      <c r="Q327" s="8"/>
      <c r="R327" s="8"/>
    </row>
    <row r="328" spans="17:18" x14ac:dyDescent="0.35">
      <c r="Q328" s="8"/>
      <c r="R328" s="8"/>
    </row>
    <row r="329" spans="17:18" x14ac:dyDescent="0.35">
      <c r="Q329" s="8"/>
      <c r="R329" s="8"/>
    </row>
    <row r="330" spans="17:18" x14ac:dyDescent="0.35">
      <c r="Q330" s="8"/>
      <c r="R330" s="8"/>
    </row>
    <row r="331" spans="17:18" x14ac:dyDescent="0.35">
      <c r="Q331" s="8"/>
      <c r="R331" s="8"/>
    </row>
    <row r="332" spans="17:18" x14ac:dyDescent="0.35">
      <c r="Q332" s="8"/>
      <c r="R332" s="8"/>
    </row>
    <row r="333" spans="17:18" x14ac:dyDescent="0.35">
      <c r="Q333" s="8"/>
      <c r="R333" s="8"/>
    </row>
    <row r="334" spans="17:18" x14ac:dyDescent="0.35">
      <c r="Q334" s="8"/>
      <c r="R334" s="8"/>
    </row>
    <row r="335" spans="17:18" x14ac:dyDescent="0.35">
      <c r="Q335" s="8"/>
      <c r="R335" s="8"/>
    </row>
    <row r="336" spans="17:18" x14ac:dyDescent="0.35">
      <c r="Q336" s="8"/>
      <c r="R336" s="8"/>
    </row>
    <row r="337" spans="17:18" x14ac:dyDescent="0.35">
      <c r="Q337" s="8"/>
      <c r="R337" s="8"/>
    </row>
    <row r="338" spans="17:18" x14ac:dyDescent="0.35">
      <c r="Q338" s="8"/>
      <c r="R338" s="8"/>
    </row>
    <row r="339" spans="17:18" x14ac:dyDescent="0.35">
      <c r="Q339" s="8"/>
      <c r="R339" s="8"/>
    </row>
    <row r="340" spans="17:18" x14ac:dyDescent="0.35">
      <c r="Q340" s="8"/>
      <c r="R340" s="8"/>
    </row>
    <row r="341" spans="17:18" x14ac:dyDescent="0.35">
      <c r="Q341" s="8"/>
      <c r="R341" s="8"/>
    </row>
    <row r="342" spans="17:18" x14ac:dyDescent="0.35">
      <c r="Q342" s="8"/>
      <c r="R342" s="8"/>
    </row>
    <row r="343" spans="17:18" x14ac:dyDescent="0.35">
      <c r="Q343" s="8"/>
      <c r="R343" s="8"/>
    </row>
    <row r="344" spans="17:18" x14ac:dyDescent="0.35">
      <c r="Q344" s="8"/>
      <c r="R344" s="8"/>
    </row>
    <row r="345" spans="17:18" x14ac:dyDescent="0.35">
      <c r="Q345" s="8"/>
      <c r="R345" s="8"/>
    </row>
    <row r="346" spans="17:18" x14ac:dyDescent="0.35">
      <c r="Q346" s="8"/>
      <c r="R346" s="8"/>
    </row>
    <row r="347" spans="17:18" x14ac:dyDescent="0.35">
      <c r="Q347" s="8"/>
      <c r="R347" s="8"/>
    </row>
    <row r="348" spans="17:18" x14ac:dyDescent="0.35">
      <c r="Q348" s="8"/>
      <c r="R348" s="8"/>
    </row>
    <row r="349" spans="17:18" x14ac:dyDescent="0.35">
      <c r="Q349" s="8"/>
      <c r="R349" s="8"/>
    </row>
    <row r="350" spans="17:18" x14ac:dyDescent="0.35">
      <c r="Q350" s="8"/>
      <c r="R350" s="8"/>
    </row>
    <row r="351" spans="17:18" x14ac:dyDescent="0.35">
      <c r="Q351" s="8"/>
      <c r="R351" s="8"/>
    </row>
    <row r="352" spans="17:18" x14ac:dyDescent="0.35">
      <c r="Q352" s="8"/>
      <c r="R352" s="8"/>
    </row>
    <row r="353" spans="17:18" x14ac:dyDescent="0.35">
      <c r="Q353" s="8"/>
      <c r="R353" s="8"/>
    </row>
    <row r="354" spans="17:18" x14ac:dyDescent="0.35">
      <c r="Q354" s="8"/>
      <c r="R354" s="8"/>
    </row>
    <row r="355" spans="17:18" x14ac:dyDescent="0.35">
      <c r="Q355" s="8"/>
      <c r="R355" s="8"/>
    </row>
    <row r="356" spans="17:18" x14ac:dyDescent="0.35">
      <c r="Q356" s="8"/>
      <c r="R356" s="8"/>
    </row>
    <row r="357" spans="17:18" x14ac:dyDescent="0.35">
      <c r="Q357" s="8"/>
      <c r="R357" s="8"/>
    </row>
    <row r="358" spans="17:18" x14ac:dyDescent="0.35">
      <c r="Q358" s="8"/>
      <c r="R358" s="8"/>
    </row>
    <row r="359" spans="17:18" x14ac:dyDescent="0.35">
      <c r="Q359" s="8"/>
      <c r="R359" s="8"/>
    </row>
    <row r="360" spans="17:18" x14ac:dyDescent="0.35">
      <c r="Q360" s="8"/>
      <c r="R360" s="8"/>
    </row>
    <row r="361" spans="17:18" x14ac:dyDescent="0.35">
      <c r="Q361" s="8"/>
      <c r="R361" s="8"/>
    </row>
    <row r="362" spans="17:18" x14ac:dyDescent="0.35">
      <c r="Q362" s="8"/>
      <c r="R362" s="8"/>
    </row>
    <row r="363" spans="17:18" x14ac:dyDescent="0.35">
      <c r="Q363" s="8"/>
      <c r="R363" s="8"/>
    </row>
    <row r="364" spans="17:18" x14ac:dyDescent="0.35">
      <c r="Q364" s="8"/>
      <c r="R364" s="8"/>
    </row>
    <row r="365" spans="17:18" x14ac:dyDescent="0.35">
      <c r="Q365" s="8"/>
      <c r="R365" s="8"/>
    </row>
    <row r="366" spans="17:18" x14ac:dyDescent="0.35">
      <c r="Q366" s="8"/>
      <c r="R366" s="8"/>
    </row>
    <row r="367" spans="17:18" x14ac:dyDescent="0.35">
      <c r="Q367" s="8"/>
      <c r="R367" s="8"/>
    </row>
    <row r="368" spans="17:18" x14ac:dyDescent="0.35">
      <c r="Q368" s="8"/>
      <c r="R368" s="8"/>
    </row>
    <row r="369" spans="17:18" x14ac:dyDescent="0.35">
      <c r="Q369" s="8"/>
      <c r="R369" s="8"/>
    </row>
    <row r="370" spans="17:18" x14ac:dyDescent="0.35">
      <c r="Q370" s="8"/>
      <c r="R370" s="8"/>
    </row>
    <row r="371" spans="17:18" x14ac:dyDescent="0.35">
      <c r="Q371" s="8"/>
      <c r="R371" s="8"/>
    </row>
    <row r="372" spans="17:18" x14ac:dyDescent="0.35">
      <c r="Q372" s="8"/>
      <c r="R372" s="8"/>
    </row>
    <row r="373" spans="17:18" x14ac:dyDescent="0.35">
      <c r="Q373" s="8"/>
      <c r="R373" s="8"/>
    </row>
    <row r="374" spans="17:18" x14ac:dyDescent="0.35">
      <c r="Q374" s="8"/>
      <c r="R374" s="8"/>
    </row>
    <row r="375" spans="17:18" x14ac:dyDescent="0.35">
      <c r="Q375" s="8"/>
      <c r="R375" s="8"/>
    </row>
    <row r="376" spans="17:18" x14ac:dyDescent="0.35">
      <c r="Q376" s="8"/>
      <c r="R376" s="8"/>
    </row>
    <row r="377" spans="17:18" x14ac:dyDescent="0.35">
      <c r="Q377" s="8"/>
      <c r="R377" s="8"/>
    </row>
    <row r="378" spans="17:18" x14ac:dyDescent="0.35">
      <c r="Q378" s="8"/>
      <c r="R378" s="8"/>
    </row>
    <row r="379" spans="17:18" x14ac:dyDescent="0.35">
      <c r="Q379" s="8"/>
      <c r="R379" s="8"/>
    </row>
    <row r="380" spans="17:18" x14ac:dyDescent="0.35">
      <c r="Q380" s="8"/>
      <c r="R380" s="8"/>
    </row>
    <row r="381" spans="17:18" x14ac:dyDescent="0.35">
      <c r="Q381" s="8"/>
      <c r="R381" s="8"/>
    </row>
    <row r="382" spans="17:18" x14ac:dyDescent="0.35">
      <c r="Q382" s="8"/>
      <c r="R382" s="8"/>
    </row>
    <row r="383" spans="17:18" x14ac:dyDescent="0.35">
      <c r="Q383" s="8"/>
      <c r="R383" s="8"/>
    </row>
    <row r="384" spans="17:18" x14ac:dyDescent="0.35">
      <c r="Q384" s="8"/>
      <c r="R384" s="8"/>
    </row>
    <row r="385" spans="17:18" x14ac:dyDescent="0.35">
      <c r="Q385" s="8"/>
      <c r="R385" s="8"/>
    </row>
    <row r="386" spans="17:18" x14ac:dyDescent="0.35">
      <c r="Q386" s="8"/>
      <c r="R386" s="8"/>
    </row>
    <row r="387" spans="17:18" x14ac:dyDescent="0.35">
      <c r="Q387" s="8"/>
      <c r="R387" s="8"/>
    </row>
    <row r="388" spans="17:18" x14ac:dyDescent="0.35">
      <c r="Q388" s="8"/>
      <c r="R388" s="8"/>
    </row>
    <row r="389" spans="17:18" x14ac:dyDescent="0.35">
      <c r="Q389" s="8"/>
      <c r="R389" s="8"/>
    </row>
    <row r="390" spans="17:18" x14ac:dyDescent="0.35">
      <c r="Q390" s="8"/>
      <c r="R390" s="8"/>
    </row>
    <row r="391" spans="17:18" x14ac:dyDescent="0.35">
      <c r="Q391" s="8"/>
      <c r="R391" s="8"/>
    </row>
    <row r="392" spans="17:18" x14ac:dyDescent="0.35">
      <c r="Q392" s="8"/>
      <c r="R392" s="8"/>
    </row>
    <row r="393" spans="17:18" x14ac:dyDescent="0.35">
      <c r="Q393" s="8"/>
      <c r="R393" s="8"/>
    </row>
    <row r="394" spans="17:18" x14ac:dyDescent="0.35">
      <c r="Q394" s="8"/>
      <c r="R394" s="8"/>
    </row>
    <row r="395" spans="17:18" x14ac:dyDescent="0.35">
      <c r="Q395" s="8"/>
      <c r="R395" s="8"/>
    </row>
    <row r="396" spans="17:18" x14ac:dyDescent="0.35">
      <c r="Q396" s="8"/>
      <c r="R396" s="8"/>
    </row>
    <row r="397" spans="17:18" x14ac:dyDescent="0.35">
      <c r="Q397" s="8"/>
      <c r="R397" s="8"/>
    </row>
    <row r="398" spans="17:18" x14ac:dyDescent="0.35">
      <c r="Q398" s="8"/>
      <c r="R398" s="8"/>
    </row>
    <row r="399" spans="17:18" x14ac:dyDescent="0.35">
      <c r="Q399" s="8"/>
      <c r="R399" s="8"/>
    </row>
    <row r="400" spans="17:18" x14ac:dyDescent="0.35">
      <c r="Q400" s="8"/>
      <c r="R400" s="8"/>
    </row>
    <row r="401" spans="17:18" x14ac:dyDescent="0.35">
      <c r="Q401" s="8"/>
      <c r="R401" s="8"/>
    </row>
    <row r="402" spans="17:18" x14ac:dyDescent="0.35">
      <c r="Q402" s="8"/>
      <c r="R402" s="8"/>
    </row>
    <row r="403" spans="17:18" x14ac:dyDescent="0.35">
      <c r="Q403" s="8"/>
      <c r="R403" s="8"/>
    </row>
    <row r="404" spans="17:18" x14ac:dyDescent="0.35">
      <c r="Q404" s="8"/>
      <c r="R404" s="8"/>
    </row>
    <row r="405" spans="17:18" x14ac:dyDescent="0.35">
      <c r="Q405" s="8"/>
      <c r="R405" s="8"/>
    </row>
    <row r="406" spans="17:18" x14ac:dyDescent="0.35">
      <c r="Q406" s="8"/>
      <c r="R406" s="8"/>
    </row>
    <row r="407" spans="17:18" x14ac:dyDescent="0.35">
      <c r="Q407" s="8"/>
      <c r="R407" s="8"/>
    </row>
    <row r="408" spans="17:18" x14ac:dyDescent="0.35">
      <c r="Q408" s="8"/>
      <c r="R408" s="8"/>
    </row>
    <row r="409" spans="17:18" x14ac:dyDescent="0.35">
      <c r="Q409" s="8"/>
      <c r="R409" s="8"/>
    </row>
    <row r="410" spans="17:18" x14ac:dyDescent="0.35">
      <c r="Q410" s="8"/>
      <c r="R410" s="8"/>
    </row>
    <row r="411" spans="17:18" x14ac:dyDescent="0.35">
      <c r="Q411" s="8"/>
      <c r="R411" s="8"/>
    </row>
    <row r="412" spans="17:18" x14ac:dyDescent="0.35">
      <c r="Q412" s="8"/>
      <c r="R412" s="8"/>
    </row>
    <row r="413" spans="17:18" x14ac:dyDescent="0.35">
      <c r="Q413" s="8"/>
      <c r="R413" s="8"/>
    </row>
    <row r="414" spans="17:18" x14ac:dyDescent="0.35">
      <c r="Q414" s="8"/>
      <c r="R414" s="8"/>
    </row>
    <row r="415" spans="17:18" x14ac:dyDescent="0.35">
      <c r="Q415" s="8"/>
      <c r="R415" s="8"/>
    </row>
    <row r="416" spans="17:18" x14ac:dyDescent="0.35">
      <c r="Q416" s="8"/>
      <c r="R416" s="8"/>
    </row>
    <row r="417" spans="17:18" x14ac:dyDescent="0.35">
      <c r="Q417" s="8"/>
      <c r="R417" s="8"/>
    </row>
    <row r="418" spans="17:18" x14ac:dyDescent="0.35">
      <c r="Q418" s="8"/>
      <c r="R418" s="8"/>
    </row>
    <row r="419" spans="17:18" x14ac:dyDescent="0.35">
      <c r="Q419" s="8"/>
      <c r="R419" s="8"/>
    </row>
    <row r="420" spans="17:18" x14ac:dyDescent="0.35">
      <c r="Q420" s="8"/>
      <c r="R420" s="8"/>
    </row>
    <row r="421" spans="17:18" x14ac:dyDescent="0.35">
      <c r="Q421" s="8"/>
      <c r="R421" s="8"/>
    </row>
    <row r="422" spans="17:18" x14ac:dyDescent="0.35">
      <c r="Q422" s="8"/>
      <c r="R422" s="8"/>
    </row>
    <row r="423" spans="17:18" x14ac:dyDescent="0.35">
      <c r="Q423" s="8"/>
      <c r="R423" s="8"/>
    </row>
    <row r="424" spans="17:18" x14ac:dyDescent="0.35">
      <c r="Q424" s="8"/>
      <c r="R424" s="8"/>
    </row>
    <row r="425" spans="17:18" x14ac:dyDescent="0.35">
      <c r="Q425" s="8"/>
      <c r="R425" s="8"/>
    </row>
    <row r="426" spans="17:18" x14ac:dyDescent="0.35">
      <c r="Q426" s="8"/>
      <c r="R426" s="8"/>
    </row>
    <row r="427" spans="17:18" x14ac:dyDescent="0.35">
      <c r="Q427" s="8"/>
      <c r="R427" s="8"/>
    </row>
    <row r="428" spans="17:18" x14ac:dyDescent="0.35">
      <c r="Q428" s="8"/>
      <c r="R428" s="8"/>
    </row>
    <row r="429" spans="17:18" x14ac:dyDescent="0.35">
      <c r="Q429" s="8"/>
      <c r="R429" s="8"/>
    </row>
    <row r="430" spans="17:18" x14ac:dyDescent="0.35">
      <c r="Q430" s="8"/>
      <c r="R430" s="8"/>
    </row>
    <row r="431" spans="17:18" x14ac:dyDescent="0.35">
      <c r="Q431" s="8"/>
      <c r="R431" s="8"/>
    </row>
    <row r="432" spans="17:18" x14ac:dyDescent="0.35">
      <c r="Q432" s="8"/>
      <c r="R432" s="8"/>
    </row>
    <row r="433" spans="17:18" x14ac:dyDescent="0.35">
      <c r="Q433" s="8"/>
      <c r="R433" s="8"/>
    </row>
    <row r="434" spans="17:18" x14ac:dyDescent="0.35">
      <c r="Q434" s="8"/>
      <c r="R434" s="8"/>
    </row>
    <row r="435" spans="17:18" x14ac:dyDescent="0.35">
      <c r="Q435" s="8"/>
      <c r="R435" s="8"/>
    </row>
    <row r="436" spans="17:18" x14ac:dyDescent="0.35">
      <c r="Q436" s="8"/>
      <c r="R436" s="8"/>
    </row>
    <row r="437" spans="17:18" x14ac:dyDescent="0.35">
      <c r="Q437" s="8"/>
      <c r="R437" s="8"/>
    </row>
    <row r="438" spans="17:18" x14ac:dyDescent="0.35">
      <c r="Q438" s="8"/>
      <c r="R438" s="8"/>
    </row>
    <row r="439" spans="17:18" x14ac:dyDescent="0.35">
      <c r="Q439" s="8"/>
      <c r="R439" s="8"/>
    </row>
    <row r="440" spans="17:18" x14ac:dyDescent="0.35">
      <c r="Q440" s="8"/>
      <c r="R440" s="8"/>
    </row>
    <row r="441" spans="17:18" x14ac:dyDescent="0.35">
      <c r="Q441" s="8"/>
      <c r="R441" s="8"/>
    </row>
    <row r="442" spans="17:18" x14ac:dyDescent="0.35">
      <c r="Q442" s="8"/>
      <c r="R442" s="8"/>
    </row>
    <row r="443" spans="17:18" x14ac:dyDescent="0.35">
      <c r="Q443" s="8"/>
      <c r="R443" s="8"/>
    </row>
    <row r="444" spans="17:18" x14ac:dyDescent="0.35">
      <c r="Q444" s="8"/>
      <c r="R444" s="8"/>
    </row>
    <row r="445" spans="17:18" x14ac:dyDescent="0.35">
      <c r="Q445" s="8"/>
      <c r="R445" s="8"/>
    </row>
    <row r="446" spans="17:18" x14ac:dyDescent="0.35">
      <c r="Q446" s="8"/>
      <c r="R446" s="8"/>
    </row>
    <row r="447" spans="17:18" x14ac:dyDescent="0.35">
      <c r="Q447" s="8"/>
      <c r="R447" s="8"/>
    </row>
    <row r="448" spans="17:18" x14ac:dyDescent="0.35">
      <c r="Q448" s="8"/>
      <c r="R448" s="8"/>
    </row>
    <row r="449" spans="17:18" x14ac:dyDescent="0.35">
      <c r="Q449" s="8"/>
      <c r="R449" s="8"/>
    </row>
    <row r="450" spans="17:18" x14ac:dyDescent="0.35">
      <c r="Q450" s="8"/>
      <c r="R450" s="8"/>
    </row>
    <row r="451" spans="17:18" x14ac:dyDescent="0.35">
      <c r="Q451" s="8"/>
      <c r="R451" s="8"/>
    </row>
    <row r="452" spans="17:18" x14ac:dyDescent="0.35">
      <c r="Q452" s="8"/>
      <c r="R452" s="8"/>
    </row>
    <row r="453" spans="17:18" x14ac:dyDescent="0.35">
      <c r="Q453" s="8"/>
      <c r="R453" s="8"/>
    </row>
    <row r="454" spans="17:18" x14ac:dyDescent="0.35">
      <c r="Q454" s="8"/>
      <c r="R454" s="8"/>
    </row>
    <row r="455" spans="17:18" x14ac:dyDescent="0.35">
      <c r="Q455" s="8"/>
      <c r="R455" s="8"/>
    </row>
    <row r="456" spans="17:18" x14ac:dyDescent="0.35">
      <c r="Q456" s="8"/>
      <c r="R456" s="8"/>
    </row>
    <row r="457" spans="17:18" x14ac:dyDescent="0.35">
      <c r="Q457" s="8"/>
      <c r="R457" s="8"/>
    </row>
    <row r="458" spans="17:18" x14ac:dyDescent="0.35">
      <c r="Q458" s="8"/>
      <c r="R458" s="8"/>
    </row>
    <row r="459" spans="17:18" x14ac:dyDescent="0.35">
      <c r="Q459" s="8"/>
      <c r="R459" s="8"/>
    </row>
    <row r="460" spans="17:18" x14ac:dyDescent="0.35">
      <c r="Q460" s="8"/>
      <c r="R460" s="8"/>
    </row>
    <row r="461" spans="17:18" x14ac:dyDescent="0.35">
      <c r="Q461" s="8"/>
      <c r="R461" s="8"/>
    </row>
    <row r="462" spans="17:18" x14ac:dyDescent="0.35">
      <c r="Q462" s="8"/>
      <c r="R462" s="8"/>
    </row>
    <row r="463" spans="17:18" x14ac:dyDescent="0.35">
      <c r="Q463" s="8"/>
      <c r="R463" s="8"/>
    </row>
    <row r="464" spans="17:18" x14ac:dyDescent="0.35">
      <c r="Q464" s="8"/>
      <c r="R464" s="8"/>
    </row>
    <row r="465" spans="17:18" x14ac:dyDescent="0.35">
      <c r="Q465" s="8"/>
      <c r="R465" s="8"/>
    </row>
    <row r="466" spans="17:18" x14ac:dyDescent="0.35">
      <c r="Q466" s="8"/>
      <c r="R466" s="8"/>
    </row>
    <row r="467" spans="17:18" x14ac:dyDescent="0.35">
      <c r="Q467" s="8"/>
      <c r="R467" s="8"/>
    </row>
    <row r="468" spans="17:18" x14ac:dyDescent="0.35">
      <c r="Q468" s="8"/>
      <c r="R468" s="8"/>
    </row>
    <row r="469" spans="17:18" x14ac:dyDescent="0.35">
      <c r="Q469" s="8"/>
      <c r="R469" s="8"/>
    </row>
    <row r="470" spans="17:18" x14ac:dyDescent="0.35">
      <c r="Q470" s="8"/>
      <c r="R470" s="8"/>
    </row>
    <row r="471" spans="17:18" x14ac:dyDescent="0.35">
      <c r="Q471" s="8"/>
      <c r="R471" s="8"/>
    </row>
    <row r="472" spans="17:18" x14ac:dyDescent="0.35">
      <c r="Q472" s="8"/>
      <c r="R472" s="8"/>
    </row>
    <row r="473" spans="17:18" x14ac:dyDescent="0.35">
      <c r="Q473" s="8"/>
      <c r="R473" s="8"/>
    </row>
    <row r="474" spans="17:18" x14ac:dyDescent="0.35">
      <c r="Q474" s="8"/>
      <c r="R474" s="8"/>
    </row>
    <row r="475" spans="17:18" x14ac:dyDescent="0.35">
      <c r="Q475" s="8"/>
      <c r="R475" s="8"/>
    </row>
    <row r="476" spans="17:18" x14ac:dyDescent="0.35">
      <c r="Q476" s="8"/>
      <c r="R476" s="8"/>
    </row>
    <row r="477" spans="17:18" x14ac:dyDescent="0.35">
      <c r="Q477" s="8"/>
      <c r="R477" s="8"/>
    </row>
    <row r="478" spans="17:18" x14ac:dyDescent="0.35">
      <c r="Q478" s="8"/>
      <c r="R478" s="8"/>
    </row>
    <row r="479" spans="17:18" x14ac:dyDescent="0.35">
      <c r="Q479" s="8"/>
      <c r="R479" s="8"/>
    </row>
    <row r="480" spans="17:18" x14ac:dyDescent="0.35">
      <c r="Q480" s="8"/>
      <c r="R480" s="8"/>
    </row>
    <row r="481" spans="17:18" x14ac:dyDescent="0.35">
      <c r="Q481" s="8"/>
      <c r="R481" s="8"/>
    </row>
    <row r="482" spans="17:18" x14ac:dyDescent="0.35">
      <c r="Q482" s="8"/>
      <c r="R482" s="8"/>
    </row>
    <row r="483" spans="17:18" x14ac:dyDescent="0.35">
      <c r="Q483" s="8"/>
      <c r="R483" s="8"/>
    </row>
    <row r="484" spans="17:18" x14ac:dyDescent="0.35">
      <c r="Q484" s="8"/>
      <c r="R484" s="8"/>
    </row>
    <row r="485" spans="17:18" x14ac:dyDescent="0.35">
      <c r="Q485" s="8"/>
      <c r="R485" s="8"/>
    </row>
    <row r="486" spans="17:18" x14ac:dyDescent="0.35">
      <c r="Q486" s="8"/>
      <c r="R486" s="8"/>
    </row>
    <row r="487" spans="17:18" x14ac:dyDescent="0.35">
      <c r="Q487" s="8"/>
      <c r="R487" s="8"/>
    </row>
    <row r="488" spans="17:18" x14ac:dyDescent="0.35">
      <c r="Q488" s="8"/>
      <c r="R488" s="8"/>
    </row>
    <row r="489" spans="17:18" x14ac:dyDescent="0.35">
      <c r="Q489" s="8"/>
      <c r="R489" s="8"/>
    </row>
    <row r="490" spans="17:18" x14ac:dyDescent="0.35">
      <c r="Q490" s="8"/>
      <c r="R490" s="8"/>
    </row>
    <row r="491" spans="17:18" x14ac:dyDescent="0.35">
      <c r="Q491" s="8"/>
      <c r="R491" s="8"/>
    </row>
    <row r="492" spans="17:18" x14ac:dyDescent="0.35">
      <c r="Q492" s="8"/>
      <c r="R492" s="8"/>
    </row>
    <row r="493" spans="17:18" x14ac:dyDescent="0.35">
      <c r="Q493" s="8"/>
      <c r="R493" s="8"/>
    </row>
    <row r="494" spans="17:18" x14ac:dyDescent="0.35">
      <c r="Q494" s="8"/>
      <c r="R494" s="8"/>
    </row>
    <row r="495" spans="17:18" x14ac:dyDescent="0.35">
      <c r="Q495" s="8"/>
      <c r="R495" s="8"/>
    </row>
    <row r="496" spans="17:18" x14ac:dyDescent="0.35">
      <c r="Q496" s="8"/>
      <c r="R496" s="8"/>
    </row>
    <row r="497" spans="17:18" x14ac:dyDescent="0.35">
      <c r="Q497" s="8"/>
      <c r="R497" s="8"/>
    </row>
    <row r="498" spans="17:18" x14ac:dyDescent="0.35">
      <c r="Q498" s="8"/>
      <c r="R498" s="8"/>
    </row>
    <row r="499" spans="17:18" x14ac:dyDescent="0.35">
      <c r="Q499" s="8"/>
      <c r="R499" s="8"/>
    </row>
    <row r="500" spans="17:18" x14ac:dyDescent="0.35">
      <c r="Q500" s="8"/>
      <c r="R500" s="8"/>
    </row>
    <row r="501" spans="17:18" x14ac:dyDescent="0.35">
      <c r="Q501" s="8"/>
      <c r="R501" s="8"/>
    </row>
    <row r="502" spans="17:18" x14ac:dyDescent="0.35">
      <c r="Q502" s="8"/>
      <c r="R502" s="8"/>
    </row>
    <row r="503" spans="17:18" x14ac:dyDescent="0.35">
      <c r="Q503" s="8"/>
      <c r="R503" s="8"/>
    </row>
    <row r="504" spans="17:18" x14ac:dyDescent="0.35">
      <c r="Q504" s="8"/>
      <c r="R504" s="8"/>
    </row>
    <row r="505" spans="17:18" x14ac:dyDescent="0.35">
      <c r="Q505" s="8"/>
      <c r="R505" s="8"/>
    </row>
    <row r="506" spans="17:18" x14ac:dyDescent="0.35">
      <c r="Q506" s="8"/>
      <c r="R506" s="8"/>
    </row>
    <row r="507" spans="17:18" x14ac:dyDescent="0.35">
      <c r="Q507" s="8"/>
      <c r="R507" s="8"/>
    </row>
    <row r="508" spans="17:18" x14ac:dyDescent="0.35">
      <c r="Q508" s="8"/>
      <c r="R508" s="8"/>
    </row>
    <row r="509" spans="17:18" x14ac:dyDescent="0.35">
      <c r="Q509" s="8"/>
      <c r="R509" s="8"/>
    </row>
    <row r="510" spans="17:18" x14ac:dyDescent="0.35">
      <c r="Q510" s="8"/>
      <c r="R510" s="8"/>
    </row>
    <row r="511" spans="17:18" x14ac:dyDescent="0.35">
      <c r="Q511" s="8"/>
      <c r="R511" s="8"/>
    </row>
    <row r="512" spans="17:18" x14ac:dyDescent="0.35">
      <c r="Q512" s="8"/>
      <c r="R512" s="8"/>
    </row>
    <row r="513" spans="17:18" x14ac:dyDescent="0.35">
      <c r="Q513" s="8"/>
      <c r="R513" s="8"/>
    </row>
    <row r="514" spans="17:18" x14ac:dyDescent="0.35">
      <c r="Q514" s="8"/>
      <c r="R514" s="8"/>
    </row>
    <row r="515" spans="17:18" x14ac:dyDescent="0.35">
      <c r="Q515" s="8"/>
      <c r="R515" s="8"/>
    </row>
    <row r="516" spans="17:18" x14ac:dyDescent="0.35">
      <c r="Q516" s="8"/>
      <c r="R516" s="8"/>
    </row>
    <row r="517" spans="17:18" x14ac:dyDescent="0.35">
      <c r="Q517" s="8"/>
      <c r="R517" s="8"/>
    </row>
    <row r="518" spans="17:18" x14ac:dyDescent="0.35">
      <c r="Q518" s="8"/>
      <c r="R518" s="8"/>
    </row>
    <row r="519" spans="17:18" x14ac:dyDescent="0.35">
      <c r="Q519" s="8"/>
      <c r="R519" s="8"/>
    </row>
    <row r="520" spans="17:18" x14ac:dyDescent="0.35">
      <c r="Q520" s="8"/>
      <c r="R520" s="8"/>
    </row>
    <row r="521" spans="17:18" x14ac:dyDescent="0.35">
      <c r="Q521" s="8"/>
      <c r="R521" s="8"/>
    </row>
    <row r="522" spans="17:18" x14ac:dyDescent="0.35">
      <c r="Q522" s="8"/>
      <c r="R522" s="8"/>
    </row>
    <row r="523" spans="17:18" x14ac:dyDescent="0.35">
      <c r="Q523" s="8"/>
      <c r="R523" s="8"/>
    </row>
    <row r="524" spans="17:18" x14ac:dyDescent="0.35">
      <c r="Q524" s="8"/>
      <c r="R524" s="8"/>
    </row>
    <row r="525" spans="17:18" x14ac:dyDescent="0.35">
      <c r="Q525" s="8"/>
      <c r="R525" s="8"/>
    </row>
    <row r="526" spans="17:18" x14ac:dyDescent="0.35">
      <c r="Q526" s="8"/>
      <c r="R526" s="8"/>
    </row>
    <row r="527" spans="17:18" x14ac:dyDescent="0.35">
      <c r="Q527" s="8"/>
      <c r="R527" s="8"/>
    </row>
    <row r="528" spans="17:18" x14ac:dyDescent="0.35">
      <c r="Q528" s="8"/>
      <c r="R528" s="8"/>
    </row>
    <row r="529" spans="17:18" x14ac:dyDescent="0.35">
      <c r="Q529" s="8"/>
      <c r="R529" s="8"/>
    </row>
    <row r="530" spans="17:18" x14ac:dyDescent="0.35">
      <c r="Q530" s="8"/>
      <c r="R530" s="8"/>
    </row>
    <row r="531" spans="17:18" x14ac:dyDescent="0.35">
      <c r="Q531" s="8"/>
      <c r="R531" s="8"/>
    </row>
    <row r="532" spans="17:18" x14ac:dyDescent="0.35">
      <c r="Q532" s="8"/>
      <c r="R532" s="8"/>
    </row>
    <row r="533" spans="17:18" x14ac:dyDescent="0.35">
      <c r="Q533" s="8"/>
      <c r="R533" s="8"/>
    </row>
    <row r="534" spans="17:18" x14ac:dyDescent="0.35">
      <c r="Q534" s="8"/>
      <c r="R534" s="8"/>
    </row>
    <row r="535" spans="17:18" x14ac:dyDescent="0.35">
      <c r="Q535" s="8"/>
      <c r="R535" s="8"/>
    </row>
    <row r="536" spans="17:18" x14ac:dyDescent="0.35">
      <c r="Q536" s="8"/>
      <c r="R536" s="8"/>
    </row>
    <row r="537" spans="17:18" x14ac:dyDescent="0.35">
      <c r="Q537" s="8"/>
      <c r="R537" s="8"/>
    </row>
    <row r="538" spans="17:18" x14ac:dyDescent="0.35">
      <c r="Q538" s="8"/>
      <c r="R538" s="8"/>
    </row>
    <row r="539" spans="17:18" x14ac:dyDescent="0.35">
      <c r="Q539" s="8"/>
      <c r="R539" s="8"/>
    </row>
    <row r="540" spans="17:18" x14ac:dyDescent="0.35">
      <c r="Q540" s="8"/>
      <c r="R540" s="8"/>
    </row>
    <row r="541" spans="17:18" x14ac:dyDescent="0.35">
      <c r="Q541" s="8"/>
      <c r="R541" s="8"/>
    </row>
    <row r="542" spans="17:18" x14ac:dyDescent="0.35">
      <c r="Q542" s="8"/>
      <c r="R542" s="8"/>
    </row>
    <row r="543" spans="17:18" x14ac:dyDescent="0.35">
      <c r="Q543" s="8"/>
      <c r="R543" s="8"/>
    </row>
    <row r="544" spans="17:18" x14ac:dyDescent="0.35">
      <c r="Q544" s="8"/>
      <c r="R544" s="8"/>
    </row>
    <row r="545" spans="17:18" x14ac:dyDescent="0.35">
      <c r="Q545" s="8"/>
      <c r="R545" s="8"/>
    </row>
    <row r="546" spans="17:18" x14ac:dyDescent="0.35">
      <c r="Q546" s="8"/>
      <c r="R546" s="8"/>
    </row>
    <row r="547" spans="17:18" x14ac:dyDescent="0.35">
      <c r="Q547" s="8"/>
      <c r="R547" s="8"/>
    </row>
    <row r="548" spans="17:18" x14ac:dyDescent="0.35">
      <c r="Q548" s="8"/>
      <c r="R548" s="8"/>
    </row>
    <row r="549" spans="17:18" x14ac:dyDescent="0.35">
      <c r="Q549" s="8"/>
      <c r="R549" s="8"/>
    </row>
    <row r="550" spans="17:18" x14ac:dyDescent="0.35">
      <c r="Q550" s="8"/>
      <c r="R550" s="8"/>
    </row>
    <row r="551" spans="17:18" x14ac:dyDescent="0.35">
      <c r="Q551" s="8"/>
      <c r="R551" s="8"/>
    </row>
    <row r="552" spans="17:18" x14ac:dyDescent="0.35">
      <c r="Q552" s="8"/>
      <c r="R552" s="8"/>
    </row>
    <row r="553" spans="17:18" x14ac:dyDescent="0.35">
      <c r="Q553" s="8"/>
      <c r="R553" s="8"/>
    </row>
    <row r="554" spans="17:18" x14ac:dyDescent="0.35">
      <c r="Q554" s="8"/>
      <c r="R554" s="8"/>
    </row>
    <row r="555" spans="17:18" x14ac:dyDescent="0.35">
      <c r="Q555" s="8"/>
      <c r="R555" s="8"/>
    </row>
    <row r="556" spans="17:18" x14ac:dyDescent="0.35">
      <c r="Q556" s="8"/>
      <c r="R556" s="8"/>
    </row>
    <row r="557" spans="17:18" x14ac:dyDescent="0.35">
      <c r="Q557" s="8"/>
      <c r="R557" s="8"/>
    </row>
    <row r="558" spans="17:18" x14ac:dyDescent="0.35">
      <c r="Q558" s="8"/>
      <c r="R558" s="8"/>
    </row>
    <row r="559" spans="17:18" x14ac:dyDescent="0.35">
      <c r="Q559" s="8"/>
      <c r="R559" s="8"/>
    </row>
    <row r="560" spans="17:18" x14ac:dyDescent="0.35">
      <c r="Q560" s="8"/>
      <c r="R560" s="8"/>
    </row>
    <row r="561" spans="17:18" x14ac:dyDescent="0.35">
      <c r="Q561" s="8"/>
      <c r="R561" s="8"/>
    </row>
    <row r="562" spans="17:18" x14ac:dyDescent="0.35">
      <c r="Q562" s="8"/>
      <c r="R562" s="8"/>
    </row>
    <row r="563" spans="17:18" x14ac:dyDescent="0.35">
      <c r="Q563" s="8"/>
      <c r="R563" s="8"/>
    </row>
    <row r="564" spans="17:18" x14ac:dyDescent="0.35">
      <c r="Q564" s="8"/>
      <c r="R564" s="8"/>
    </row>
    <row r="565" spans="17:18" x14ac:dyDescent="0.35">
      <c r="Q565" s="8"/>
      <c r="R565" s="8"/>
    </row>
    <row r="566" spans="17:18" x14ac:dyDescent="0.35">
      <c r="Q566" s="8"/>
      <c r="R566" s="8"/>
    </row>
    <row r="567" spans="17:18" x14ac:dyDescent="0.35">
      <c r="Q567" s="8"/>
      <c r="R567" s="8"/>
    </row>
    <row r="568" spans="17:18" x14ac:dyDescent="0.35">
      <c r="Q568" s="8"/>
      <c r="R568" s="8"/>
    </row>
    <row r="569" spans="17:18" x14ac:dyDescent="0.35">
      <c r="Q569" s="8"/>
      <c r="R569" s="8"/>
    </row>
    <row r="570" spans="17:18" x14ac:dyDescent="0.35">
      <c r="Q570" s="8"/>
      <c r="R570" s="8"/>
    </row>
    <row r="571" spans="17:18" x14ac:dyDescent="0.35">
      <c r="Q571" s="8"/>
      <c r="R571" s="8"/>
    </row>
    <row r="572" spans="17:18" x14ac:dyDescent="0.35">
      <c r="Q572" s="8"/>
      <c r="R572" s="8"/>
    </row>
    <row r="573" spans="17:18" x14ac:dyDescent="0.35">
      <c r="Q573" s="8"/>
      <c r="R573" s="8"/>
    </row>
    <row r="574" spans="17:18" x14ac:dyDescent="0.35">
      <c r="Q574" s="8"/>
      <c r="R574" s="8"/>
    </row>
    <row r="575" spans="17:18" x14ac:dyDescent="0.35">
      <c r="Q575" s="8"/>
      <c r="R575" s="8"/>
    </row>
    <row r="576" spans="17:18" x14ac:dyDescent="0.35">
      <c r="Q576" s="8"/>
      <c r="R576" s="8"/>
    </row>
    <row r="577" spans="17:18" x14ac:dyDescent="0.35">
      <c r="Q577" s="8"/>
      <c r="R577" s="8"/>
    </row>
    <row r="578" spans="17:18" x14ac:dyDescent="0.35">
      <c r="Q578" s="8"/>
      <c r="R578" s="8"/>
    </row>
    <row r="579" spans="17:18" x14ac:dyDescent="0.35">
      <c r="Q579" s="8"/>
      <c r="R579" s="8"/>
    </row>
    <row r="580" spans="17:18" x14ac:dyDescent="0.35">
      <c r="Q580" s="8"/>
      <c r="R580" s="8"/>
    </row>
    <row r="581" spans="17:18" x14ac:dyDescent="0.35">
      <c r="Q581" s="8"/>
      <c r="R581" s="8"/>
    </row>
    <row r="582" spans="17:18" x14ac:dyDescent="0.35">
      <c r="Q582" s="8"/>
      <c r="R582" s="8"/>
    </row>
    <row r="583" spans="17:18" x14ac:dyDescent="0.35">
      <c r="Q583" s="8"/>
      <c r="R583" s="8"/>
    </row>
    <row r="584" spans="17:18" x14ac:dyDescent="0.35">
      <c r="Q584" s="8"/>
      <c r="R584" s="8"/>
    </row>
    <row r="585" spans="17:18" x14ac:dyDescent="0.35">
      <c r="Q585" s="8"/>
      <c r="R585" s="8"/>
    </row>
    <row r="586" spans="17:18" x14ac:dyDescent="0.35">
      <c r="Q586" s="8"/>
      <c r="R586" s="8"/>
    </row>
    <row r="587" spans="17:18" x14ac:dyDescent="0.35">
      <c r="Q587" s="8"/>
      <c r="R587" s="8"/>
    </row>
    <row r="588" spans="17:18" x14ac:dyDescent="0.35">
      <c r="Q588" s="8"/>
      <c r="R588" s="8"/>
    </row>
    <row r="589" spans="17:18" x14ac:dyDescent="0.35">
      <c r="Q589" s="8"/>
      <c r="R589" s="8"/>
    </row>
    <row r="590" spans="17:18" x14ac:dyDescent="0.35">
      <c r="Q590" s="8"/>
      <c r="R590" s="8"/>
    </row>
    <row r="591" spans="17:18" x14ac:dyDescent="0.35">
      <c r="Q591" s="8"/>
      <c r="R591" s="8"/>
    </row>
    <row r="592" spans="17:18" x14ac:dyDescent="0.35">
      <c r="Q592" s="8"/>
      <c r="R592" s="8"/>
    </row>
    <row r="593" spans="17:18" x14ac:dyDescent="0.35">
      <c r="Q593" s="8"/>
      <c r="R593" s="8"/>
    </row>
    <row r="594" spans="17:18" x14ac:dyDescent="0.35">
      <c r="Q594" s="8"/>
      <c r="R594" s="8"/>
    </row>
    <row r="595" spans="17:18" x14ac:dyDescent="0.35">
      <c r="Q595" s="8"/>
      <c r="R595" s="8"/>
    </row>
    <row r="596" spans="17:18" x14ac:dyDescent="0.35">
      <c r="Q596" s="8"/>
      <c r="R596" s="8"/>
    </row>
    <row r="597" spans="17:18" x14ac:dyDescent="0.35">
      <c r="Q597" s="8"/>
      <c r="R597" s="8"/>
    </row>
    <row r="598" spans="17:18" x14ac:dyDescent="0.35">
      <c r="Q598" s="8"/>
      <c r="R598" s="8"/>
    </row>
    <row r="599" spans="17:18" x14ac:dyDescent="0.35">
      <c r="Q599" s="8"/>
      <c r="R599" s="8"/>
    </row>
    <row r="600" spans="17:18" x14ac:dyDescent="0.35">
      <c r="Q600" s="8"/>
      <c r="R600" s="8"/>
    </row>
    <row r="601" spans="17:18" x14ac:dyDescent="0.35">
      <c r="Q601" s="8"/>
      <c r="R601" s="8"/>
    </row>
    <row r="602" spans="17:18" x14ac:dyDescent="0.35">
      <c r="Q602" s="8"/>
      <c r="R602" s="8"/>
    </row>
    <row r="603" spans="17:18" x14ac:dyDescent="0.35">
      <c r="Q603" s="8"/>
      <c r="R603" s="8"/>
    </row>
    <row r="604" spans="17:18" x14ac:dyDescent="0.35">
      <c r="Q604" s="8"/>
      <c r="R604" s="8"/>
    </row>
    <row r="605" spans="17:18" x14ac:dyDescent="0.35">
      <c r="Q605" s="8"/>
      <c r="R605" s="8"/>
    </row>
    <row r="606" spans="17:18" x14ac:dyDescent="0.35">
      <c r="Q606" s="8"/>
      <c r="R606" s="8"/>
    </row>
    <row r="607" spans="17:18" x14ac:dyDescent="0.35">
      <c r="Q607" s="8"/>
      <c r="R607" s="8"/>
    </row>
    <row r="608" spans="17:18" x14ac:dyDescent="0.35">
      <c r="Q608" s="8"/>
      <c r="R608" s="8"/>
    </row>
    <row r="609" spans="17:18" x14ac:dyDescent="0.35">
      <c r="Q609" s="8"/>
      <c r="R609" s="8"/>
    </row>
    <row r="610" spans="17:18" x14ac:dyDescent="0.35">
      <c r="Q610" s="8"/>
      <c r="R610" s="8"/>
    </row>
    <row r="611" spans="17:18" x14ac:dyDescent="0.35">
      <c r="Q611" s="8"/>
      <c r="R611" s="8"/>
    </row>
    <row r="612" spans="17:18" x14ac:dyDescent="0.35">
      <c r="Q612" s="8"/>
      <c r="R612" s="8"/>
    </row>
    <row r="613" spans="17:18" x14ac:dyDescent="0.35">
      <c r="Q613" s="8"/>
      <c r="R613" s="8"/>
    </row>
    <row r="614" spans="17:18" x14ac:dyDescent="0.35">
      <c r="Q614" s="8"/>
      <c r="R614" s="8"/>
    </row>
    <row r="615" spans="17:18" x14ac:dyDescent="0.35">
      <c r="Q615" s="8"/>
      <c r="R615" s="8"/>
    </row>
    <row r="616" spans="17:18" x14ac:dyDescent="0.35">
      <c r="Q616" s="8"/>
      <c r="R616" s="8"/>
    </row>
    <row r="617" spans="17:18" x14ac:dyDescent="0.35">
      <c r="Q617" s="8"/>
      <c r="R617" s="8"/>
    </row>
    <row r="618" spans="17:18" x14ac:dyDescent="0.35">
      <c r="Q618" s="8"/>
      <c r="R618" s="8"/>
    </row>
    <row r="619" spans="17:18" x14ac:dyDescent="0.35">
      <c r="Q619" s="8"/>
      <c r="R619" s="8"/>
    </row>
    <row r="620" spans="17:18" x14ac:dyDescent="0.35">
      <c r="Q620" s="8"/>
      <c r="R620" s="8"/>
    </row>
    <row r="621" spans="17:18" x14ac:dyDescent="0.35">
      <c r="Q621" s="8"/>
      <c r="R621" s="8"/>
    </row>
    <row r="622" spans="17:18" x14ac:dyDescent="0.35">
      <c r="Q622" s="8"/>
      <c r="R622" s="8"/>
    </row>
    <row r="623" spans="17:18" x14ac:dyDescent="0.35">
      <c r="Q623" s="8"/>
      <c r="R623" s="8"/>
    </row>
    <row r="624" spans="17:18" x14ac:dyDescent="0.35">
      <c r="Q624" s="8"/>
      <c r="R624" s="8"/>
    </row>
    <row r="625" spans="17:18" x14ac:dyDescent="0.35">
      <c r="Q625" s="8"/>
      <c r="R625" s="8"/>
    </row>
    <row r="626" spans="17:18" x14ac:dyDescent="0.35">
      <c r="Q626" s="8"/>
      <c r="R626" s="8"/>
    </row>
    <row r="627" spans="17:18" x14ac:dyDescent="0.35">
      <c r="Q627" s="8"/>
      <c r="R627" s="8"/>
    </row>
    <row r="628" spans="17:18" x14ac:dyDescent="0.35">
      <c r="Q628" s="8"/>
      <c r="R628" s="8"/>
    </row>
    <row r="629" spans="17:18" x14ac:dyDescent="0.35">
      <c r="Q629" s="8"/>
      <c r="R629" s="8"/>
    </row>
    <row r="630" spans="17:18" x14ac:dyDescent="0.35">
      <c r="Q630" s="8"/>
      <c r="R630" s="8"/>
    </row>
    <row r="631" spans="17:18" x14ac:dyDescent="0.35">
      <c r="Q631" s="8"/>
      <c r="R631" s="8"/>
    </row>
    <row r="632" spans="17:18" x14ac:dyDescent="0.35">
      <c r="Q632" s="8"/>
      <c r="R632" s="8"/>
    </row>
    <row r="633" spans="17:18" x14ac:dyDescent="0.35">
      <c r="Q633" s="8"/>
      <c r="R633" s="8"/>
    </row>
  </sheetData>
  <mergeCells count="5">
    <mergeCell ref="L1:P1"/>
    <mergeCell ref="L20:N20"/>
    <mergeCell ref="L26:Q26"/>
    <mergeCell ref="L32:R32"/>
    <mergeCell ref="N148:N152"/>
  </mergeCells>
  <conditionalFormatting sqref="B2:H107">
    <cfRule type="expression" dxfId="5" priority="1">
      <formula>ISODD(LEFT($C2,FIND(".",$C2)-1))</formula>
    </cfRule>
    <cfRule type="expression" dxfId="4" priority="2">
      <formula>ISEVEN(LEFT($C2,FIND(".",$C2)-1))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4 par critères</dc:title>
  <dc:creator/>
  <cp:lastModifiedBy>Julie MOYNAT</cp:lastModifiedBy>
  <cp:lastPrinted>2013-06-03T14:54:24Z</cp:lastPrinted>
  <dcterms:created xsi:type="dcterms:W3CDTF">2013-05-22T15:37:01Z</dcterms:created>
  <dcterms:modified xsi:type="dcterms:W3CDTF">2021-04-08T15:38:30Z</dcterms:modified>
</cp:coreProperties>
</file>