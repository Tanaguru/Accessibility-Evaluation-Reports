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hbordeaux\Downloads\"/>
    </mc:Choice>
  </mc:AlternateContent>
  <xr:revisionPtr revIDLastSave="0" documentId="13_ncr:1_{BA7BE756-C870-4A90-8167-605BCC3588E7}" xr6:coauthVersionLast="47" xr6:coauthVersionMax="47" xr10:uidLastSave="{00000000-0000-0000-0000-000000000000}"/>
  <bookViews>
    <workbookView xWindow="-28920" yWindow="-120" windowWidth="29040" windowHeight="17640" tabRatio="576" activeTab="1"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<sst xmlns="http://schemas.openxmlformats.org/spreadsheetml/2006/main" count="2679" uniqueCount="698">
  <si>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</si>
  <si>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</si>
  <si>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</si>
  <si>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</si>
  <si>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</si>
  <si>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</si>
  <si>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</si>
  <si>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</si>
  <si>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</si>
  <si>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</si>
  <si>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</si>
  <si>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</si>
  <si>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</si>
  <si>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</si>
  <si>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</si>
  <si>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</si>
  <si>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</si>
  <si>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</si>
  <si>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</si>
  <si>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</si>
  <si>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</si>
  <si>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</si>
  <si>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</si>
  <si>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</si>
  <si>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</si>
  <si>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</si>
  <si>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</si>
  <si>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</si>
  <si>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</si>
  <si>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</si>
  <si>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</si>
  <si>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</si>
  <si>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</si>
  <si>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</si>
  <si>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</si>
  <si>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</si>
  <si>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</si>
  <si>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</si>
  <si>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</si>
  <si>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</si>
  <si>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</si>
  <si>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</si>
  <si>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</si>
  <si>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</si>
  <si>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</si>
  <si>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</si>
  <si>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</si>
  <si>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</si>
  <si>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</si>
  <si>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</si>
  <si>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</si>
  <si>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</si>
  <si>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</si>
  <si>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</si>
  <si>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</si>
  <si>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</si>
  <si>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</si>
  <si>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</si>
  <si>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</si>
  <si>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</si>
  <si>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</si>
  <si>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</si>
  <si>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</si>
  <si>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</si>
  <si>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</si>
  <si>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</si>
  <si>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</si>
  <si>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</si>
  <si>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</si>
  <si>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</si>
  <si>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</si>
  <si>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</si>
  <si>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</si>
  <si>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</si>
  <si>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</si>
  <si>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</si>
  <si>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</si>
  <si>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</si>
  <si>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</si>
  <si>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</si>
  <si>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</si>
  <si>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</si>
  <si>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</si>
  <si>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</si>
  <si>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</si>
  <si>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</si>
  <si>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</si>
  <si>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</si>
  <si>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</si>
  <si>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</si>
  <si>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</si>
  <si>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</si>
  <si>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</si>
  <si>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</si>
  <si>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</si>
  <si>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</si>
  <si>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</si>
  <si>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</si>
  <si>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</si>
  <si>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</si>
  <si>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</si>
  <si>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</si>
  <si>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</si>
  <si>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</si>
  <si>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</si>
  <si>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</si>
  <si>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</si>
  <si>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</si>
  <si>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</si>
  <si>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</si>
  <si>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</si>
  <si>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</si>
  <si>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</si>
  <si>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</si>
  <si>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</si>
  <si>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</si>
  <si>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</si>
  <si>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</si>
  <si>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</si>
  <si>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</si>
  <si>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</si>
  <si>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</si>
  <si>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</si>
  <si>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</si>
  <si>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</si>
  <si>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</si>
  <si>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</si>
  <si>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</si>
  <si>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</si>
  <si>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</si>
  <si>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</si>
  <si>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</si>
  <si>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</si>
  <si>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</si>
  <si>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</si>
  <si>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</si>
  <si>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</si>
  <si>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</si>
  <si>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</si>
  <si>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</si>
  <si>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</si>
  <si>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</si>
  <si>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</si>
  <si>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</si>
  <si>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</si>
  <si>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</si>
  <si>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</si>
  <si>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</si>
  <si>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</si>
  <si>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</si>
  <si>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</si>
  <si>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</si>
  <si>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</si>
  <si>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</si>
  <si>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</si>
  <si>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</si>
  <si>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</si>
  <si>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</si>
  <si>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</si>
  <si>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</si>
  <si>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</si>
  <si>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</si>
  <si>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</si>
  <si>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</si>
  <si>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</si>
  <si>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</si>
  <si>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</si>
  <si>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</si>
  <si>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</si>
  <si>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</si>
  <si>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</si>
  <si>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</si>
  <si>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</si>
  <si>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</si>
  <si>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</si>
  <si>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</si>
  <si>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</si>
  <si>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</si>
  <si>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</si>
  <si>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</si>
  <si>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</si>
  <si>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</si>
  <si>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</si>
  <si>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</si>
  <si>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</si>
  <si>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</si>
  <si>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</si>
  <si>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</si>
  <si>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</si>
  <si>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</si>
  <si>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</si>
  <si>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</si>
  <si>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</si>
  <si>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</si>
  <si>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</si>
  <si>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</si>
  <si>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</si>
  <si>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</si>
  <si>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</si>
  <si>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</si>
  <si>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</si>
  <si>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</si>
  <si>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</si>
  <si>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</si>
  <si>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</si>
  <si>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</si>
  <si>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</si>
  <si>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</si>
  <si>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</si>
  <si>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</si>
  <si>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</si>
  <si>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</si>
  <si>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</si>
  <si>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</si>
  <si>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</si>
  <si>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</si>
  <si>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</si>
  <si>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</si>
  <si>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</si>
  <si>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</si>
  <si>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</si>
  <si>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</si>
  <si>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</si>
  <si>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</si>
  <si>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</si>
  <si>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</si>
  <si>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</si>
  <si>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</si>
  <si>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</si>
  <si>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</si>
  <si>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</si>
  <si>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</si>
  <si>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</si>
  <si>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</si>
  <si>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</si>
  <si>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</si>
  <si>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</si>
  <si>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</si>
  <si>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</si>
  <si>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</si>
  <si>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</si>
  <si>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</si>
  <si>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</si>
  <si>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</si>
  <si>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</si>
  <si>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</si>
  <si>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</si>
  <si>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</si>
  <si>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</si>
  <si>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</si>
  <si>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</si>
  <si>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</si>
  <si>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</si>
  <si>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</si>
  <si>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</si>
  <si>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</si>
  <si>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</si>
  <si>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</si>
  <si>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</si>
  <si>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</si>
  <si>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</si>
  <si>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</si>
  <si>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</si>
  <si>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</si>
  <si>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</si>
  <si>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</si>
  <si>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</si>
  <si>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</si>
  <si>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</si>
  <si>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</si>
  <si>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</si>
  <si>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</si>
  <si>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</si>
  <si>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</si>
  <si>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</si>
  <si>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</si>
  <si>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</si>
  <si>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</si>
  <si>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</si>
  <si>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</si>
  <si>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</si>
  <si>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</si>
  <si>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</si>
  <si>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</si>
  <si>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</si>
  <si>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</si>
  <si>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</si>
  <si>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</si>
  <si>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</si>
  <si>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</si>
  <si>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</si>
  <si>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</si>
  <si>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</si>
  <si>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</si>
  <si>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</si>
  <si>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</si>
  <si>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</si>
  <si>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</si>
  <si>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</si>
  <si>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</si>
  <si>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</si>
  <si>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</si>
  <si>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</si>
  <si>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</si>
  <si>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</si>
  <si>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</si>
  <si>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</si>
  <si>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</si>
  <si>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</si>
  <si>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</si>
  <si>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</si>
  <si>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</si>
  <si>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</si>
  <si>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</si>
  <si>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</si>
  <si>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</si>
  <si>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</si>
  <si>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</si>
  <si>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</si>
  <si>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</si>
  <si>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</si>
  <si>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</si>
  <si>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</si>
  <si>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</si>
  <si>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</si>
  <si>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</si>
  <si>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</si>
  <si>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</si>
  <si>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</si>
  <si>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</si>
  <si>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</si>
  <si>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</si>
  <si>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</si>
  <si>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</si>
  <si>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</si>
  <si>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</si>
  <si>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</si>
  <si>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</si>
  <si>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</si>
  <si>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</si>
  <si>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</si>
  <si>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</si>
  <si>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</si>
  <si>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</si>
  <si>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</si>
  <si>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</si>
  <si>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</si>
  <si>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</si>
  <si>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</si>
  <si>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</si>
  <si>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</si>
  <si>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</si>
  <si>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</si>
  <si>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</si>
  <si>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</si>
  <si>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</si>
  <si>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</si>
  <si>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</si>
  <si>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</si>
  <si>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</si>
  <si>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</si>
  <si>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</si>
  <si>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</si>
  <si>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</si>
  <si>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</si>
  <si>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</si>
  <si>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</si>
  <si>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</si>
  <si>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</si>
  <si>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</si>
  <si>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</si>
  <si>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</si>
  <si>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</si>
  <si>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</si>
  <si>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</si>
  <si>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</si>
  <si>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</si>
  <si>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</si>
  <si>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</si>
  <si>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</si>
  <si>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</si>
  <si>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</si>
  <si>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</si>
  <si>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</si>
  <si>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</si>
  <si>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</si>
  <si>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</si>
  <si>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</si>
  <si>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</si>
  <si>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</si>
  <si>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</si>
  <si>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</si>
  <si>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</si>
  <si>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</si>
  <si>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</si>
  <si>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</si>
  <si>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</si>
  <si>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</si>
  <si>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</si>
  <si>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</si>
  <si>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</si>
  <si>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</si>
  <si>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</si>
  <si>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</si>
  <si>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</si>
  <si>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</si>
  <si>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</si>
  <si>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</si>
  <si>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</si>
  <si>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</si>
  <si>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</si>
  <si>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</si>
  <si>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</si>
  <si>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</si>
  <si>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</si>
  <si>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</si>
  <si>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</si>
  <si>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</si>
  <si>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</si>
  <si>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</si>
  <si>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</si>
  <si>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</si>
  <si>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</si>
  <si>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</si>
  <si>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</si>
  <si>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</si>
  <si>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</si>
  <si>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</si>
  <si>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</si>
  <si>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</si>
  <si>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</si>
  <si>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</si>
  <si>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</si>
  <si>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</si>
  <si>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</si>
  <si>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</si>
  <si>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</si>
  <si>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</si>
  <si>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</si>
  <si>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</si>
  <si>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</si>
  <si>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</si>
  <si>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</si>
  <si>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</si>
  <si>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</si>
  <si>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</si>
  <si>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</si>
  <si>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</si>
  <si>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</si>
  <si>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</si>
  <si>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</si>
  <si>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</si>
  <si>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</si>
  <si>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</si>
  <si>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</si>
  <si>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</si>
  <si>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</si>
  <si>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</si>
  <si>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</si>
  <si>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</si>
  <si>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</si>
  <si>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</si>
  <si>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</si>
  <si>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</si>
  <si>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</si>
  <si>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</si>
  <si>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</si>
  <si>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</si>
  <si>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</si>
  <si>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</si>
  <si>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</si>
  <si>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</si>
  <si>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</si>
  <si>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</si>
  <si>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</si>
  <si>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</si>
  <si>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</si>
  <si>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</si>
  <si>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</si>
  <si>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</si>
  <si>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</si>
  <si>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</si>
  <si>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</si>
  <si>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</si>
  <si>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</si>
  <si>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</si>
  <si>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</si>
  <si>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</si>
  <si>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</si>
  <si>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</si>
  <si>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</si>
  <si>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</si>
  <si>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</si>
  <si>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</si>
  <si>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</si>
  <si>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</si>
  <si>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</si>
  <si>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</si>
  <si>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</si>
  <si>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</si>
  <si>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</si>
  <si>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</si>
  <si>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</si>
  <si>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</si>
  <si>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</si>
  <si>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</si>
  <si>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</si>
  <si>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</si>
  <si>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</si>
  <si>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</si>
  <si>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</si>
  <si>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</si>
  <si>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</si>
  <si>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</si>
  <si>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</si>
  <si>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</si>
  <si>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</si>
  <si>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</si>
  <si>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</si>
  <si>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</si>
  <si>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</si>
  <si>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</si>
  <si>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</si>
  <si>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</si>
  <si>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</si>
  <si>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</si>
  <si>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</si>
  <si>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</si>
  <si>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</si>
  <si>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</si>
  <si>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</si>
  <si>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</si>
  <si>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</si>
  <si>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</si>
  <si>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</si>
  <si>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</si>
  <si>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</si>
  <si>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</si>
  <si>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</si>
  <si>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</si>
  <si>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</si>
  <si>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</si>
  <si>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</si>
  <si>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</si>
  <si>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</si>
  <si>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</si>
  <si>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</si>
  <si>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</si>
  <si>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</si>
  <si>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</si>
  <si>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</si>
  <si>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</si>
  <si>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</si>
  <si>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</si>
  <si>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</si>
  <si>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</si>
  <si>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</si>
  <si>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</si>
  <si>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</si>
  <si>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</si>
  <si>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</si>
  <si>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</si>
  <si>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</si>
  <si>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</si>
  <si>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</si>
  <si>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</si>
  <si>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</si>
  <si>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</si>
  <si>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</si>
  <si>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</si>
  <si>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</si>
  <si>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</si>
  <si>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</si>
  <si>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</si>
  <si>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</si>
  <si>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</si>
  <si>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</si>
  <si>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</si>
  <si>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</si>
  <si>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</si>
  <si>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</si>
  <si>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</si>
  <si>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</si>
  <si>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</si>
  <si>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</si>
  <si>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</si>
  <si>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</si>
  <si>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</si>
  <si>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</si>
  <si>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</si>
  <si>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</si>
  <si>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</si>
  <si>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</si>
  <si>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</si>
  <si>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</si>
  <si>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</si>
  <si>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</si>
  <si>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</si>
  <si>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</si>
  <si>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</si>
  <si>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</si>
  <si>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</si>
  <si>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</si>
  <si>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</si>
  <si>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</si>
  <si>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</si>
  <si>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</si>
  <si>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</si>
  <si>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</si>
  <si>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</si>
  <si>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</si>
  <si>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</si>
  <si>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</si>
  <si>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</si>
  <si>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</si>
  <si>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</si>
  <si>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</si>
  <si>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</si>
  <si>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</si>
  <si>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</si>
  <si>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</si>
  <si>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</si>
  <si>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</si>
  <si>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</si>
  <si>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</si>
  <si>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</si>
  <si>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</si>
  <si>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</si>
  <si>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</si>
  <si>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</si>
  <si>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</si>
  <si>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</si>
  <si>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</si>
  <si>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</si>
  <si>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</si>
  <si>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</si>
  <si>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</si>
  <si>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</si>
  <si>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</si>
  <si>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</si>
  <si>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</si>
  <si>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</si>
  <si>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</si>
  <si>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</si>
  <si>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</si>
  <si>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</si>
  <si>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</si>
  <si>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</si>
  <si>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</si>
  <si>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</si>
  <si>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</si>
  <si>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</si>
  <si>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</si>
  <si>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</si>
  <si>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</si>
  <si>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</si>
  <si>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</si>
  <si>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</si>
  <si>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</si>
  <si>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</si>
  <si>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</si>
  <si>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</si>
  <si>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</si>
  <si>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</si>
  <si>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</si>
  <si>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</si>
  <si>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</si>
  <si>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</si>
  <si>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</si>
  <si>
    <t>Exemple de code corrigé</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</si>
  <si>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</si>
  <si>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Pour chaque tableau de mise en forme, le contenu linéarisé reste-t-il compréhensible ?</t>
  </si>
  <si>
    <t>Dans chaque page web, chaque lien a-t-il un intitulé ?</t>
  </si>
  <si>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</si>
  <si>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</si>
  <si>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t>Dans chaque formulaire, chaque regroupement de champs de même nature a-t-il une légende ?</t>
  </si>
  <si>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</si>
  <si>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t>Audit par critères RGAA 4.1 2021</t>
  </si>
  <si>
    <t>(Version 2.1)</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</si>
  <si>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t>
    </r>
    <r>
      <rPr>
        <b/>
        <sz val="8"/>
        <color rgb="FFA50021"/>
        <rFont val="Arial"/>
        <family val="2"/>
      </rPr>
      <t>Chaque zone cliquable d’une image réactive côté serveur est-elle doublée d’un mécanisme utilisable quel que soit le dispositif de pointage utilisé et permettant d’accéder à la même destination ?</t>
    </r>
    <r>
      <rPr>
        <b/>
        <sz val="8"/>
        <rFont val="Arial"/>
        <family val="2"/>
      </rPr>
      <t xml:space="preserve">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t>
    </r>
    <r>
      <rPr>
        <sz val="8"/>
        <color rgb="FFA50021"/>
        <rFont val="Arial"/>
        <family val="2"/>
      </rPr>
      <t>La balise &lt;object&gt; possède une alternative textuelle et un attribut role="img".</t>
    </r>
    <r>
      <rPr>
        <sz val="8"/>
        <rFont val="Arial"/>
        <family val="2"/>
      </rPr>
      <t xml:space="preserv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t>
    </r>
    <r>
      <rPr>
        <sz val="8"/>
        <color rgb="FFA50021"/>
        <rFont val="Arial"/>
        <family val="2"/>
      </rPr>
      <t>La balise &lt;embed&gt; possède une alternative textuelle et un attribut role="img".</t>
    </r>
    <r>
      <rPr>
        <sz val="8"/>
        <rFont val="Arial"/>
        <family val="2"/>
      </rPr>
      <t xml:space="preserv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xml:space="preserve">– </t>
    </r>
    <r>
      <rPr>
        <sz val="8"/>
        <color rgb="FFA50021"/>
        <rFont val="Arial"/>
        <family val="2"/>
      </rPr>
      <t>La balise &lt;canvas&gt; possède une alternative textuelle et un attribut role="img".</t>
    </r>
    <r>
      <rPr>
        <sz val="8"/>
        <rFont val="Arial"/>
        <family val="2"/>
      </rPr>
      <t xml:space="preserv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</si>
  <si>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t>
    </r>
    <r>
      <rPr>
        <sz val="8"/>
        <color rgb="FFA50021"/>
        <rFont val="Arial"/>
        <family val="2"/>
      </rPr>
      <t>S’il est présent, le contenu de l’élément &lt;title&gt; est pertinent.</t>
    </r>
    <r>
      <rPr>
        <sz val="8"/>
        <rFont val="Arial"/>
        <family val="2"/>
      </rPr>
      <t xml:space="preserve">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</si>
  <si>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t xml:space="preserve">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
</t>
    </r>
    <r>
      <rPr>
        <b/>
        <sz val="8"/>
        <color rgb="FFA50021"/>
        <rFont val="Arial"/>
        <family val="2"/>
      </rPr>
      <t>Test 1.8.6 : 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r>
  </si>
  <si>
    <r>
      <rPr>
        <b/>
        <sz val="8"/>
        <rFont val="Arial"/>
        <family val="2"/>
      </rPr>
      <t xml:space="preserve">Test 4.8.1 : Chaque média non temporel vérifie-t-il, si nécessaire, une de ces conditions (hors cas particuliers) ?
</t>
    </r>
    <r>
      <rPr>
        <sz val="8"/>
        <rFont val="Arial"/>
        <family val="2"/>
      </rPr>
      <t xml:space="preserve">– </t>
    </r>
    <r>
      <rPr>
        <sz val="8"/>
        <color rgb="FFA50021"/>
        <rFont val="Arial"/>
        <family val="2"/>
      </rPr>
      <t xml:space="preserve">Un lien ou un bouton adjacent, clairement identifiable, permet d’accéder à une page contenant une alternative.
</t>
    </r>
    <r>
      <rPr>
        <sz val="8"/>
        <rFont val="Arial"/>
        <family val="2"/>
      </rPr>
      <t xml:space="preserve">–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</si>
  <si>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r>
      <rPr>
        <b/>
        <sz val="8"/>
        <color rgb="FFA50021"/>
        <rFont val="Arial"/>
        <family val="2"/>
      </rPr>
      <t>Test 5.3.1 : Chaque tableau de mise en forme vérifie-t-il ces conditions ?</t>
    </r>
    <r>
      <rPr>
        <b/>
        <sz val="8"/>
        <rFont val="Arial"/>
        <family val="2"/>
      </rPr>
      <t xml:space="preserve">
</t>
    </r>
    <r>
      <rPr>
        <sz val="8"/>
        <rFont val="Arial"/>
        <family val="2"/>
      </rPr>
      <t>– Le contenu linéarisé reste compréhensible.
– La balise &lt;table&gt; possède un attribut role="presentation".</t>
    </r>
  </si>
  <si>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
</t>
    </r>
    <r>
      <rPr>
        <b/>
        <sz val="8"/>
        <color rgb="FFA50021"/>
        <rFont val="Arial"/>
        <family val="2"/>
      </rPr>
      <t xml:space="preserve">
Test 5.6.4 : Pour chaque tableau de données, chaque cellule associée à plusieurs en-têtes est-elle structurée au moyen d’une balise &lt;td&gt; ou &lt;th&gt; ?</t>
    </r>
  </si>
  <si>
    <r>
      <rPr>
        <b/>
        <sz val="8"/>
        <rFont val="Arial"/>
        <family val="2"/>
      </rPr>
      <t xml:space="preserve">Test 5.8.1 : Chaque tableau de mise en forme (balise &lt;table&gt;) vérifie-t-il ces conditions ?
</t>
    </r>
    <r>
      <rPr>
        <sz val="8"/>
        <color rgb="FFA50021"/>
        <rFont val="Arial"/>
        <family val="2"/>
      </rPr>
      <t>– Le tableau de mise en forme (balise &lt;table&gt;) n’a pas d’attribut summary (sinon vide) et ne contient pas de balises &lt;caption&gt;, &lt;th&gt;, &lt;thead&gt;, &lt;tfoot&gt;, &lt;colgroup&gt; ou de balises ayant un attribut WAI-ARIA role="rowheader", role="columnheader".</t>
    </r>
    <r>
      <rPr>
        <sz val="8"/>
        <rFont val="Arial"/>
        <family val="2"/>
      </rPr>
      <t xml:space="preserve">
– Les cellules du tableau de mise en forme (balises &lt;td&gt;) ne possèdent pas d'attributs scope, headers, axis.</t>
    </r>
  </si>
  <si>
    <r>
      <t>Test 6.2.1 :</t>
    </r>
    <r>
      <rPr>
        <b/>
        <sz val="8"/>
        <color rgb="FFFF0000"/>
        <rFont val="Arial"/>
        <family val="2"/>
      </rPr>
      <t xml:space="preserve"> </t>
    </r>
    <r>
      <rPr>
        <b/>
        <sz val="8"/>
        <color rgb="FFA50021"/>
        <rFont val="Arial"/>
        <family val="2"/>
      </rPr>
      <t>Dans chaque page web, chaque lien a-t-il un intitulé entre &lt;a&gt; et &lt;/a&gt; ?</t>
    </r>
  </si>
  <si>
    <t>Pour chaque page web, le code source généré est-il valide selon le type de document spécifié ?</t>
  </si>
  <si>
    <r>
      <t xml:space="preserve">Test 8.2.1 : </t>
    </r>
    <r>
      <rPr>
        <b/>
        <sz val="8"/>
        <color rgb="FFA50021"/>
        <rFont val="Arial"/>
        <family val="2"/>
      </rPr>
      <t>Pour chaque déclaration de type de document, le code source généré de la page vérifie-t-il ces conditions ?</t>
    </r>
    <r>
      <rPr>
        <b/>
        <sz val="8"/>
        <rFont val="Arial"/>
        <family val="2"/>
      </rPr>
      <t xml:space="preserve">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</si>
  <si>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color rgb="FFA50021"/>
        <rFont val="Arial"/>
        <family val="2"/>
      </rPr>
      <t>Test 10.4.1</t>
    </r>
    <r>
      <rPr>
        <b/>
        <sz val="8"/>
        <rFont val="Arial"/>
        <family val="2"/>
      </rPr>
      <t xml:space="preserve">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color rgb="FFA50021"/>
        <rFont val="Arial"/>
        <family val="2"/>
      </rPr>
      <t xml:space="preserve">
Test 10.4.2</t>
    </r>
    <r>
      <rPr>
        <b/>
        <sz val="8"/>
        <color rgb="FFFF0000"/>
        <rFont val="Arial"/>
        <family val="2"/>
      </rPr>
      <t xml:space="preserve"> </t>
    </r>
    <r>
      <rPr>
        <b/>
        <sz val="8"/>
        <rFont val="Arial"/>
        <family val="2"/>
      </rPr>
      <t xml:space="preserve">: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</si>
  <si>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t>
    </r>
    <r>
      <rPr>
        <sz val="8"/>
        <color rgb="FFA50021"/>
        <rFont val="Arial"/>
        <family val="2"/>
      </rPr>
      <t xml:space="preserve">Un bouton adjacent au champ de formulaire lui fournit une étiquette visible et un élément &lt;label&gt; visuellement caché ou un attribut WAI-ARIA aria-label, aria-labelledby ou title lui fournit un nom accessible.
</t>
    </r>
    <r>
      <rPr>
        <sz val="8"/>
        <rFont val="Arial"/>
        <family val="2"/>
      </rPr>
      <t xml:space="preserv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</si>
  <si>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color rgb="FFA50021"/>
        <rFont val="Arial"/>
        <family val="2"/>
      </rPr>
      <t>– L’étiquette est visuellement accolée immédiatement au-dessous ou à droite du champ de formulaire lorsque le sens de lecture de la langue de l’étiquette est de gauche à droite.
– L’étiquette est visuellement accolée immédiatement au-dessous ou à gauche du champ de formulaire lorsque le sens de lecture de la langue de l’étiquette est de droite à gauche.</t>
    </r>
  </si>
  <si>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color rgb="FFA50021"/>
        <rFont val="Arial"/>
        <family val="2"/>
      </rPr>
      <t xml:space="preserve">– Le message d’erreur indiquant le caractère invalide de la saisie est visible et situé dans l’étiquette associée au champ.
– Le message d’erreur indiquant le caractère invalide de la saisie est visible et situé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</si>
  <si>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xml:space="preserve">– La zone possède un rôle WAI-ARIA de type landmark correspondant à sa nature.
– </t>
    </r>
    <r>
      <rPr>
        <sz val="8"/>
        <color rgb="FFA50021"/>
        <rFont val="Arial"/>
        <family val="2"/>
      </rPr>
      <t>La zone possède un titre dont le contenu permet de comprendre la nature du contenu de la zone.</t>
    </r>
    <r>
      <rPr>
        <sz val="8"/>
        <rFont val="Arial"/>
        <family val="2"/>
      </rPr>
      <t xml:space="preserve">
– La zone peut être masquée par le biais d'un bouton précédant directement la zone dans l'ordre du code source.
– La zone peut être évitée par le biais d'un lien d'évitement précédant directement la zone dans l'ordre du code source.
–</t>
    </r>
    <r>
      <rPr>
        <sz val="8"/>
        <color rgb="FFA50021"/>
        <rFont val="Arial"/>
        <family val="2"/>
      </rPr>
      <t xml:space="preserve"> La zone peut être atteinte par le biais d’un lien d’accès rapide visible ou, à défaut, visible à la prise de focus.</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</si>
  <si>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xml:space="preserve">– Le lien est situé à la même place dans la présentation.
– Le lien se présente toujours dans le même ordre relatif dans le code source.
</t>
    </r>
    <r>
      <rPr>
        <sz val="8"/>
        <color rgb="FFA50021"/>
        <rFont val="Arial"/>
        <family val="2"/>
      </rPr>
      <t>– Le lien est visible ou, à défaut, visible à la prise de focus.
– Le lien est fonctionnel.</t>
    </r>
  </si>
  <si>
    <r>
      <rPr>
        <b/>
        <sz val="8"/>
        <color rgb="FFA50021"/>
        <rFont val="Arial"/>
        <family val="2"/>
      </rPr>
      <t>Test 13.7.1 : Dans chaque page web, chaque image ou élément multimédia (balise &lt;video&gt;, balise &lt;img&gt;, balise &lt;svg&gt;, balise &lt;canvas&gt;, balise &lt;embed&gt; ou balise &lt;object&gt;) qui provoque un changement brusque de luminosité ou un effet de flash vérifie-t-il une de ces conditions ?</t>
    </r>
    <r>
      <rPr>
        <b/>
        <sz val="8"/>
        <rFont val="Arial"/>
        <family val="2"/>
      </rPr>
      <t xml:space="preserve">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</si>
  <si>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Test 5.8.1 : Chaque tableau de mise en forme (balise &lt;table&gt;) vérifie-t-il ces conditions ?
</t>
    </r>
    <r>
      <rPr>
        <sz val="8"/>
        <color rgb="FFA50021"/>
        <rFont val="Arial"/>
        <family val="2"/>
      </rPr>
      <t>– Le tableau de mise en forme (balise &lt;table&gt;) n’a pas d’attribut summary (sinon vide) et ne contient pas de balises &lt;caption&gt;, &lt;th&gt;, &lt;thead&gt;, &lt;tfoot&gt; ou de balises ayant un attribut WAI-ARIA role="rowheader", role="columnheader".</t>
    </r>
    <r>
      <rPr>
        <sz val="8"/>
        <rFont val="Arial"/>
        <family val="2"/>
      </rPr>
      <t xml:space="preserve">
– Les cellules du tableau de mise en forme (balises &lt;td&gt;) ne possèdent pas d'attributs scope, headers, axis.</t>
    </r>
  </si>
  <si>
    <t>Pour chaque page web, les contenus peuvent-ils être présentés sans perte d’information ou de fonctionnalité et sans avoir recours soit à un défilement vertical pour une fenêtre ayant une hauteur de 256 px, soit à un défilement horizontal pour une fenêtre ayant une largeur de 320 px (hors cas particuliers)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</si>
</sst>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60"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
      <b/>
      <sz val="8"/>
      <color rgb="FFFF0000"/>
      <name val="Arial"/>
      <family val="2"/>
    </font>
    <font>
      <b/>
      <sz val="8"/>
      <color rgb="FFA50021"/>
      <name val="Arial"/>
      <family val="2"/>
    </font>
    <font>
      <sz val="8"/>
      <color rgb="FFA50021"/>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67">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Alignment="1">
      <alignment horizontal="left"/>
    </xf>
    <xf numFmtId="0" fontId="0" fillId="3" borderId="0" xfId="0" applyFill="1" applyAlignment="1">
      <alignment vertical="center"/>
    </xf>
    <xf numFmtId="0" fontId="0" fillId="3" borderId="0" xfId="0" applyFill="1" applyAlignment="1">
      <alignment vertical="center" wrapText="1"/>
    </xf>
    <xf numFmtId="0" fontId="0" fillId="0" borderId="0" xfId="0" applyAlignment="1">
      <alignment vertical="center"/>
    </xf>
    <xf numFmtId="0" fontId="0" fillId="0" borderId="0" xfId="0" applyAlignment="1">
      <alignment horizontal="center" vertical="center"/>
    </xf>
    <xf numFmtId="0" fontId="8" fillId="0" borderId="0" xfId="0" applyFont="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8" borderId="0" xfId="0" applyFill="1" applyAlignment="1">
      <alignment vertical="center"/>
    </xf>
    <xf numFmtId="0" fontId="0" fillId="5" borderId="0" xfId="0" applyFill="1" applyAlignment="1">
      <alignment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Alignment="1">
      <alignment vertical="center"/>
    </xf>
    <xf numFmtId="0" fontId="17" fillId="13" borderId="0" xfId="0" applyFont="1" applyFill="1" applyAlignment="1">
      <alignment vertical="center"/>
    </xf>
    <xf numFmtId="0" fontId="17" fillId="12" borderId="0" xfId="0" applyFont="1" applyFill="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Border="1" applyAlignment="1">
      <alignment horizontal="center" vertical="center"/>
    </xf>
    <xf numFmtId="166" fontId="11" fillId="0" borderId="7" xfId="0" applyNumberFormat="1" applyFont="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Alignment="1">
      <alignment horizontal="center" vertical="center" wrapText="1"/>
    </xf>
    <xf numFmtId="0" fontId="26" fillId="13" borderId="0" xfId="1" applyFont="1" applyFill="1" applyAlignment="1">
      <alignment vertical="center" wrapText="1"/>
    </xf>
    <xf numFmtId="0" fontId="26" fillId="18" borderId="0" xfId="1" applyFont="1" applyFill="1" applyAlignment="1">
      <alignment vertical="center" wrapText="1"/>
    </xf>
    <xf numFmtId="0" fontId="26" fillId="8" borderId="0" xfId="1" applyFont="1" applyFill="1" applyAlignment="1">
      <alignment vertical="center" wrapText="1"/>
    </xf>
    <xf numFmtId="0" fontId="27" fillId="0" borderId="7" xfId="0" applyFont="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Alignment="1">
      <alignment horizontal="left" vertical="center" wrapText="1"/>
    </xf>
    <xf numFmtId="0" fontId="30" fillId="0" borderId="0" xfId="0" applyFont="1" applyAlignment="1">
      <alignment vertical="center" wrapText="1"/>
    </xf>
    <xf numFmtId="2" fontId="30" fillId="0" borderId="0" xfId="0" applyNumberFormat="1" applyFont="1" applyAlignment="1">
      <alignment horizontal="right" vertical="center"/>
    </xf>
    <xf numFmtId="0" fontId="30" fillId="0" borderId="0" xfId="0" applyFont="1"/>
    <xf numFmtId="0" fontId="30" fillId="0" borderId="0" xfId="0" applyFont="1" applyAlignment="1">
      <alignment vertical="center"/>
    </xf>
    <xf numFmtId="0" fontId="0" fillId="23" borderId="0" xfId="0" applyFill="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Alignment="1">
      <alignment horizontal="center" vertical="center"/>
    </xf>
    <xf numFmtId="0" fontId="0" fillId="18" borderId="0" xfId="0" applyFill="1" applyAlignment="1">
      <alignment vertical="center"/>
    </xf>
    <xf numFmtId="0" fontId="4" fillId="7" borderId="3" xfId="1" applyFont="1" applyFill="1" applyBorder="1" applyAlignment="1">
      <alignment vertical="center"/>
    </xf>
    <xf numFmtId="0" fontId="4" fillId="3" borderId="3" xfId="1" applyFont="1" applyFill="1" applyBorder="1" applyAlignment="1">
      <alignment vertical="center"/>
    </xf>
    <xf numFmtId="0" fontId="4" fillId="7" borderId="0" xfId="1" applyFont="1" applyFill="1" applyAlignment="1">
      <alignment vertical="center"/>
    </xf>
    <xf numFmtId="0" fontId="4" fillId="7" borderId="0" xfId="1" applyFont="1" applyFill="1" applyAlignment="1">
      <alignment horizontal="center" vertical="center"/>
    </xf>
    <xf numFmtId="0" fontId="4" fillId="3" borderId="0" xfId="1" applyFont="1" applyFill="1" applyAlignment="1">
      <alignment vertical="center"/>
    </xf>
    <xf numFmtId="0" fontId="4" fillId="3" borderId="0" xfId="1" applyFont="1" applyFill="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Alignment="1">
      <alignment horizontal="left" vertical="top" wrapText="1"/>
    </xf>
    <xf numFmtId="0" fontId="0" fillId="0" borderId="0" xfId="0"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Alignment="1">
      <alignment horizontal="left" vertical="center" wrapText="1"/>
    </xf>
    <xf numFmtId="0" fontId="42" fillId="7" borderId="0" xfId="1" applyFont="1" applyFill="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Alignment="1">
      <alignment horizontal="left" vertical="center" wrapText="1"/>
    </xf>
    <xf numFmtId="0" fontId="46" fillId="0" borderId="0" xfId="0" applyFont="1" applyAlignment="1">
      <alignment horizontal="center" vertical="center" wrapText="1"/>
    </xf>
    <xf numFmtId="0" fontId="46" fillId="0" borderId="0" xfId="0" applyFont="1" applyAlignment="1">
      <alignment vertical="center"/>
    </xf>
    <xf numFmtId="0" fontId="46" fillId="0" borderId="0" xfId="1" applyFont="1" applyAlignment="1">
      <alignment vertical="center" wrapText="1"/>
    </xf>
    <xf numFmtId="0" fontId="45" fillId="0" borderId="0" xfId="1" applyFont="1" applyAlignment="1">
      <alignment vertical="center" wrapText="1"/>
    </xf>
    <xf numFmtId="0" fontId="46" fillId="0" borderId="0" xfId="1" applyFont="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7" fillId="0" borderId="0" xfId="1" applyFont="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Font="1" applyAlignment="1">
      <alignment vertical="center" wrapText="1"/>
    </xf>
    <xf numFmtId="0" fontId="45" fillId="30" borderId="22" xfId="1" applyFont="1" applyFill="1" applyBorder="1" applyAlignment="1">
      <alignment horizontal="center" vertical="center" wrapText="1"/>
    </xf>
    <xf numFmtId="0" fontId="45" fillId="30" borderId="21" xfId="1" applyFont="1" applyFill="1" applyBorder="1" applyAlignment="1">
      <alignment horizontal="center" vertical="center" wrapText="1"/>
    </xf>
    <xf numFmtId="0" fontId="45" fillId="30" borderId="23" xfId="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Font="1" applyFill="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Font="1" applyBorder="1" applyAlignment="1">
      <alignment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alignment horizontal="right" vertical="center"/>
    </xf>
    <xf numFmtId="0" fontId="4" fillId="0" borderId="3" xfId="1" applyFont="1" applyBorder="1" applyAlignment="1">
      <alignment vertical="center" wrapText="1"/>
    </xf>
    <xf numFmtId="0" fontId="4" fillId="0" borderId="0" xfId="1" applyFont="1" applyAlignment="1">
      <alignment vertical="center" wrapText="1"/>
    </xf>
    <xf numFmtId="0" fontId="4" fillId="0" borderId="0" xfId="1" applyFont="1" applyAlignment="1">
      <alignment horizontal="center" vertical="center" wrapText="1"/>
    </xf>
    <xf numFmtId="0" fontId="4" fillId="0" borderId="0" xfId="1" applyFont="1" applyAlignment="1">
      <alignment horizontal="right" vertical="center" wrapText="1"/>
    </xf>
    <xf numFmtId="0" fontId="4" fillId="0" borderId="3" xfId="1" applyFont="1" applyBorder="1" applyAlignment="1">
      <alignment horizontal="left" vertical="center" wrapText="1"/>
    </xf>
    <xf numFmtId="0" fontId="18" fillId="0" borderId="0" xfId="0" applyFont="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Alignment="1">
      <alignment horizontal="left" vertical="center" wrapText="1"/>
    </xf>
    <xf numFmtId="0" fontId="7" fillId="0" borderId="23" xfId="1" applyFont="1" applyBorder="1" applyAlignment="1">
      <alignment horizontal="left" vertical="top" wrapText="1"/>
    </xf>
    <xf numFmtId="0" fontId="4" fillId="0" borderId="23" xfId="1" applyFont="1" applyBorder="1" applyAlignment="1">
      <alignment vertical="center" wrapText="1"/>
    </xf>
    <xf numFmtId="0" fontId="7" fillId="0" borderId="5" xfId="1" applyFont="1" applyBorder="1" applyAlignment="1">
      <alignment horizontal="center" vertical="center" wrapText="1"/>
    </xf>
    <xf numFmtId="0" fontId="7" fillId="0" borderId="24" xfId="1" applyFont="1" applyBorder="1" applyAlignment="1">
      <alignment horizontal="center" vertical="center" wrapText="1"/>
    </xf>
    <xf numFmtId="14" fontId="7" fillId="0" borderId="24" xfId="1" applyNumberFormat="1" applyFont="1" applyBorder="1" applyAlignment="1">
      <alignment horizontal="center" vertical="center" wrapText="1"/>
    </xf>
    <xf numFmtId="0" fontId="31" fillId="0" borderId="30" xfId="1" applyFont="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Border="1" applyAlignment="1">
      <alignment horizontal="center" vertical="center"/>
    </xf>
    <xf numFmtId="0" fontId="4" fillId="0" borderId="23" xfId="1" applyFont="1" applyBorder="1" applyAlignment="1">
      <alignment vertical="center"/>
    </xf>
    <xf numFmtId="0" fontId="4" fillId="0" borderId="31" xfId="1" applyFont="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Border="1" applyAlignment="1">
      <alignment horizontal="center" vertical="center" wrapText="1"/>
    </xf>
    <xf numFmtId="0" fontId="4" fillId="0" borderId="32" xfId="1" applyFont="1" applyBorder="1" applyAlignment="1">
      <alignment horizontal="left" vertical="top" wrapText="1"/>
    </xf>
    <xf numFmtId="0" fontId="7" fillId="0" borderId="32" xfId="1" applyFont="1" applyBorder="1" applyAlignment="1">
      <alignment horizontal="left" vertical="top" wrapText="1"/>
    </xf>
    <xf numFmtId="0" fontId="4" fillId="0" borderId="32" xfId="1" applyFont="1" applyBorder="1" applyAlignment="1">
      <alignment horizontal="center" vertical="center"/>
    </xf>
    <xf numFmtId="0" fontId="11" fillId="0" borderId="32" xfId="0" applyFont="1" applyBorder="1" applyAlignment="1">
      <alignment horizontal="center" vertical="center"/>
    </xf>
    <xf numFmtId="0" fontId="4" fillId="0" borderId="32" xfId="1" applyFont="1" applyBorder="1" applyAlignment="1">
      <alignment vertical="center"/>
    </xf>
    <xf numFmtId="0" fontId="4" fillId="0" borderId="32" xfId="1" applyFont="1" applyBorder="1" applyAlignment="1">
      <alignment vertical="center" wrapText="1"/>
    </xf>
    <xf numFmtId="0" fontId="4" fillId="0" borderId="33" xfId="1" applyFont="1" applyBorder="1" applyAlignment="1">
      <alignment horizontal="center" vertical="center"/>
    </xf>
    <xf numFmtId="0" fontId="7" fillId="0" borderId="30" xfId="1" applyFont="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17" fillId="8" borderId="0" xfId="0" applyFont="1" applyFill="1" applyAlignment="1">
      <alignment horizontal="left" vertical="center" wrapText="1" indent="1"/>
    </xf>
    <xf numFmtId="0" fontId="59" fillId="3" borderId="23" xfId="1" applyFont="1" applyFill="1" applyBorder="1" applyAlignment="1">
      <alignment vertical="top" wrapText="1"/>
    </xf>
    <xf numFmtId="0" fontId="59" fillId="7" borderId="23" xfId="1" applyFont="1" applyFill="1" applyBorder="1" applyAlignment="1">
      <alignment vertical="top" wrapText="1"/>
    </xf>
    <xf numFmtId="0" fontId="59" fillId="0" borderId="23" xfId="1" applyFont="1" applyBorder="1" applyAlignment="1">
      <alignment horizontal="left" vertical="top" wrapText="1"/>
    </xf>
    <xf numFmtId="0" fontId="59" fillId="7" borderId="23" xfId="1" applyFont="1" applyFill="1" applyBorder="1" applyAlignment="1">
      <alignment horizontal="left" vertical="top" wrapText="1"/>
    </xf>
    <xf numFmtId="0" fontId="55" fillId="27" borderId="0" xfId="0" applyFont="1" applyFill="1" applyAlignment="1">
      <alignment horizontal="center" vertical="center" wrapText="1"/>
    </xf>
    <xf numFmtId="0" fontId="35" fillId="0" borderId="25" xfId="0" applyFont="1" applyBorder="1" applyAlignment="1">
      <alignment horizontal="center"/>
    </xf>
    <xf numFmtId="0" fontId="0" fillId="27" borderId="0" xfId="0" applyFill="1" applyAlignment="1">
      <alignment horizontal="center"/>
    </xf>
    <xf numFmtId="0" fontId="13" fillId="28" borderId="4" xfId="0" applyFont="1" applyFill="1" applyBorder="1" applyAlignment="1">
      <alignment horizontal="center" vertical="center"/>
    </xf>
    <xf numFmtId="0" fontId="13" fillId="28" borderId="0" xfId="0" applyFont="1" applyFill="1" applyAlignment="1">
      <alignment horizontal="center" vertical="center"/>
    </xf>
    <xf numFmtId="0" fontId="34" fillId="3" borderId="0" xfId="2" applyFont="1" applyFill="1" applyBorder="1" applyAlignment="1">
      <alignment horizontal="center" vertical="center"/>
    </xf>
    <xf numFmtId="0" fontId="56" fillId="8" borderId="0" xfId="0" applyFont="1" applyFill="1" applyAlignment="1">
      <alignment horizontal="center" vertical="center" wrapText="1"/>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xf numFmtId="0" fontId="4" fillId="9" borderId="23" xfId="1" applyFont="1" applyFill="1" applyBorder="1" applyAlignment="1">
      <alignment horizontal="left" vertical="top"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ill>
        <patternFill>
          <bgColor theme="3" tint="0.79998168889431442"/>
        </patternFill>
      </fill>
    </dxf>
    <dxf>
      <fill>
        <patternFill>
          <bgColor theme="7" tint="0.79998168889431442"/>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A50021"/>
      <color rgb="FFB50000"/>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029825" y="139700"/>
          <a:ext cx="1558925" cy="77566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306" dataDxfId="304" headerRowBorderDxfId="305" tableBorderDxfId="303" totalsRowBorderDxfId="302" headerRowCellStyle="Normal 2" dataCellStyle="Normal 2">
  <autoFilter ref="B3:Q109" xr:uid="{00000000-0009-0000-0100-000004000000}"/>
  <tableColumns count="16">
    <tableColumn id="1" xr3:uid="{00000000-0010-0000-0100-000001000000}" name="Thématique" dataDxfId="301" dataCellStyle="Normal 2"/>
    <tableColumn id="18" xr3:uid="{4C3E6A33-4F0F-4207-87F2-81CDBF2CB319}" name="Critère" dataDxfId="300" dataCellStyle="Normal 2"/>
    <tableColumn id="12" xr3:uid="{00000000-0010-0000-0100-00000C000000}" name="Intitulé du critère" dataDxfId="299" dataCellStyle="Normal 2"/>
    <tableColumn id="4" xr3:uid="{00000000-0010-0000-0100-000004000000}" name="Niveau" dataDxfId="298" dataCellStyle="Normal 2"/>
    <tableColumn id="5" xr3:uid="{00000000-0010-0000-0100-000005000000}" name="Tests" dataDxfId="297" dataCellStyle="Normal 2"/>
    <tableColumn id="6" xr3:uid="{00000000-0010-0000-0100-000006000000}" name="Méthode" dataDxfId="296" dataCellStyle="Normal 2"/>
    <tableColumn id="7" xr3:uid="{00000000-0010-0000-0100-000007000000}" name="État" dataDxfId="295"/>
    <tableColumn id="3" xr3:uid="{00000000-0010-0000-0100-000003000000}" name="Label e-accessible" dataDxfId="294" dataCellStyle="Normal 2"/>
    <tableColumn id="8" xr3:uid="{00000000-0010-0000-0100-000008000000}" name="Date" dataDxfId="293" dataCellStyle="Normal 2"/>
    <tableColumn id="9" xr3:uid="{00000000-0010-0000-0100-000009000000}" name="Correctif" dataDxfId="292" dataCellStyle="Normal 2"/>
    <tableColumn id="14" xr3:uid="{00000000-0010-0000-0100-00000E000000}" name="Exemple de code corrigé" dataDxfId="291" dataCellStyle="Normal 2"/>
    <tableColumn id="15" xr3:uid="{00000000-0010-0000-0100-00000F000000}" name="Commentaires" dataDxfId="290" dataCellStyle="Normal 2"/>
    <tableColumn id="17" xr3:uid="{848BBC6C-A0DD-46C0-96F6-ECDBE1E0163E}" name="Dérogation" dataDxfId="289" dataCellStyle="Normal 2"/>
    <tableColumn id="16" xr3:uid="{00000000-0010-0000-0100-000010000000}" name="Erreur transverse" dataDxfId="288" dataCellStyle="Normal 2"/>
    <tableColumn id="10" xr3:uid="{00000000-0010-0000-0100-00000A000000}" name="Difficulté" dataDxfId="287" dataCellStyle="Normal 2"/>
    <tableColumn id="13" xr3:uid="{00000000-0010-0000-0100-00000D000000}" name="Priorité" dataDxfId="286"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230" dataDxfId="228" headerRowBorderDxfId="229" tableBorderDxfId="227" headerRowCellStyle="Normal 2">
  <autoFilter ref="A10:GJ116" xr:uid="{00000000-0009-0000-0100-000001000000}"/>
  <tableColumns count="192">
    <tableColumn id="1" xr3:uid="{00000000-0010-0000-0500-000001000000}" name="Thématique" dataDxfId="226" dataCellStyle="Normal 2"/>
    <tableColumn id="5" xr3:uid="{0C6FFBC5-6067-4BA6-B1BA-555666231F5F}" name="Critère" dataDxfId="225" dataCellStyle="Normal 2"/>
    <tableColumn id="7" xr3:uid="{00000000-0010-0000-0500-000007000000}" name="Intitulé du critère" dataDxfId="224" dataCellStyle="Normal 2"/>
    <tableColumn id="3" xr3:uid="{00000000-0010-0000-0500-000003000000}" name="Niveau" dataDxfId="223" dataCellStyle="Normal 2"/>
    <tableColumn id="4" xr3:uid="{00000000-0010-0000-0500-000004000000}" name="Tests" dataDxfId="222" dataCellStyle="Normal 2"/>
    <tableColumn id="15" xr3:uid="{00000000-0010-0000-0500-00000F000000}" name="Commentaire Général" dataDxfId="221" dataCellStyle="Normal 2"/>
    <tableColumn id="8" xr3:uid="{00000000-0010-0000-0500-000008000000}" name="Colonne1" dataDxfId="220" dataCellStyle="Normal 2"/>
    <tableColumn id="9" xr3:uid="{00000000-0010-0000-0500-000009000000}" name="Colonne2" dataDxfId="219" dataCellStyle="Normal 2"/>
    <tableColumn id="10" xr3:uid="{00000000-0010-0000-0500-00000A000000}" name="Colonne3" dataDxfId="218" dataCellStyle="Normal 2"/>
    <tableColumn id="11" xr3:uid="{00000000-0010-0000-0500-00000B000000}" name="Colonne4" dataDxfId="217" dataCellStyle="Normal 2"/>
    <tableColumn id="12" xr3:uid="{00000000-0010-0000-0500-00000C000000}" name="Colonne5" dataDxfId="216" dataCellStyle="Normal 2"/>
    <tableColumn id="13" xr3:uid="{00000000-0010-0000-0500-00000D000000}" name="Colonne6" dataDxfId="215" dataCellStyle="Normal 2"/>
    <tableColumn id="14" xr3:uid="{00000000-0010-0000-0500-00000E000000}" name="Colonne7" dataDxfId="214" dataCellStyle="Normal 2"/>
    <tableColumn id="16" xr3:uid="{00000000-0010-0000-0500-000010000000}" name="Colonne8" dataDxfId="213" dataCellStyle="Normal 2"/>
    <tableColumn id="17" xr3:uid="{00000000-0010-0000-0500-000011000000}" name="Colonne9" dataDxfId="212" dataCellStyle="Normal 2"/>
    <tableColumn id="18" xr3:uid="{00000000-0010-0000-0500-000012000000}" name="Colonne10" dataDxfId="211" dataCellStyle="Normal 2"/>
    <tableColumn id="19" xr3:uid="{00000000-0010-0000-0500-000013000000}" name="Colonne11" dataDxfId="210" dataCellStyle="Normal 2"/>
    <tableColumn id="20" xr3:uid="{00000000-0010-0000-0500-000014000000}" name="Colonne12" dataDxfId="209" dataCellStyle="Normal 2"/>
    <tableColumn id="21" xr3:uid="{00000000-0010-0000-0500-000015000000}" name="Colonne13" dataDxfId="208" dataCellStyle="Normal 2"/>
    <tableColumn id="22" xr3:uid="{00000000-0010-0000-0500-000016000000}" name="Colonne14" dataDxfId="207" dataCellStyle="Normal 2"/>
    <tableColumn id="23" xr3:uid="{00000000-0010-0000-0500-000017000000}" name="Colonne15" dataDxfId="206" dataCellStyle="Normal 2"/>
    <tableColumn id="24" xr3:uid="{00000000-0010-0000-0500-000018000000}" name="Colonne16" dataDxfId="205" dataCellStyle="Normal 2"/>
    <tableColumn id="25" xr3:uid="{00000000-0010-0000-0500-000019000000}" name="Colonne17" dataDxfId="204" dataCellStyle="Normal 2"/>
    <tableColumn id="26" xr3:uid="{00000000-0010-0000-0500-00001A000000}" name="Colonne18" dataDxfId="203" dataCellStyle="Normal 2"/>
    <tableColumn id="27" xr3:uid="{00000000-0010-0000-0500-00001B000000}" name="Colonne19" dataDxfId="202" dataCellStyle="Normal 2"/>
    <tableColumn id="28" xr3:uid="{00000000-0010-0000-0500-00001C000000}" name="Colonne20" dataDxfId="201" dataCellStyle="Normal 2"/>
    <tableColumn id="29" xr3:uid="{00000000-0010-0000-0500-00001D000000}" name="Colonne21" dataDxfId="200" dataCellStyle="Normal 2"/>
    <tableColumn id="30" xr3:uid="{00000000-0010-0000-0500-00001E000000}" name="Colonne22" dataDxfId="199" dataCellStyle="Normal 2"/>
    <tableColumn id="31" xr3:uid="{00000000-0010-0000-0500-00001F000000}" name="Colonne23" dataDxfId="198" dataCellStyle="Normal 2"/>
    <tableColumn id="32" xr3:uid="{00000000-0010-0000-0500-000020000000}" name="Colonne24" dataDxfId="197" dataCellStyle="Normal 2"/>
    <tableColumn id="33" xr3:uid="{00000000-0010-0000-0500-000021000000}" name="Colonne25" dataDxfId="196" dataCellStyle="Normal 2"/>
    <tableColumn id="34" xr3:uid="{00000000-0010-0000-0500-000022000000}" name="Colonne26" dataDxfId="195" dataCellStyle="Normal 2"/>
    <tableColumn id="35" xr3:uid="{00000000-0010-0000-0500-000023000000}" name="Colonne27" dataDxfId="194" dataCellStyle="Normal 2"/>
    <tableColumn id="36" xr3:uid="{00000000-0010-0000-0500-000024000000}" name="Colonne28" dataDxfId="193" dataCellStyle="Normal 2"/>
    <tableColumn id="37" xr3:uid="{00000000-0010-0000-0500-000025000000}" name="Colonne29" dataDxfId="192" dataCellStyle="Normal 2"/>
    <tableColumn id="38" xr3:uid="{00000000-0010-0000-0500-000026000000}" name="Colonne30" dataDxfId="191" dataCellStyle="Normal 2"/>
    <tableColumn id="39" xr3:uid="{00000000-0010-0000-0500-000027000000}" name="Colonne31" dataDxfId="190" dataCellStyle="Normal 2"/>
    <tableColumn id="40" xr3:uid="{00000000-0010-0000-0500-000028000000}" name="Colonne32" dataDxfId="189" dataCellStyle="Normal 2"/>
    <tableColumn id="41" xr3:uid="{00000000-0010-0000-0500-000029000000}" name="Colonne33" dataDxfId="188" dataCellStyle="Normal 2"/>
    <tableColumn id="42" xr3:uid="{00000000-0010-0000-0500-00002A000000}" name="Colonne34" dataDxfId="187" dataCellStyle="Normal 2"/>
    <tableColumn id="43" xr3:uid="{00000000-0010-0000-0500-00002B000000}" name="Colonne35" dataDxfId="186" dataCellStyle="Normal 2"/>
    <tableColumn id="44" xr3:uid="{00000000-0010-0000-0500-00002C000000}" name="Colonne36" dataDxfId="185" dataCellStyle="Normal 2"/>
    <tableColumn id="45" xr3:uid="{00000000-0010-0000-0500-00002D000000}" name="Colonne37" dataDxfId="184" dataCellStyle="Normal 2"/>
    <tableColumn id="46" xr3:uid="{00000000-0010-0000-0500-00002E000000}" name="Colonne38" dataDxfId="183" dataCellStyle="Normal 2"/>
    <tableColumn id="47" xr3:uid="{00000000-0010-0000-0500-00002F000000}" name="Colonne39" dataDxfId="182" dataCellStyle="Normal 2"/>
    <tableColumn id="48" xr3:uid="{00000000-0010-0000-0500-000030000000}" name="Colonne40" dataDxfId="181" dataCellStyle="Normal 2"/>
    <tableColumn id="49" xr3:uid="{00000000-0010-0000-0500-000031000000}" name="Colonne41" dataDxfId="180" dataCellStyle="Normal 2"/>
    <tableColumn id="50" xr3:uid="{00000000-0010-0000-0500-000032000000}" name="Colonne42" dataDxfId="179" dataCellStyle="Normal 2"/>
    <tableColumn id="51" xr3:uid="{00000000-0010-0000-0500-000033000000}" name="Colonne43" dataDxfId="178" dataCellStyle="Normal 2"/>
    <tableColumn id="52" xr3:uid="{00000000-0010-0000-0500-000034000000}" name="Colonne44" dataDxfId="177" dataCellStyle="Normal 2"/>
    <tableColumn id="53" xr3:uid="{00000000-0010-0000-0500-000035000000}" name="Colonne45" dataDxfId="176" dataCellStyle="Normal 2"/>
    <tableColumn id="54" xr3:uid="{00000000-0010-0000-0500-000036000000}" name="Colonne46" dataDxfId="175" dataCellStyle="Normal 2"/>
    <tableColumn id="55" xr3:uid="{00000000-0010-0000-0500-000037000000}" name="Colonne47" dataDxfId="174" dataCellStyle="Normal 2"/>
    <tableColumn id="56" xr3:uid="{00000000-0010-0000-0500-000038000000}" name="Colonne48" dataDxfId="173" dataCellStyle="Normal 2"/>
    <tableColumn id="57" xr3:uid="{00000000-0010-0000-0500-000039000000}" name="Colonne49" dataDxfId="172" dataCellStyle="Normal 2"/>
    <tableColumn id="58" xr3:uid="{00000000-0010-0000-0500-00003A000000}" name="Colonne50" dataDxfId="171" dataCellStyle="Normal 2"/>
    <tableColumn id="59" xr3:uid="{00000000-0010-0000-0500-00003B000000}" name="Colonne51" dataDxfId="170" dataCellStyle="Normal 2"/>
    <tableColumn id="60" xr3:uid="{00000000-0010-0000-0500-00003C000000}" name="Colonne52" dataDxfId="169" dataCellStyle="Normal 2"/>
    <tableColumn id="61" xr3:uid="{00000000-0010-0000-0500-00003D000000}" name="Colonne53" dataDxfId="168" dataCellStyle="Normal 2"/>
    <tableColumn id="62" xr3:uid="{00000000-0010-0000-0500-00003E000000}" name="Colonne54" dataDxfId="167" dataCellStyle="Normal 2"/>
    <tableColumn id="63" xr3:uid="{00000000-0010-0000-0500-00003F000000}" name="Colonne55" dataDxfId="166" dataCellStyle="Normal 2"/>
    <tableColumn id="64" xr3:uid="{00000000-0010-0000-0500-000040000000}" name="Colonne56" dataDxfId="165" dataCellStyle="Normal 2"/>
    <tableColumn id="65" xr3:uid="{00000000-0010-0000-0500-000041000000}" name="Colonne57" dataDxfId="164" dataCellStyle="Normal 2"/>
    <tableColumn id="66" xr3:uid="{00000000-0010-0000-0500-000042000000}" name="Colonne58" dataDxfId="163" dataCellStyle="Normal 2"/>
    <tableColumn id="67" xr3:uid="{00000000-0010-0000-0500-000043000000}" name="Colonne59" dataDxfId="162" dataCellStyle="Normal 2"/>
    <tableColumn id="68" xr3:uid="{00000000-0010-0000-0500-000044000000}" name="Colonne60" dataDxfId="161" dataCellStyle="Normal 2"/>
    <tableColumn id="69" xr3:uid="{00000000-0010-0000-0500-000045000000}" name="Colonne61" dataDxfId="160" dataCellStyle="Normal 2"/>
    <tableColumn id="70" xr3:uid="{00000000-0010-0000-0500-000046000000}" name="Colonne62" dataDxfId="159" dataCellStyle="Normal 2"/>
    <tableColumn id="71" xr3:uid="{00000000-0010-0000-0500-000047000000}" name="Colonne63" dataDxfId="158" dataCellStyle="Normal 2"/>
    <tableColumn id="72" xr3:uid="{00000000-0010-0000-0500-000048000000}" name="Colonne64" dataDxfId="157" dataCellStyle="Normal 2"/>
    <tableColumn id="73" xr3:uid="{00000000-0010-0000-0500-000049000000}" name="Colonne65" dataDxfId="156" dataCellStyle="Normal 2"/>
    <tableColumn id="74" xr3:uid="{00000000-0010-0000-0500-00004A000000}" name="Colonne66" dataDxfId="155" dataCellStyle="Normal 2"/>
    <tableColumn id="75" xr3:uid="{00000000-0010-0000-0500-00004B000000}" name="Colonne67" dataDxfId="154" dataCellStyle="Normal 2"/>
    <tableColumn id="76" xr3:uid="{00000000-0010-0000-0500-00004C000000}" name="Colonne68" dataDxfId="153" dataCellStyle="Normal 2"/>
    <tableColumn id="77" xr3:uid="{00000000-0010-0000-0500-00004D000000}" name="Colonne69" dataDxfId="152" dataCellStyle="Normal 2"/>
    <tableColumn id="78" xr3:uid="{00000000-0010-0000-0500-00004E000000}" name="Colonne70" dataDxfId="151" dataCellStyle="Normal 2"/>
    <tableColumn id="79" xr3:uid="{00000000-0010-0000-0500-00004F000000}" name="Colonne71" dataDxfId="150" dataCellStyle="Normal 2"/>
    <tableColumn id="80" xr3:uid="{00000000-0010-0000-0500-000050000000}" name="Colonne72" dataDxfId="149" dataCellStyle="Normal 2"/>
    <tableColumn id="81" xr3:uid="{00000000-0010-0000-0500-000051000000}" name="Colonne73" dataDxfId="148" dataCellStyle="Normal 2"/>
    <tableColumn id="82" xr3:uid="{00000000-0010-0000-0500-000052000000}" name="Colonne74" dataDxfId="147" dataCellStyle="Normal 2"/>
    <tableColumn id="83" xr3:uid="{00000000-0010-0000-0500-000053000000}" name="Colonne75" dataDxfId="146" dataCellStyle="Normal 2"/>
    <tableColumn id="84" xr3:uid="{00000000-0010-0000-0500-000054000000}" name="Colonne76" dataDxfId="145" dataCellStyle="Normal 2"/>
    <tableColumn id="85" xr3:uid="{00000000-0010-0000-0500-000055000000}" name="Colonne77" dataDxfId="144" dataCellStyle="Normal 2"/>
    <tableColumn id="86" xr3:uid="{00000000-0010-0000-0500-000056000000}" name="Colonne78" dataDxfId="143" dataCellStyle="Normal 2"/>
    <tableColumn id="87" xr3:uid="{00000000-0010-0000-0500-000057000000}" name="Colonne79" dataDxfId="142" dataCellStyle="Normal 2"/>
    <tableColumn id="88" xr3:uid="{00000000-0010-0000-0500-000058000000}" name="Colonne80" dataDxfId="141" dataCellStyle="Normal 2"/>
    <tableColumn id="89" xr3:uid="{00000000-0010-0000-0500-000059000000}" name="Colonne81" dataDxfId="140" dataCellStyle="Normal 2"/>
    <tableColumn id="90" xr3:uid="{00000000-0010-0000-0500-00005A000000}" name="Colonne82" dataDxfId="139" dataCellStyle="Normal 2"/>
    <tableColumn id="91" xr3:uid="{00000000-0010-0000-0500-00005B000000}" name="Colonne83" dataDxfId="138" dataCellStyle="Normal 2"/>
    <tableColumn id="92" xr3:uid="{00000000-0010-0000-0500-00005C000000}" name="Colonne84" dataDxfId="137" dataCellStyle="Normal 2"/>
    <tableColumn id="93" xr3:uid="{00000000-0010-0000-0500-00005D000000}" name="Colonne85" dataDxfId="136" dataCellStyle="Normal 2"/>
    <tableColumn id="94" xr3:uid="{00000000-0010-0000-0500-00005E000000}" name="Colonne86" dataDxfId="135" dataCellStyle="Normal 2"/>
    <tableColumn id="95" xr3:uid="{00000000-0010-0000-0500-00005F000000}" name="Colonne87" dataDxfId="134" dataCellStyle="Normal 2"/>
    <tableColumn id="96" xr3:uid="{00000000-0010-0000-0500-000060000000}" name="Colonne88" dataDxfId="133" dataCellStyle="Normal 2"/>
    <tableColumn id="97" xr3:uid="{00000000-0010-0000-0500-000061000000}" name="Colonne89" dataDxfId="132" dataCellStyle="Normal 2"/>
    <tableColumn id="98" xr3:uid="{00000000-0010-0000-0500-000062000000}" name="Colonne90" dataDxfId="131" dataCellStyle="Normal 2"/>
    <tableColumn id="99" xr3:uid="{00000000-0010-0000-0500-000063000000}" name="Colonne91" dataDxfId="130" dataCellStyle="Normal 2"/>
    <tableColumn id="100" xr3:uid="{00000000-0010-0000-0500-000064000000}" name="Colonne92" dataDxfId="129" dataCellStyle="Normal 2"/>
    <tableColumn id="101" xr3:uid="{00000000-0010-0000-0500-000065000000}" name="Colonne93" dataDxfId="128" dataCellStyle="Normal 2"/>
    <tableColumn id="102" xr3:uid="{00000000-0010-0000-0500-000066000000}" name="Colonne94" dataDxfId="127" dataCellStyle="Normal 2"/>
    <tableColumn id="103" xr3:uid="{00000000-0010-0000-0500-000067000000}" name="Colonne95" dataDxfId="126" dataCellStyle="Normal 2"/>
    <tableColumn id="104" xr3:uid="{00000000-0010-0000-0500-000068000000}" name="Colonne96" dataDxfId="125" dataCellStyle="Normal 2"/>
    <tableColumn id="105" xr3:uid="{00000000-0010-0000-0500-000069000000}" name="Colonne97" dataDxfId="124" dataCellStyle="Normal 2"/>
    <tableColumn id="106" xr3:uid="{00000000-0010-0000-0500-00006A000000}" name="Colonne98" dataDxfId="123" dataCellStyle="Normal 2"/>
    <tableColumn id="107" xr3:uid="{00000000-0010-0000-0500-00006B000000}" name="Colonne99" dataDxfId="122" dataCellStyle="Normal 2"/>
    <tableColumn id="108" xr3:uid="{00000000-0010-0000-0500-00006C000000}" name="Colonne100" dataDxfId="121" dataCellStyle="Normal 2"/>
    <tableColumn id="109" xr3:uid="{00000000-0010-0000-0500-00006D000000}" name="Colonne101" dataDxfId="120" dataCellStyle="Normal 2"/>
    <tableColumn id="110" xr3:uid="{00000000-0010-0000-0500-00006E000000}" name="Colonne102" dataDxfId="119" dataCellStyle="Normal 2"/>
    <tableColumn id="111" xr3:uid="{00000000-0010-0000-0500-00006F000000}" name="Colonne103" dataDxfId="118" dataCellStyle="Normal 2"/>
    <tableColumn id="112" xr3:uid="{00000000-0010-0000-0500-000070000000}" name="Colonne104" dataDxfId="117" dataCellStyle="Normal 2"/>
    <tableColumn id="113" xr3:uid="{00000000-0010-0000-0500-000071000000}" name="Colonne105" dataDxfId="116" dataCellStyle="Normal 2"/>
    <tableColumn id="114" xr3:uid="{00000000-0010-0000-0500-000072000000}" name="Colonne106" dataDxfId="115" dataCellStyle="Normal 2"/>
    <tableColumn id="115" xr3:uid="{00000000-0010-0000-0500-000073000000}" name="Colonne107" dataDxfId="114" dataCellStyle="Normal 2"/>
    <tableColumn id="116" xr3:uid="{00000000-0010-0000-0500-000074000000}" name="Colonne108" dataDxfId="113" dataCellStyle="Normal 2"/>
    <tableColumn id="117" xr3:uid="{00000000-0010-0000-0500-000075000000}" name="Colonne109" dataDxfId="112" dataCellStyle="Normal 2"/>
    <tableColumn id="118" xr3:uid="{00000000-0010-0000-0500-000076000000}" name="Colonne110" dataDxfId="111" dataCellStyle="Normal 2"/>
    <tableColumn id="119" xr3:uid="{00000000-0010-0000-0500-000077000000}" name="Colonne111" dataDxfId="110" dataCellStyle="Normal 2"/>
    <tableColumn id="120" xr3:uid="{00000000-0010-0000-0500-000078000000}" name="Colonne112" dataDxfId="109" dataCellStyle="Normal 2"/>
    <tableColumn id="121" xr3:uid="{00000000-0010-0000-0500-000079000000}" name="Colonne113" dataDxfId="108" dataCellStyle="Normal 2"/>
    <tableColumn id="122" xr3:uid="{00000000-0010-0000-0500-00007A000000}" name="Colonne114" dataDxfId="107" dataCellStyle="Normal 2"/>
    <tableColumn id="123" xr3:uid="{00000000-0010-0000-0500-00007B000000}" name="Colonne115" dataDxfId="106" dataCellStyle="Normal 2"/>
    <tableColumn id="124" xr3:uid="{00000000-0010-0000-0500-00007C000000}" name="Colonne116" dataDxfId="105" dataCellStyle="Normal 2"/>
    <tableColumn id="125" xr3:uid="{00000000-0010-0000-0500-00007D000000}" name="Colonne117" dataDxfId="104" dataCellStyle="Normal 2"/>
    <tableColumn id="126" xr3:uid="{00000000-0010-0000-0500-00007E000000}" name="Colonne118" dataDxfId="103" dataCellStyle="Normal 2"/>
    <tableColumn id="127" xr3:uid="{00000000-0010-0000-0500-00007F000000}" name="Colonne119" dataDxfId="102" dataCellStyle="Normal 2"/>
    <tableColumn id="128" xr3:uid="{00000000-0010-0000-0500-000080000000}" name="Colonne120" dataDxfId="101" dataCellStyle="Normal 2"/>
    <tableColumn id="129" xr3:uid="{00000000-0010-0000-0500-000081000000}" name="Colonne121" dataDxfId="100" dataCellStyle="Normal 2"/>
    <tableColumn id="130" xr3:uid="{00000000-0010-0000-0500-000082000000}" name="Colonne122" dataDxfId="99" dataCellStyle="Normal 2"/>
    <tableColumn id="131" xr3:uid="{00000000-0010-0000-0500-000083000000}" name="Colonne123" dataDxfId="98" dataCellStyle="Normal 2"/>
    <tableColumn id="132" xr3:uid="{00000000-0010-0000-0500-000084000000}" name="Colonne124" dataDxfId="97" dataCellStyle="Normal 2"/>
    <tableColumn id="133" xr3:uid="{00000000-0010-0000-0500-000085000000}" name="Colonne125" dataDxfId="96" dataCellStyle="Normal 2"/>
    <tableColumn id="134" xr3:uid="{00000000-0010-0000-0500-000086000000}" name="Colonne126" dataDxfId="95" dataCellStyle="Normal 2"/>
    <tableColumn id="135" xr3:uid="{00000000-0010-0000-0500-000087000000}" name="Colonne127" dataDxfId="94" dataCellStyle="Normal 2"/>
    <tableColumn id="136" xr3:uid="{00000000-0010-0000-0500-000088000000}" name="Colonne128" dataDxfId="93" dataCellStyle="Normal 2"/>
    <tableColumn id="137" xr3:uid="{00000000-0010-0000-0500-000089000000}" name="Colonne129" dataDxfId="92" dataCellStyle="Normal 2"/>
    <tableColumn id="138" xr3:uid="{00000000-0010-0000-0500-00008A000000}" name="Colonne130" dataDxfId="91" dataCellStyle="Normal 2"/>
    <tableColumn id="139" xr3:uid="{00000000-0010-0000-0500-00008B000000}" name="Colonne131" dataDxfId="90" dataCellStyle="Normal 2"/>
    <tableColumn id="140" xr3:uid="{00000000-0010-0000-0500-00008C000000}" name="Colonne132" dataDxfId="89" dataCellStyle="Normal 2"/>
    <tableColumn id="141" xr3:uid="{00000000-0010-0000-0500-00008D000000}" name="Colonne133" dataDxfId="88" dataCellStyle="Normal 2"/>
    <tableColumn id="142" xr3:uid="{00000000-0010-0000-0500-00008E000000}" name="Colonne134" dataDxfId="87" dataCellStyle="Normal 2"/>
    <tableColumn id="143" xr3:uid="{00000000-0010-0000-0500-00008F000000}" name="Colonne135" dataDxfId="86" dataCellStyle="Normal 2"/>
    <tableColumn id="144" xr3:uid="{00000000-0010-0000-0500-000090000000}" name="Colonne136" dataDxfId="85" dataCellStyle="Normal 2"/>
    <tableColumn id="145" xr3:uid="{00000000-0010-0000-0500-000091000000}" name="Colonne137" dataDxfId="84" dataCellStyle="Normal 2"/>
    <tableColumn id="146" xr3:uid="{00000000-0010-0000-0500-000092000000}" name="Colonne138" dataDxfId="83" dataCellStyle="Normal 2"/>
    <tableColumn id="147" xr3:uid="{00000000-0010-0000-0500-000093000000}" name="Colonne139" dataDxfId="82" dataCellStyle="Normal 2"/>
    <tableColumn id="148" xr3:uid="{00000000-0010-0000-0500-000094000000}" name="Colonne140" dataDxfId="81" dataCellStyle="Normal 2"/>
    <tableColumn id="149" xr3:uid="{00000000-0010-0000-0500-000095000000}" name="Colonne141" dataDxfId="80" dataCellStyle="Normal 2"/>
    <tableColumn id="150" xr3:uid="{00000000-0010-0000-0500-000096000000}" name="Colonne142" dataDxfId="79" dataCellStyle="Normal 2"/>
    <tableColumn id="151" xr3:uid="{00000000-0010-0000-0500-000097000000}" name="Colonne143" dataDxfId="78" dataCellStyle="Normal 2"/>
    <tableColumn id="152" xr3:uid="{00000000-0010-0000-0500-000098000000}" name="Colonne144" dataDxfId="77" dataCellStyle="Normal 2"/>
    <tableColumn id="153" xr3:uid="{00000000-0010-0000-0500-000099000000}" name="Colonne145" dataDxfId="76" dataCellStyle="Normal 2"/>
    <tableColumn id="154" xr3:uid="{00000000-0010-0000-0500-00009A000000}" name="Colonne146" dataDxfId="75" dataCellStyle="Normal 2"/>
    <tableColumn id="155" xr3:uid="{00000000-0010-0000-0500-00009B000000}" name="Colonne147" dataDxfId="74" dataCellStyle="Normal 2"/>
    <tableColumn id="156" xr3:uid="{00000000-0010-0000-0500-00009C000000}" name="Colonne148" dataDxfId="73" dataCellStyle="Normal 2"/>
    <tableColumn id="157" xr3:uid="{00000000-0010-0000-0500-00009D000000}" name="Colonne149" dataDxfId="72" dataCellStyle="Normal 2"/>
    <tableColumn id="158" xr3:uid="{00000000-0010-0000-0500-00009E000000}" name="Colonne150" dataDxfId="71" dataCellStyle="Normal 2"/>
    <tableColumn id="159" xr3:uid="{00000000-0010-0000-0500-00009F000000}" name="Colonne151" dataDxfId="70" dataCellStyle="Normal 2"/>
    <tableColumn id="160" xr3:uid="{00000000-0010-0000-0500-0000A0000000}" name="Colonne152" dataDxfId="69" dataCellStyle="Normal 2"/>
    <tableColumn id="161" xr3:uid="{00000000-0010-0000-0500-0000A1000000}" name="Colonne153" dataDxfId="68" dataCellStyle="Normal 2"/>
    <tableColumn id="162" xr3:uid="{00000000-0010-0000-0500-0000A2000000}" name="Colonne154" dataDxfId="67" dataCellStyle="Normal 2"/>
    <tableColumn id="163" xr3:uid="{00000000-0010-0000-0500-0000A3000000}" name="Colonne155" dataDxfId="66" dataCellStyle="Normal 2"/>
    <tableColumn id="164" xr3:uid="{00000000-0010-0000-0500-0000A4000000}" name="Colonne156" dataDxfId="65" dataCellStyle="Normal 2"/>
    <tableColumn id="165" xr3:uid="{00000000-0010-0000-0500-0000A5000000}" name="Colonne157" dataDxfId="64" dataCellStyle="Normal 2"/>
    <tableColumn id="166" xr3:uid="{00000000-0010-0000-0500-0000A6000000}" name="Colonne158" dataDxfId="63" dataCellStyle="Normal 2"/>
    <tableColumn id="167" xr3:uid="{00000000-0010-0000-0500-0000A7000000}" name="Colonne159" dataDxfId="62" dataCellStyle="Normal 2"/>
    <tableColumn id="168" xr3:uid="{00000000-0010-0000-0500-0000A8000000}" name="Colonne160" dataDxfId="61" dataCellStyle="Normal 2"/>
    <tableColumn id="169" xr3:uid="{00000000-0010-0000-0500-0000A9000000}" name="Colonne161" dataDxfId="60" dataCellStyle="Normal 2"/>
    <tableColumn id="170" xr3:uid="{00000000-0010-0000-0500-0000AA000000}" name="Colonne162" dataDxfId="59" dataCellStyle="Normal 2"/>
    <tableColumn id="171" xr3:uid="{00000000-0010-0000-0500-0000AB000000}" name="Colonne163" dataDxfId="58" dataCellStyle="Normal 2"/>
    <tableColumn id="172" xr3:uid="{00000000-0010-0000-0500-0000AC000000}" name="Colonne164" dataDxfId="57" dataCellStyle="Normal 2"/>
    <tableColumn id="173" xr3:uid="{00000000-0010-0000-0500-0000AD000000}" name="Colonne165" dataDxfId="56" dataCellStyle="Normal 2"/>
    <tableColumn id="174" xr3:uid="{00000000-0010-0000-0500-0000AE000000}" name="Colonne166" dataDxfId="55" dataCellStyle="Normal 2"/>
    <tableColumn id="175" xr3:uid="{00000000-0010-0000-0500-0000AF000000}" name="Colonne167" dataDxfId="54" dataCellStyle="Normal 2"/>
    <tableColumn id="176" xr3:uid="{00000000-0010-0000-0500-0000B0000000}" name="Colonne168" dataDxfId="53" dataCellStyle="Normal 2"/>
    <tableColumn id="177" xr3:uid="{00000000-0010-0000-0500-0000B1000000}" name="Colonne169" dataDxfId="52" dataCellStyle="Normal 2"/>
    <tableColumn id="178" xr3:uid="{00000000-0010-0000-0500-0000B2000000}" name="Colonne170" dataDxfId="51" dataCellStyle="Normal 2"/>
    <tableColumn id="179" xr3:uid="{00000000-0010-0000-0500-0000B3000000}" name="Colonne171" dataDxfId="50" dataCellStyle="Normal 2"/>
    <tableColumn id="180" xr3:uid="{00000000-0010-0000-0500-0000B4000000}" name="Colonne172" dataDxfId="49" dataCellStyle="Normal 2"/>
    <tableColumn id="181" xr3:uid="{00000000-0010-0000-0500-0000B5000000}" name="Colonne173" dataDxfId="48" dataCellStyle="Normal 2"/>
    <tableColumn id="182" xr3:uid="{00000000-0010-0000-0500-0000B6000000}" name="Colonne174" dataDxfId="47" dataCellStyle="Normal 2"/>
    <tableColumn id="183" xr3:uid="{00000000-0010-0000-0500-0000B7000000}" name="Colonne175" dataDxfId="46" dataCellStyle="Normal 2"/>
    <tableColumn id="184" xr3:uid="{00000000-0010-0000-0500-0000B8000000}" name="Colonne176" dataDxfId="45" dataCellStyle="Normal 2"/>
    <tableColumn id="185" xr3:uid="{00000000-0010-0000-0500-0000B9000000}" name="Colonne177" dataDxfId="44" dataCellStyle="Normal 2"/>
    <tableColumn id="186" xr3:uid="{00000000-0010-0000-0500-0000BA000000}" name="Colonne178" dataDxfId="43" dataCellStyle="Normal 2"/>
    <tableColumn id="187" xr3:uid="{00000000-0010-0000-0500-0000BB000000}" name="Colonne179" dataDxfId="42" dataCellStyle="Normal 2"/>
    <tableColumn id="188" xr3:uid="{00000000-0010-0000-0500-0000BC000000}" name="Colonne180" dataDxfId="41" dataCellStyle="Normal 2"/>
    <tableColumn id="189" xr3:uid="{00000000-0010-0000-0500-0000BD000000}" name="Colonne181" dataDxfId="40" dataCellStyle="Normal 2"/>
    <tableColumn id="190" xr3:uid="{00000000-0010-0000-0500-0000BE000000}" name="Colonne182" dataDxfId="39" dataCellStyle="Normal 2"/>
    <tableColumn id="191" xr3:uid="{00000000-0010-0000-0500-0000BF000000}" name="Colonne183" dataDxfId="38" dataCellStyle="Normal 2"/>
    <tableColumn id="192" xr3:uid="{00000000-0010-0000-0500-0000C0000000}" name="Colonne184" dataDxfId="37" dataCellStyle="Normal 2"/>
    <tableColumn id="193" xr3:uid="{00000000-0010-0000-0500-0000C1000000}" name="Colonne185" dataDxfId="36" dataCellStyle="Normal 2"/>
    <tableColumn id="194" xr3:uid="{00000000-0010-0000-0500-0000C2000000}" name="Colonne186" dataDxfId="35"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22" dataDxfId="20" headerRowBorderDxfId="21" tableBorderDxfId="19" totalsRowBorderDxfId="18" headerRowCellStyle="Normal 2">
  <autoFilter ref="B3:Q109" xr:uid="{A758DEF7-D37C-4E83-B20E-E00EA46C4967}"/>
  <tableColumns count="16">
    <tableColumn id="1" xr3:uid="{00000000-0010-0000-0600-000001000000}" name="Thématique" dataDxfId="17" dataCellStyle="Normal 2"/>
    <tableColumn id="18" xr3:uid="{E47D6B5C-C00E-40FB-BC97-CB1F011E2920}" name="Critère" dataDxfId="16" dataCellStyle="Normal 2"/>
    <tableColumn id="12" xr3:uid="{00000000-0010-0000-0600-00000C000000}" name="Intitulé du critère" dataDxfId="15" dataCellStyle="Normal 2"/>
    <tableColumn id="4" xr3:uid="{00000000-0010-0000-0600-000004000000}" name="Niveau" dataDxfId="14" dataCellStyle="Normal 2"/>
    <tableColumn id="5" xr3:uid="{00000000-0010-0000-0600-000005000000}" name="Tests" dataDxfId="13" dataCellStyle="Normal 2"/>
    <tableColumn id="6" xr3:uid="{00000000-0010-0000-0600-000006000000}" name="Méthode" dataDxfId="12" dataCellStyle="Normal 2"/>
    <tableColumn id="7" xr3:uid="{00000000-0010-0000-0600-000007000000}" name="État" dataDxfId="11"/>
    <tableColumn id="3" xr3:uid="{00000000-0010-0000-0600-000003000000}" name="Label e-accessible" dataDxfId="10" dataCellStyle="Normal 2"/>
    <tableColumn id="8" xr3:uid="{00000000-0010-0000-0600-000008000000}" name="Date" dataDxfId="9" dataCellStyle="Normal 2"/>
    <tableColumn id="9" xr3:uid="{00000000-0010-0000-0600-000009000000}" name="Correctif" dataDxfId="8" dataCellStyle="Normal 2"/>
    <tableColumn id="14" xr3:uid="{00000000-0010-0000-0600-00000E000000}" name="Exemple de code corrigé" dataDxfId="7" dataCellStyle="Normal 2"/>
    <tableColumn id="16" xr3:uid="{00000000-0010-0000-0600-000010000000}" name="Commentaires" dataDxfId="6" dataCellStyle="Normal 2"/>
    <tableColumn id="17" xr3:uid="{E01E7443-9243-4B6E-B400-FCCC0A75FE65}" name="Dérogation" dataDxfId="5" dataCellStyle="Normal 2"/>
    <tableColumn id="15" xr3:uid="{00000000-0010-0000-0600-00000F000000}" name="Erreur transverse" dataDxfId="4" dataCellStyle="Normal 2"/>
    <tableColumn id="10" xr3:uid="{00000000-0010-0000-0600-00000A000000}" name="Difficulté" dataDxfId="3" dataCellStyle="Normal 2"/>
    <tableColumn id="13" xr3:uid="{00000000-0010-0000-0600-00000D000000}" name="Priorité" dataDxfId="2"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U201"/>
  <sheetViews>
    <sheetView workbookViewId="0">
      <selection activeCell="G2" sqref="G2"/>
    </sheetView>
  </sheetViews>
  <sheetFormatPr baseColWidth="10" defaultRowHeight="15" x14ac:dyDescent="0.25"/>
  <cols>
    <col min="1" max="1" width="13.85546875" customWidth="1"/>
    <col min="2" max="2" width="16" customWidth="1"/>
    <col min="3" max="3" width="31.7109375" customWidth="1"/>
    <col min="4" max="4" width="81.5703125" customWidth="1"/>
    <col min="20" max="21" width="15.42578125" customWidth="1"/>
    <col min="27" max="27" width="16.140625" customWidth="1"/>
  </cols>
  <sheetData>
    <row r="1" spans="1:21" ht="53.45" customHeight="1" x14ac:dyDescent="0.25">
      <c r="A1" s="242" t="s">
        <v>677</v>
      </c>
      <c r="B1" s="242"/>
      <c r="C1" s="242"/>
      <c r="D1" s="242"/>
      <c r="E1" s="244"/>
      <c r="F1" s="244"/>
      <c r="G1" t="s">
        <v>678</v>
      </c>
    </row>
    <row r="2" spans="1:21" ht="26.25" x14ac:dyDescent="0.4">
      <c r="A2" s="243" t="s">
        <v>629</v>
      </c>
      <c r="B2" s="243"/>
      <c r="C2" s="243"/>
      <c r="D2" s="243"/>
      <c r="E2" s="244"/>
      <c r="F2" s="244"/>
      <c r="U2" s="3"/>
    </row>
    <row r="3" spans="1:21" ht="21" x14ac:dyDescent="0.35">
      <c r="A3" s="247"/>
      <c r="B3" s="247"/>
      <c r="C3" s="247"/>
      <c r="D3" s="247"/>
      <c r="E3" s="78"/>
      <c r="F3" s="78"/>
      <c r="G3" s="78"/>
      <c r="H3" s="78"/>
      <c r="I3" s="78"/>
      <c r="J3" s="78"/>
      <c r="K3" s="78"/>
      <c r="L3" s="78"/>
      <c r="M3" s="78"/>
      <c r="N3" s="78"/>
      <c r="O3" s="78"/>
      <c r="P3" s="78"/>
      <c r="Q3" s="78"/>
      <c r="R3" s="78"/>
      <c r="S3" s="78"/>
      <c r="T3" s="78"/>
      <c r="U3" s="77"/>
    </row>
    <row r="4" spans="1:21" s="6" customFormat="1" ht="21" x14ac:dyDescent="0.25">
      <c r="A4" s="247"/>
      <c r="B4" s="247"/>
      <c r="C4" s="247"/>
      <c r="D4" s="247"/>
      <c r="E4" s="105"/>
      <c r="F4" s="105"/>
      <c r="G4" s="105"/>
      <c r="H4" s="105"/>
      <c r="I4" s="105"/>
      <c r="J4" s="105"/>
      <c r="K4" s="105"/>
      <c r="L4" s="105"/>
      <c r="M4" s="105"/>
      <c r="N4" s="105"/>
      <c r="O4" s="105"/>
      <c r="P4" s="105"/>
      <c r="Q4" s="105"/>
      <c r="R4" s="105"/>
      <c r="S4" s="105"/>
      <c r="T4" s="105"/>
      <c r="U4" s="106"/>
    </row>
    <row r="5" spans="1:21" s="6" customFormat="1" ht="24.95" customHeight="1" x14ac:dyDescent="0.25">
      <c r="A5" s="247"/>
      <c r="B5" s="247"/>
      <c r="C5" s="247"/>
      <c r="D5" s="247"/>
    </row>
    <row r="6" spans="1:21" s="6" customFormat="1" x14ac:dyDescent="0.25">
      <c r="A6" s="247"/>
      <c r="B6" s="247"/>
      <c r="C6" s="247"/>
      <c r="D6" s="247"/>
    </row>
    <row r="7" spans="1:21" s="6" customFormat="1" ht="24.95" customHeight="1" x14ac:dyDescent="0.25">
      <c r="A7" s="245" t="s">
        <v>373</v>
      </c>
      <c r="B7" s="246"/>
      <c r="C7" s="246"/>
      <c r="D7" s="246"/>
    </row>
    <row r="8" spans="1:21" s="4" customFormat="1" ht="21" customHeight="1" x14ac:dyDescent="0.25">
      <c r="A8" s="6" t="s">
        <v>12</v>
      </c>
      <c r="B8" s="6" t="s">
        <v>13</v>
      </c>
      <c r="C8" s="6" t="s">
        <v>14</v>
      </c>
      <c r="D8" s="107" t="s">
        <v>15</v>
      </c>
    </row>
    <row r="9" spans="1:21" s="4" customFormat="1" ht="21" customHeight="1" x14ac:dyDescent="0.25">
      <c r="A9" s="121" t="s">
        <v>45</v>
      </c>
      <c r="B9" s="122" t="s">
        <v>414</v>
      </c>
      <c r="C9" s="126" t="s">
        <v>418</v>
      </c>
      <c r="D9" s="122"/>
    </row>
    <row r="10" spans="1:21" s="4" customFormat="1" ht="21" customHeight="1" x14ac:dyDescent="0.25">
      <c r="A10" s="121" t="s">
        <v>46</v>
      </c>
      <c r="B10" s="122" t="s">
        <v>419</v>
      </c>
      <c r="C10" s="125" t="s">
        <v>418</v>
      </c>
      <c r="D10" s="122"/>
    </row>
    <row r="11" spans="1:21" s="6" customFormat="1" ht="21" customHeight="1" x14ac:dyDescent="0.25">
      <c r="A11" s="121" t="s">
        <v>47</v>
      </c>
      <c r="B11" s="122" t="s">
        <v>420</v>
      </c>
      <c r="C11" s="123" t="s">
        <v>418</v>
      </c>
      <c r="D11" s="122"/>
    </row>
    <row r="12" spans="1:21" s="6" customFormat="1" x14ac:dyDescent="0.25"/>
    <row r="13" spans="1:21" s="6" customFormat="1" x14ac:dyDescent="0.25"/>
    <row r="14" spans="1:21" s="6" customFormat="1" ht="15.75" customHeight="1" x14ac:dyDescent="0.25"/>
    <row r="15" spans="1:21" s="6" customFormat="1" x14ac:dyDescent="0.25"/>
    <row r="16" spans="1:21" s="6" customFormat="1" x14ac:dyDescent="0.25">
      <c r="C16" s="104" t="s">
        <v>636</v>
      </c>
      <c r="D16" s="104"/>
    </row>
    <row r="17" spans="3:4" s="6" customFormat="1" x14ac:dyDescent="0.25">
      <c r="C17" s="108" t="s">
        <v>13</v>
      </c>
      <c r="D17" s="109" t="s">
        <v>381</v>
      </c>
    </row>
    <row r="18" spans="3:4" s="6" customFormat="1" x14ac:dyDescent="0.25">
      <c r="C18" s="119"/>
      <c r="D18" s="119"/>
    </row>
    <row r="19" spans="3:4" s="6" customFormat="1" x14ac:dyDescent="0.25">
      <c r="C19" s="120"/>
      <c r="D19" s="120"/>
    </row>
    <row r="20" spans="3:4" s="6" customFormat="1" x14ac:dyDescent="0.25">
      <c r="C20" s="119"/>
      <c r="D20" s="119"/>
    </row>
    <row r="21" spans="3:4" s="6" customFormat="1" x14ac:dyDescent="0.25">
      <c r="C21" s="120"/>
      <c r="D21" s="120"/>
    </row>
    <row r="22" spans="3:4" s="6" customFormat="1" x14ac:dyDescent="0.25">
      <c r="C22" s="119"/>
      <c r="D22" s="119"/>
    </row>
    <row r="23" spans="3:4" s="6" customFormat="1" x14ac:dyDescent="0.25">
      <c r="C23" s="120"/>
      <c r="D23" s="120"/>
    </row>
    <row r="24" spans="3:4" s="6" customFormat="1" x14ac:dyDescent="0.25">
      <c r="C24" s="119"/>
      <c r="D24" s="119"/>
    </row>
    <row r="25" spans="3:4" s="6" customFormat="1" x14ac:dyDescent="0.25">
      <c r="C25" s="120"/>
      <c r="D25" s="120"/>
    </row>
    <row r="26" spans="3:4" s="6" customFormat="1" x14ac:dyDescent="0.25">
      <c r="C26" s="119"/>
      <c r="D26" s="119"/>
    </row>
    <row r="27" spans="3:4" s="6" customFormat="1" x14ac:dyDescent="0.25"/>
    <row r="28" spans="3:4" s="6" customFormat="1" x14ac:dyDescent="0.25"/>
    <row r="29" spans="3:4" s="6" customFormat="1" x14ac:dyDescent="0.25"/>
    <row r="30" spans="3:4" s="6" customFormat="1" x14ac:dyDescent="0.25"/>
    <row r="31" spans="3:4" s="6" customFormat="1" x14ac:dyDescent="0.25"/>
    <row r="32" spans="3:4" s="6" customFormat="1" x14ac:dyDescent="0.25"/>
    <row r="33" s="6" customFormat="1" x14ac:dyDescent="0.25"/>
    <row r="34" s="6" customFormat="1" x14ac:dyDescent="0.25"/>
    <row r="35" s="6" customFormat="1" x14ac:dyDescent="0.25"/>
    <row r="36" s="6" customFormat="1" x14ac:dyDescent="0.25"/>
    <row r="37" s="6" customFormat="1" x14ac:dyDescent="0.25"/>
    <row r="38" s="6" customFormat="1" x14ac:dyDescent="0.25"/>
    <row r="39" s="6" customFormat="1" x14ac:dyDescent="0.25"/>
    <row r="40" s="6" customFormat="1" x14ac:dyDescent="0.25"/>
    <row r="41" s="6" customFormat="1" x14ac:dyDescent="0.25"/>
    <row r="42" s="6" customFormat="1" x14ac:dyDescent="0.25"/>
    <row r="43" s="6" customFormat="1" x14ac:dyDescent="0.25"/>
    <row r="44" s="6" customFormat="1" x14ac:dyDescent="0.25"/>
    <row r="45" s="6" customFormat="1" x14ac:dyDescent="0.25"/>
    <row r="46" s="6" customFormat="1" x14ac:dyDescent="0.25"/>
    <row r="47" s="6" customFormat="1" x14ac:dyDescent="0.25"/>
    <row r="48" s="6" customFormat="1" x14ac:dyDescent="0.25"/>
    <row r="49" s="6" customFormat="1" x14ac:dyDescent="0.25"/>
    <row r="50" s="6" customFormat="1" x14ac:dyDescent="0.25"/>
    <row r="51" s="6" customFormat="1" x14ac:dyDescent="0.25"/>
    <row r="52" s="6" customFormat="1" x14ac:dyDescent="0.25"/>
    <row r="53" s="6" customFormat="1" x14ac:dyDescent="0.25"/>
    <row r="54" s="6" customFormat="1" x14ac:dyDescent="0.25"/>
    <row r="55" s="6" customFormat="1" x14ac:dyDescent="0.25"/>
    <row r="56" s="6" customFormat="1" x14ac:dyDescent="0.25"/>
    <row r="57" s="6" customFormat="1" x14ac:dyDescent="0.25"/>
    <row r="58" s="6" customFormat="1" x14ac:dyDescent="0.25"/>
    <row r="59" s="6" customFormat="1" x14ac:dyDescent="0.25"/>
    <row r="60" s="6" customFormat="1" x14ac:dyDescent="0.25"/>
    <row r="61" s="6" customFormat="1" x14ac:dyDescent="0.25"/>
    <row r="62" s="6" customFormat="1" x14ac:dyDescent="0.25"/>
    <row r="63" s="6" customFormat="1" x14ac:dyDescent="0.25"/>
    <row r="64" s="6" customFormat="1" x14ac:dyDescent="0.25"/>
    <row r="65" s="6" customFormat="1" x14ac:dyDescent="0.25"/>
    <row r="66" s="6" customFormat="1" x14ac:dyDescent="0.25"/>
    <row r="67" s="6" customFormat="1" x14ac:dyDescent="0.25"/>
    <row r="68" s="6" customFormat="1" x14ac:dyDescent="0.25"/>
    <row r="69" s="6" customFormat="1" x14ac:dyDescent="0.25"/>
    <row r="70" s="6" customFormat="1" x14ac:dyDescent="0.25"/>
    <row r="71" s="6" customFormat="1" x14ac:dyDescent="0.25"/>
    <row r="72" s="6" customFormat="1" x14ac:dyDescent="0.25"/>
    <row r="73" s="6" customFormat="1" x14ac:dyDescent="0.25"/>
    <row r="74" s="6" customFormat="1" x14ac:dyDescent="0.25"/>
    <row r="75" s="6" customFormat="1" x14ac:dyDescent="0.25"/>
    <row r="76" s="6" customFormat="1" x14ac:dyDescent="0.25"/>
    <row r="77" s="6" customFormat="1" x14ac:dyDescent="0.25"/>
    <row r="78" s="6" customFormat="1" x14ac:dyDescent="0.25"/>
    <row r="79" s="6" customFormat="1" x14ac:dyDescent="0.25"/>
    <row r="80" s="6" customFormat="1" x14ac:dyDescent="0.25"/>
    <row r="81" s="6" customFormat="1" x14ac:dyDescent="0.25"/>
    <row r="82" s="6" customFormat="1" x14ac:dyDescent="0.25"/>
    <row r="83" s="6" customFormat="1" x14ac:dyDescent="0.25"/>
    <row r="84" s="6" customFormat="1" x14ac:dyDescent="0.25"/>
    <row r="85" s="6" customFormat="1" x14ac:dyDescent="0.25"/>
    <row r="86" s="6" customFormat="1" x14ac:dyDescent="0.25"/>
    <row r="87" s="6" customFormat="1" x14ac:dyDescent="0.25"/>
    <row r="88" s="6" customFormat="1" x14ac:dyDescent="0.25"/>
    <row r="89" s="6" customFormat="1" x14ac:dyDescent="0.25"/>
    <row r="90" s="6" customFormat="1" x14ac:dyDescent="0.25"/>
    <row r="91" s="6" customFormat="1" x14ac:dyDescent="0.25"/>
    <row r="92" s="6" customFormat="1" x14ac:dyDescent="0.25"/>
    <row r="93" s="6" customFormat="1" x14ac:dyDescent="0.25"/>
    <row r="94" s="6" customFormat="1" x14ac:dyDescent="0.25"/>
    <row r="95" s="6" customFormat="1" x14ac:dyDescent="0.25"/>
    <row r="96" s="6" customFormat="1" x14ac:dyDescent="0.25"/>
    <row r="97" s="6" customFormat="1" x14ac:dyDescent="0.25"/>
    <row r="98" s="6" customFormat="1" x14ac:dyDescent="0.25"/>
    <row r="99" s="6" customFormat="1" x14ac:dyDescent="0.25"/>
    <row r="100" s="6" customFormat="1" x14ac:dyDescent="0.25"/>
    <row r="101" s="6" customFormat="1" x14ac:dyDescent="0.25"/>
    <row r="102" s="6" customFormat="1" x14ac:dyDescent="0.25"/>
    <row r="103" s="6" customFormat="1" x14ac:dyDescent="0.25"/>
    <row r="104" s="6" customFormat="1" x14ac:dyDescent="0.25"/>
    <row r="105" s="6" customFormat="1" x14ac:dyDescent="0.25"/>
    <row r="106" s="6" customFormat="1" x14ac:dyDescent="0.25"/>
    <row r="107" s="6" customFormat="1" x14ac:dyDescent="0.25"/>
    <row r="108" s="6" customFormat="1" x14ac:dyDescent="0.25"/>
    <row r="109" s="6" customFormat="1" x14ac:dyDescent="0.25"/>
    <row r="110" s="6" customFormat="1" x14ac:dyDescent="0.25"/>
    <row r="111" s="6" customFormat="1" x14ac:dyDescent="0.25"/>
    <row r="112" s="6" customFormat="1" x14ac:dyDescent="0.25"/>
    <row r="113" s="6" customFormat="1" x14ac:dyDescent="0.25"/>
    <row r="114" s="6" customFormat="1" x14ac:dyDescent="0.25"/>
    <row r="115" s="6" customFormat="1" x14ac:dyDescent="0.25"/>
    <row r="116" s="6" customFormat="1" x14ac:dyDescent="0.25"/>
    <row r="117" s="6" customFormat="1" x14ac:dyDescent="0.25"/>
    <row r="118" s="6" customFormat="1" x14ac:dyDescent="0.25"/>
    <row r="119" s="6" customFormat="1" x14ac:dyDescent="0.25"/>
    <row r="120" s="6" customFormat="1" x14ac:dyDescent="0.25"/>
    <row r="121" s="6" customFormat="1" x14ac:dyDescent="0.25"/>
    <row r="122" s="6" customFormat="1" x14ac:dyDescent="0.25"/>
    <row r="123" s="6" customFormat="1" x14ac:dyDescent="0.25"/>
    <row r="124" s="6" customFormat="1" x14ac:dyDescent="0.25"/>
    <row r="125" s="6" customFormat="1" x14ac:dyDescent="0.25"/>
    <row r="126" s="6" customFormat="1" x14ac:dyDescent="0.25"/>
    <row r="127" s="6" customFormat="1" x14ac:dyDescent="0.25"/>
    <row r="128" s="6" customFormat="1" x14ac:dyDescent="0.25"/>
    <row r="129" s="6" customFormat="1" x14ac:dyDescent="0.25"/>
    <row r="130" s="6" customFormat="1" x14ac:dyDescent="0.25"/>
    <row r="131" s="6" customFormat="1" x14ac:dyDescent="0.25"/>
    <row r="132" s="6" customFormat="1" x14ac:dyDescent="0.25"/>
    <row r="133" s="6" customFormat="1" x14ac:dyDescent="0.25"/>
    <row r="134" s="6" customFormat="1" x14ac:dyDescent="0.25"/>
    <row r="135" s="6" customFormat="1" x14ac:dyDescent="0.25"/>
    <row r="136" s="6" customFormat="1" x14ac:dyDescent="0.25"/>
    <row r="137" s="6" customFormat="1" x14ac:dyDescent="0.25"/>
    <row r="138" s="6" customFormat="1" x14ac:dyDescent="0.25"/>
    <row r="139" s="6" customFormat="1" x14ac:dyDescent="0.25"/>
    <row r="140" s="6" customFormat="1" x14ac:dyDescent="0.25"/>
    <row r="141" s="6" customFormat="1" x14ac:dyDescent="0.25"/>
    <row r="142" s="6" customFormat="1" x14ac:dyDescent="0.25"/>
    <row r="143" s="6" customFormat="1" x14ac:dyDescent="0.25"/>
    <row r="144" s="6" customFormat="1" x14ac:dyDescent="0.25"/>
    <row r="145" s="6" customFormat="1" x14ac:dyDescent="0.25"/>
    <row r="146" s="6" customFormat="1" x14ac:dyDescent="0.25"/>
    <row r="147" s="6" customFormat="1" x14ac:dyDescent="0.25"/>
    <row r="148" s="6" customFormat="1" x14ac:dyDescent="0.25"/>
    <row r="149" s="6" customFormat="1" x14ac:dyDescent="0.25"/>
    <row r="150" s="6" customFormat="1" x14ac:dyDescent="0.25"/>
    <row r="151" s="6" customFormat="1" x14ac:dyDescent="0.25"/>
    <row r="152" s="6" customFormat="1" x14ac:dyDescent="0.25"/>
    <row r="153" s="6" customFormat="1" x14ac:dyDescent="0.25"/>
    <row r="154" s="6" customFormat="1" x14ac:dyDescent="0.25"/>
    <row r="155" s="6" customFormat="1" x14ac:dyDescent="0.25"/>
    <row r="156" s="6" customFormat="1" x14ac:dyDescent="0.25"/>
    <row r="157" s="6" customFormat="1" x14ac:dyDescent="0.25"/>
    <row r="158" s="6" customFormat="1" x14ac:dyDescent="0.25"/>
    <row r="159" s="6" customFormat="1" x14ac:dyDescent="0.25"/>
    <row r="160" s="6" customFormat="1" x14ac:dyDescent="0.25"/>
    <row r="161" s="6" customFormat="1" x14ac:dyDescent="0.25"/>
    <row r="162" s="6" customFormat="1" x14ac:dyDescent="0.25"/>
    <row r="163" s="6" customFormat="1" x14ac:dyDescent="0.25"/>
    <row r="164" s="6" customFormat="1" x14ac:dyDescent="0.25"/>
    <row r="165" s="6" customFormat="1" x14ac:dyDescent="0.25"/>
    <row r="166" s="6" customFormat="1" x14ac:dyDescent="0.25"/>
    <row r="167" s="6" customFormat="1" x14ac:dyDescent="0.25"/>
    <row r="168" s="6" customFormat="1" x14ac:dyDescent="0.25"/>
    <row r="169" s="6" customFormat="1" x14ac:dyDescent="0.25"/>
    <row r="170" s="6" customFormat="1" x14ac:dyDescent="0.25"/>
    <row r="171" s="6" customFormat="1" x14ac:dyDescent="0.25"/>
    <row r="172" s="6" customFormat="1" x14ac:dyDescent="0.25"/>
    <row r="173" s="6" customFormat="1" x14ac:dyDescent="0.25"/>
    <row r="174" s="6" customFormat="1" x14ac:dyDescent="0.25"/>
    <row r="175" s="6" customFormat="1" x14ac:dyDescent="0.25"/>
    <row r="176" s="6" customFormat="1" x14ac:dyDescent="0.25"/>
    <row r="177" s="6" customFormat="1" x14ac:dyDescent="0.25"/>
    <row r="178" s="6" customFormat="1" x14ac:dyDescent="0.25"/>
    <row r="179" s="6" customFormat="1" x14ac:dyDescent="0.25"/>
    <row r="180" s="6" customFormat="1" x14ac:dyDescent="0.25"/>
    <row r="181" s="6" customFormat="1" x14ac:dyDescent="0.25"/>
    <row r="182" s="6" customFormat="1" x14ac:dyDescent="0.25"/>
    <row r="183" s="6" customFormat="1" x14ac:dyDescent="0.25"/>
    <row r="184" s="6" customFormat="1" x14ac:dyDescent="0.25"/>
    <row r="185" s="6" customFormat="1" x14ac:dyDescent="0.25"/>
    <row r="186" s="6" customFormat="1" x14ac:dyDescent="0.25"/>
    <row r="187" s="6" customFormat="1" x14ac:dyDescent="0.25"/>
    <row r="188" s="6" customFormat="1" x14ac:dyDescent="0.25"/>
    <row r="189" s="6" customFormat="1" x14ac:dyDescent="0.25"/>
    <row r="190" s="6" customFormat="1" x14ac:dyDescent="0.25"/>
    <row r="191" s="6" customFormat="1" x14ac:dyDescent="0.25"/>
    <row r="192" s="6" customFormat="1" x14ac:dyDescent="0.25"/>
    <row r="193" spans="1:4" s="6" customFormat="1" x14ac:dyDescent="0.25"/>
    <row r="194" spans="1:4" s="6" customFormat="1" x14ac:dyDescent="0.25"/>
    <row r="195" spans="1:4" s="6" customFormat="1" x14ac:dyDescent="0.25"/>
    <row r="196" spans="1:4" s="6" customFormat="1" x14ac:dyDescent="0.25"/>
    <row r="197" spans="1:4" s="6" customFormat="1" x14ac:dyDescent="0.25">
      <c r="A197"/>
      <c r="B197"/>
    </row>
    <row r="198" spans="1:4" s="6" customFormat="1" x14ac:dyDescent="0.25">
      <c r="A198"/>
      <c r="B198"/>
      <c r="C198"/>
      <c r="D198"/>
    </row>
    <row r="199" spans="1:4" s="6" customFormat="1" x14ac:dyDescent="0.25">
      <c r="A199"/>
      <c r="B199"/>
      <c r="C199"/>
      <c r="D199"/>
    </row>
    <row r="200" spans="1:4" s="6" customFormat="1" x14ac:dyDescent="0.25">
      <c r="A200"/>
      <c r="B200"/>
      <c r="C200"/>
      <c r="D200"/>
    </row>
    <row r="201" spans="1:4" s="6" customFormat="1" x14ac:dyDescent="0.25">
      <c r="A201"/>
      <c r="B201"/>
      <c r="C201"/>
      <c r="D201"/>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tabSelected="1" zoomScaleNormal="100" workbookViewId="0">
      <pane ySplit="3" topLeftCell="A67" activePane="bottomLeft" state="frozen"/>
      <selection pane="bottomLeft" activeCell="F70" sqref="F70"/>
    </sheetView>
  </sheetViews>
  <sheetFormatPr baseColWidth="10" defaultColWidth="11.5703125" defaultRowHeight="11.25" x14ac:dyDescent="0.25"/>
  <cols>
    <col min="1" max="1" width="3.28515625" style="8" customWidth="1"/>
    <col min="2" max="2" width="11.28515625" style="60" customWidth="1"/>
    <col min="3" max="3" width="9" style="60" customWidth="1"/>
    <col min="4" max="4" width="32.7109375" style="9" bestFit="1" customWidth="1"/>
    <col min="5" max="5" width="5.85546875" style="8" customWidth="1"/>
    <col min="6" max="6" width="65" style="60" customWidth="1"/>
    <col min="7" max="7" width="9" style="9" customWidth="1"/>
    <col min="8" max="8" width="9.42578125" style="9" bestFit="1" customWidth="1"/>
    <col min="9" max="9" width="9.42578125" style="9" customWidth="1"/>
    <col min="10" max="10" width="10.85546875" style="8" customWidth="1"/>
    <col min="11" max="13" width="36.28515625" style="8" customWidth="1"/>
    <col min="14" max="14" width="21" style="8" customWidth="1"/>
    <col min="15" max="15" width="12.7109375" style="8" customWidth="1"/>
    <col min="16" max="16384" width="11.5703125" style="8"/>
  </cols>
  <sheetData>
    <row r="1" spans="2:20" ht="21" x14ac:dyDescent="0.25">
      <c r="B1" s="47"/>
      <c r="C1" s="58"/>
      <c r="D1" s="43"/>
      <c r="E1" s="44"/>
      <c r="F1" s="44"/>
      <c r="G1" s="43"/>
      <c r="H1" s="44"/>
      <c r="I1" s="44"/>
      <c r="J1" s="44"/>
      <c r="K1" s="44"/>
      <c r="L1" s="44"/>
      <c r="M1" s="44"/>
      <c r="N1" s="44"/>
      <c r="O1" s="44"/>
      <c r="P1" s="45" t="s">
        <v>18</v>
      </c>
      <c r="Q1" s="46"/>
    </row>
    <row r="2" spans="2:20" x14ac:dyDescent="0.25">
      <c r="B2" s="8"/>
      <c r="C2" s="59"/>
      <c r="F2" s="8"/>
      <c r="H2" s="10"/>
      <c r="I2" s="10"/>
    </row>
    <row r="3" spans="2:20" ht="22.5" x14ac:dyDescent="0.25">
      <c r="B3" s="200" t="s">
        <v>0</v>
      </c>
      <c r="C3" s="201" t="s">
        <v>258</v>
      </c>
      <c r="D3" s="201" t="s">
        <v>232</v>
      </c>
      <c r="E3" s="202" t="s">
        <v>21</v>
      </c>
      <c r="F3" s="201" t="s">
        <v>609</v>
      </c>
      <c r="G3" s="201" t="s">
        <v>30</v>
      </c>
      <c r="H3" s="201" t="s">
        <v>19</v>
      </c>
      <c r="I3" s="201" t="s">
        <v>247</v>
      </c>
      <c r="J3" s="201" t="s">
        <v>20</v>
      </c>
      <c r="K3" s="201" t="s">
        <v>404</v>
      </c>
      <c r="L3" s="201" t="s">
        <v>669</v>
      </c>
      <c r="M3" s="201" t="s">
        <v>381</v>
      </c>
      <c r="N3" s="201" t="s">
        <v>517</v>
      </c>
      <c r="O3" s="201" t="s">
        <v>403</v>
      </c>
      <c r="P3" s="201" t="s">
        <v>25</v>
      </c>
      <c r="Q3" s="203" t="s">
        <v>248</v>
      </c>
    </row>
    <row r="4" spans="2:20" ht="50.25" customHeight="1" x14ac:dyDescent="0.25">
      <c r="B4" s="204" t="s">
        <v>3</v>
      </c>
      <c r="C4" s="167" t="s">
        <v>260</v>
      </c>
      <c r="D4" s="139" t="s">
        <v>431</v>
      </c>
      <c r="E4" s="170" t="s">
        <v>22</v>
      </c>
      <c r="F4" s="147" t="s">
        <v>679</v>
      </c>
      <c r="G4" s="170" t="s">
        <v>31</v>
      </c>
      <c r="H4" s="205" t="s">
        <v>40</v>
      </c>
      <c r="I4" s="206"/>
      <c r="J4" s="170"/>
      <c r="K4" s="165"/>
      <c r="L4" s="165"/>
      <c r="M4" s="165"/>
      <c r="N4" s="165"/>
      <c r="O4" s="165"/>
      <c r="P4" s="170"/>
      <c r="Q4" s="207"/>
      <c r="S4" s="248" t="s">
        <v>668</v>
      </c>
      <c r="T4" s="248"/>
    </row>
    <row r="5" spans="2:20" ht="50.25" customHeight="1" x14ac:dyDescent="0.25">
      <c r="B5" s="204" t="s">
        <v>3</v>
      </c>
      <c r="C5" s="169" t="s">
        <v>262</v>
      </c>
      <c r="D5" s="143" t="s">
        <v>432</v>
      </c>
      <c r="E5" s="172" t="s">
        <v>22</v>
      </c>
      <c r="F5" s="198" t="s">
        <v>518</v>
      </c>
      <c r="G5" s="172" t="s">
        <v>31</v>
      </c>
      <c r="H5" s="208" t="s">
        <v>40</v>
      </c>
      <c r="I5" s="209"/>
      <c r="J5" s="172"/>
      <c r="K5" s="199"/>
      <c r="L5" s="199"/>
      <c r="M5" s="199"/>
      <c r="N5" s="199"/>
      <c r="O5" s="199"/>
      <c r="P5" s="172"/>
      <c r="Q5" s="210"/>
    </row>
    <row r="6" spans="2:20" ht="50.25" customHeight="1" x14ac:dyDescent="0.25">
      <c r="B6" s="204" t="s">
        <v>3</v>
      </c>
      <c r="C6" s="167" t="s">
        <v>263</v>
      </c>
      <c r="D6" s="139" t="s">
        <v>433</v>
      </c>
      <c r="E6" s="170" t="s">
        <v>22</v>
      </c>
      <c r="F6" s="144" t="s">
        <v>680</v>
      </c>
      <c r="G6" s="170" t="s">
        <v>31</v>
      </c>
      <c r="H6" s="205" t="s">
        <v>40</v>
      </c>
      <c r="I6" s="211"/>
      <c r="J6" s="170"/>
      <c r="K6" s="165"/>
      <c r="L6" s="165"/>
      <c r="M6" s="165"/>
      <c r="N6" s="165"/>
      <c r="O6" s="165"/>
      <c r="P6" s="170"/>
      <c r="Q6" s="207"/>
    </row>
    <row r="7" spans="2:20" ht="50.25" customHeight="1" x14ac:dyDescent="0.25">
      <c r="B7" s="204" t="s">
        <v>3</v>
      </c>
      <c r="C7" s="169" t="s">
        <v>264</v>
      </c>
      <c r="D7" s="143" t="s">
        <v>231</v>
      </c>
      <c r="E7" s="172" t="s">
        <v>22</v>
      </c>
      <c r="F7" s="141" t="s">
        <v>519</v>
      </c>
      <c r="G7" s="172" t="s">
        <v>31</v>
      </c>
      <c r="H7" s="208" t="s">
        <v>40</v>
      </c>
      <c r="I7" s="209"/>
      <c r="J7" s="172"/>
      <c r="K7" s="199"/>
      <c r="L7" s="199"/>
      <c r="M7" s="199"/>
      <c r="N7" s="199"/>
      <c r="O7" s="199"/>
      <c r="P7" s="172"/>
      <c r="Q7" s="210"/>
    </row>
    <row r="8" spans="2:20" ht="50.25" customHeight="1" x14ac:dyDescent="0.25">
      <c r="B8" s="204" t="s">
        <v>3</v>
      </c>
      <c r="C8" s="167" t="s">
        <v>265</v>
      </c>
      <c r="D8" s="139" t="s">
        <v>434</v>
      </c>
      <c r="E8" s="170" t="s">
        <v>22</v>
      </c>
      <c r="F8" s="144" t="s">
        <v>520</v>
      </c>
      <c r="G8" s="170" t="s">
        <v>31</v>
      </c>
      <c r="H8" s="205" t="s">
        <v>40</v>
      </c>
      <c r="I8" s="211"/>
      <c r="J8" s="170"/>
      <c r="K8" s="165"/>
      <c r="L8" s="165"/>
      <c r="M8" s="165"/>
      <c r="N8" s="165"/>
      <c r="O8" s="165"/>
      <c r="P8" s="170"/>
      <c r="Q8" s="207"/>
    </row>
    <row r="9" spans="2:20" ht="50.25" customHeight="1" x14ac:dyDescent="0.25">
      <c r="B9" s="204" t="s">
        <v>3</v>
      </c>
      <c r="C9" s="169" t="s">
        <v>266</v>
      </c>
      <c r="D9" s="143" t="s">
        <v>435</v>
      </c>
      <c r="E9" s="172" t="s">
        <v>22</v>
      </c>
      <c r="F9" s="198" t="s">
        <v>521</v>
      </c>
      <c r="G9" s="172" t="s">
        <v>31</v>
      </c>
      <c r="H9" s="208" t="s">
        <v>40</v>
      </c>
      <c r="I9" s="209"/>
      <c r="J9" s="172"/>
      <c r="K9" s="199"/>
      <c r="L9" s="199"/>
      <c r="M9" s="199"/>
      <c r="N9" s="199"/>
      <c r="O9" s="199"/>
      <c r="P9" s="172"/>
      <c r="Q9" s="210"/>
    </row>
    <row r="10" spans="2:20" ht="50.25" customHeight="1" x14ac:dyDescent="0.25">
      <c r="B10" s="204" t="s">
        <v>3</v>
      </c>
      <c r="C10" s="167" t="s">
        <v>267</v>
      </c>
      <c r="D10" s="139" t="s">
        <v>436</v>
      </c>
      <c r="E10" s="170" t="s">
        <v>22</v>
      </c>
      <c r="F10" s="144" t="s">
        <v>522</v>
      </c>
      <c r="G10" s="170" t="s">
        <v>31</v>
      </c>
      <c r="H10" s="205" t="s">
        <v>40</v>
      </c>
      <c r="I10" s="211"/>
      <c r="J10" s="170"/>
      <c r="K10" s="165"/>
      <c r="L10" s="165"/>
      <c r="M10" s="165"/>
      <c r="N10" s="165"/>
      <c r="O10" s="165"/>
      <c r="P10" s="170"/>
      <c r="Q10" s="207"/>
    </row>
    <row r="11" spans="2:20" ht="50.25" customHeight="1" x14ac:dyDescent="0.25">
      <c r="B11" s="204" t="s">
        <v>3</v>
      </c>
      <c r="C11" s="169" t="s">
        <v>269</v>
      </c>
      <c r="D11" s="143" t="s">
        <v>437</v>
      </c>
      <c r="E11" s="172" t="s">
        <v>23</v>
      </c>
      <c r="F11" s="198" t="s">
        <v>681</v>
      </c>
      <c r="G11" s="172" t="s">
        <v>31</v>
      </c>
      <c r="H11" s="208" t="s">
        <v>40</v>
      </c>
      <c r="I11" s="209"/>
      <c r="J11" s="172"/>
      <c r="K11" s="199"/>
      <c r="L11" s="199"/>
      <c r="M11" s="199"/>
      <c r="N11" s="199"/>
      <c r="O11" s="199"/>
      <c r="P11" s="172"/>
      <c r="Q11" s="210"/>
    </row>
    <row r="12" spans="2:20" ht="50.25" customHeight="1" x14ac:dyDescent="0.25">
      <c r="B12" s="204" t="s">
        <v>3</v>
      </c>
      <c r="C12" s="167" t="s">
        <v>271</v>
      </c>
      <c r="D12" s="139" t="s">
        <v>438</v>
      </c>
      <c r="E12" s="170" t="s">
        <v>22</v>
      </c>
      <c r="F12" s="147" t="s">
        <v>523</v>
      </c>
      <c r="G12" s="170" t="s">
        <v>31</v>
      </c>
      <c r="H12" s="205" t="s">
        <v>40</v>
      </c>
      <c r="I12" s="211"/>
      <c r="J12" s="170"/>
      <c r="K12" s="165"/>
      <c r="L12" s="165"/>
      <c r="M12" s="165"/>
      <c r="N12" s="165"/>
      <c r="O12" s="165"/>
      <c r="P12" s="170"/>
      <c r="Q12" s="207"/>
    </row>
    <row r="13" spans="2:20" ht="50.25" customHeight="1" x14ac:dyDescent="0.25">
      <c r="B13" s="212" t="s">
        <v>37</v>
      </c>
      <c r="C13" s="168" t="s">
        <v>272</v>
      </c>
      <c r="D13" s="140" t="s">
        <v>421</v>
      </c>
      <c r="E13" s="171" t="s">
        <v>22</v>
      </c>
      <c r="F13" s="146" t="s">
        <v>524</v>
      </c>
      <c r="G13" s="171" t="s">
        <v>31</v>
      </c>
      <c r="H13" s="213" t="s">
        <v>40</v>
      </c>
      <c r="I13" s="214"/>
      <c r="J13" s="171"/>
      <c r="K13" s="166"/>
      <c r="L13" s="166"/>
      <c r="M13" s="166"/>
      <c r="N13" s="166"/>
      <c r="O13" s="166"/>
      <c r="P13" s="171"/>
      <c r="Q13" s="215"/>
    </row>
    <row r="14" spans="2:20" ht="50.25" customHeight="1" x14ac:dyDescent="0.25">
      <c r="B14" s="212" t="s">
        <v>37</v>
      </c>
      <c r="C14" s="167" t="s">
        <v>273</v>
      </c>
      <c r="D14" s="139" t="s">
        <v>422</v>
      </c>
      <c r="E14" s="170" t="s">
        <v>22</v>
      </c>
      <c r="F14" s="147" t="s">
        <v>525</v>
      </c>
      <c r="G14" s="170" t="s">
        <v>31</v>
      </c>
      <c r="H14" s="205" t="s">
        <v>40</v>
      </c>
      <c r="I14" s="211"/>
      <c r="J14" s="170"/>
      <c r="K14" s="165"/>
      <c r="L14" s="165"/>
      <c r="M14" s="165"/>
      <c r="N14" s="165"/>
      <c r="O14" s="165"/>
      <c r="P14" s="170"/>
      <c r="Q14" s="207"/>
    </row>
    <row r="15" spans="2:20" ht="50.25" customHeight="1" x14ac:dyDescent="0.25">
      <c r="B15" s="204" t="s">
        <v>1</v>
      </c>
      <c r="C15" s="168" t="s">
        <v>274</v>
      </c>
      <c r="D15" s="140" t="s">
        <v>439</v>
      </c>
      <c r="E15" s="171" t="s">
        <v>22</v>
      </c>
      <c r="F15" s="146" t="s">
        <v>526</v>
      </c>
      <c r="G15" s="171" t="s">
        <v>31</v>
      </c>
      <c r="H15" s="213" t="s">
        <v>40</v>
      </c>
      <c r="I15" s="214"/>
      <c r="J15" s="171"/>
      <c r="K15" s="166"/>
      <c r="L15" s="166"/>
      <c r="M15" s="166"/>
      <c r="N15" s="166"/>
      <c r="O15" s="166"/>
      <c r="P15" s="171"/>
      <c r="Q15" s="215"/>
    </row>
    <row r="16" spans="2:20" ht="50.25" customHeight="1" x14ac:dyDescent="0.25">
      <c r="B16" s="204" t="s">
        <v>1</v>
      </c>
      <c r="C16" s="167" t="s">
        <v>275</v>
      </c>
      <c r="D16" s="139" t="s">
        <v>440</v>
      </c>
      <c r="E16" s="170" t="s">
        <v>23</v>
      </c>
      <c r="F16" s="144" t="s">
        <v>527</v>
      </c>
      <c r="G16" s="170" t="s">
        <v>31</v>
      </c>
      <c r="H16" s="205" t="s">
        <v>40</v>
      </c>
      <c r="I16" s="211"/>
      <c r="J16" s="170"/>
      <c r="K16" s="165"/>
      <c r="L16" s="165"/>
      <c r="M16" s="165"/>
      <c r="N16" s="165"/>
      <c r="O16" s="165"/>
      <c r="P16" s="170"/>
      <c r="Q16" s="207"/>
    </row>
    <row r="17" spans="2:17" ht="50.25" customHeight="1" x14ac:dyDescent="0.25">
      <c r="B17" s="204" t="s">
        <v>1</v>
      </c>
      <c r="C17" s="168" t="s">
        <v>276</v>
      </c>
      <c r="D17" s="140" t="s">
        <v>441</v>
      </c>
      <c r="E17" s="171" t="s">
        <v>23</v>
      </c>
      <c r="F17" s="146" t="s">
        <v>528</v>
      </c>
      <c r="G17" s="171" t="s">
        <v>31</v>
      </c>
      <c r="H17" s="213" t="s">
        <v>40</v>
      </c>
      <c r="I17" s="214"/>
      <c r="J17" s="171"/>
      <c r="K17" s="166"/>
      <c r="L17" s="166"/>
      <c r="M17" s="166"/>
      <c r="N17" s="166"/>
      <c r="O17" s="166"/>
      <c r="P17" s="171"/>
      <c r="Q17" s="215"/>
    </row>
    <row r="18" spans="2:17" ht="50.25" customHeight="1" x14ac:dyDescent="0.25">
      <c r="B18" s="212" t="s">
        <v>4</v>
      </c>
      <c r="C18" s="167" t="s">
        <v>277</v>
      </c>
      <c r="D18" s="139" t="s">
        <v>442</v>
      </c>
      <c r="E18" s="170" t="s">
        <v>22</v>
      </c>
      <c r="F18" s="144" t="s">
        <v>529</v>
      </c>
      <c r="G18" s="170" t="s">
        <v>31</v>
      </c>
      <c r="H18" s="205" t="s">
        <v>40</v>
      </c>
      <c r="I18" s="211"/>
      <c r="J18" s="170"/>
      <c r="K18" s="165"/>
      <c r="L18" s="165"/>
      <c r="M18" s="165"/>
      <c r="N18" s="165"/>
      <c r="O18" s="165"/>
      <c r="P18" s="170"/>
      <c r="Q18" s="207"/>
    </row>
    <row r="19" spans="2:17" ht="50.25" customHeight="1" x14ac:dyDescent="0.25">
      <c r="B19" s="212" t="s">
        <v>4</v>
      </c>
      <c r="C19" s="169" t="s">
        <v>278</v>
      </c>
      <c r="D19" s="143" t="s">
        <v>443</v>
      </c>
      <c r="E19" s="172" t="s">
        <v>22</v>
      </c>
      <c r="F19" s="198" t="s">
        <v>530</v>
      </c>
      <c r="G19" s="172" t="s">
        <v>31</v>
      </c>
      <c r="H19" s="208" t="s">
        <v>40</v>
      </c>
      <c r="I19" s="209"/>
      <c r="J19" s="172"/>
      <c r="K19" s="199"/>
      <c r="L19" s="199"/>
      <c r="M19" s="199"/>
      <c r="N19" s="199"/>
      <c r="O19" s="199"/>
      <c r="P19" s="172"/>
      <c r="Q19" s="210"/>
    </row>
    <row r="20" spans="2:17" ht="50.25" customHeight="1" x14ac:dyDescent="0.25">
      <c r="B20" s="212" t="s">
        <v>4</v>
      </c>
      <c r="C20" s="167" t="s">
        <v>279</v>
      </c>
      <c r="D20" s="139" t="s">
        <v>444</v>
      </c>
      <c r="E20" s="170" t="s">
        <v>22</v>
      </c>
      <c r="F20" s="144" t="s">
        <v>531</v>
      </c>
      <c r="G20" s="170" t="s">
        <v>31</v>
      </c>
      <c r="H20" s="205" t="s">
        <v>40</v>
      </c>
      <c r="I20" s="211"/>
      <c r="J20" s="170"/>
      <c r="K20" s="165"/>
      <c r="L20" s="165"/>
      <c r="M20" s="165"/>
      <c r="N20" s="165"/>
      <c r="O20" s="165"/>
      <c r="P20" s="170"/>
      <c r="Q20" s="207"/>
    </row>
    <row r="21" spans="2:17" ht="50.25" customHeight="1" x14ac:dyDescent="0.25">
      <c r="B21" s="212" t="s">
        <v>4</v>
      </c>
      <c r="C21" s="169" t="s">
        <v>280</v>
      </c>
      <c r="D21" s="143" t="s">
        <v>445</v>
      </c>
      <c r="E21" s="172" t="s">
        <v>22</v>
      </c>
      <c r="F21" s="198" t="s">
        <v>532</v>
      </c>
      <c r="G21" s="172" t="s">
        <v>31</v>
      </c>
      <c r="H21" s="208" t="s">
        <v>40</v>
      </c>
      <c r="I21" s="209"/>
      <c r="J21" s="172"/>
      <c r="K21" s="199"/>
      <c r="L21" s="199"/>
      <c r="M21" s="199"/>
      <c r="N21" s="199"/>
      <c r="O21" s="199"/>
      <c r="P21" s="172"/>
      <c r="Q21" s="210"/>
    </row>
    <row r="22" spans="2:17" ht="50.25" customHeight="1" x14ac:dyDescent="0.25">
      <c r="B22" s="212" t="s">
        <v>4</v>
      </c>
      <c r="C22" s="167" t="s">
        <v>281</v>
      </c>
      <c r="D22" s="139" t="s">
        <v>446</v>
      </c>
      <c r="E22" s="170" t="s">
        <v>23</v>
      </c>
      <c r="F22" s="144" t="s">
        <v>533</v>
      </c>
      <c r="G22" s="170" t="s">
        <v>31</v>
      </c>
      <c r="H22" s="205" t="s">
        <v>40</v>
      </c>
      <c r="I22" s="211"/>
      <c r="J22" s="170"/>
      <c r="K22" s="165"/>
      <c r="L22" s="165"/>
      <c r="M22" s="165"/>
      <c r="N22" s="165"/>
      <c r="O22" s="165"/>
      <c r="P22" s="170"/>
      <c r="Q22" s="207"/>
    </row>
    <row r="23" spans="2:17" ht="50.25" customHeight="1" x14ac:dyDescent="0.25">
      <c r="B23" s="212" t="s">
        <v>4</v>
      </c>
      <c r="C23" s="169" t="s">
        <v>282</v>
      </c>
      <c r="D23" s="143" t="s">
        <v>447</v>
      </c>
      <c r="E23" s="172" t="s">
        <v>23</v>
      </c>
      <c r="F23" s="198" t="s">
        <v>534</v>
      </c>
      <c r="G23" s="172" t="s">
        <v>31</v>
      </c>
      <c r="H23" s="208" t="s">
        <v>40</v>
      </c>
      <c r="I23" s="209"/>
      <c r="J23" s="172"/>
      <c r="K23" s="199"/>
      <c r="L23" s="199"/>
      <c r="M23" s="199"/>
      <c r="N23" s="199"/>
      <c r="O23" s="199"/>
      <c r="P23" s="172"/>
      <c r="Q23" s="210"/>
    </row>
    <row r="24" spans="2:17" ht="50.25" customHeight="1" x14ac:dyDescent="0.25">
      <c r="B24" s="212" t="s">
        <v>4</v>
      </c>
      <c r="C24" s="169" t="s">
        <v>283</v>
      </c>
      <c r="D24" s="143" t="s">
        <v>448</v>
      </c>
      <c r="E24" s="172" t="s">
        <v>22</v>
      </c>
      <c r="F24" s="198" t="s">
        <v>535</v>
      </c>
      <c r="G24" s="170" t="s">
        <v>31</v>
      </c>
      <c r="H24" s="205" t="s">
        <v>40</v>
      </c>
      <c r="I24" s="211"/>
      <c r="J24" s="170"/>
      <c r="K24" s="165"/>
      <c r="L24" s="165"/>
      <c r="M24" s="165"/>
      <c r="N24" s="165"/>
      <c r="O24" s="165"/>
      <c r="P24" s="170"/>
      <c r="Q24" s="207"/>
    </row>
    <row r="25" spans="2:17" ht="50.25" customHeight="1" x14ac:dyDescent="0.25">
      <c r="B25" s="212" t="s">
        <v>4</v>
      </c>
      <c r="C25" s="169" t="s">
        <v>284</v>
      </c>
      <c r="D25" s="143" t="s">
        <v>449</v>
      </c>
      <c r="E25" s="172" t="s">
        <v>22</v>
      </c>
      <c r="F25" s="141" t="s">
        <v>682</v>
      </c>
      <c r="G25" s="172" t="s">
        <v>31</v>
      </c>
      <c r="H25" s="208" t="s">
        <v>40</v>
      </c>
      <c r="I25" s="209"/>
      <c r="J25" s="172"/>
      <c r="K25" s="199"/>
      <c r="L25" s="199"/>
      <c r="M25" s="199"/>
      <c r="N25" s="199"/>
      <c r="O25" s="199"/>
      <c r="P25" s="172"/>
      <c r="Q25" s="210"/>
    </row>
    <row r="26" spans="2:17" ht="50.25" customHeight="1" x14ac:dyDescent="0.25">
      <c r="B26" s="212" t="s">
        <v>4</v>
      </c>
      <c r="C26" s="167" t="s">
        <v>285</v>
      </c>
      <c r="D26" s="139" t="s">
        <v>450</v>
      </c>
      <c r="E26" s="170" t="s">
        <v>22</v>
      </c>
      <c r="F26" s="147" t="s">
        <v>536</v>
      </c>
      <c r="G26" s="170" t="s">
        <v>31</v>
      </c>
      <c r="H26" s="205" t="s">
        <v>40</v>
      </c>
      <c r="I26" s="211"/>
      <c r="J26" s="170"/>
      <c r="K26" s="165"/>
      <c r="L26" s="165"/>
      <c r="M26" s="165"/>
      <c r="N26" s="165"/>
      <c r="O26" s="165"/>
      <c r="P26" s="170"/>
      <c r="Q26" s="207"/>
    </row>
    <row r="27" spans="2:17" ht="50.25" customHeight="1" x14ac:dyDescent="0.25">
      <c r="B27" s="212" t="s">
        <v>4</v>
      </c>
      <c r="C27" s="168" t="s">
        <v>286</v>
      </c>
      <c r="D27" s="140" t="s">
        <v>451</v>
      </c>
      <c r="E27" s="171" t="s">
        <v>22</v>
      </c>
      <c r="F27" s="142" t="s">
        <v>537</v>
      </c>
      <c r="G27" s="171" t="s">
        <v>31</v>
      </c>
      <c r="H27" s="213" t="s">
        <v>40</v>
      </c>
      <c r="I27" s="214"/>
      <c r="J27" s="171"/>
      <c r="K27" s="166"/>
      <c r="L27" s="166"/>
      <c r="M27" s="166"/>
      <c r="N27" s="166"/>
      <c r="O27" s="166"/>
      <c r="P27" s="171"/>
      <c r="Q27" s="215"/>
    </row>
    <row r="28" spans="2:17" ht="50.25" customHeight="1" x14ac:dyDescent="0.25">
      <c r="B28" s="212" t="s">
        <v>4</v>
      </c>
      <c r="C28" s="167" t="s">
        <v>287</v>
      </c>
      <c r="D28" s="139" t="s">
        <v>452</v>
      </c>
      <c r="E28" s="170" t="s">
        <v>22</v>
      </c>
      <c r="F28" s="147" t="s">
        <v>538</v>
      </c>
      <c r="G28" s="170" t="s">
        <v>31</v>
      </c>
      <c r="H28" s="205" t="s">
        <v>40</v>
      </c>
      <c r="I28" s="211"/>
      <c r="J28" s="170"/>
      <c r="K28" s="165"/>
      <c r="L28" s="165"/>
      <c r="M28" s="165"/>
      <c r="N28" s="165"/>
      <c r="O28" s="165"/>
      <c r="P28" s="170"/>
      <c r="Q28" s="207"/>
    </row>
    <row r="29" spans="2:17" ht="50.25" customHeight="1" x14ac:dyDescent="0.25">
      <c r="B29" s="212" t="s">
        <v>4</v>
      </c>
      <c r="C29" s="168" t="s">
        <v>288</v>
      </c>
      <c r="D29" s="140" t="s">
        <v>453</v>
      </c>
      <c r="E29" s="171" t="s">
        <v>22</v>
      </c>
      <c r="F29" s="146" t="s">
        <v>539</v>
      </c>
      <c r="G29" s="171" t="s">
        <v>31</v>
      </c>
      <c r="H29" s="213" t="s">
        <v>40</v>
      </c>
      <c r="I29" s="214"/>
      <c r="J29" s="171"/>
      <c r="K29" s="166"/>
      <c r="L29" s="166"/>
      <c r="M29" s="166"/>
      <c r="N29" s="166"/>
      <c r="O29" s="166"/>
      <c r="P29" s="171"/>
      <c r="Q29" s="215"/>
    </row>
    <row r="30" spans="2:17" ht="50.25" customHeight="1" x14ac:dyDescent="0.25">
      <c r="B30" s="212" t="s">
        <v>4</v>
      </c>
      <c r="C30" s="167" t="s">
        <v>289</v>
      </c>
      <c r="D30" s="139" t="s">
        <v>454</v>
      </c>
      <c r="E30" s="170" t="s">
        <v>22</v>
      </c>
      <c r="F30" s="144" t="s">
        <v>540</v>
      </c>
      <c r="G30" s="170" t="s">
        <v>31</v>
      </c>
      <c r="H30" s="205" t="s">
        <v>40</v>
      </c>
      <c r="I30" s="211"/>
      <c r="J30" s="170"/>
      <c r="K30" s="165"/>
      <c r="L30" s="165"/>
      <c r="M30" s="165"/>
      <c r="N30" s="165"/>
      <c r="O30" s="165"/>
      <c r="P30" s="170"/>
      <c r="Q30" s="207"/>
    </row>
    <row r="31" spans="2:17" ht="50.25" customHeight="1" x14ac:dyDescent="0.25">
      <c r="B31" s="204" t="s">
        <v>7</v>
      </c>
      <c r="C31" s="168" t="s">
        <v>290</v>
      </c>
      <c r="D31" s="140" t="s">
        <v>455</v>
      </c>
      <c r="E31" s="171" t="s">
        <v>22</v>
      </c>
      <c r="F31" s="146" t="s">
        <v>541</v>
      </c>
      <c r="G31" s="171" t="s">
        <v>31</v>
      </c>
      <c r="H31" s="213" t="s">
        <v>40</v>
      </c>
      <c r="I31" s="214"/>
      <c r="J31" s="171"/>
      <c r="K31" s="166"/>
      <c r="L31" s="166"/>
      <c r="M31" s="166"/>
      <c r="N31" s="166"/>
      <c r="O31" s="166"/>
      <c r="P31" s="171"/>
      <c r="Q31" s="215"/>
    </row>
    <row r="32" spans="2:17" ht="50.25" customHeight="1" x14ac:dyDescent="0.25">
      <c r="B32" s="204" t="s">
        <v>7</v>
      </c>
      <c r="C32" s="167" t="s">
        <v>291</v>
      </c>
      <c r="D32" s="139" t="s">
        <v>456</v>
      </c>
      <c r="E32" s="170" t="s">
        <v>22</v>
      </c>
      <c r="F32" s="147" t="s">
        <v>542</v>
      </c>
      <c r="G32" s="170" t="s">
        <v>31</v>
      </c>
      <c r="H32" s="205" t="s">
        <v>40</v>
      </c>
      <c r="I32" s="211"/>
      <c r="J32" s="170"/>
      <c r="K32" s="165"/>
      <c r="L32" s="165"/>
      <c r="M32" s="165"/>
      <c r="N32" s="165"/>
      <c r="O32" s="165"/>
      <c r="P32" s="170"/>
      <c r="Q32" s="207"/>
    </row>
    <row r="33" spans="2:17" ht="50.25" customHeight="1" x14ac:dyDescent="0.25">
      <c r="B33" s="204" t="s">
        <v>7</v>
      </c>
      <c r="C33" s="168" t="s">
        <v>292</v>
      </c>
      <c r="D33" s="238" t="s">
        <v>671</v>
      </c>
      <c r="E33" s="171" t="s">
        <v>22</v>
      </c>
      <c r="F33" s="142" t="s">
        <v>683</v>
      </c>
      <c r="G33" s="171" t="s">
        <v>31</v>
      </c>
      <c r="H33" s="213" t="s">
        <v>40</v>
      </c>
      <c r="I33" s="214"/>
      <c r="J33" s="171"/>
      <c r="K33" s="166"/>
      <c r="L33" s="166"/>
      <c r="M33" s="166"/>
      <c r="N33" s="166"/>
      <c r="O33" s="166"/>
      <c r="P33" s="171"/>
      <c r="Q33" s="215"/>
    </row>
    <row r="34" spans="2:17" ht="50.25" customHeight="1" x14ac:dyDescent="0.25">
      <c r="B34" s="204" t="s">
        <v>7</v>
      </c>
      <c r="C34" s="167" t="s">
        <v>293</v>
      </c>
      <c r="D34" s="139" t="s">
        <v>457</v>
      </c>
      <c r="E34" s="170" t="s">
        <v>22</v>
      </c>
      <c r="F34" s="147" t="s">
        <v>543</v>
      </c>
      <c r="G34" s="170" t="s">
        <v>31</v>
      </c>
      <c r="H34" s="205" t="s">
        <v>40</v>
      </c>
      <c r="I34" s="211"/>
      <c r="J34" s="170"/>
      <c r="K34" s="165"/>
      <c r="L34" s="165"/>
      <c r="M34" s="165"/>
      <c r="N34" s="165"/>
      <c r="O34" s="165"/>
      <c r="P34" s="170"/>
      <c r="Q34" s="207"/>
    </row>
    <row r="35" spans="2:17" ht="50.25" customHeight="1" x14ac:dyDescent="0.25">
      <c r="B35" s="204" t="s">
        <v>7</v>
      </c>
      <c r="C35" s="168" t="s">
        <v>294</v>
      </c>
      <c r="D35" s="140" t="s">
        <v>458</v>
      </c>
      <c r="E35" s="171" t="s">
        <v>22</v>
      </c>
      <c r="F35" s="146" t="s">
        <v>544</v>
      </c>
      <c r="G35" s="172" t="s">
        <v>31</v>
      </c>
      <c r="H35" s="208" t="s">
        <v>40</v>
      </c>
      <c r="I35" s="209"/>
      <c r="J35" s="172"/>
      <c r="K35" s="199"/>
      <c r="L35" s="199"/>
      <c r="M35" s="199"/>
      <c r="N35" s="199"/>
      <c r="O35" s="199"/>
      <c r="P35" s="172"/>
      <c r="Q35" s="210"/>
    </row>
    <row r="36" spans="2:17" ht="50.25" customHeight="1" x14ac:dyDescent="0.25">
      <c r="B36" s="204" t="s">
        <v>7</v>
      </c>
      <c r="C36" s="167" t="s">
        <v>295</v>
      </c>
      <c r="D36" s="139" t="s">
        <v>233</v>
      </c>
      <c r="E36" s="170" t="s">
        <v>22</v>
      </c>
      <c r="F36" s="147" t="s">
        <v>684</v>
      </c>
      <c r="G36" s="170" t="s">
        <v>31</v>
      </c>
      <c r="H36" s="205" t="s">
        <v>40</v>
      </c>
      <c r="I36" s="211"/>
      <c r="J36" s="170"/>
      <c r="K36" s="165"/>
      <c r="L36" s="165"/>
      <c r="M36" s="165"/>
      <c r="N36" s="165"/>
      <c r="O36" s="165"/>
      <c r="P36" s="170"/>
      <c r="Q36" s="207"/>
    </row>
    <row r="37" spans="2:17" ht="50.25" customHeight="1" x14ac:dyDescent="0.25">
      <c r="B37" s="204" t="s">
        <v>7</v>
      </c>
      <c r="C37" s="168" t="s">
        <v>296</v>
      </c>
      <c r="D37" s="140" t="s">
        <v>459</v>
      </c>
      <c r="E37" s="171" t="s">
        <v>22</v>
      </c>
      <c r="F37" s="146" t="s">
        <v>545</v>
      </c>
      <c r="G37" s="171" t="s">
        <v>31</v>
      </c>
      <c r="H37" s="213" t="s">
        <v>40</v>
      </c>
      <c r="I37" s="214"/>
      <c r="J37" s="171"/>
      <c r="K37" s="166"/>
      <c r="L37" s="166"/>
      <c r="M37" s="166"/>
      <c r="N37" s="166"/>
      <c r="O37" s="166"/>
      <c r="P37" s="171"/>
      <c r="Q37" s="215"/>
    </row>
    <row r="38" spans="2:17" ht="50.25" customHeight="1" x14ac:dyDescent="0.25">
      <c r="B38" s="204" t="s">
        <v>7</v>
      </c>
      <c r="C38" s="167" t="s">
        <v>297</v>
      </c>
      <c r="D38" s="139" t="s">
        <v>460</v>
      </c>
      <c r="E38" s="170" t="s">
        <v>22</v>
      </c>
      <c r="F38" s="266" t="s">
        <v>696</v>
      </c>
      <c r="G38" s="170" t="s">
        <v>31</v>
      </c>
      <c r="H38" s="205" t="s">
        <v>40</v>
      </c>
      <c r="I38" s="211"/>
      <c r="J38" s="170"/>
      <c r="K38" s="165"/>
      <c r="L38" s="165"/>
      <c r="M38" s="165"/>
      <c r="N38" s="165"/>
      <c r="O38" s="165"/>
      <c r="P38" s="170"/>
      <c r="Q38" s="207"/>
    </row>
    <row r="39" spans="2:17" ht="50.25" customHeight="1" x14ac:dyDescent="0.25">
      <c r="B39" s="212" t="s">
        <v>234</v>
      </c>
      <c r="C39" s="168" t="s">
        <v>298</v>
      </c>
      <c r="D39" s="140" t="s">
        <v>626</v>
      </c>
      <c r="E39" s="171" t="s">
        <v>22</v>
      </c>
      <c r="F39" s="146" t="s">
        <v>546</v>
      </c>
      <c r="G39" s="171" t="s">
        <v>31</v>
      </c>
      <c r="H39" s="213" t="s">
        <v>40</v>
      </c>
      <c r="I39" s="214"/>
      <c r="J39" s="171"/>
      <c r="K39" s="166"/>
      <c r="L39" s="166"/>
      <c r="M39" s="166"/>
      <c r="N39" s="166"/>
      <c r="O39" s="166"/>
      <c r="P39" s="171"/>
      <c r="Q39" s="215"/>
    </row>
    <row r="40" spans="2:17" ht="50.25" customHeight="1" x14ac:dyDescent="0.25">
      <c r="B40" s="212" t="s">
        <v>234</v>
      </c>
      <c r="C40" s="167" t="s">
        <v>299</v>
      </c>
      <c r="D40" s="239" t="s">
        <v>672</v>
      </c>
      <c r="E40" s="170" t="s">
        <v>22</v>
      </c>
      <c r="F40" s="147" t="s">
        <v>686</v>
      </c>
      <c r="G40" s="170" t="s">
        <v>31</v>
      </c>
      <c r="H40" s="205" t="s">
        <v>40</v>
      </c>
      <c r="I40" s="211"/>
      <c r="J40" s="170"/>
      <c r="K40" s="165"/>
      <c r="L40" s="165"/>
      <c r="M40" s="165"/>
      <c r="N40" s="165"/>
      <c r="O40" s="165"/>
      <c r="P40" s="170"/>
      <c r="Q40" s="207"/>
    </row>
    <row r="41" spans="2:17" ht="50.25" customHeight="1" x14ac:dyDescent="0.25">
      <c r="B41" s="204" t="s">
        <v>6</v>
      </c>
      <c r="C41" s="168" t="s">
        <v>300</v>
      </c>
      <c r="D41" s="140" t="s">
        <v>461</v>
      </c>
      <c r="E41" s="171" t="s">
        <v>22</v>
      </c>
      <c r="F41" s="142" t="s">
        <v>547</v>
      </c>
      <c r="G41" s="171" t="s">
        <v>31</v>
      </c>
      <c r="H41" s="213" t="s">
        <v>40</v>
      </c>
      <c r="I41" s="216"/>
      <c r="J41" s="171"/>
      <c r="K41" s="166"/>
      <c r="L41" s="166"/>
      <c r="M41" s="166"/>
      <c r="N41" s="166"/>
      <c r="O41" s="166"/>
      <c r="P41" s="171"/>
      <c r="Q41" s="215"/>
    </row>
    <row r="42" spans="2:17" ht="50.25" customHeight="1" x14ac:dyDescent="0.25">
      <c r="B42" s="204" t="s">
        <v>6</v>
      </c>
      <c r="C42" s="167" t="s">
        <v>301</v>
      </c>
      <c r="D42" s="139" t="s">
        <v>462</v>
      </c>
      <c r="E42" s="170" t="s">
        <v>22</v>
      </c>
      <c r="F42" s="144" t="s">
        <v>548</v>
      </c>
      <c r="G42" s="170" t="s">
        <v>31</v>
      </c>
      <c r="H42" s="205" t="s">
        <v>40</v>
      </c>
      <c r="I42" s="211"/>
      <c r="J42" s="170"/>
      <c r="K42" s="165"/>
      <c r="L42" s="165"/>
      <c r="M42" s="165"/>
      <c r="N42" s="165"/>
      <c r="O42" s="165"/>
      <c r="P42" s="170"/>
      <c r="Q42" s="207"/>
    </row>
    <row r="43" spans="2:17" ht="50.25" customHeight="1" x14ac:dyDescent="0.25">
      <c r="B43" s="204" t="s">
        <v>6</v>
      </c>
      <c r="C43" s="168" t="s">
        <v>302</v>
      </c>
      <c r="D43" s="140" t="s">
        <v>463</v>
      </c>
      <c r="E43" s="171" t="s">
        <v>22</v>
      </c>
      <c r="F43" s="141" t="s">
        <v>549</v>
      </c>
      <c r="G43" s="171" t="s">
        <v>31</v>
      </c>
      <c r="H43" s="213" t="s">
        <v>40</v>
      </c>
      <c r="I43" s="214"/>
      <c r="J43" s="171"/>
      <c r="K43" s="166"/>
      <c r="L43" s="166"/>
      <c r="M43" s="166"/>
      <c r="N43" s="166"/>
      <c r="O43" s="166"/>
      <c r="P43" s="171"/>
      <c r="Q43" s="215"/>
    </row>
    <row r="44" spans="2:17" ht="50.25" customHeight="1" x14ac:dyDescent="0.25">
      <c r="B44" s="204" t="s">
        <v>6</v>
      </c>
      <c r="C44" s="167" t="s">
        <v>303</v>
      </c>
      <c r="D44" s="139" t="s">
        <v>464</v>
      </c>
      <c r="E44" s="170" t="s">
        <v>22</v>
      </c>
      <c r="F44" s="144" t="s">
        <v>550</v>
      </c>
      <c r="G44" s="170" t="s">
        <v>31</v>
      </c>
      <c r="H44" s="205" t="s">
        <v>40</v>
      </c>
      <c r="I44" s="211"/>
      <c r="J44" s="170"/>
      <c r="K44" s="165"/>
      <c r="L44" s="165"/>
      <c r="M44" s="165"/>
      <c r="N44" s="165"/>
      <c r="O44" s="165"/>
      <c r="P44" s="170"/>
      <c r="Q44" s="207"/>
    </row>
    <row r="45" spans="2:17" ht="50.25" customHeight="1" x14ac:dyDescent="0.25">
      <c r="B45" s="204" t="s">
        <v>6</v>
      </c>
      <c r="C45" s="168" t="s">
        <v>304</v>
      </c>
      <c r="D45" s="140" t="s">
        <v>465</v>
      </c>
      <c r="E45" s="171" t="s">
        <v>23</v>
      </c>
      <c r="F45" s="146" t="s">
        <v>551</v>
      </c>
      <c r="G45" s="171" t="s">
        <v>31</v>
      </c>
      <c r="H45" s="213" t="s">
        <v>40</v>
      </c>
      <c r="I45" s="214"/>
      <c r="J45" s="171"/>
      <c r="K45" s="166"/>
      <c r="L45" s="166"/>
      <c r="M45" s="166"/>
      <c r="N45" s="166"/>
      <c r="O45" s="166"/>
      <c r="P45" s="171"/>
      <c r="Q45" s="215"/>
    </row>
    <row r="46" spans="2:17" ht="50.25" customHeight="1" x14ac:dyDescent="0.25">
      <c r="B46" s="212" t="s">
        <v>235</v>
      </c>
      <c r="C46" s="167" t="s">
        <v>305</v>
      </c>
      <c r="D46" s="139" t="s">
        <v>466</v>
      </c>
      <c r="E46" s="167" t="s">
        <v>22</v>
      </c>
      <c r="F46" s="147" t="s">
        <v>552</v>
      </c>
      <c r="G46" s="170" t="s">
        <v>31</v>
      </c>
      <c r="H46" s="205" t="s">
        <v>40</v>
      </c>
      <c r="I46" s="211"/>
      <c r="J46" s="170"/>
      <c r="K46" s="165"/>
      <c r="L46" s="165"/>
      <c r="M46" s="165"/>
      <c r="N46" s="165"/>
      <c r="O46" s="165"/>
      <c r="P46" s="170"/>
      <c r="Q46" s="207"/>
    </row>
    <row r="47" spans="2:17" ht="50.25" customHeight="1" x14ac:dyDescent="0.25">
      <c r="B47" s="212" t="s">
        <v>235</v>
      </c>
      <c r="C47" s="168" t="s">
        <v>306</v>
      </c>
      <c r="D47" s="238" t="s">
        <v>687</v>
      </c>
      <c r="E47" s="168" t="s">
        <v>22</v>
      </c>
      <c r="F47" s="146" t="s">
        <v>688</v>
      </c>
      <c r="G47" s="172" t="s">
        <v>31</v>
      </c>
      <c r="H47" s="208" t="s">
        <v>40</v>
      </c>
      <c r="I47" s="209"/>
      <c r="J47" s="172"/>
      <c r="K47" s="199"/>
      <c r="L47" s="199"/>
      <c r="M47" s="199"/>
      <c r="N47" s="199"/>
      <c r="O47" s="199"/>
      <c r="P47" s="172"/>
      <c r="Q47" s="210"/>
    </row>
    <row r="48" spans="2:17" ht="50.25" customHeight="1" x14ac:dyDescent="0.25">
      <c r="B48" s="212" t="s">
        <v>235</v>
      </c>
      <c r="C48" s="167" t="s">
        <v>307</v>
      </c>
      <c r="D48" s="139" t="s">
        <v>467</v>
      </c>
      <c r="E48" s="167" t="s">
        <v>22</v>
      </c>
      <c r="F48" s="144" t="s">
        <v>553</v>
      </c>
      <c r="G48" s="170" t="s">
        <v>31</v>
      </c>
      <c r="H48" s="205" t="s">
        <v>40</v>
      </c>
      <c r="I48" s="211"/>
      <c r="J48" s="170"/>
      <c r="K48" s="165"/>
      <c r="L48" s="165"/>
      <c r="M48" s="165"/>
      <c r="N48" s="165"/>
      <c r="O48" s="165"/>
      <c r="P48" s="170"/>
      <c r="Q48" s="207"/>
    </row>
    <row r="49" spans="2:17" ht="50.25" customHeight="1" x14ac:dyDescent="0.25">
      <c r="B49" s="212" t="s">
        <v>235</v>
      </c>
      <c r="C49" s="168" t="s">
        <v>308</v>
      </c>
      <c r="D49" s="140" t="s">
        <v>468</v>
      </c>
      <c r="E49" s="168" t="s">
        <v>22</v>
      </c>
      <c r="F49" s="142" t="s">
        <v>554</v>
      </c>
      <c r="G49" s="172" t="s">
        <v>31</v>
      </c>
      <c r="H49" s="208" t="s">
        <v>40</v>
      </c>
      <c r="I49" s="209"/>
      <c r="J49" s="172"/>
      <c r="K49" s="199"/>
      <c r="L49" s="199"/>
      <c r="M49" s="199"/>
      <c r="N49" s="199"/>
      <c r="O49" s="199"/>
      <c r="P49" s="172"/>
      <c r="Q49" s="210"/>
    </row>
    <row r="50" spans="2:17" ht="50.25" customHeight="1" x14ac:dyDescent="0.25">
      <c r="B50" s="212" t="s">
        <v>235</v>
      </c>
      <c r="C50" s="167" t="s">
        <v>309</v>
      </c>
      <c r="D50" s="139" t="s">
        <v>469</v>
      </c>
      <c r="E50" s="167" t="s">
        <v>22</v>
      </c>
      <c r="F50" s="147" t="s">
        <v>555</v>
      </c>
      <c r="G50" s="170" t="s">
        <v>31</v>
      </c>
      <c r="H50" s="205" t="s">
        <v>40</v>
      </c>
      <c r="I50" s="211"/>
      <c r="J50" s="170"/>
      <c r="K50" s="165"/>
      <c r="L50" s="165"/>
      <c r="M50" s="165"/>
      <c r="N50" s="165"/>
      <c r="O50" s="165"/>
      <c r="P50" s="170"/>
      <c r="Q50" s="207"/>
    </row>
    <row r="51" spans="2:17" ht="50.25" customHeight="1" x14ac:dyDescent="0.25">
      <c r="B51" s="212" t="s">
        <v>235</v>
      </c>
      <c r="C51" s="168" t="s">
        <v>310</v>
      </c>
      <c r="D51" s="140" t="s">
        <v>470</v>
      </c>
      <c r="E51" s="168" t="s">
        <v>22</v>
      </c>
      <c r="F51" s="146" t="s">
        <v>556</v>
      </c>
      <c r="G51" s="172" t="s">
        <v>31</v>
      </c>
      <c r="H51" s="208" t="s">
        <v>40</v>
      </c>
      <c r="I51" s="209"/>
      <c r="J51" s="172"/>
      <c r="K51" s="199"/>
      <c r="L51" s="199"/>
      <c r="M51" s="199"/>
      <c r="N51" s="199"/>
      <c r="O51" s="199"/>
      <c r="P51" s="172"/>
      <c r="Q51" s="210"/>
    </row>
    <row r="52" spans="2:17" ht="50.25" customHeight="1" x14ac:dyDescent="0.25">
      <c r="B52" s="212" t="s">
        <v>235</v>
      </c>
      <c r="C52" s="167" t="s">
        <v>311</v>
      </c>
      <c r="D52" s="144" t="s">
        <v>471</v>
      </c>
      <c r="E52" s="167" t="s">
        <v>23</v>
      </c>
      <c r="F52" s="144" t="s">
        <v>557</v>
      </c>
      <c r="G52" s="170" t="s">
        <v>31</v>
      </c>
      <c r="H52" s="205" t="s">
        <v>40</v>
      </c>
      <c r="I52" s="211"/>
      <c r="J52" s="170"/>
      <c r="K52" s="165"/>
      <c r="L52" s="165"/>
      <c r="M52" s="165"/>
      <c r="N52" s="165"/>
      <c r="O52" s="165"/>
      <c r="P52" s="170"/>
      <c r="Q52" s="207"/>
    </row>
    <row r="53" spans="2:17" ht="50.25" customHeight="1" x14ac:dyDescent="0.25">
      <c r="B53" s="212" t="s">
        <v>235</v>
      </c>
      <c r="C53" s="168" t="s">
        <v>312</v>
      </c>
      <c r="D53" s="142" t="s">
        <v>423</v>
      </c>
      <c r="E53" s="168" t="s">
        <v>23</v>
      </c>
      <c r="F53" s="146" t="s">
        <v>558</v>
      </c>
      <c r="G53" s="171" t="s">
        <v>31</v>
      </c>
      <c r="H53" s="213" t="s">
        <v>40</v>
      </c>
      <c r="I53" s="214"/>
      <c r="J53" s="171"/>
      <c r="K53" s="166"/>
      <c r="L53" s="166"/>
      <c r="M53" s="166"/>
      <c r="N53" s="166"/>
      <c r="O53" s="166"/>
      <c r="P53" s="171"/>
      <c r="Q53" s="215"/>
    </row>
    <row r="54" spans="2:17" ht="50.25" customHeight="1" x14ac:dyDescent="0.25">
      <c r="B54" s="212" t="s">
        <v>235</v>
      </c>
      <c r="C54" s="167" t="s">
        <v>313</v>
      </c>
      <c r="D54" s="144" t="s">
        <v>472</v>
      </c>
      <c r="E54" s="167" t="s">
        <v>22</v>
      </c>
      <c r="F54" s="147" t="s">
        <v>559</v>
      </c>
      <c r="G54" s="170" t="s">
        <v>31</v>
      </c>
      <c r="H54" s="205" t="s">
        <v>40</v>
      </c>
      <c r="I54" s="211"/>
      <c r="J54" s="170"/>
      <c r="K54" s="165"/>
      <c r="L54" s="165"/>
      <c r="M54" s="165"/>
      <c r="N54" s="165"/>
      <c r="O54" s="165"/>
      <c r="P54" s="170"/>
      <c r="Q54" s="207"/>
    </row>
    <row r="55" spans="2:17" ht="50.25" customHeight="1" x14ac:dyDescent="0.25">
      <c r="B55" s="212" t="s">
        <v>235</v>
      </c>
      <c r="C55" s="168" t="s">
        <v>314</v>
      </c>
      <c r="D55" s="142" t="s">
        <v>473</v>
      </c>
      <c r="E55" s="168" t="s">
        <v>22</v>
      </c>
      <c r="F55" s="146" t="s">
        <v>560</v>
      </c>
      <c r="G55" s="171" t="s">
        <v>31</v>
      </c>
      <c r="H55" s="213" t="s">
        <v>40</v>
      </c>
      <c r="I55" s="214"/>
      <c r="J55" s="171"/>
      <c r="K55" s="166"/>
      <c r="L55" s="166"/>
      <c r="M55" s="166"/>
      <c r="N55" s="166"/>
      <c r="O55" s="166"/>
      <c r="P55" s="171"/>
      <c r="Q55" s="215"/>
    </row>
    <row r="56" spans="2:17" ht="50.25" customHeight="1" x14ac:dyDescent="0.25">
      <c r="B56" s="204" t="s">
        <v>236</v>
      </c>
      <c r="C56" s="167" t="s">
        <v>315</v>
      </c>
      <c r="D56" s="144" t="s">
        <v>474</v>
      </c>
      <c r="E56" s="167" t="s">
        <v>22</v>
      </c>
      <c r="F56" s="147" t="s">
        <v>561</v>
      </c>
      <c r="G56" s="170" t="s">
        <v>31</v>
      </c>
      <c r="H56" s="205" t="s">
        <v>40</v>
      </c>
      <c r="I56" s="211"/>
      <c r="J56" s="170"/>
      <c r="K56" s="165"/>
      <c r="L56" s="165"/>
      <c r="M56" s="165"/>
      <c r="N56" s="165"/>
      <c r="O56" s="165"/>
      <c r="P56" s="170"/>
      <c r="Q56" s="207"/>
    </row>
    <row r="57" spans="2:17" ht="50.25" customHeight="1" x14ac:dyDescent="0.25">
      <c r="B57" s="204" t="s">
        <v>236</v>
      </c>
      <c r="C57" s="169" t="s">
        <v>316</v>
      </c>
      <c r="D57" s="141" t="s">
        <v>475</v>
      </c>
      <c r="E57" s="169" t="s">
        <v>22</v>
      </c>
      <c r="F57" s="198" t="s">
        <v>562</v>
      </c>
      <c r="G57" s="172" t="s">
        <v>31</v>
      </c>
      <c r="H57" s="208" t="s">
        <v>40</v>
      </c>
      <c r="I57" s="209"/>
      <c r="J57" s="172"/>
      <c r="K57" s="199"/>
      <c r="L57" s="199"/>
      <c r="M57" s="199"/>
      <c r="N57" s="199"/>
      <c r="O57" s="199"/>
      <c r="P57" s="172"/>
      <c r="Q57" s="210"/>
    </row>
    <row r="58" spans="2:17" ht="50.25" customHeight="1" x14ac:dyDescent="0.25">
      <c r="B58" s="204" t="s">
        <v>236</v>
      </c>
      <c r="C58" s="167" t="s">
        <v>317</v>
      </c>
      <c r="D58" s="144" t="s">
        <v>476</v>
      </c>
      <c r="E58" s="167" t="s">
        <v>22</v>
      </c>
      <c r="F58" s="147" t="s">
        <v>563</v>
      </c>
      <c r="G58" s="170" t="s">
        <v>31</v>
      </c>
      <c r="H58" s="205" t="s">
        <v>40</v>
      </c>
      <c r="I58" s="211"/>
      <c r="J58" s="170"/>
      <c r="K58" s="165"/>
      <c r="L58" s="165"/>
      <c r="M58" s="165"/>
      <c r="N58" s="165"/>
      <c r="O58" s="165"/>
      <c r="P58" s="170"/>
      <c r="Q58" s="207"/>
    </row>
    <row r="59" spans="2:17" ht="50.25" customHeight="1" x14ac:dyDescent="0.25">
      <c r="B59" s="204" t="s">
        <v>236</v>
      </c>
      <c r="C59" s="169" t="s">
        <v>318</v>
      </c>
      <c r="D59" s="141" t="s">
        <v>477</v>
      </c>
      <c r="E59" s="169" t="s">
        <v>22</v>
      </c>
      <c r="F59" s="198" t="s">
        <v>564</v>
      </c>
      <c r="G59" s="172" t="s">
        <v>31</v>
      </c>
      <c r="H59" s="208" t="s">
        <v>40</v>
      </c>
      <c r="I59" s="209"/>
      <c r="J59" s="172"/>
      <c r="K59" s="199"/>
      <c r="L59" s="199"/>
      <c r="M59" s="199"/>
      <c r="N59" s="199"/>
      <c r="O59" s="199"/>
      <c r="P59" s="172"/>
      <c r="Q59" s="210"/>
    </row>
    <row r="60" spans="2:17" ht="50.25" customHeight="1" x14ac:dyDescent="0.25">
      <c r="B60" s="212" t="s">
        <v>237</v>
      </c>
      <c r="C60" s="167" t="s">
        <v>319</v>
      </c>
      <c r="D60" s="144" t="s">
        <v>478</v>
      </c>
      <c r="E60" s="167" t="s">
        <v>22</v>
      </c>
      <c r="F60" s="147" t="s">
        <v>565</v>
      </c>
      <c r="G60" s="170" t="s">
        <v>31</v>
      </c>
      <c r="H60" s="205" t="s">
        <v>40</v>
      </c>
      <c r="I60" s="211"/>
      <c r="J60" s="170"/>
      <c r="K60" s="165"/>
      <c r="L60" s="165"/>
      <c r="M60" s="165"/>
      <c r="N60" s="165"/>
      <c r="O60" s="165"/>
      <c r="P60" s="170"/>
      <c r="Q60" s="207"/>
    </row>
    <row r="61" spans="2:17" ht="50.25" customHeight="1" x14ac:dyDescent="0.25">
      <c r="B61" s="212" t="s">
        <v>237</v>
      </c>
      <c r="C61" s="169" t="s">
        <v>320</v>
      </c>
      <c r="D61" s="240" t="s">
        <v>673</v>
      </c>
      <c r="E61" s="169" t="s">
        <v>22</v>
      </c>
      <c r="F61" s="198" t="s">
        <v>566</v>
      </c>
      <c r="G61" s="172" t="s">
        <v>31</v>
      </c>
      <c r="H61" s="208" t="s">
        <v>40</v>
      </c>
      <c r="I61" s="209"/>
      <c r="J61" s="172"/>
      <c r="K61" s="199"/>
      <c r="L61" s="199"/>
      <c r="M61" s="199"/>
      <c r="N61" s="199"/>
      <c r="O61" s="199"/>
      <c r="P61" s="172"/>
      <c r="Q61" s="210"/>
    </row>
    <row r="62" spans="2:17" ht="50.25" customHeight="1" x14ac:dyDescent="0.25">
      <c r="B62" s="212" t="s">
        <v>237</v>
      </c>
      <c r="C62" s="167" t="s">
        <v>321</v>
      </c>
      <c r="D62" s="144" t="s">
        <v>479</v>
      </c>
      <c r="E62" s="167" t="s">
        <v>22</v>
      </c>
      <c r="F62" s="147" t="s">
        <v>567</v>
      </c>
      <c r="G62" s="170" t="s">
        <v>31</v>
      </c>
      <c r="H62" s="205" t="s">
        <v>40</v>
      </c>
      <c r="I62" s="211"/>
      <c r="J62" s="170"/>
      <c r="K62" s="165"/>
      <c r="L62" s="165"/>
      <c r="M62" s="165"/>
      <c r="N62" s="165"/>
      <c r="O62" s="165"/>
      <c r="P62" s="170"/>
      <c r="Q62" s="207"/>
    </row>
    <row r="63" spans="2:17" ht="50.25" customHeight="1" x14ac:dyDescent="0.25">
      <c r="B63" s="212" t="s">
        <v>237</v>
      </c>
      <c r="C63" s="169" t="s">
        <v>322</v>
      </c>
      <c r="D63" s="141" t="s">
        <v>480</v>
      </c>
      <c r="E63" s="169" t="s">
        <v>23</v>
      </c>
      <c r="F63" s="198" t="s">
        <v>689</v>
      </c>
      <c r="G63" s="172" t="s">
        <v>31</v>
      </c>
      <c r="H63" s="208" t="s">
        <v>40</v>
      </c>
      <c r="I63" s="209"/>
      <c r="J63" s="172"/>
      <c r="K63" s="199"/>
      <c r="L63" s="199"/>
      <c r="M63" s="199"/>
      <c r="N63" s="199"/>
      <c r="O63" s="199"/>
      <c r="P63" s="172"/>
      <c r="Q63" s="210"/>
    </row>
    <row r="64" spans="2:17" ht="50.25" customHeight="1" x14ac:dyDescent="0.25">
      <c r="B64" s="212" t="s">
        <v>237</v>
      </c>
      <c r="C64" s="167" t="s">
        <v>323</v>
      </c>
      <c r="D64" s="144" t="s">
        <v>481</v>
      </c>
      <c r="E64" s="167" t="s">
        <v>23</v>
      </c>
      <c r="F64" s="147" t="s">
        <v>568</v>
      </c>
      <c r="G64" s="170" t="s">
        <v>31</v>
      </c>
      <c r="H64" s="205" t="s">
        <v>40</v>
      </c>
      <c r="I64" s="211"/>
      <c r="J64" s="170"/>
      <c r="K64" s="165"/>
      <c r="L64" s="165"/>
      <c r="M64" s="165"/>
      <c r="N64" s="165"/>
      <c r="O64" s="165"/>
      <c r="P64" s="170"/>
      <c r="Q64" s="207"/>
    </row>
    <row r="65" spans="2:17" ht="50.25" customHeight="1" x14ac:dyDescent="0.25">
      <c r="B65" s="212" t="s">
        <v>237</v>
      </c>
      <c r="C65" s="168" t="s">
        <v>324</v>
      </c>
      <c r="D65" s="142" t="s">
        <v>482</v>
      </c>
      <c r="E65" s="168" t="s">
        <v>22</v>
      </c>
      <c r="F65" s="146" t="s">
        <v>569</v>
      </c>
      <c r="G65" s="171" t="s">
        <v>31</v>
      </c>
      <c r="H65" s="213" t="s">
        <v>40</v>
      </c>
      <c r="I65" s="214"/>
      <c r="J65" s="171"/>
      <c r="K65" s="166"/>
      <c r="L65" s="166"/>
      <c r="M65" s="166"/>
      <c r="N65" s="166"/>
      <c r="O65" s="166"/>
      <c r="P65" s="171"/>
      <c r="Q65" s="215"/>
    </row>
    <row r="66" spans="2:17" ht="50.25" customHeight="1" x14ac:dyDescent="0.25">
      <c r="B66" s="212" t="s">
        <v>237</v>
      </c>
      <c r="C66" s="167" t="s">
        <v>325</v>
      </c>
      <c r="D66" s="144" t="s">
        <v>483</v>
      </c>
      <c r="E66" s="167" t="s">
        <v>22</v>
      </c>
      <c r="F66" s="147" t="s">
        <v>570</v>
      </c>
      <c r="G66" s="170" t="s">
        <v>31</v>
      </c>
      <c r="H66" s="205" t="s">
        <v>40</v>
      </c>
      <c r="I66" s="211"/>
      <c r="J66" s="170"/>
      <c r="K66" s="165"/>
      <c r="L66" s="165"/>
      <c r="M66" s="165"/>
      <c r="N66" s="165"/>
      <c r="O66" s="165"/>
      <c r="P66" s="170"/>
      <c r="Q66" s="207"/>
    </row>
    <row r="67" spans="2:17" ht="50.25" customHeight="1" x14ac:dyDescent="0.25">
      <c r="B67" s="212" t="s">
        <v>237</v>
      </c>
      <c r="C67" s="168" t="s">
        <v>326</v>
      </c>
      <c r="D67" s="142" t="s">
        <v>424</v>
      </c>
      <c r="E67" s="168" t="s">
        <v>22</v>
      </c>
      <c r="F67" s="142" t="s">
        <v>571</v>
      </c>
      <c r="G67" s="171" t="s">
        <v>31</v>
      </c>
      <c r="H67" s="213" t="s">
        <v>40</v>
      </c>
      <c r="I67" s="214"/>
      <c r="J67" s="171"/>
      <c r="K67" s="166"/>
      <c r="L67" s="166"/>
      <c r="M67" s="166"/>
      <c r="N67" s="166"/>
      <c r="O67" s="166"/>
      <c r="P67" s="171"/>
      <c r="Q67" s="215"/>
    </row>
    <row r="68" spans="2:17" ht="50.25" customHeight="1" x14ac:dyDescent="0.25">
      <c r="B68" s="212" t="s">
        <v>237</v>
      </c>
      <c r="C68" s="167" t="s">
        <v>327</v>
      </c>
      <c r="D68" s="144" t="s">
        <v>484</v>
      </c>
      <c r="E68" s="167" t="s">
        <v>22</v>
      </c>
      <c r="F68" s="147" t="s">
        <v>572</v>
      </c>
      <c r="G68" s="170" t="s">
        <v>31</v>
      </c>
      <c r="H68" s="205" t="s">
        <v>40</v>
      </c>
      <c r="I68" s="211"/>
      <c r="J68" s="170"/>
      <c r="K68" s="165"/>
      <c r="L68" s="165"/>
      <c r="M68" s="165"/>
      <c r="N68" s="165"/>
      <c r="O68" s="165"/>
      <c r="P68" s="170"/>
      <c r="Q68" s="207"/>
    </row>
    <row r="69" spans="2:17" ht="50.25" customHeight="1" x14ac:dyDescent="0.25">
      <c r="B69" s="212" t="s">
        <v>237</v>
      </c>
      <c r="C69" s="168" t="s">
        <v>328</v>
      </c>
      <c r="D69" s="142" t="s">
        <v>485</v>
      </c>
      <c r="E69" s="168" t="s">
        <v>22</v>
      </c>
      <c r="F69" s="146" t="s">
        <v>573</v>
      </c>
      <c r="G69" s="171" t="s">
        <v>31</v>
      </c>
      <c r="H69" s="213" t="s">
        <v>40</v>
      </c>
      <c r="I69" s="214"/>
      <c r="J69" s="171"/>
      <c r="K69" s="166"/>
      <c r="L69" s="166"/>
      <c r="M69" s="166"/>
      <c r="N69" s="166"/>
      <c r="O69" s="166"/>
      <c r="P69" s="171"/>
      <c r="Q69" s="215"/>
    </row>
    <row r="70" spans="2:17" ht="101.25" x14ac:dyDescent="0.25">
      <c r="B70" s="212" t="s">
        <v>237</v>
      </c>
      <c r="C70" s="167" t="s">
        <v>329</v>
      </c>
      <c r="D70" s="266" t="s">
        <v>697</v>
      </c>
      <c r="E70" s="167" t="s">
        <v>23</v>
      </c>
      <c r="F70" s="147" t="s">
        <v>574</v>
      </c>
      <c r="G70" s="170" t="s">
        <v>31</v>
      </c>
      <c r="H70" s="205" t="s">
        <v>40</v>
      </c>
      <c r="I70" s="211"/>
      <c r="J70" s="170"/>
      <c r="K70" s="165"/>
      <c r="L70" s="165"/>
      <c r="M70" s="165"/>
      <c r="N70" s="165"/>
      <c r="O70" s="165"/>
      <c r="P70" s="170"/>
      <c r="Q70" s="207"/>
    </row>
    <row r="71" spans="2:17" ht="50.25" customHeight="1" x14ac:dyDescent="0.25">
      <c r="B71" s="212" t="s">
        <v>237</v>
      </c>
      <c r="C71" s="168" t="s">
        <v>330</v>
      </c>
      <c r="D71" s="142" t="s">
        <v>486</v>
      </c>
      <c r="E71" s="168" t="s">
        <v>23</v>
      </c>
      <c r="F71" s="146" t="s">
        <v>575</v>
      </c>
      <c r="G71" s="172" t="s">
        <v>31</v>
      </c>
      <c r="H71" s="208" t="s">
        <v>40</v>
      </c>
      <c r="I71" s="209"/>
      <c r="J71" s="172"/>
      <c r="K71" s="199"/>
      <c r="L71" s="199"/>
      <c r="M71" s="199"/>
      <c r="N71" s="199"/>
      <c r="O71" s="199"/>
      <c r="P71" s="172"/>
      <c r="Q71" s="210"/>
    </row>
    <row r="72" spans="2:17" ht="50.25" customHeight="1" x14ac:dyDescent="0.25">
      <c r="B72" s="212" t="s">
        <v>237</v>
      </c>
      <c r="C72" s="167" t="s">
        <v>331</v>
      </c>
      <c r="D72" s="144" t="s">
        <v>487</v>
      </c>
      <c r="E72" s="167" t="s">
        <v>23</v>
      </c>
      <c r="F72" s="147" t="s">
        <v>576</v>
      </c>
      <c r="G72" s="170" t="s">
        <v>31</v>
      </c>
      <c r="H72" s="205" t="s">
        <v>40</v>
      </c>
      <c r="I72" s="211"/>
      <c r="J72" s="170"/>
      <c r="K72" s="165"/>
      <c r="L72" s="165"/>
      <c r="M72" s="165"/>
      <c r="N72" s="165"/>
      <c r="O72" s="165"/>
      <c r="P72" s="170"/>
      <c r="Q72" s="207"/>
    </row>
    <row r="73" spans="2:17" ht="50.25" customHeight="1" x14ac:dyDescent="0.25">
      <c r="B73" s="212" t="s">
        <v>237</v>
      </c>
      <c r="C73" s="168" t="s">
        <v>332</v>
      </c>
      <c r="D73" s="142" t="s">
        <v>425</v>
      </c>
      <c r="E73" s="168" t="s">
        <v>22</v>
      </c>
      <c r="F73" s="146" t="s">
        <v>577</v>
      </c>
      <c r="G73" s="172" t="s">
        <v>31</v>
      </c>
      <c r="H73" s="208" t="s">
        <v>40</v>
      </c>
      <c r="I73" s="209"/>
      <c r="J73" s="172"/>
      <c r="K73" s="199"/>
      <c r="L73" s="199"/>
      <c r="M73" s="199"/>
      <c r="N73" s="199"/>
      <c r="O73" s="199"/>
      <c r="P73" s="172"/>
      <c r="Q73" s="210"/>
    </row>
    <row r="74" spans="2:17" ht="50.25" customHeight="1" x14ac:dyDescent="0.25">
      <c r="B74" s="204" t="s">
        <v>2</v>
      </c>
      <c r="C74" s="167" t="s">
        <v>333</v>
      </c>
      <c r="D74" s="144" t="s">
        <v>488</v>
      </c>
      <c r="E74" s="167" t="s">
        <v>22</v>
      </c>
      <c r="F74" s="144" t="s">
        <v>690</v>
      </c>
      <c r="G74" s="170" t="s">
        <v>31</v>
      </c>
      <c r="H74" s="205" t="s">
        <v>40</v>
      </c>
      <c r="I74" s="211"/>
      <c r="J74" s="170"/>
      <c r="K74" s="165"/>
      <c r="L74" s="165"/>
      <c r="M74" s="165"/>
      <c r="N74" s="165"/>
      <c r="O74" s="165"/>
      <c r="P74" s="170"/>
      <c r="Q74" s="207"/>
    </row>
    <row r="75" spans="2:17" ht="50.25" customHeight="1" x14ac:dyDescent="0.25">
      <c r="B75" s="204" t="s">
        <v>2</v>
      </c>
      <c r="C75" s="168" t="s">
        <v>334</v>
      </c>
      <c r="D75" s="142" t="s">
        <v>489</v>
      </c>
      <c r="E75" s="168" t="s">
        <v>22</v>
      </c>
      <c r="F75" s="146" t="s">
        <v>578</v>
      </c>
      <c r="G75" s="171" t="s">
        <v>31</v>
      </c>
      <c r="H75" s="213" t="s">
        <v>40</v>
      </c>
      <c r="I75" s="214"/>
      <c r="J75" s="171"/>
      <c r="K75" s="166"/>
      <c r="L75" s="166"/>
      <c r="M75" s="166"/>
      <c r="N75" s="166"/>
      <c r="O75" s="166"/>
      <c r="P75" s="171"/>
      <c r="Q75" s="215"/>
    </row>
    <row r="76" spans="2:17" ht="50.25" customHeight="1" x14ac:dyDescent="0.25">
      <c r="B76" s="204" t="s">
        <v>2</v>
      </c>
      <c r="C76" s="167" t="s">
        <v>335</v>
      </c>
      <c r="D76" s="144" t="s">
        <v>516</v>
      </c>
      <c r="E76" s="167" t="s">
        <v>23</v>
      </c>
      <c r="F76" s="147" t="s">
        <v>579</v>
      </c>
      <c r="G76" s="170" t="s">
        <v>31</v>
      </c>
      <c r="H76" s="205" t="s">
        <v>40</v>
      </c>
      <c r="I76" s="211"/>
      <c r="J76" s="170"/>
      <c r="K76" s="165"/>
      <c r="L76" s="165"/>
      <c r="M76" s="165"/>
      <c r="N76" s="165"/>
      <c r="O76" s="165"/>
      <c r="P76" s="170"/>
      <c r="Q76" s="207"/>
    </row>
    <row r="77" spans="2:17" ht="50.25" customHeight="1" x14ac:dyDescent="0.25">
      <c r="B77" s="204" t="s">
        <v>2</v>
      </c>
      <c r="C77" s="168" t="s">
        <v>336</v>
      </c>
      <c r="D77" s="142" t="s">
        <v>426</v>
      </c>
      <c r="E77" s="168" t="s">
        <v>23</v>
      </c>
      <c r="F77" s="146" t="s">
        <v>691</v>
      </c>
      <c r="G77" s="171" t="s">
        <v>31</v>
      </c>
      <c r="H77" s="213" t="s">
        <v>40</v>
      </c>
      <c r="I77" s="214"/>
      <c r="J77" s="171"/>
      <c r="K77" s="166"/>
      <c r="L77" s="166"/>
      <c r="M77" s="166"/>
      <c r="N77" s="166"/>
      <c r="O77" s="166"/>
      <c r="P77" s="171"/>
      <c r="Q77" s="215"/>
    </row>
    <row r="78" spans="2:17" ht="50.25" customHeight="1" x14ac:dyDescent="0.25">
      <c r="B78" s="204" t="s">
        <v>2</v>
      </c>
      <c r="C78" s="167" t="s">
        <v>337</v>
      </c>
      <c r="D78" s="144" t="s">
        <v>490</v>
      </c>
      <c r="E78" s="167" t="s">
        <v>22</v>
      </c>
      <c r="F78" s="147" t="s">
        <v>580</v>
      </c>
      <c r="G78" s="170" t="s">
        <v>31</v>
      </c>
      <c r="H78" s="205" t="s">
        <v>40</v>
      </c>
      <c r="I78" s="211"/>
      <c r="J78" s="170"/>
      <c r="K78" s="165"/>
      <c r="L78" s="165"/>
      <c r="M78" s="165"/>
      <c r="N78" s="165"/>
      <c r="O78" s="165"/>
      <c r="P78" s="170"/>
      <c r="Q78" s="207"/>
    </row>
    <row r="79" spans="2:17" ht="50.25" customHeight="1" x14ac:dyDescent="0.25">
      <c r="B79" s="204" t="s">
        <v>2</v>
      </c>
      <c r="C79" s="169" t="s">
        <v>338</v>
      </c>
      <c r="D79" s="240" t="s">
        <v>675</v>
      </c>
      <c r="E79" s="169" t="s">
        <v>22</v>
      </c>
      <c r="F79" s="198" t="s">
        <v>581</v>
      </c>
      <c r="G79" s="172" t="s">
        <v>31</v>
      </c>
      <c r="H79" s="208" t="s">
        <v>40</v>
      </c>
      <c r="I79" s="209"/>
      <c r="J79" s="172"/>
      <c r="K79" s="199"/>
      <c r="L79" s="199"/>
      <c r="M79" s="199"/>
      <c r="N79" s="199"/>
      <c r="O79" s="199"/>
      <c r="P79" s="172"/>
      <c r="Q79" s="210"/>
    </row>
    <row r="80" spans="2:17" ht="50.25" customHeight="1" x14ac:dyDescent="0.25">
      <c r="B80" s="204" t="s">
        <v>2</v>
      </c>
      <c r="C80" s="167" t="s">
        <v>339</v>
      </c>
      <c r="D80" s="144" t="s">
        <v>427</v>
      </c>
      <c r="E80" s="167" t="s">
        <v>22</v>
      </c>
      <c r="F80" s="147" t="s">
        <v>582</v>
      </c>
      <c r="G80" s="170" t="s">
        <v>31</v>
      </c>
      <c r="H80" s="205" t="s">
        <v>40</v>
      </c>
      <c r="I80" s="211"/>
      <c r="J80" s="170"/>
      <c r="K80" s="165"/>
      <c r="L80" s="165"/>
      <c r="M80" s="165"/>
      <c r="N80" s="165"/>
      <c r="O80" s="165"/>
      <c r="P80" s="170"/>
      <c r="Q80" s="207"/>
    </row>
    <row r="81" spans="2:17" ht="50.25" customHeight="1" x14ac:dyDescent="0.25">
      <c r="B81" s="204" t="s">
        <v>2</v>
      </c>
      <c r="C81" s="169" t="s">
        <v>340</v>
      </c>
      <c r="D81" s="141" t="s">
        <v>491</v>
      </c>
      <c r="E81" s="169" t="s">
        <v>22</v>
      </c>
      <c r="F81" s="198" t="s">
        <v>583</v>
      </c>
      <c r="G81" s="172" t="s">
        <v>31</v>
      </c>
      <c r="H81" s="208" t="s">
        <v>40</v>
      </c>
      <c r="I81" s="209"/>
      <c r="J81" s="172"/>
      <c r="K81" s="199"/>
      <c r="L81" s="199"/>
      <c r="M81" s="199"/>
      <c r="N81" s="199"/>
      <c r="O81" s="199"/>
      <c r="P81" s="172"/>
      <c r="Q81" s="210"/>
    </row>
    <row r="82" spans="2:17" ht="50.25" customHeight="1" x14ac:dyDescent="0.25">
      <c r="B82" s="204" t="s">
        <v>2</v>
      </c>
      <c r="C82" s="167" t="s">
        <v>341</v>
      </c>
      <c r="D82" s="144" t="s">
        <v>492</v>
      </c>
      <c r="E82" s="167" t="s">
        <v>22</v>
      </c>
      <c r="F82" s="144" t="s">
        <v>584</v>
      </c>
      <c r="G82" s="170" t="s">
        <v>31</v>
      </c>
      <c r="H82" s="205" t="s">
        <v>40</v>
      </c>
      <c r="I82" s="211"/>
      <c r="J82" s="170"/>
      <c r="K82" s="165"/>
      <c r="L82" s="165"/>
      <c r="M82" s="165"/>
      <c r="N82" s="165"/>
      <c r="O82" s="165"/>
      <c r="P82" s="170"/>
      <c r="Q82" s="207"/>
    </row>
    <row r="83" spans="2:17" ht="50.25" customHeight="1" x14ac:dyDescent="0.25">
      <c r="B83" s="204" t="s">
        <v>2</v>
      </c>
      <c r="C83" s="168" t="s">
        <v>342</v>
      </c>
      <c r="D83" s="142" t="s">
        <v>493</v>
      </c>
      <c r="E83" s="168" t="s">
        <v>22</v>
      </c>
      <c r="F83" s="142" t="s">
        <v>692</v>
      </c>
      <c r="G83" s="171" t="s">
        <v>31</v>
      </c>
      <c r="H83" s="213" t="s">
        <v>40</v>
      </c>
      <c r="I83" s="214"/>
      <c r="J83" s="171"/>
      <c r="K83" s="166"/>
      <c r="L83" s="166"/>
      <c r="M83" s="166"/>
      <c r="N83" s="166"/>
      <c r="O83" s="166"/>
      <c r="P83" s="171"/>
      <c r="Q83" s="215"/>
    </row>
    <row r="84" spans="2:17" ht="50.25" customHeight="1" x14ac:dyDescent="0.25">
      <c r="B84" s="204" t="s">
        <v>2</v>
      </c>
      <c r="C84" s="167" t="s">
        <v>343</v>
      </c>
      <c r="D84" s="144" t="s">
        <v>494</v>
      </c>
      <c r="E84" s="167" t="s">
        <v>23</v>
      </c>
      <c r="F84" s="147" t="s">
        <v>585</v>
      </c>
      <c r="G84" s="170" t="s">
        <v>31</v>
      </c>
      <c r="H84" s="205" t="s">
        <v>40</v>
      </c>
      <c r="I84" s="211"/>
      <c r="J84" s="170"/>
      <c r="K84" s="165"/>
      <c r="L84" s="165"/>
      <c r="M84" s="165"/>
      <c r="N84" s="165"/>
      <c r="O84" s="165"/>
      <c r="P84" s="170"/>
      <c r="Q84" s="207"/>
    </row>
    <row r="85" spans="2:17" ht="50.25" customHeight="1" x14ac:dyDescent="0.25">
      <c r="B85" s="204" t="s">
        <v>2</v>
      </c>
      <c r="C85" s="169" t="s">
        <v>344</v>
      </c>
      <c r="D85" s="240" t="s">
        <v>676</v>
      </c>
      <c r="E85" s="169" t="s">
        <v>23</v>
      </c>
      <c r="F85" s="141" t="s">
        <v>586</v>
      </c>
      <c r="G85" s="172" t="s">
        <v>31</v>
      </c>
      <c r="H85" s="208" t="s">
        <v>40</v>
      </c>
      <c r="I85" s="209"/>
      <c r="J85" s="172"/>
      <c r="K85" s="199"/>
      <c r="L85" s="199"/>
      <c r="M85" s="199"/>
      <c r="N85" s="199"/>
      <c r="O85" s="199"/>
      <c r="P85" s="172"/>
      <c r="Q85" s="210"/>
    </row>
    <row r="86" spans="2:17" ht="50.25" customHeight="1" x14ac:dyDescent="0.25">
      <c r="B86" s="204" t="s">
        <v>2</v>
      </c>
      <c r="C86" s="167" t="s">
        <v>345</v>
      </c>
      <c r="D86" s="144" t="s">
        <v>495</v>
      </c>
      <c r="E86" s="167" t="s">
        <v>23</v>
      </c>
      <c r="F86" s="147" t="s">
        <v>587</v>
      </c>
      <c r="G86" s="170" t="s">
        <v>31</v>
      </c>
      <c r="H86" s="205" t="s">
        <v>40</v>
      </c>
      <c r="I86" s="211"/>
      <c r="J86" s="170"/>
      <c r="K86" s="165"/>
      <c r="L86" s="165"/>
      <c r="M86" s="165"/>
      <c r="N86" s="165"/>
      <c r="O86" s="165"/>
      <c r="P86" s="170"/>
      <c r="Q86" s="207"/>
    </row>
    <row r="87" spans="2:17" ht="50.25" customHeight="1" x14ac:dyDescent="0.25">
      <c r="B87" s="212" t="s">
        <v>5</v>
      </c>
      <c r="C87" s="168" t="s">
        <v>346</v>
      </c>
      <c r="D87" s="142" t="s">
        <v>238</v>
      </c>
      <c r="E87" s="168" t="s">
        <v>23</v>
      </c>
      <c r="F87" s="142" t="s">
        <v>588</v>
      </c>
      <c r="G87" s="171" t="s">
        <v>31</v>
      </c>
      <c r="H87" s="205" t="s">
        <v>40</v>
      </c>
      <c r="I87" s="214"/>
      <c r="J87" s="171"/>
      <c r="K87" s="166"/>
      <c r="L87" s="166"/>
      <c r="M87" s="166"/>
      <c r="N87" s="166"/>
      <c r="O87" s="166"/>
      <c r="P87" s="171"/>
      <c r="Q87" s="215"/>
    </row>
    <row r="88" spans="2:17" ht="50.25" customHeight="1" x14ac:dyDescent="0.25">
      <c r="B88" s="212" t="s">
        <v>5</v>
      </c>
      <c r="C88" s="167" t="s">
        <v>347</v>
      </c>
      <c r="D88" s="144" t="s">
        <v>496</v>
      </c>
      <c r="E88" s="167" t="s">
        <v>23</v>
      </c>
      <c r="F88" s="147" t="s">
        <v>589</v>
      </c>
      <c r="G88" s="170" t="s">
        <v>31</v>
      </c>
      <c r="H88" s="205" t="s">
        <v>40</v>
      </c>
      <c r="I88" s="211"/>
      <c r="J88" s="170"/>
      <c r="K88" s="165"/>
      <c r="L88" s="165"/>
      <c r="M88" s="165"/>
      <c r="N88" s="165"/>
      <c r="O88" s="165"/>
      <c r="P88" s="170"/>
      <c r="Q88" s="207"/>
    </row>
    <row r="89" spans="2:17" ht="50.25" customHeight="1" x14ac:dyDescent="0.25">
      <c r="B89" s="212" t="s">
        <v>5</v>
      </c>
      <c r="C89" s="169" t="s">
        <v>348</v>
      </c>
      <c r="D89" s="141" t="s">
        <v>497</v>
      </c>
      <c r="E89" s="169" t="s">
        <v>23</v>
      </c>
      <c r="F89" s="198" t="s">
        <v>590</v>
      </c>
      <c r="G89" s="172" t="s">
        <v>31</v>
      </c>
      <c r="H89" s="208" t="s">
        <v>40</v>
      </c>
      <c r="I89" s="209"/>
      <c r="J89" s="172"/>
      <c r="K89" s="199"/>
      <c r="L89" s="199"/>
      <c r="M89" s="199"/>
      <c r="N89" s="199"/>
      <c r="O89" s="199"/>
      <c r="P89" s="172"/>
      <c r="Q89" s="210"/>
    </row>
    <row r="90" spans="2:17" ht="50.25" customHeight="1" x14ac:dyDescent="0.25">
      <c r="B90" s="212" t="s">
        <v>5</v>
      </c>
      <c r="C90" s="167" t="s">
        <v>349</v>
      </c>
      <c r="D90" s="144" t="s">
        <v>498</v>
      </c>
      <c r="E90" s="167" t="s">
        <v>23</v>
      </c>
      <c r="F90" s="147" t="s">
        <v>591</v>
      </c>
      <c r="G90" s="170" t="s">
        <v>31</v>
      </c>
      <c r="H90" s="205" t="s">
        <v>40</v>
      </c>
      <c r="I90" s="211"/>
      <c r="J90" s="170"/>
      <c r="K90" s="165"/>
      <c r="L90" s="165"/>
      <c r="M90" s="165"/>
      <c r="N90" s="165"/>
      <c r="O90" s="165"/>
      <c r="P90" s="170"/>
      <c r="Q90" s="207"/>
    </row>
    <row r="91" spans="2:17" ht="50.25" customHeight="1" x14ac:dyDescent="0.25">
      <c r="B91" s="212" t="s">
        <v>5</v>
      </c>
      <c r="C91" s="168" t="s">
        <v>350</v>
      </c>
      <c r="D91" s="142" t="s">
        <v>239</v>
      </c>
      <c r="E91" s="168" t="s">
        <v>23</v>
      </c>
      <c r="F91" s="146" t="s">
        <v>592</v>
      </c>
      <c r="G91" s="171" t="s">
        <v>31</v>
      </c>
      <c r="H91" s="213" t="s">
        <v>40</v>
      </c>
      <c r="I91" s="214"/>
      <c r="J91" s="171"/>
      <c r="K91" s="166"/>
      <c r="L91" s="166"/>
      <c r="M91" s="166"/>
      <c r="N91" s="166"/>
      <c r="O91" s="166"/>
      <c r="P91" s="171"/>
      <c r="Q91" s="215"/>
    </row>
    <row r="92" spans="2:17" ht="50.25" customHeight="1" x14ac:dyDescent="0.25">
      <c r="B92" s="212" t="s">
        <v>5</v>
      </c>
      <c r="C92" s="167" t="s">
        <v>351</v>
      </c>
      <c r="D92" s="144" t="s">
        <v>499</v>
      </c>
      <c r="E92" s="167" t="s">
        <v>22</v>
      </c>
      <c r="F92" s="144" t="s">
        <v>693</v>
      </c>
      <c r="G92" s="170" t="s">
        <v>31</v>
      </c>
      <c r="H92" s="205" t="s">
        <v>40</v>
      </c>
      <c r="I92" s="211"/>
      <c r="J92" s="170"/>
      <c r="K92" s="165"/>
      <c r="L92" s="165"/>
      <c r="M92" s="165"/>
      <c r="N92" s="165"/>
      <c r="O92" s="165"/>
      <c r="P92" s="170"/>
      <c r="Q92" s="207"/>
    </row>
    <row r="93" spans="2:17" ht="50.25" customHeight="1" x14ac:dyDescent="0.25">
      <c r="B93" s="212" t="s">
        <v>5</v>
      </c>
      <c r="C93" s="168" t="s">
        <v>352</v>
      </c>
      <c r="D93" s="142" t="s">
        <v>500</v>
      </c>
      <c r="E93" s="168" t="s">
        <v>22</v>
      </c>
      <c r="F93" s="146" t="s">
        <v>694</v>
      </c>
      <c r="G93" s="171" t="s">
        <v>31</v>
      </c>
      <c r="H93" s="205" t="s">
        <v>40</v>
      </c>
      <c r="I93" s="214"/>
      <c r="J93" s="171"/>
      <c r="K93" s="166"/>
      <c r="L93" s="166"/>
      <c r="M93" s="166"/>
      <c r="N93" s="166"/>
      <c r="O93" s="166"/>
      <c r="P93" s="171"/>
      <c r="Q93" s="215"/>
    </row>
    <row r="94" spans="2:17" ht="50.25" customHeight="1" x14ac:dyDescent="0.25">
      <c r="B94" s="212" t="s">
        <v>5</v>
      </c>
      <c r="C94" s="167" t="s">
        <v>353</v>
      </c>
      <c r="D94" s="144" t="s">
        <v>501</v>
      </c>
      <c r="E94" s="167" t="s">
        <v>22</v>
      </c>
      <c r="F94" s="147" t="s">
        <v>593</v>
      </c>
      <c r="G94" s="170" t="s">
        <v>31</v>
      </c>
      <c r="H94" s="205" t="s">
        <v>40</v>
      </c>
      <c r="I94" s="211"/>
      <c r="J94" s="170"/>
      <c r="K94" s="165"/>
      <c r="L94" s="165"/>
      <c r="M94" s="165"/>
      <c r="N94" s="165"/>
      <c r="O94" s="165"/>
      <c r="P94" s="170"/>
      <c r="Q94" s="207"/>
    </row>
    <row r="95" spans="2:17" ht="50.25" customHeight="1" x14ac:dyDescent="0.25">
      <c r="B95" s="212" t="s">
        <v>5</v>
      </c>
      <c r="C95" s="169" t="s">
        <v>354</v>
      </c>
      <c r="D95" s="141" t="s">
        <v>502</v>
      </c>
      <c r="E95" s="169" t="s">
        <v>22</v>
      </c>
      <c r="F95" s="141" t="s">
        <v>594</v>
      </c>
      <c r="G95" s="172" t="s">
        <v>31</v>
      </c>
      <c r="H95" s="208" t="s">
        <v>40</v>
      </c>
      <c r="I95" s="209"/>
      <c r="J95" s="172"/>
      <c r="K95" s="199"/>
      <c r="L95" s="199"/>
      <c r="M95" s="199"/>
      <c r="N95" s="199"/>
      <c r="O95" s="199"/>
      <c r="P95" s="172"/>
      <c r="Q95" s="210"/>
    </row>
    <row r="96" spans="2:17" ht="50.25" customHeight="1" x14ac:dyDescent="0.25">
      <c r="B96" s="212" t="s">
        <v>5</v>
      </c>
      <c r="C96" s="167" t="s">
        <v>355</v>
      </c>
      <c r="D96" s="144" t="s">
        <v>503</v>
      </c>
      <c r="E96" s="167" t="s">
        <v>22</v>
      </c>
      <c r="F96" s="144" t="s">
        <v>595</v>
      </c>
      <c r="G96" s="170" t="s">
        <v>31</v>
      </c>
      <c r="H96" s="205" t="s">
        <v>40</v>
      </c>
      <c r="I96" s="211"/>
      <c r="J96" s="170"/>
      <c r="K96" s="165"/>
      <c r="L96" s="165"/>
      <c r="M96" s="165"/>
      <c r="N96" s="165"/>
      <c r="O96" s="165"/>
      <c r="P96" s="170"/>
      <c r="Q96" s="207"/>
    </row>
    <row r="97" spans="2:17" ht="50.25" customHeight="1" x14ac:dyDescent="0.25">
      <c r="B97" s="212" t="s">
        <v>5</v>
      </c>
      <c r="C97" s="169" t="s">
        <v>356</v>
      </c>
      <c r="D97" s="141" t="s">
        <v>504</v>
      </c>
      <c r="E97" s="169" t="s">
        <v>22</v>
      </c>
      <c r="F97" s="198" t="s">
        <v>596</v>
      </c>
      <c r="G97" s="172" t="s">
        <v>31</v>
      </c>
      <c r="H97" s="208" t="s">
        <v>40</v>
      </c>
      <c r="I97" s="209"/>
      <c r="J97" s="172"/>
      <c r="K97" s="199"/>
      <c r="L97" s="199"/>
      <c r="M97" s="199"/>
      <c r="N97" s="199"/>
      <c r="O97" s="199"/>
      <c r="P97" s="172"/>
      <c r="Q97" s="210"/>
    </row>
    <row r="98" spans="2:17" ht="50.25" customHeight="1" x14ac:dyDescent="0.25">
      <c r="B98" s="204" t="s">
        <v>240</v>
      </c>
      <c r="C98" s="167" t="s">
        <v>357</v>
      </c>
      <c r="D98" s="144" t="s">
        <v>505</v>
      </c>
      <c r="E98" s="167" t="s">
        <v>22</v>
      </c>
      <c r="F98" s="144" t="s">
        <v>597</v>
      </c>
      <c r="G98" s="170" t="s">
        <v>31</v>
      </c>
      <c r="H98" s="205" t="s">
        <v>40</v>
      </c>
      <c r="I98" s="211"/>
      <c r="J98" s="170"/>
      <c r="K98" s="165"/>
      <c r="L98" s="165"/>
      <c r="M98" s="165"/>
      <c r="N98" s="165"/>
      <c r="O98" s="165"/>
      <c r="P98" s="170"/>
      <c r="Q98" s="207"/>
    </row>
    <row r="99" spans="2:17" ht="50.25" customHeight="1" x14ac:dyDescent="0.25">
      <c r="B99" s="204" t="s">
        <v>240</v>
      </c>
      <c r="C99" s="169" t="s">
        <v>358</v>
      </c>
      <c r="D99" s="141" t="s">
        <v>506</v>
      </c>
      <c r="E99" s="169" t="s">
        <v>22</v>
      </c>
      <c r="F99" s="198" t="s">
        <v>598</v>
      </c>
      <c r="G99" s="172" t="s">
        <v>31</v>
      </c>
      <c r="H99" s="208" t="s">
        <v>40</v>
      </c>
      <c r="I99" s="209"/>
      <c r="J99" s="172"/>
      <c r="K99" s="199"/>
      <c r="L99" s="199"/>
      <c r="M99" s="199"/>
      <c r="N99" s="199"/>
      <c r="O99" s="199"/>
      <c r="P99" s="172"/>
      <c r="Q99" s="210"/>
    </row>
    <row r="100" spans="2:17" ht="50.25" customHeight="1" x14ac:dyDescent="0.25">
      <c r="B100" s="204" t="s">
        <v>240</v>
      </c>
      <c r="C100" s="167" t="s">
        <v>359</v>
      </c>
      <c r="D100" s="144" t="s">
        <v>507</v>
      </c>
      <c r="E100" s="167" t="s">
        <v>22</v>
      </c>
      <c r="F100" s="144" t="s">
        <v>599</v>
      </c>
      <c r="G100" s="170" t="s">
        <v>31</v>
      </c>
      <c r="H100" s="205" t="s">
        <v>40</v>
      </c>
      <c r="I100" s="211"/>
      <c r="J100" s="170"/>
      <c r="K100" s="165"/>
      <c r="L100" s="165"/>
      <c r="M100" s="165"/>
      <c r="N100" s="165"/>
      <c r="O100" s="165"/>
      <c r="P100" s="170"/>
      <c r="Q100" s="207"/>
    </row>
    <row r="101" spans="2:17" ht="50.25" customHeight="1" x14ac:dyDescent="0.25">
      <c r="B101" s="204" t="s">
        <v>240</v>
      </c>
      <c r="C101" s="168" t="s">
        <v>360</v>
      </c>
      <c r="D101" s="142" t="s">
        <v>241</v>
      </c>
      <c r="E101" s="168" t="s">
        <v>22</v>
      </c>
      <c r="F101" s="142" t="s">
        <v>600</v>
      </c>
      <c r="G101" s="171" t="s">
        <v>31</v>
      </c>
      <c r="H101" s="205" t="s">
        <v>40</v>
      </c>
      <c r="I101" s="214"/>
      <c r="J101" s="171"/>
      <c r="K101" s="166"/>
      <c r="L101" s="166"/>
      <c r="M101" s="166"/>
      <c r="N101" s="166"/>
      <c r="O101" s="166"/>
      <c r="P101" s="171"/>
      <c r="Q101" s="215"/>
    </row>
    <row r="102" spans="2:17" ht="50.25" customHeight="1" x14ac:dyDescent="0.25">
      <c r="B102" s="204" t="s">
        <v>240</v>
      </c>
      <c r="C102" s="167" t="s">
        <v>361</v>
      </c>
      <c r="D102" s="144" t="s">
        <v>508</v>
      </c>
      <c r="E102" s="167" t="s">
        <v>22</v>
      </c>
      <c r="F102" s="144" t="s">
        <v>601</v>
      </c>
      <c r="G102" s="170" t="s">
        <v>31</v>
      </c>
      <c r="H102" s="205" t="s">
        <v>40</v>
      </c>
      <c r="I102" s="211"/>
      <c r="J102" s="170"/>
      <c r="K102" s="165"/>
      <c r="L102" s="165"/>
      <c r="M102" s="165"/>
      <c r="N102" s="165"/>
      <c r="O102" s="165"/>
      <c r="P102" s="170"/>
      <c r="Q102" s="207"/>
    </row>
    <row r="103" spans="2:17" ht="50.25" customHeight="1" x14ac:dyDescent="0.25">
      <c r="B103" s="204" t="s">
        <v>240</v>
      </c>
      <c r="C103" s="169" t="s">
        <v>362</v>
      </c>
      <c r="D103" s="141" t="s">
        <v>509</v>
      </c>
      <c r="E103" s="169" t="s">
        <v>22</v>
      </c>
      <c r="F103" s="141" t="s">
        <v>602</v>
      </c>
      <c r="G103" s="172" t="s">
        <v>31</v>
      </c>
      <c r="H103" s="208" t="s">
        <v>40</v>
      </c>
      <c r="I103" s="209"/>
      <c r="J103" s="172"/>
      <c r="K103" s="199"/>
      <c r="L103" s="199"/>
      <c r="M103" s="199"/>
      <c r="N103" s="199"/>
      <c r="O103" s="199"/>
      <c r="P103" s="172"/>
      <c r="Q103" s="210"/>
    </row>
    <row r="104" spans="2:17" ht="50.25" customHeight="1" x14ac:dyDescent="0.25">
      <c r="B104" s="204" t="s">
        <v>240</v>
      </c>
      <c r="C104" s="167" t="s">
        <v>363</v>
      </c>
      <c r="D104" s="144" t="s">
        <v>510</v>
      </c>
      <c r="E104" s="167" t="s">
        <v>22</v>
      </c>
      <c r="F104" s="147" t="s">
        <v>695</v>
      </c>
      <c r="G104" s="170" t="s">
        <v>31</v>
      </c>
      <c r="H104" s="205" t="s">
        <v>40</v>
      </c>
      <c r="I104" s="211"/>
      <c r="J104" s="170"/>
      <c r="K104" s="165"/>
      <c r="L104" s="165"/>
      <c r="M104" s="165"/>
      <c r="N104" s="165"/>
      <c r="O104" s="165"/>
      <c r="P104" s="170"/>
      <c r="Q104" s="207"/>
    </row>
    <row r="105" spans="2:17" ht="50.25" customHeight="1" x14ac:dyDescent="0.25">
      <c r="B105" s="204" t="s">
        <v>240</v>
      </c>
      <c r="C105" s="169" t="s">
        <v>364</v>
      </c>
      <c r="D105" s="141" t="s">
        <v>511</v>
      </c>
      <c r="E105" s="169" t="s">
        <v>22</v>
      </c>
      <c r="F105" s="141" t="s">
        <v>603</v>
      </c>
      <c r="G105" s="172" t="s">
        <v>31</v>
      </c>
      <c r="H105" s="208" t="s">
        <v>40</v>
      </c>
      <c r="I105" s="209"/>
      <c r="J105" s="172"/>
      <c r="K105" s="199"/>
      <c r="L105" s="199"/>
      <c r="M105" s="199"/>
      <c r="N105" s="199"/>
      <c r="O105" s="199"/>
      <c r="P105" s="172"/>
      <c r="Q105" s="210"/>
    </row>
    <row r="106" spans="2:17" ht="50.25" customHeight="1" x14ac:dyDescent="0.25">
      <c r="B106" s="204" t="s">
        <v>240</v>
      </c>
      <c r="C106" s="167" t="s">
        <v>365</v>
      </c>
      <c r="D106" s="144" t="s">
        <v>515</v>
      </c>
      <c r="E106" s="167" t="s">
        <v>23</v>
      </c>
      <c r="F106" s="147" t="s">
        <v>604</v>
      </c>
      <c r="G106" s="170" t="s">
        <v>31</v>
      </c>
      <c r="H106" s="205" t="s">
        <v>40</v>
      </c>
      <c r="I106" s="211"/>
      <c r="J106" s="170"/>
      <c r="K106" s="165"/>
      <c r="L106" s="165"/>
      <c r="M106" s="165"/>
      <c r="N106" s="165"/>
      <c r="O106" s="165"/>
      <c r="P106" s="170"/>
      <c r="Q106" s="207"/>
    </row>
    <row r="107" spans="2:17" ht="50.25" customHeight="1" x14ac:dyDescent="0.25">
      <c r="B107" s="204" t="s">
        <v>240</v>
      </c>
      <c r="C107" s="169" t="s">
        <v>366</v>
      </c>
      <c r="D107" s="141" t="s">
        <v>512</v>
      </c>
      <c r="E107" s="169" t="s">
        <v>22</v>
      </c>
      <c r="F107" s="198" t="s">
        <v>605</v>
      </c>
      <c r="G107" s="172" t="s">
        <v>31</v>
      </c>
      <c r="H107" s="208" t="s">
        <v>40</v>
      </c>
      <c r="I107" s="209"/>
      <c r="J107" s="172"/>
      <c r="K107" s="199"/>
      <c r="L107" s="199"/>
      <c r="M107" s="199"/>
      <c r="N107" s="199"/>
      <c r="O107" s="199"/>
      <c r="P107" s="172"/>
      <c r="Q107" s="210"/>
    </row>
    <row r="108" spans="2:17" ht="50.25" customHeight="1" x14ac:dyDescent="0.25">
      <c r="B108" s="204" t="s">
        <v>240</v>
      </c>
      <c r="C108" s="167" t="s">
        <v>367</v>
      </c>
      <c r="D108" s="144" t="s">
        <v>513</v>
      </c>
      <c r="E108" s="167" t="s">
        <v>22</v>
      </c>
      <c r="F108" s="147" t="s">
        <v>606</v>
      </c>
      <c r="G108" s="170" t="s">
        <v>31</v>
      </c>
      <c r="H108" s="205" t="s">
        <v>40</v>
      </c>
      <c r="I108" s="211"/>
      <c r="J108" s="170"/>
      <c r="K108" s="165"/>
      <c r="L108" s="165"/>
      <c r="M108" s="165"/>
      <c r="N108" s="165"/>
      <c r="O108" s="165"/>
      <c r="P108" s="170"/>
      <c r="Q108" s="207"/>
    </row>
    <row r="109" spans="2:17" ht="50.25" customHeight="1" x14ac:dyDescent="0.25">
      <c r="B109" s="217" t="s">
        <v>240</v>
      </c>
      <c r="C109" s="218" t="s">
        <v>368</v>
      </c>
      <c r="D109" s="219" t="s">
        <v>514</v>
      </c>
      <c r="E109" s="218" t="s">
        <v>22</v>
      </c>
      <c r="F109" s="220" t="s">
        <v>607</v>
      </c>
      <c r="G109" s="221" t="s">
        <v>31</v>
      </c>
      <c r="H109" s="222" t="s">
        <v>40</v>
      </c>
      <c r="I109" s="223"/>
      <c r="J109" s="221"/>
      <c r="K109" s="224"/>
      <c r="L109" s="224"/>
      <c r="M109" s="224"/>
      <c r="N109" s="224"/>
      <c r="O109" s="224"/>
      <c r="P109" s="221"/>
      <c r="Q109" s="225"/>
    </row>
  </sheetData>
  <mergeCells count="1">
    <mergeCell ref="S4:T4"/>
  </mergeCells>
  <conditionalFormatting sqref="H4:H109">
    <cfRule type="cellIs" dxfId="310" priority="1" operator="equal">
      <formula>"Indéterminé"</formula>
    </cfRule>
    <cfRule type="cellIs" dxfId="309" priority="2" operator="equal">
      <formula>"NA"</formula>
    </cfRule>
    <cfRule type="cellIs" dxfId="308" priority="3" operator="equal">
      <formula>"Invalidé"</formula>
    </cfRule>
    <cfRule type="cellIs" dxfId="307"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activeCell="C11" sqref="C11"/>
    </sheetView>
  </sheetViews>
  <sheetFormatPr baseColWidth="10" defaultColWidth="11.42578125" defaultRowHeight="15" outlineLevelRow="1" x14ac:dyDescent="0.25"/>
  <cols>
    <col min="1" max="1" width="12.7109375" style="6" customWidth="1"/>
    <col min="2" max="2" width="11.28515625" style="6" customWidth="1"/>
    <col min="3" max="3" width="20.5703125" style="6" customWidth="1"/>
    <col min="4" max="4" width="8.5703125" style="6" customWidth="1"/>
    <col min="5" max="5" width="30.85546875" style="6" customWidth="1"/>
    <col min="6" max="6" width="64" style="7" customWidth="1"/>
    <col min="7" max="16" width="12.7109375" style="6" customWidth="1"/>
    <col min="17" max="16384" width="11.42578125" style="6"/>
  </cols>
  <sheetData>
    <row r="1" spans="1:192" ht="47.45" customHeight="1" x14ac:dyDescent="0.25">
      <c r="A1" s="28" t="str">
        <f>Projet!A1</f>
        <v>Audit par critères RGAA 4.1 2021</v>
      </c>
      <c r="B1" s="28"/>
      <c r="C1" s="28"/>
      <c r="D1" s="28"/>
      <c r="E1" s="28"/>
      <c r="F1" s="29"/>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row>
    <row r="2" spans="1:192" ht="35.1" customHeight="1" x14ac:dyDescent="0.25">
      <c r="A2" s="249" t="s">
        <v>242</v>
      </c>
      <c r="B2" s="250"/>
      <c r="C2" s="250"/>
      <c r="D2" s="251"/>
      <c r="E2" s="28"/>
      <c r="F2" s="29"/>
      <c r="G2" s="112" t="s">
        <v>627</v>
      </c>
      <c r="H2" s="112"/>
      <c r="I2" s="112"/>
      <c r="J2" s="54"/>
      <c r="K2" s="54"/>
      <c r="L2" s="54"/>
      <c r="M2" s="54"/>
      <c r="N2" s="54"/>
      <c r="O2" s="54"/>
      <c r="P2" s="5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row>
    <row r="3" spans="1:192" ht="15" customHeight="1" x14ac:dyDescent="0.25">
      <c r="A3" s="54"/>
      <c r="B3" s="55"/>
      <c r="C3" s="55"/>
      <c r="D3" s="56"/>
      <c r="E3" s="28"/>
      <c r="F3" s="29"/>
      <c r="G3" s="57">
        <f>IF(SUM(Value!AG$13:AG$15)=0,0,(Value!AG$13/SUM(Value!AG$13:AG$15))*100)</f>
        <v>0</v>
      </c>
      <c r="H3" s="234"/>
      <c r="I3" s="234"/>
      <c r="J3" s="234"/>
      <c r="K3" s="234"/>
      <c r="L3" s="234"/>
      <c r="M3" s="234"/>
      <c r="N3" s="234"/>
      <c r="O3" s="234"/>
      <c r="P3" s="234"/>
      <c r="Q3" s="234"/>
      <c r="R3" s="23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row>
    <row r="4" spans="1:192" ht="15" customHeight="1" x14ac:dyDescent="0.25">
      <c r="A4" s="54"/>
      <c r="B4" s="111" t="s">
        <v>628</v>
      </c>
      <c r="C4" s="55"/>
      <c r="D4" s="56"/>
      <c r="E4" s="28"/>
      <c r="F4" s="29"/>
      <c r="G4" s="57">
        <f>IF(SUM(Value!AG$13:AG$15)=0,0,(Value!AG$14/SUM(Value!AG$13:AG$15))*100)</f>
        <v>0</v>
      </c>
      <c r="H4" s="234"/>
      <c r="I4" s="234"/>
      <c r="J4" s="234"/>
      <c r="K4" s="234"/>
      <c r="L4" s="234"/>
      <c r="M4" s="234"/>
      <c r="N4" s="234"/>
      <c r="O4" s="234"/>
      <c r="P4" s="234"/>
      <c r="Q4" s="234"/>
      <c r="R4" s="23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row>
    <row r="5" spans="1:192" ht="15" customHeight="1" x14ac:dyDescent="0.25">
      <c r="A5" s="252" t="str">
        <f ca="1">Value!O141</f>
        <v/>
      </c>
      <c r="B5" s="253"/>
      <c r="C5" s="253"/>
      <c r="D5" s="254"/>
      <c r="E5" s="28"/>
      <c r="F5" s="29"/>
      <c r="G5" s="57">
        <f>IF(SUM(Value!AG$13:AG$15)=0,0,(Value!AG$15/SUM(Value!AG$13:AG$15))*100)</f>
        <v>0</v>
      </c>
      <c r="H5" s="234"/>
      <c r="I5" s="234"/>
      <c r="J5" s="234"/>
      <c r="K5" s="234"/>
      <c r="L5" s="234"/>
      <c r="M5" s="234"/>
      <c r="N5" s="234"/>
      <c r="O5" s="234"/>
      <c r="P5" s="234"/>
      <c r="Q5" s="234"/>
      <c r="R5" s="23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row>
    <row r="6" spans="1:192" ht="31.5" customHeight="1" x14ac:dyDescent="0.25">
      <c r="A6" s="255"/>
      <c r="B6" s="256"/>
      <c r="C6" s="256"/>
      <c r="D6" s="257"/>
      <c r="E6" s="30"/>
      <c r="F6" s="30"/>
      <c r="G6" s="31">
        <f>IF(ISERROR(Value!AG$16),"",Value!AG$16)</f>
        <v>0</v>
      </c>
      <c r="H6" s="235"/>
      <c r="I6" s="235"/>
      <c r="J6" s="235"/>
      <c r="K6" s="235"/>
      <c r="L6" s="235"/>
      <c r="M6" s="235"/>
      <c r="N6" s="235"/>
      <c r="O6" s="235"/>
      <c r="P6" s="235"/>
      <c r="Q6" s="235"/>
      <c r="R6" s="235"/>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row>
    <row r="7" spans="1:192" ht="15" customHeight="1" x14ac:dyDescent="0.25">
      <c r="A7" s="255"/>
      <c r="B7" s="256"/>
      <c r="C7" s="256"/>
      <c r="D7" s="257"/>
      <c r="E7" s="30"/>
      <c r="F7" s="30"/>
      <c r="G7" s="32">
        <f>IF(ISERROR(Value!AG$6),"",Value!AG$6)</f>
        <v>0</v>
      </c>
      <c r="H7" s="236"/>
      <c r="I7" s="236"/>
      <c r="J7" s="236"/>
      <c r="K7" s="236"/>
      <c r="L7" s="236"/>
      <c r="M7" s="236"/>
      <c r="N7" s="236"/>
      <c r="O7" s="236"/>
      <c r="P7" s="236"/>
      <c r="Q7" s="236"/>
      <c r="R7" s="236"/>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row>
    <row r="8" spans="1:192" ht="16.899999999999999" customHeight="1" x14ac:dyDescent="0.25">
      <c r="A8" s="255"/>
      <c r="B8" s="256"/>
      <c r="C8" s="256"/>
      <c r="D8" s="257"/>
      <c r="E8" s="30"/>
      <c r="F8" s="30"/>
      <c r="G8" s="32"/>
      <c r="H8" s="32"/>
      <c r="I8" s="32"/>
      <c r="J8" s="32"/>
      <c r="K8" s="32"/>
      <c r="L8" s="32"/>
      <c r="M8" s="32"/>
      <c r="N8" s="32"/>
      <c r="O8" s="32"/>
      <c r="P8" s="32"/>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row>
    <row r="9" spans="1:192" s="90" customFormat="1" ht="22.5" customHeight="1" x14ac:dyDescent="0.25">
      <c r="A9" s="258"/>
      <c r="B9" s="259"/>
      <c r="C9" s="259"/>
      <c r="D9" s="260"/>
      <c r="E9" s="30"/>
      <c r="F9" s="33"/>
      <c r="G9" s="102"/>
      <c r="H9" s="102"/>
      <c r="I9" s="102"/>
      <c r="J9" s="53"/>
      <c r="K9" s="53"/>
      <c r="L9" s="53"/>
      <c r="M9" s="53"/>
      <c r="N9" s="53"/>
      <c r="O9" s="53"/>
      <c r="P9" s="53"/>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row>
    <row r="10" spans="1:192" x14ac:dyDescent="0.25">
      <c r="A10" s="227" t="s">
        <v>0</v>
      </c>
      <c r="B10" s="227" t="s">
        <v>258</v>
      </c>
      <c r="C10" s="227" t="s">
        <v>232</v>
      </c>
      <c r="D10" s="228" t="s">
        <v>21</v>
      </c>
      <c r="E10" s="229" t="s">
        <v>609</v>
      </c>
      <c r="F10" s="2" t="s">
        <v>8</v>
      </c>
      <c r="G10" s="1" t="s">
        <v>415</v>
      </c>
      <c r="H10" s="1" t="s">
        <v>416</v>
      </c>
      <c r="I10" s="1" t="s">
        <v>417</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 customHeight="1" x14ac:dyDescent="0.25">
      <c r="A11" s="148" t="s">
        <v>3</v>
      </c>
      <c r="B11" s="167" t="s">
        <v>260</v>
      </c>
      <c r="C11" s="139" t="s">
        <v>431</v>
      </c>
      <c r="D11" s="170" t="s">
        <v>22</v>
      </c>
      <c r="E11" s="147" t="s">
        <v>679</v>
      </c>
      <c r="F11" s="211"/>
      <c r="G11" s="74"/>
      <c r="H11" s="74"/>
      <c r="I11" s="74"/>
      <c r="J11" s="74"/>
      <c r="K11" s="74"/>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c r="CA11" s="101"/>
      <c r="CB11" s="101"/>
      <c r="CC11" s="101"/>
      <c r="CD11" s="101"/>
      <c r="CE11" s="101"/>
      <c r="CF11" s="101"/>
      <c r="CG11" s="101"/>
      <c r="CH11" s="101"/>
      <c r="CI11" s="101"/>
      <c r="CJ11" s="101"/>
      <c r="CK11" s="101"/>
      <c r="CL11" s="101"/>
      <c r="CM11" s="101"/>
      <c r="CN11" s="101"/>
      <c r="CO11" s="101"/>
      <c r="CP11" s="101"/>
      <c r="CQ11" s="101"/>
      <c r="CR11" s="101"/>
      <c r="CS11" s="101"/>
      <c r="CT11" s="101"/>
      <c r="CU11" s="101"/>
      <c r="CV11" s="101"/>
      <c r="CW11" s="101"/>
      <c r="CX11" s="101"/>
      <c r="CY11" s="101"/>
      <c r="CZ11" s="101"/>
      <c r="DA11" s="101"/>
      <c r="DB11" s="101"/>
      <c r="DC11" s="101"/>
      <c r="DD11" s="101"/>
      <c r="DE11" s="101"/>
      <c r="DF11" s="101"/>
      <c r="DG11" s="101"/>
      <c r="DH11" s="101"/>
      <c r="DI11" s="101"/>
      <c r="DJ11" s="101"/>
      <c r="DK11" s="101"/>
      <c r="DL11" s="101"/>
      <c r="DM11" s="101"/>
      <c r="DN11" s="101"/>
      <c r="DO11" s="101"/>
      <c r="DP11" s="101"/>
      <c r="DQ11" s="101"/>
      <c r="DR11" s="101"/>
      <c r="DS11" s="101"/>
      <c r="DT11" s="101"/>
      <c r="DU11" s="101"/>
      <c r="DV11" s="101"/>
      <c r="DW11" s="101"/>
      <c r="DX11" s="101"/>
      <c r="DY11" s="101"/>
      <c r="DZ11" s="101"/>
      <c r="EA11" s="101"/>
      <c r="EB11" s="101"/>
      <c r="EC11" s="101"/>
      <c r="ED11" s="101"/>
      <c r="EE11" s="101"/>
      <c r="EF11" s="101"/>
      <c r="EG11" s="101"/>
      <c r="EH11" s="101"/>
      <c r="EI11" s="101"/>
      <c r="EJ11" s="101"/>
      <c r="EK11" s="101"/>
      <c r="EL11" s="101"/>
      <c r="EM11" s="101"/>
      <c r="EN11" s="101"/>
      <c r="EO11" s="101"/>
      <c r="EP11" s="101"/>
      <c r="EQ11" s="101"/>
      <c r="ER11" s="101"/>
      <c r="ES11" s="101"/>
      <c r="ET11" s="101"/>
      <c r="EU11" s="101"/>
      <c r="EV11" s="101"/>
      <c r="EW11" s="101"/>
      <c r="EX11" s="101"/>
      <c r="EY11" s="101"/>
      <c r="EZ11" s="101"/>
      <c r="FA11" s="101"/>
      <c r="FB11" s="101"/>
      <c r="FC11" s="101"/>
      <c r="FD11" s="101"/>
      <c r="FE11" s="101"/>
      <c r="FF11" s="101"/>
      <c r="FG11" s="101"/>
      <c r="FH11" s="101"/>
      <c r="FI11" s="101"/>
      <c r="FJ11" s="101"/>
      <c r="FK11" s="101"/>
      <c r="FL11" s="101"/>
      <c r="FM11" s="101"/>
      <c r="FN11" s="101"/>
      <c r="FO11" s="101"/>
      <c r="FP11" s="101"/>
      <c r="FQ11" s="101"/>
      <c r="FR11" s="101"/>
      <c r="FS11" s="101"/>
      <c r="FT11" s="101"/>
      <c r="FU11" s="101"/>
      <c r="FV11" s="101"/>
      <c r="FW11" s="101"/>
      <c r="FX11" s="101"/>
      <c r="FY11" s="101"/>
      <c r="FZ11" s="101"/>
      <c r="GA11" s="101"/>
      <c r="GB11" s="101"/>
      <c r="GC11" s="101"/>
      <c r="GD11" s="101"/>
      <c r="GE11" s="101"/>
      <c r="GF11" s="101"/>
      <c r="GG11" s="101"/>
      <c r="GH11" s="101"/>
      <c r="GI11" s="101"/>
      <c r="GJ11" s="101"/>
    </row>
    <row r="12" spans="1:192" ht="50.1" customHeight="1" outlineLevel="1" x14ac:dyDescent="0.25">
      <c r="A12" s="148" t="s">
        <v>3</v>
      </c>
      <c r="B12" s="169" t="s">
        <v>262</v>
      </c>
      <c r="C12" s="143" t="s">
        <v>432</v>
      </c>
      <c r="D12" s="172" t="s">
        <v>22</v>
      </c>
      <c r="E12" s="198" t="s">
        <v>518</v>
      </c>
      <c r="F12" s="209"/>
      <c r="G12" s="74"/>
      <c r="H12" s="74"/>
      <c r="I12" s="74"/>
      <c r="J12" s="74"/>
      <c r="K12" s="74"/>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101"/>
      <c r="AZ12" s="101"/>
      <c r="BA12" s="101"/>
      <c r="BB12" s="101"/>
      <c r="BC12" s="101"/>
      <c r="BD12" s="101"/>
      <c r="BE12" s="101"/>
      <c r="BF12" s="101"/>
      <c r="BG12" s="101"/>
      <c r="BH12" s="101"/>
      <c r="BI12" s="101"/>
      <c r="BJ12" s="101"/>
      <c r="BK12" s="101"/>
      <c r="BL12" s="101"/>
      <c r="BM12" s="101"/>
      <c r="BN12" s="101"/>
      <c r="BO12" s="101"/>
      <c r="BP12" s="101"/>
      <c r="BQ12" s="101"/>
      <c r="BR12" s="101"/>
      <c r="BS12" s="101"/>
      <c r="BT12" s="101"/>
      <c r="BU12" s="101"/>
      <c r="BV12" s="101"/>
      <c r="BW12" s="101"/>
      <c r="BX12" s="101"/>
      <c r="BY12" s="101"/>
      <c r="BZ12" s="101"/>
      <c r="CA12" s="101"/>
      <c r="CB12" s="101"/>
      <c r="CC12" s="101"/>
      <c r="CD12" s="101"/>
      <c r="CE12" s="101"/>
      <c r="CF12" s="101"/>
      <c r="CG12" s="101"/>
      <c r="CH12" s="101"/>
      <c r="CI12" s="101"/>
      <c r="CJ12" s="101"/>
      <c r="CK12" s="101"/>
      <c r="CL12" s="101"/>
      <c r="CM12" s="101"/>
      <c r="CN12" s="101"/>
      <c r="CO12" s="101"/>
      <c r="CP12" s="101"/>
      <c r="CQ12" s="101"/>
      <c r="CR12" s="101"/>
      <c r="CS12" s="101"/>
      <c r="CT12" s="101"/>
      <c r="CU12" s="101"/>
      <c r="CV12" s="101"/>
      <c r="CW12" s="101"/>
      <c r="CX12" s="101"/>
      <c r="CY12" s="101"/>
      <c r="CZ12" s="101"/>
      <c r="DA12" s="101"/>
      <c r="DB12" s="101"/>
      <c r="DC12" s="101"/>
      <c r="DD12" s="101"/>
      <c r="DE12" s="101"/>
      <c r="DF12" s="101"/>
      <c r="DG12" s="101"/>
      <c r="DH12" s="101"/>
      <c r="DI12" s="101"/>
      <c r="DJ12" s="101"/>
      <c r="DK12" s="101"/>
      <c r="DL12" s="101"/>
      <c r="DM12" s="101"/>
      <c r="DN12" s="101"/>
      <c r="DO12" s="101"/>
      <c r="DP12" s="101"/>
      <c r="DQ12" s="101"/>
      <c r="DR12" s="101"/>
      <c r="DS12" s="101"/>
      <c r="DT12" s="101"/>
      <c r="DU12" s="101"/>
      <c r="DV12" s="101"/>
      <c r="DW12" s="101"/>
      <c r="DX12" s="101"/>
      <c r="DY12" s="101"/>
      <c r="DZ12" s="101"/>
      <c r="EA12" s="101"/>
      <c r="EB12" s="101"/>
      <c r="EC12" s="101"/>
      <c r="ED12" s="101"/>
      <c r="EE12" s="101"/>
      <c r="EF12" s="101"/>
      <c r="EG12" s="101"/>
      <c r="EH12" s="101"/>
      <c r="EI12" s="101"/>
      <c r="EJ12" s="101"/>
      <c r="EK12" s="101"/>
      <c r="EL12" s="101"/>
      <c r="EM12" s="101"/>
      <c r="EN12" s="101"/>
      <c r="EO12" s="101"/>
      <c r="EP12" s="101"/>
      <c r="EQ12" s="101"/>
      <c r="ER12" s="101"/>
      <c r="ES12" s="101"/>
      <c r="ET12" s="101"/>
      <c r="EU12" s="101"/>
      <c r="EV12" s="101"/>
      <c r="EW12" s="101"/>
      <c r="EX12" s="101"/>
      <c r="EY12" s="101"/>
      <c r="EZ12" s="101"/>
      <c r="FA12" s="101"/>
      <c r="FB12" s="101"/>
      <c r="FC12" s="101"/>
      <c r="FD12" s="101"/>
      <c r="FE12" s="101"/>
      <c r="FF12" s="101"/>
      <c r="FG12" s="101"/>
      <c r="FH12" s="101"/>
      <c r="FI12" s="101"/>
      <c r="FJ12" s="101"/>
      <c r="FK12" s="101"/>
      <c r="FL12" s="101"/>
      <c r="FM12" s="101"/>
      <c r="FN12" s="101"/>
      <c r="FO12" s="101"/>
      <c r="FP12" s="101"/>
      <c r="FQ12" s="101"/>
      <c r="FR12" s="101"/>
      <c r="FS12" s="101"/>
      <c r="FT12" s="101"/>
      <c r="FU12" s="101"/>
      <c r="FV12" s="101"/>
      <c r="FW12" s="101"/>
      <c r="FX12" s="101"/>
      <c r="FY12" s="101"/>
      <c r="FZ12" s="101"/>
      <c r="GA12" s="101"/>
      <c r="GB12" s="101"/>
      <c r="GC12" s="101"/>
      <c r="GD12" s="101"/>
      <c r="GE12" s="101"/>
      <c r="GF12" s="101"/>
      <c r="GG12" s="101"/>
      <c r="GH12" s="101"/>
      <c r="GI12" s="101"/>
      <c r="GJ12" s="101"/>
    </row>
    <row r="13" spans="1:192" ht="50.1" customHeight="1" x14ac:dyDescent="0.25">
      <c r="A13" s="148" t="s">
        <v>3</v>
      </c>
      <c r="B13" s="167" t="s">
        <v>263</v>
      </c>
      <c r="C13" s="139" t="s">
        <v>433</v>
      </c>
      <c r="D13" s="170" t="s">
        <v>22</v>
      </c>
      <c r="E13" s="144" t="s">
        <v>680</v>
      </c>
      <c r="F13" s="211"/>
      <c r="G13" s="74"/>
      <c r="H13" s="74"/>
      <c r="I13" s="74"/>
      <c r="J13" s="74"/>
      <c r="K13" s="74"/>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101"/>
      <c r="AZ13" s="101"/>
      <c r="BA13" s="101"/>
      <c r="BB13" s="101"/>
      <c r="BC13" s="101"/>
      <c r="BD13" s="101"/>
      <c r="BE13" s="101"/>
      <c r="BF13" s="101"/>
      <c r="BG13" s="101"/>
      <c r="BH13" s="101"/>
      <c r="BI13" s="101"/>
      <c r="BJ13" s="101"/>
      <c r="BK13" s="101"/>
      <c r="BL13" s="101"/>
      <c r="BM13" s="101"/>
      <c r="BN13" s="101"/>
      <c r="BO13" s="101"/>
      <c r="BP13" s="101"/>
      <c r="BQ13" s="101"/>
      <c r="BR13" s="101"/>
      <c r="BS13" s="101"/>
      <c r="BT13" s="101"/>
      <c r="BU13" s="101"/>
      <c r="BV13" s="101"/>
      <c r="BW13" s="101"/>
      <c r="BX13" s="101"/>
      <c r="BY13" s="101"/>
      <c r="BZ13" s="101"/>
      <c r="CA13" s="101"/>
      <c r="CB13" s="101"/>
      <c r="CC13" s="101"/>
      <c r="CD13" s="101"/>
      <c r="CE13" s="101"/>
      <c r="CF13" s="101"/>
      <c r="CG13" s="101"/>
      <c r="CH13" s="101"/>
      <c r="CI13" s="101"/>
      <c r="CJ13" s="101"/>
      <c r="CK13" s="101"/>
      <c r="CL13" s="101"/>
      <c r="CM13" s="101"/>
      <c r="CN13" s="101"/>
      <c r="CO13" s="101"/>
      <c r="CP13" s="101"/>
      <c r="CQ13" s="101"/>
      <c r="CR13" s="101"/>
      <c r="CS13" s="101"/>
      <c r="CT13" s="101"/>
      <c r="CU13" s="101"/>
      <c r="CV13" s="101"/>
      <c r="CW13" s="101"/>
      <c r="CX13" s="101"/>
      <c r="CY13" s="101"/>
      <c r="CZ13" s="101"/>
      <c r="DA13" s="101"/>
      <c r="DB13" s="101"/>
      <c r="DC13" s="101"/>
      <c r="DD13" s="101"/>
      <c r="DE13" s="101"/>
      <c r="DF13" s="101"/>
      <c r="DG13" s="101"/>
      <c r="DH13" s="101"/>
      <c r="DI13" s="101"/>
      <c r="DJ13" s="101"/>
      <c r="DK13" s="101"/>
      <c r="DL13" s="101"/>
      <c r="DM13" s="101"/>
      <c r="DN13" s="101"/>
      <c r="DO13" s="101"/>
      <c r="DP13" s="101"/>
      <c r="DQ13" s="101"/>
      <c r="DR13" s="101"/>
      <c r="DS13" s="101"/>
      <c r="DT13" s="101"/>
      <c r="DU13" s="101"/>
      <c r="DV13" s="101"/>
      <c r="DW13" s="101"/>
      <c r="DX13" s="101"/>
      <c r="DY13" s="101"/>
      <c r="DZ13" s="101"/>
      <c r="EA13" s="101"/>
      <c r="EB13" s="101"/>
      <c r="EC13" s="101"/>
      <c r="ED13" s="101"/>
      <c r="EE13" s="101"/>
      <c r="EF13" s="101"/>
      <c r="EG13" s="101"/>
      <c r="EH13" s="101"/>
      <c r="EI13" s="101"/>
      <c r="EJ13" s="101"/>
      <c r="EK13" s="101"/>
      <c r="EL13" s="101"/>
      <c r="EM13" s="101"/>
      <c r="EN13" s="101"/>
      <c r="EO13" s="101"/>
      <c r="EP13" s="101"/>
      <c r="EQ13" s="101"/>
      <c r="ER13" s="101"/>
      <c r="ES13" s="101"/>
      <c r="ET13" s="101"/>
      <c r="EU13" s="101"/>
      <c r="EV13" s="101"/>
      <c r="EW13" s="101"/>
      <c r="EX13" s="101"/>
      <c r="EY13" s="101"/>
      <c r="EZ13" s="101"/>
      <c r="FA13" s="101"/>
      <c r="FB13" s="101"/>
      <c r="FC13" s="101"/>
      <c r="FD13" s="101"/>
      <c r="FE13" s="101"/>
      <c r="FF13" s="101"/>
      <c r="FG13" s="101"/>
      <c r="FH13" s="101"/>
      <c r="FI13" s="101"/>
      <c r="FJ13" s="101"/>
      <c r="FK13" s="101"/>
      <c r="FL13" s="101"/>
      <c r="FM13" s="101"/>
      <c r="FN13" s="101"/>
      <c r="FO13" s="101"/>
      <c r="FP13" s="101"/>
      <c r="FQ13" s="101"/>
      <c r="FR13" s="101"/>
      <c r="FS13" s="101"/>
      <c r="FT13" s="101"/>
      <c r="FU13" s="101"/>
      <c r="FV13" s="101"/>
      <c r="FW13" s="101"/>
      <c r="FX13" s="101"/>
      <c r="FY13" s="101"/>
      <c r="FZ13" s="101"/>
      <c r="GA13" s="101"/>
      <c r="GB13" s="101"/>
      <c r="GC13" s="101"/>
      <c r="GD13" s="101"/>
      <c r="GE13" s="101"/>
      <c r="GF13" s="101"/>
      <c r="GG13" s="101"/>
      <c r="GH13" s="101"/>
      <c r="GI13" s="101"/>
      <c r="GJ13" s="101"/>
    </row>
    <row r="14" spans="1:192" ht="50.1" customHeight="1" outlineLevel="1" x14ac:dyDescent="0.25">
      <c r="A14" s="148" t="s">
        <v>3</v>
      </c>
      <c r="B14" s="169" t="s">
        <v>264</v>
      </c>
      <c r="C14" s="143" t="s">
        <v>231</v>
      </c>
      <c r="D14" s="172" t="s">
        <v>22</v>
      </c>
      <c r="E14" s="141" t="s">
        <v>519</v>
      </c>
      <c r="F14" s="209"/>
      <c r="G14" s="74"/>
      <c r="H14" s="74"/>
      <c r="I14" s="74"/>
      <c r="J14" s="74"/>
      <c r="K14" s="74"/>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101"/>
      <c r="AZ14" s="101"/>
      <c r="BA14" s="101"/>
      <c r="BB14" s="101"/>
      <c r="BC14" s="101"/>
      <c r="BD14" s="101"/>
      <c r="BE14" s="101"/>
      <c r="BF14" s="101"/>
      <c r="BG14" s="101"/>
      <c r="BH14" s="101"/>
      <c r="BI14" s="101"/>
      <c r="BJ14" s="101"/>
      <c r="BK14" s="101"/>
      <c r="BL14" s="101"/>
      <c r="BM14" s="101"/>
      <c r="BN14" s="101"/>
      <c r="BO14" s="101"/>
      <c r="BP14" s="101"/>
      <c r="BQ14" s="101"/>
      <c r="BR14" s="101"/>
      <c r="BS14" s="101"/>
      <c r="BT14" s="101"/>
      <c r="BU14" s="101"/>
      <c r="BV14" s="101"/>
      <c r="BW14" s="101"/>
      <c r="BX14" s="101"/>
      <c r="BY14" s="101"/>
      <c r="BZ14" s="101"/>
      <c r="CA14" s="101"/>
      <c r="CB14" s="101"/>
      <c r="CC14" s="101"/>
      <c r="CD14" s="101"/>
      <c r="CE14" s="101"/>
      <c r="CF14" s="101"/>
      <c r="CG14" s="101"/>
      <c r="CH14" s="101"/>
      <c r="CI14" s="101"/>
      <c r="CJ14" s="101"/>
      <c r="CK14" s="101"/>
      <c r="CL14" s="101"/>
      <c r="CM14" s="101"/>
      <c r="CN14" s="101"/>
      <c r="CO14" s="101"/>
      <c r="CP14" s="101"/>
      <c r="CQ14" s="101"/>
      <c r="CR14" s="101"/>
      <c r="CS14" s="101"/>
      <c r="CT14" s="101"/>
      <c r="CU14" s="101"/>
      <c r="CV14" s="101"/>
      <c r="CW14" s="101"/>
      <c r="CX14" s="101"/>
      <c r="CY14" s="101"/>
      <c r="CZ14" s="101"/>
      <c r="DA14" s="101"/>
      <c r="DB14" s="101"/>
      <c r="DC14" s="101"/>
      <c r="DD14" s="101"/>
      <c r="DE14" s="101"/>
      <c r="DF14" s="101"/>
      <c r="DG14" s="101"/>
      <c r="DH14" s="101"/>
      <c r="DI14" s="101"/>
      <c r="DJ14" s="101"/>
      <c r="DK14" s="101"/>
      <c r="DL14" s="101"/>
      <c r="DM14" s="101"/>
      <c r="DN14" s="101"/>
      <c r="DO14" s="101"/>
      <c r="DP14" s="101"/>
      <c r="DQ14" s="101"/>
      <c r="DR14" s="101"/>
      <c r="DS14" s="101"/>
      <c r="DT14" s="101"/>
      <c r="DU14" s="101"/>
      <c r="DV14" s="101"/>
      <c r="DW14" s="101"/>
      <c r="DX14" s="101"/>
      <c r="DY14" s="101"/>
      <c r="DZ14" s="101"/>
      <c r="EA14" s="101"/>
      <c r="EB14" s="101"/>
      <c r="EC14" s="101"/>
      <c r="ED14" s="101"/>
      <c r="EE14" s="101"/>
      <c r="EF14" s="101"/>
      <c r="EG14" s="101"/>
      <c r="EH14" s="101"/>
      <c r="EI14" s="101"/>
      <c r="EJ14" s="101"/>
      <c r="EK14" s="101"/>
      <c r="EL14" s="101"/>
      <c r="EM14" s="101"/>
      <c r="EN14" s="101"/>
      <c r="EO14" s="101"/>
      <c r="EP14" s="101"/>
      <c r="EQ14" s="101"/>
      <c r="ER14" s="101"/>
      <c r="ES14" s="101"/>
      <c r="ET14" s="101"/>
      <c r="EU14" s="101"/>
      <c r="EV14" s="101"/>
      <c r="EW14" s="101"/>
      <c r="EX14" s="101"/>
      <c r="EY14" s="101"/>
      <c r="EZ14" s="101"/>
      <c r="FA14" s="101"/>
      <c r="FB14" s="101"/>
      <c r="FC14" s="101"/>
      <c r="FD14" s="101"/>
      <c r="FE14" s="101"/>
      <c r="FF14" s="101"/>
      <c r="FG14" s="101"/>
      <c r="FH14" s="101"/>
      <c r="FI14" s="101"/>
      <c r="FJ14" s="101"/>
      <c r="FK14" s="101"/>
      <c r="FL14" s="101"/>
      <c r="FM14" s="101"/>
      <c r="FN14" s="101"/>
      <c r="FO14" s="101"/>
      <c r="FP14" s="101"/>
      <c r="FQ14" s="101"/>
      <c r="FR14" s="101"/>
      <c r="FS14" s="101"/>
      <c r="FT14" s="101"/>
      <c r="FU14" s="101"/>
      <c r="FV14" s="101"/>
      <c r="FW14" s="101"/>
      <c r="FX14" s="101"/>
      <c r="FY14" s="101"/>
      <c r="FZ14" s="101"/>
      <c r="GA14" s="101"/>
      <c r="GB14" s="101"/>
      <c r="GC14" s="101"/>
      <c r="GD14" s="101"/>
      <c r="GE14" s="101"/>
      <c r="GF14" s="101"/>
      <c r="GG14" s="101"/>
      <c r="GH14" s="101"/>
      <c r="GI14" s="101"/>
      <c r="GJ14" s="101"/>
    </row>
    <row r="15" spans="1:192" ht="50.1" customHeight="1" outlineLevel="1" x14ac:dyDescent="0.25">
      <c r="A15" s="148" t="s">
        <v>3</v>
      </c>
      <c r="B15" s="167" t="s">
        <v>265</v>
      </c>
      <c r="C15" s="139" t="s">
        <v>434</v>
      </c>
      <c r="D15" s="170" t="s">
        <v>22</v>
      </c>
      <c r="E15" s="144" t="s">
        <v>520</v>
      </c>
      <c r="F15" s="211"/>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101"/>
      <c r="AZ15" s="101"/>
      <c r="BA15" s="101"/>
      <c r="BB15" s="101"/>
      <c r="BC15" s="101"/>
      <c r="BD15" s="101"/>
      <c r="BE15" s="101"/>
      <c r="BF15" s="101"/>
      <c r="BG15" s="101"/>
      <c r="BH15" s="101"/>
      <c r="BI15" s="101"/>
      <c r="BJ15" s="101"/>
      <c r="BK15" s="101"/>
      <c r="BL15" s="101"/>
      <c r="BM15" s="101"/>
      <c r="BN15" s="101"/>
      <c r="BO15" s="101"/>
      <c r="BP15" s="101"/>
      <c r="BQ15" s="101"/>
      <c r="BR15" s="101"/>
      <c r="BS15" s="101"/>
      <c r="BT15" s="101"/>
      <c r="BU15" s="101"/>
      <c r="BV15" s="101"/>
      <c r="BW15" s="101"/>
      <c r="BX15" s="101"/>
      <c r="BY15" s="101"/>
      <c r="BZ15" s="101"/>
      <c r="CA15" s="101"/>
      <c r="CB15" s="101"/>
      <c r="CC15" s="101"/>
      <c r="CD15" s="101"/>
      <c r="CE15" s="101"/>
      <c r="CF15" s="101"/>
      <c r="CG15" s="101"/>
      <c r="CH15" s="101"/>
      <c r="CI15" s="101"/>
      <c r="CJ15" s="101"/>
      <c r="CK15" s="101"/>
      <c r="CL15" s="101"/>
      <c r="CM15" s="101"/>
      <c r="CN15" s="101"/>
      <c r="CO15" s="101"/>
      <c r="CP15" s="101"/>
      <c r="CQ15" s="101"/>
      <c r="CR15" s="101"/>
      <c r="CS15" s="101"/>
      <c r="CT15" s="101"/>
      <c r="CU15" s="101"/>
      <c r="CV15" s="101"/>
      <c r="CW15" s="101"/>
      <c r="CX15" s="101"/>
      <c r="CY15" s="101"/>
      <c r="CZ15" s="101"/>
      <c r="DA15" s="101"/>
      <c r="DB15" s="101"/>
      <c r="DC15" s="101"/>
      <c r="DD15" s="101"/>
      <c r="DE15" s="101"/>
      <c r="DF15" s="101"/>
      <c r="DG15" s="101"/>
      <c r="DH15" s="101"/>
      <c r="DI15" s="101"/>
      <c r="DJ15" s="101"/>
      <c r="DK15" s="101"/>
      <c r="DL15" s="101"/>
      <c r="DM15" s="101"/>
      <c r="DN15" s="101"/>
      <c r="DO15" s="101"/>
      <c r="DP15" s="101"/>
      <c r="DQ15" s="101"/>
      <c r="DR15" s="101"/>
      <c r="DS15" s="101"/>
      <c r="DT15" s="101"/>
      <c r="DU15" s="101"/>
      <c r="DV15" s="101"/>
      <c r="DW15" s="101"/>
      <c r="DX15" s="101"/>
      <c r="DY15" s="101"/>
      <c r="DZ15" s="101"/>
      <c r="EA15" s="101"/>
      <c r="EB15" s="101"/>
      <c r="EC15" s="101"/>
      <c r="ED15" s="101"/>
      <c r="EE15" s="101"/>
      <c r="EF15" s="101"/>
      <c r="EG15" s="101"/>
      <c r="EH15" s="101"/>
      <c r="EI15" s="101"/>
      <c r="EJ15" s="101"/>
      <c r="EK15" s="101"/>
      <c r="EL15" s="101"/>
      <c r="EM15" s="101"/>
      <c r="EN15" s="101"/>
      <c r="EO15" s="101"/>
      <c r="EP15" s="101"/>
      <c r="EQ15" s="101"/>
      <c r="ER15" s="101"/>
      <c r="ES15" s="101"/>
      <c r="ET15" s="101"/>
      <c r="EU15" s="101"/>
      <c r="EV15" s="101"/>
      <c r="EW15" s="101"/>
      <c r="EX15" s="101"/>
      <c r="EY15" s="101"/>
      <c r="EZ15" s="101"/>
      <c r="FA15" s="101"/>
      <c r="FB15" s="101"/>
      <c r="FC15" s="101"/>
      <c r="FD15" s="101"/>
      <c r="FE15" s="101"/>
      <c r="FF15" s="101"/>
      <c r="FG15" s="101"/>
      <c r="FH15" s="101"/>
      <c r="FI15" s="101"/>
      <c r="FJ15" s="101"/>
      <c r="FK15" s="101"/>
      <c r="FL15" s="101"/>
      <c r="FM15" s="101"/>
      <c r="FN15" s="101"/>
      <c r="FO15" s="101"/>
      <c r="FP15" s="101"/>
      <c r="FQ15" s="101"/>
      <c r="FR15" s="101"/>
      <c r="FS15" s="101"/>
      <c r="FT15" s="101"/>
      <c r="FU15" s="101"/>
      <c r="FV15" s="101"/>
      <c r="FW15" s="101"/>
      <c r="FX15" s="101"/>
      <c r="FY15" s="101"/>
      <c r="FZ15" s="101"/>
      <c r="GA15" s="101"/>
      <c r="GB15" s="101"/>
      <c r="GC15" s="101"/>
      <c r="GD15" s="101"/>
      <c r="GE15" s="101"/>
      <c r="GF15" s="101"/>
      <c r="GG15" s="101"/>
      <c r="GH15" s="101"/>
      <c r="GI15" s="101"/>
      <c r="GJ15" s="101"/>
    </row>
    <row r="16" spans="1:192" ht="50.1" customHeight="1" outlineLevel="1" x14ac:dyDescent="0.25">
      <c r="A16" s="148" t="s">
        <v>3</v>
      </c>
      <c r="B16" s="169" t="s">
        <v>266</v>
      </c>
      <c r="C16" s="143" t="s">
        <v>435</v>
      </c>
      <c r="D16" s="172" t="s">
        <v>22</v>
      </c>
      <c r="E16" s="198" t="s">
        <v>521</v>
      </c>
      <c r="F16" s="209"/>
      <c r="G16" s="74"/>
      <c r="H16" s="74"/>
      <c r="I16" s="74"/>
      <c r="J16" s="74"/>
      <c r="K16" s="74"/>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101"/>
      <c r="AZ16" s="101"/>
      <c r="BA16" s="101"/>
      <c r="BB16" s="101"/>
      <c r="BC16" s="101"/>
      <c r="BD16" s="101"/>
      <c r="BE16" s="101"/>
      <c r="BF16" s="101"/>
      <c r="BG16" s="101"/>
      <c r="BH16" s="101"/>
      <c r="BI16" s="101"/>
      <c r="BJ16" s="101"/>
      <c r="BK16" s="101"/>
      <c r="BL16" s="101"/>
      <c r="BM16" s="101"/>
      <c r="BN16" s="101"/>
      <c r="BO16" s="101"/>
      <c r="BP16" s="101"/>
      <c r="BQ16" s="101"/>
      <c r="BR16" s="101"/>
      <c r="BS16" s="101"/>
      <c r="BT16" s="101"/>
      <c r="BU16" s="101"/>
      <c r="BV16" s="101"/>
      <c r="BW16" s="101"/>
      <c r="BX16" s="101"/>
      <c r="BY16" s="101"/>
      <c r="BZ16" s="101"/>
      <c r="CA16" s="101"/>
      <c r="CB16" s="101"/>
      <c r="CC16" s="101"/>
      <c r="CD16" s="101"/>
      <c r="CE16" s="101"/>
      <c r="CF16" s="101"/>
      <c r="CG16" s="101"/>
      <c r="CH16" s="101"/>
      <c r="CI16" s="101"/>
      <c r="CJ16" s="101"/>
      <c r="CK16" s="101"/>
      <c r="CL16" s="101"/>
      <c r="CM16" s="101"/>
      <c r="CN16" s="101"/>
      <c r="CO16" s="101"/>
      <c r="CP16" s="101"/>
      <c r="CQ16" s="101"/>
      <c r="CR16" s="101"/>
      <c r="CS16" s="101"/>
      <c r="CT16" s="101"/>
      <c r="CU16" s="101"/>
      <c r="CV16" s="101"/>
      <c r="CW16" s="101"/>
      <c r="CX16" s="101"/>
      <c r="CY16" s="101"/>
      <c r="CZ16" s="101"/>
      <c r="DA16" s="101"/>
      <c r="DB16" s="101"/>
      <c r="DC16" s="101"/>
      <c r="DD16" s="101"/>
      <c r="DE16" s="101"/>
      <c r="DF16" s="101"/>
      <c r="DG16" s="101"/>
      <c r="DH16" s="101"/>
      <c r="DI16" s="101"/>
      <c r="DJ16" s="101"/>
      <c r="DK16" s="101"/>
      <c r="DL16" s="101"/>
      <c r="DM16" s="101"/>
      <c r="DN16" s="101"/>
      <c r="DO16" s="101"/>
      <c r="DP16" s="101"/>
      <c r="DQ16" s="101"/>
      <c r="DR16" s="101"/>
      <c r="DS16" s="101"/>
      <c r="DT16" s="101"/>
      <c r="DU16" s="101"/>
      <c r="DV16" s="101"/>
      <c r="DW16" s="101"/>
      <c r="DX16" s="101"/>
      <c r="DY16" s="101"/>
      <c r="DZ16" s="101"/>
      <c r="EA16" s="101"/>
      <c r="EB16" s="101"/>
      <c r="EC16" s="101"/>
      <c r="ED16" s="101"/>
      <c r="EE16" s="101"/>
      <c r="EF16" s="101"/>
      <c r="EG16" s="101"/>
      <c r="EH16" s="101"/>
      <c r="EI16" s="101"/>
      <c r="EJ16" s="101"/>
      <c r="EK16" s="101"/>
      <c r="EL16" s="101"/>
      <c r="EM16" s="101"/>
      <c r="EN16" s="101"/>
      <c r="EO16" s="101"/>
      <c r="EP16" s="101"/>
      <c r="EQ16" s="101"/>
      <c r="ER16" s="101"/>
      <c r="ES16" s="101"/>
      <c r="ET16" s="101"/>
      <c r="EU16" s="101"/>
      <c r="EV16" s="101"/>
      <c r="EW16" s="101"/>
      <c r="EX16" s="101"/>
      <c r="EY16" s="101"/>
      <c r="EZ16" s="101"/>
      <c r="FA16" s="101"/>
      <c r="FB16" s="101"/>
      <c r="FC16" s="101"/>
      <c r="FD16" s="101"/>
      <c r="FE16" s="101"/>
      <c r="FF16" s="101"/>
      <c r="FG16" s="101"/>
      <c r="FH16" s="101"/>
      <c r="FI16" s="101"/>
      <c r="FJ16" s="101"/>
      <c r="FK16" s="101"/>
      <c r="FL16" s="101"/>
      <c r="FM16" s="101"/>
      <c r="FN16" s="101"/>
      <c r="FO16" s="101"/>
      <c r="FP16" s="101"/>
      <c r="FQ16" s="101"/>
      <c r="FR16" s="101"/>
      <c r="FS16" s="101"/>
      <c r="FT16" s="101"/>
      <c r="FU16" s="101"/>
      <c r="FV16" s="101"/>
      <c r="FW16" s="101"/>
      <c r="FX16" s="101"/>
      <c r="FY16" s="101"/>
      <c r="FZ16" s="101"/>
      <c r="GA16" s="101"/>
      <c r="GB16" s="101"/>
      <c r="GC16" s="101"/>
      <c r="GD16" s="101"/>
      <c r="GE16" s="101"/>
      <c r="GF16" s="101"/>
      <c r="GG16" s="101"/>
      <c r="GH16" s="101"/>
      <c r="GI16" s="101"/>
      <c r="GJ16" s="101"/>
    </row>
    <row r="17" spans="1:192" ht="50.1" customHeight="1" outlineLevel="1" x14ac:dyDescent="0.25">
      <c r="A17" s="148" t="s">
        <v>3</v>
      </c>
      <c r="B17" s="167" t="s">
        <v>267</v>
      </c>
      <c r="C17" s="139" t="s">
        <v>436</v>
      </c>
      <c r="D17" s="170" t="s">
        <v>22</v>
      </c>
      <c r="E17" s="144" t="s">
        <v>522</v>
      </c>
      <c r="F17" s="211"/>
      <c r="G17" s="74"/>
      <c r="H17" s="74"/>
      <c r="I17" s="74"/>
      <c r="J17" s="74"/>
      <c r="K17" s="74"/>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101"/>
      <c r="AZ17" s="101"/>
      <c r="BA17" s="101"/>
      <c r="BB17" s="101"/>
      <c r="BC17" s="101"/>
      <c r="BD17" s="101"/>
      <c r="BE17" s="101"/>
      <c r="BF17" s="101"/>
      <c r="BG17" s="101"/>
      <c r="BH17" s="101"/>
      <c r="BI17" s="101"/>
      <c r="BJ17" s="101"/>
      <c r="BK17" s="101"/>
      <c r="BL17" s="101"/>
      <c r="BM17" s="101"/>
      <c r="BN17" s="101"/>
      <c r="BO17" s="101"/>
      <c r="BP17" s="101"/>
      <c r="BQ17" s="101"/>
      <c r="BR17" s="101"/>
      <c r="BS17" s="101"/>
      <c r="BT17" s="101"/>
      <c r="BU17" s="101"/>
      <c r="BV17" s="101"/>
      <c r="BW17" s="101"/>
      <c r="BX17" s="101"/>
      <c r="BY17" s="101"/>
      <c r="BZ17" s="101"/>
      <c r="CA17" s="101"/>
      <c r="CB17" s="101"/>
      <c r="CC17" s="101"/>
      <c r="CD17" s="101"/>
      <c r="CE17" s="101"/>
      <c r="CF17" s="101"/>
      <c r="CG17" s="101"/>
      <c r="CH17" s="101"/>
      <c r="CI17" s="101"/>
      <c r="CJ17" s="101"/>
      <c r="CK17" s="101"/>
      <c r="CL17" s="101"/>
      <c r="CM17" s="101"/>
      <c r="CN17" s="101"/>
      <c r="CO17" s="101"/>
      <c r="CP17" s="101"/>
      <c r="CQ17" s="101"/>
      <c r="CR17" s="101"/>
      <c r="CS17" s="101"/>
      <c r="CT17" s="101"/>
      <c r="CU17" s="101"/>
      <c r="CV17" s="101"/>
      <c r="CW17" s="101"/>
      <c r="CX17" s="101"/>
      <c r="CY17" s="101"/>
      <c r="CZ17" s="101"/>
      <c r="DA17" s="101"/>
      <c r="DB17" s="101"/>
      <c r="DC17" s="101"/>
      <c r="DD17" s="101"/>
      <c r="DE17" s="101"/>
      <c r="DF17" s="101"/>
      <c r="DG17" s="101"/>
      <c r="DH17" s="101"/>
      <c r="DI17" s="101"/>
      <c r="DJ17" s="101"/>
      <c r="DK17" s="101"/>
      <c r="DL17" s="101"/>
      <c r="DM17" s="101"/>
      <c r="DN17" s="101"/>
      <c r="DO17" s="101"/>
      <c r="DP17" s="101"/>
      <c r="DQ17" s="101"/>
      <c r="DR17" s="101"/>
      <c r="DS17" s="101"/>
      <c r="DT17" s="101"/>
      <c r="DU17" s="101"/>
      <c r="DV17" s="101"/>
      <c r="DW17" s="101"/>
      <c r="DX17" s="101"/>
      <c r="DY17" s="101"/>
      <c r="DZ17" s="101"/>
      <c r="EA17" s="101"/>
      <c r="EB17" s="101"/>
      <c r="EC17" s="101"/>
      <c r="ED17" s="101"/>
      <c r="EE17" s="101"/>
      <c r="EF17" s="101"/>
      <c r="EG17" s="101"/>
      <c r="EH17" s="101"/>
      <c r="EI17" s="101"/>
      <c r="EJ17" s="101"/>
      <c r="EK17" s="101"/>
      <c r="EL17" s="101"/>
      <c r="EM17" s="101"/>
      <c r="EN17" s="101"/>
      <c r="EO17" s="101"/>
      <c r="EP17" s="101"/>
      <c r="EQ17" s="101"/>
      <c r="ER17" s="101"/>
      <c r="ES17" s="101"/>
      <c r="ET17" s="101"/>
      <c r="EU17" s="101"/>
      <c r="EV17" s="101"/>
      <c r="EW17" s="101"/>
      <c r="EX17" s="101"/>
      <c r="EY17" s="101"/>
      <c r="EZ17" s="101"/>
      <c r="FA17" s="101"/>
      <c r="FB17" s="101"/>
      <c r="FC17" s="101"/>
      <c r="FD17" s="101"/>
      <c r="FE17" s="101"/>
      <c r="FF17" s="101"/>
      <c r="FG17" s="101"/>
      <c r="FH17" s="101"/>
      <c r="FI17" s="101"/>
      <c r="FJ17" s="101"/>
      <c r="FK17" s="101"/>
      <c r="FL17" s="101"/>
      <c r="FM17" s="101"/>
      <c r="FN17" s="101"/>
      <c r="FO17" s="101"/>
      <c r="FP17" s="101"/>
      <c r="FQ17" s="101"/>
      <c r="FR17" s="101"/>
      <c r="FS17" s="101"/>
      <c r="FT17" s="101"/>
      <c r="FU17" s="101"/>
      <c r="FV17" s="101"/>
      <c r="FW17" s="101"/>
      <c r="FX17" s="101"/>
      <c r="FY17" s="101"/>
      <c r="FZ17" s="101"/>
      <c r="GA17" s="101"/>
      <c r="GB17" s="101"/>
      <c r="GC17" s="101"/>
      <c r="GD17" s="101"/>
      <c r="GE17" s="101"/>
      <c r="GF17" s="101"/>
      <c r="GG17" s="101"/>
      <c r="GH17" s="101"/>
      <c r="GI17" s="101"/>
      <c r="GJ17" s="101"/>
    </row>
    <row r="18" spans="1:192" ht="50.1" customHeight="1" outlineLevel="1" x14ac:dyDescent="0.25">
      <c r="A18" s="148" t="s">
        <v>3</v>
      </c>
      <c r="B18" s="169" t="s">
        <v>269</v>
      </c>
      <c r="C18" s="143" t="s">
        <v>437</v>
      </c>
      <c r="D18" s="172" t="s">
        <v>23</v>
      </c>
      <c r="E18" s="198" t="s">
        <v>681</v>
      </c>
      <c r="F18" s="209"/>
      <c r="G18" s="74"/>
      <c r="H18" s="74"/>
      <c r="I18" s="74"/>
      <c r="J18" s="74"/>
      <c r="K18" s="74"/>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101"/>
      <c r="AZ18" s="101"/>
      <c r="BA18" s="101"/>
      <c r="BB18" s="101"/>
      <c r="BC18" s="101"/>
      <c r="BD18" s="101"/>
      <c r="BE18" s="101"/>
      <c r="BF18" s="101"/>
      <c r="BG18" s="101"/>
      <c r="BH18" s="101"/>
      <c r="BI18" s="101"/>
      <c r="BJ18" s="101"/>
      <c r="BK18" s="101"/>
      <c r="BL18" s="101"/>
      <c r="BM18" s="101"/>
      <c r="BN18" s="101"/>
      <c r="BO18" s="101"/>
      <c r="BP18" s="101"/>
      <c r="BQ18" s="101"/>
      <c r="BR18" s="101"/>
      <c r="BS18" s="101"/>
      <c r="BT18" s="101"/>
      <c r="BU18" s="101"/>
      <c r="BV18" s="101"/>
      <c r="BW18" s="101"/>
      <c r="BX18" s="101"/>
      <c r="BY18" s="101"/>
      <c r="BZ18" s="101"/>
      <c r="CA18" s="101"/>
      <c r="CB18" s="101"/>
      <c r="CC18" s="101"/>
      <c r="CD18" s="101"/>
      <c r="CE18" s="101"/>
      <c r="CF18" s="101"/>
      <c r="CG18" s="101"/>
      <c r="CH18" s="101"/>
      <c r="CI18" s="101"/>
      <c r="CJ18" s="101"/>
      <c r="CK18" s="101"/>
      <c r="CL18" s="101"/>
      <c r="CM18" s="101"/>
      <c r="CN18" s="101"/>
      <c r="CO18" s="101"/>
      <c r="CP18" s="101"/>
      <c r="CQ18" s="101"/>
      <c r="CR18" s="101"/>
      <c r="CS18" s="101"/>
      <c r="CT18" s="101"/>
      <c r="CU18" s="101"/>
      <c r="CV18" s="101"/>
      <c r="CW18" s="101"/>
      <c r="CX18" s="101"/>
      <c r="CY18" s="101"/>
      <c r="CZ18" s="101"/>
      <c r="DA18" s="101"/>
      <c r="DB18" s="101"/>
      <c r="DC18" s="101"/>
      <c r="DD18" s="101"/>
      <c r="DE18" s="101"/>
      <c r="DF18" s="101"/>
      <c r="DG18" s="101"/>
      <c r="DH18" s="101"/>
      <c r="DI18" s="101"/>
      <c r="DJ18" s="101"/>
      <c r="DK18" s="101"/>
      <c r="DL18" s="101"/>
      <c r="DM18" s="101"/>
      <c r="DN18" s="101"/>
      <c r="DO18" s="101"/>
      <c r="DP18" s="101"/>
      <c r="DQ18" s="101"/>
      <c r="DR18" s="101"/>
      <c r="DS18" s="101"/>
      <c r="DT18" s="101"/>
      <c r="DU18" s="101"/>
      <c r="DV18" s="101"/>
      <c r="DW18" s="101"/>
      <c r="DX18" s="101"/>
      <c r="DY18" s="101"/>
      <c r="DZ18" s="101"/>
      <c r="EA18" s="101"/>
      <c r="EB18" s="101"/>
      <c r="EC18" s="101"/>
      <c r="ED18" s="101"/>
      <c r="EE18" s="101"/>
      <c r="EF18" s="101"/>
      <c r="EG18" s="101"/>
      <c r="EH18" s="101"/>
      <c r="EI18" s="101"/>
      <c r="EJ18" s="101"/>
      <c r="EK18" s="101"/>
      <c r="EL18" s="101"/>
      <c r="EM18" s="101"/>
      <c r="EN18" s="101"/>
      <c r="EO18" s="101"/>
      <c r="EP18" s="101"/>
      <c r="EQ18" s="101"/>
      <c r="ER18" s="101"/>
      <c r="ES18" s="101"/>
      <c r="ET18" s="101"/>
      <c r="EU18" s="101"/>
      <c r="EV18" s="101"/>
      <c r="EW18" s="101"/>
      <c r="EX18" s="101"/>
      <c r="EY18" s="101"/>
      <c r="EZ18" s="101"/>
      <c r="FA18" s="101"/>
      <c r="FB18" s="101"/>
      <c r="FC18" s="101"/>
      <c r="FD18" s="101"/>
      <c r="FE18" s="101"/>
      <c r="FF18" s="101"/>
      <c r="FG18" s="101"/>
      <c r="FH18" s="101"/>
      <c r="FI18" s="101"/>
      <c r="FJ18" s="101"/>
      <c r="FK18" s="101"/>
      <c r="FL18" s="101"/>
      <c r="FM18" s="101"/>
      <c r="FN18" s="101"/>
      <c r="FO18" s="101"/>
      <c r="FP18" s="101"/>
      <c r="FQ18" s="101"/>
      <c r="FR18" s="101"/>
      <c r="FS18" s="101"/>
      <c r="FT18" s="101"/>
      <c r="FU18" s="101"/>
      <c r="FV18" s="101"/>
      <c r="FW18" s="101"/>
      <c r="FX18" s="101"/>
      <c r="FY18" s="101"/>
      <c r="FZ18" s="101"/>
      <c r="GA18" s="101"/>
      <c r="GB18" s="101"/>
      <c r="GC18" s="101"/>
      <c r="GD18" s="101"/>
      <c r="GE18" s="101"/>
      <c r="GF18" s="101"/>
      <c r="GG18" s="101"/>
      <c r="GH18" s="101"/>
      <c r="GI18" s="101"/>
      <c r="GJ18" s="101"/>
    </row>
    <row r="19" spans="1:192" ht="50.1" customHeight="1" outlineLevel="1" x14ac:dyDescent="0.25">
      <c r="A19" s="148" t="s">
        <v>3</v>
      </c>
      <c r="B19" s="167" t="s">
        <v>271</v>
      </c>
      <c r="C19" s="139" t="s">
        <v>438</v>
      </c>
      <c r="D19" s="170" t="s">
        <v>22</v>
      </c>
      <c r="E19" s="147" t="s">
        <v>523</v>
      </c>
      <c r="F19" s="211"/>
      <c r="G19" s="74"/>
      <c r="H19" s="74"/>
      <c r="I19" s="74"/>
      <c r="J19" s="74"/>
      <c r="K19" s="74"/>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101"/>
      <c r="AZ19" s="101"/>
      <c r="BA19" s="101"/>
      <c r="BB19" s="101"/>
      <c r="BC19" s="101"/>
      <c r="BD19" s="101"/>
      <c r="BE19" s="101"/>
      <c r="BF19" s="101"/>
      <c r="BG19" s="101"/>
      <c r="BH19" s="101"/>
      <c r="BI19" s="101"/>
      <c r="BJ19" s="101"/>
      <c r="BK19" s="101"/>
      <c r="BL19" s="101"/>
      <c r="BM19" s="101"/>
      <c r="BN19" s="101"/>
      <c r="BO19" s="101"/>
      <c r="BP19" s="101"/>
      <c r="BQ19" s="101"/>
      <c r="BR19" s="101"/>
      <c r="BS19" s="101"/>
      <c r="BT19" s="101"/>
      <c r="BU19" s="101"/>
      <c r="BV19" s="101"/>
      <c r="BW19" s="101"/>
      <c r="BX19" s="101"/>
      <c r="BY19" s="101"/>
      <c r="BZ19" s="101"/>
      <c r="CA19" s="101"/>
      <c r="CB19" s="101"/>
      <c r="CC19" s="101"/>
      <c r="CD19" s="101"/>
      <c r="CE19" s="101"/>
      <c r="CF19" s="101"/>
      <c r="CG19" s="101"/>
      <c r="CH19" s="101"/>
      <c r="CI19" s="101"/>
      <c r="CJ19" s="101"/>
      <c r="CK19" s="101"/>
      <c r="CL19" s="101"/>
      <c r="CM19" s="101"/>
      <c r="CN19" s="101"/>
      <c r="CO19" s="101"/>
      <c r="CP19" s="101"/>
      <c r="CQ19" s="101"/>
      <c r="CR19" s="101"/>
      <c r="CS19" s="101"/>
      <c r="CT19" s="101"/>
      <c r="CU19" s="101"/>
      <c r="CV19" s="101"/>
      <c r="CW19" s="101"/>
      <c r="CX19" s="101"/>
      <c r="CY19" s="101"/>
      <c r="CZ19" s="101"/>
      <c r="DA19" s="101"/>
      <c r="DB19" s="101"/>
      <c r="DC19" s="101"/>
      <c r="DD19" s="101"/>
      <c r="DE19" s="101"/>
      <c r="DF19" s="101"/>
      <c r="DG19" s="101"/>
      <c r="DH19" s="101"/>
      <c r="DI19" s="101"/>
      <c r="DJ19" s="101"/>
      <c r="DK19" s="101"/>
      <c r="DL19" s="101"/>
      <c r="DM19" s="101"/>
      <c r="DN19" s="101"/>
      <c r="DO19" s="101"/>
      <c r="DP19" s="101"/>
      <c r="DQ19" s="101"/>
      <c r="DR19" s="101"/>
      <c r="DS19" s="101"/>
      <c r="DT19" s="101"/>
      <c r="DU19" s="101"/>
      <c r="DV19" s="101"/>
      <c r="DW19" s="101"/>
      <c r="DX19" s="101"/>
      <c r="DY19" s="101"/>
      <c r="DZ19" s="101"/>
      <c r="EA19" s="101"/>
      <c r="EB19" s="101"/>
      <c r="EC19" s="101"/>
      <c r="ED19" s="101"/>
      <c r="EE19" s="101"/>
      <c r="EF19" s="101"/>
      <c r="EG19" s="101"/>
      <c r="EH19" s="101"/>
      <c r="EI19" s="101"/>
      <c r="EJ19" s="101"/>
      <c r="EK19" s="101"/>
      <c r="EL19" s="101"/>
      <c r="EM19" s="101"/>
      <c r="EN19" s="101"/>
      <c r="EO19" s="101"/>
      <c r="EP19" s="101"/>
      <c r="EQ19" s="101"/>
      <c r="ER19" s="101"/>
      <c r="ES19" s="101"/>
      <c r="ET19" s="101"/>
      <c r="EU19" s="101"/>
      <c r="EV19" s="101"/>
      <c r="EW19" s="101"/>
      <c r="EX19" s="101"/>
      <c r="EY19" s="101"/>
      <c r="EZ19" s="101"/>
      <c r="FA19" s="101"/>
      <c r="FB19" s="101"/>
      <c r="FC19" s="101"/>
      <c r="FD19" s="101"/>
      <c r="FE19" s="101"/>
      <c r="FF19" s="101"/>
      <c r="FG19" s="101"/>
      <c r="FH19" s="101"/>
      <c r="FI19" s="101"/>
      <c r="FJ19" s="101"/>
      <c r="FK19" s="101"/>
      <c r="FL19" s="101"/>
      <c r="FM19" s="101"/>
      <c r="FN19" s="101"/>
      <c r="FO19" s="101"/>
      <c r="FP19" s="101"/>
      <c r="FQ19" s="101"/>
      <c r="FR19" s="101"/>
      <c r="FS19" s="101"/>
      <c r="FT19" s="101"/>
      <c r="FU19" s="101"/>
      <c r="FV19" s="101"/>
      <c r="FW19" s="101"/>
      <c r="FX19" s="101"/>
      <c r="FY19" s="101"/>
      <c r="FZ19" s="101"/>
      <c r="GA19" s="101"/>
      <c r="GB19" s="101"/>
      <c r="GC19" s="101"/>
      <c r="GD19" s="101"/>
      <c r="GE19" s="101"/>
      <c r="GF19" s="101"/>
      <c r="GG19" s="101"/>
      <c r="GH19" s="101"/>
      <c r="GI19" s="101"/>
      <c r="GJ19" s="101"/>
    </row>
    <row r="20" spans="1:192" ht="50.1" customHeight="1" outlineLevel="1" x14ac:dyDescent="0.25">
      <c r="A20" s="149" t="s">
        <v>37</v>
      </c>
      <c r="B20" s="168" t="s">
        <v>272</v>
      </c>
      <c r="C20" s="140" t="s">
        <v>421</v>
      </c>
      <c r="D20" s="171" t="s">
        <v>22</v>
      </c>
      <c r="E20" s="146" t="s">
        <v>524</v>
      </c>
      <c r="F20" s="214"/>
      <c r="G20" s="74"/>
      <c r="H20" s="74"/>
      <c r="I20" s="74"/>
      <c r="J20" s="74"/>
      <c r="K20" s="74"/>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1"/>
      <c r="CQ20" s="101"/>
      <c r="CR20" s="101"/>
      <c r="CS20" s="101"/>
      <c r="CT20" s="101"/>
      <c r="CU20" s="101"/>
      <c r="CV20" s="101"/>
      <c r="CW20" s="101"/>
      <c r="CX20" s="101"/>
      <c r="CY20" s="101"/>
      <c r="CZ20" s="101"/>
      <c r="DA20" s="101"/>
      <c r="DB20" s="101"/>
      <c r="DC20" s="101"/>
      <c r="DD20" s="101"/>
      <c r="DE20" s="101"/>
      <c r="DF20" s="101"/>
      <c r="DG20" s="101"/>
      <c r="DH20" s="101"/>
      <c r="DI20" s="101"/>
      <c r="DJ20" s="101"/>
      <c r="DK20" s="101"/>
      <c r="DL20" s="101"/>
      <c r="DM20" s="101"/>
      <c r="DN20" s="101"/>
      <c r="DO20" s="101"/>
      <c r="DP20" s="101"/>
      <c r="DQ20" s="101"/>
      <c r="DR20" s="101"/>
      <c r="DS20" s="101"/>
      <c r="DT20" s="101"/>
      <c r="DU20" s="101"/>
      <c r="DV20" s="101"/>
      <c r="DW20" s="101"/>
      <c r="DX20" s="101"/>
      <c r="DY20" s="101"/>
      <c r="DZ20" s="101"/>
      <c r="EA20" s="101"/>
      <c r="EB20" s="101"/>
      <c r="EC20" s="101"/>
      <c r="ED20" s="101"/>
      <c r="EE20" s="101"/>
      <c r="EF20" s="101"/>
      <c r="EG20" s="101"/>
      <c r="EH20" s="101"/>
      <c r="EI20" s="101"/>
      <c r="EJ20" s="101"/>
      <c r="EK20" s="101"/>
      <c r="EL20" s="101"/>
      <c r="EM20" s="101"/>
      <c r="EN20" s="101"/>
      <c r="EO20" s="101"/>
      <c r="EP20" s="101"/>
      <c r="EQ20" s="101"/>
      <c r="ER20" s="101"/>
      <c r="ES20" s="101"/>
      <c r="ET20" s="101"/>
      <c r="EU20" s="101"/>
      <c r="EV20" s="101"/>
      <c r="EW20" s="101"/>
      <c r="EX20" s="101"/>
      <c r="EY20" s="101"/>
      <c r="EZ20" s="101"/>
      <c r="FA20" s="101"/>
      <c r="FB20" s="101"/>
      <c r="FC20" s="101"/>
      <c r="FD20" s="101"/>
      <c r="FE20" s="101"/>
      <c r="FF20" s="101"/>
      <c r="FG20" s="101"/>
      <c r="FH20" s="101"/>
      <c r="FI20" s="101"/>
      <c r="FJ20" s="101"/>
      <c r="FK20" s="101"/>
      <c r="FL20" s="101"/>
      <c r="FM20" s="101"/>
      <c r="FN20" s="101"/>
      <c r="FO20" s="101"/>
      <c r="FP20" s="101"/>
      <c r="FQ20" s="101"/>
      <c r="FR20" s="101"/>
      <c r="FS20" s="101"/>
      <c r="FT20" s="101"/>
      <c r="FU20" s="101"/>
      <c r="FV20" s="101"/>
      <c r="FW20" s="101"/>
      <c r="FX20" s="101"/>
      <c r="FY20" s="101"/>
      <c r="FZ20" s="101"/>
      <c r="GA20" s="101"/>
      <c r="GB20" s="101"/>
      <c r="GC20" s="101"/>
      <c r="GD20" s="101"/>
      <c r="GE20" s="101"/>
      <c r="GF20" s="101"/>
      <c r="GG20" s="101"/>
      <c r="GH20" s="101"/>
      <c r="GI20" s="101"/>
      <c r="GJ20" s="101"/>
    </row>
    <row r="21" spans="1:192" ht="50.1" customHeight="1" outlineLevel="1" x14ac:dyDescent="0.25">
      <c r="A21" s="149" t="s">
        <v>37</v>
      </c>
      <c r="B21" s="167" t="s">
        <v>273</v>
      </c>
      <c r="C21" s="139" t="s">
        <v>422</v>
      </c>
      <c r="D21" s="170" t="s">
        <v>22</v>
      </c>
      <c r="E21" s="147" t="s">
        <v>525</v>
      </c>
      <c r="F21" s="211"/>
      <c r="G21" s="74"/>
      <c r="H21" s="74"/>
      <c r="I21" s="74"/>
      <c r="J21" s="74"/>
      <c r="K21" s="74"/>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101"/>
      <c r="AZ21" s="101"/>
      <c r="BA21" s="101"/>
      <c r="BB21" s="101"/>
      <c r="BC21" s="101"/>
      <c r="BD21" s="101"/>
      <c r="BE21" s="101"/>
      <c r="BF21" s="101"/>
      <c r="BG21" s="101"/>
      <c r="BH21" s="101"/>
      <c r="BI21" s="101"/>
      <c r="BJ21" s="101"/>
      <c r="BK21" s="101"/>
      <c r="BL21" s="101"/>
      <c r="BM21" s="101"/>
      <c r="BN21" s="101"/>
      <c r="BO21" s="101"/>
      <c r="BP21" s="101"/>
      <c r="BQ21" s="101"/>
      <c r="BR21" s="101"/>
      <c r="BS21" s="101"/>
      <c r="BT21" s="101"/>
      <c r="BU21" s="101"/>
      <c r="BV21" s="101"/>
      <c r="BW21" s="101"/>
      <c r="BX21" s="101"/>
      <c r="BY21" s="101"/>
      <c r="BZ21" s="101"/>
      <c r="CA21" s="101"/>
      <c r="CB21" s="101"/>
      <c r="CC21" s="101"/>
      <c r="CD21" s="101"/>
      <c r="CE21" s="101"/>
      <c r="CF21" s="101"/>
      <c r="CG21" s="101"/>
      <c r="CH21" s="101"/>
      <c r="CI21" s="101"/>
      <c r="CJ21" s="101"/>
      <c r="CK21" s="101"/>
      <c r="CL21" s="101"/>
      <c r="CM21" s="101"/>
      <c r="CN21" s="101"/>
      <c r="CO21" s="101"/>
      <c r="CP21" s="101"/>
      <c r="CQ21" s="101"/>
      <c r="CR21" s="101"/>
      <c r="CS21" s="101"/>
      <c r="CT21" s="101"/>
      <c r="CU21" s="101"/>
      <c r="CV21" s="101"/>
      <c r="CW21" s="101"/>
      <c r="CX21" s="101"/>
      <c r="CY21" s="101"/>
      <c r="CZ21" s="101"/>
      <c r="DA21" s="101"/>
      <c r="DB21" s="101"/>
      <c r="DC21" s="101"/>
      <c r="DD21" s="101"/>
      <c r="DE21" s="101"/>
      <c r="DF21" s="101"/>
      <c r="DG21" s="101"/>
      <c r="DH21" s="101"/>
      <c r="DI21" s="101"/>
      <c r="DJ21" s="101"/>
      <c r="DK21" s="101"/>
      <c r="DL21" s="101"/>
      <c r="DM21" s="101"/>
      <c r="DN21" s="101"/>
      <c r="DO21" s="101"/>
      <c r="DP21" s="101"/>
      <c r="DQ21" s="101"/>
      <c r="DR21" s="101"/>
      <c r="DS21" s="101"/>
      <c r="DT21" s="101"/>
      <c r="DU21" s="101"/>
      <c r="DV21" s="101"/>
      <c r="DW21" s="101"/>
      <c r="DX21" s="101"/>
      <c r="DY21" s="101"/>
      <c r="DZ21" s="101"/>
      <c r="EA21" s="101"/>
      <c r="EB21" s="101"/>
      <c r="EC21" s="101"/>
      <c r="ED21" s="101"/>
      <c r="EE21" s="101"/>
      <c r="EF21" s="101"/>
      <c r="EG21" s="101"/>
      <c r="EH21" s="101"/>
      <c r="EI21" s="101"/>
      <c r="EJ21" s="101"/>
      <c r="EK21" s="101"/>
      <c r="EL21" s="101"/>
      <c r="EM21" s="101"/>
      <c r="EN21" s="101"/>
      <c r="EO21" s="101"/>
      <c r="EP21" s="101"/>
      <c r="EQ21" s="101"/>
      <c r="ER21" s="101"/>
      <c r="ES21" s="101"/>
      <c r="ET21" s="101"/>
      <c r="EU21" s="101"/>
      <c r="EV21" s="101"/>
      <c r="EW21" s="101"/>
      <c r="EX21" s="101"/>
      <c r="EY21" s="101"/>
      <c r="EZ21" s="101"/>
      <c r="FA21" s="101"/>
      <c r="FB21" s="101"/>
      <c r="FC21" s="101"/>
      <c r="FD21" s="101"/>
      <c r="FE21" s="101"/>
      <c r="FF21" s="101"/>
      <c r="FG21" s="101"/>
      <c r="FH21" s="101"/>
      <c r="FI21" s="101"/>
      <c r="FJ21" s="101"/>
      <c r="FK21" s="101"/>
      <c r="FL21" s="101"/>
      <c r="FM21" s="101"/>
      <c r="FN21" s="101"/>
      <c r="FO21" s="101"/>
      <c r="FP21" s="101"/>
      <c r="FQ21" s="101"/>
      <c r="FR21" s="101"/>
      <c r="FS21" s="101"/>
      <c r="FT21" s="101"/>
      <c r="FU21" s="101"/>
      <c r="FV21" s="101"/>
      <c r="FW21" s="101"/>
      <c r="FX21" s="101"/>
      <c r="FY21" s="101"/>
      <c r="FZ21" s="101"/>
      <c r="GA21" s="101"/>
      <c r="GB21" s="101"/>
      <c r="GC21" s="101"/>
      <c r="GD21" s="101"/>
      <c r="GE21" s="101"/>
      <c r="GF21" s="101"/>
      <c r="GG21" s="101"/>
      <c r="GH21" s="101"/>
      <c r="GI21" s="101"/>
      <c r="GJ21" s="101"/>
    </row>
    <row r="22" spans="1:192" ht="50.1" customHeight="1" outlineLevel="1" x14ac:dyDescent="0.25">
      <c r="A22" s="148" t="s">
        <v>1</v>
      </c>
      <c r="B22" s="168" t="s">
        <v>274</v>
      </c>
      <c r="C22" s="140" t="s">
        <v>439</v>
      </c>
      <c r="D22" s="171" t="s">
        <v>22</v>
      </c>
      <c r="E22" s="146" t="s">
        <v>526</v>
      </c>
      <c r="F22" s="214"/>
      <c r="G22" s="74"/>
      <c r="H22" s="74"/>
      <c r="I22" s="74"/>
      <c r="J22" s="74"/>
      <c r="K22" s="74"/>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101"/>
      <c r="AZ22" s="101"/>
      <c r="BA22" s="101"/>
      <c r="BB22" s="101"/>
      <c r="BC22" s="101"/>
      <c r="BD22" s="101"/>
      <c r="BE22" s="101"/>
      <c r="BF22" s="101"/>
      <c r="BG22" s="101"/>
      <c r="BH22" s="101"/>
      <c r="BI22" s="101"/>
      <c r="BJ22" s="101"/>
      <c r="BK22" s="101"/>
      <c r="BL22" s="101"/>
      <c r="BM22" s="101"/>
      <c r="BN22" s="101"/>
      <c r="BO22" s="101"/>
      <c r="BP22" s="101"/>
      <c r="BQ22" s="101"/>
      <c r="BR22" s="101"/>
      <c r="BS22" s="101"/>
      <c r="BT22" s="101"/>
      <c r="BU22" s="101"/>
      <c r="BV22" s="101"/>
      <c r="BW22" s="101"/>
      <c r="BX22" s="101"/>
      <c r="BY22" s="101"/>
      <c r="BZ22" s="101"/>
      <c r="CA22" s="101"/>
      <c r="CB22" s="101"/>
      <c r="CC22" s="101"/>
      <c r="CD22" s="101"/>
      <c r="CE22" s="101"/>
      <c r="CF22" s="101"/>
      <c r="CG22" s="101"/>
      <c r="CH22" s="101"/>
      <c r="CI22" s="101"/>
      <c r="CJ22" s="101"/>
      <c r="CK22" s="101"/>
      <c r="CL22" s="101"/>
      <c r="CM22" s="101"/>
      <c r="CN22" s="101"/>
      <c r="CO22" s="101"/>
      <c r="CP22" s="101"/>
      <c r="CQ22" s="101"/>
      <c r="CR22" s="101"/>
      <c r="CS22" s="101"/>
      <c r="CT22" s="101"/>
      <c r="CU22" s="101"/>
      <c r="CV22" s="101"/>
      <c r="CW22" s="101"/>
      <c r="CX22" s="101"/>
      <c r="CY22" s="101"/>
      <c r="CZ22" s="101"/>
      <c r="DA22" s="101"/>
      <c r="DB22" s="101"/>
      <c r="DC22" s="101"/>
      <c r="DD22" s="101"/>
      <c r="DE22" s="101"/>
      <c r="DF22" s="101"/>
      <c r="DG22" s="101"/>
      <c r="DH22" s="101"/>
      <c r="DI22" s="101"/>
      <c r="DJ22" s="101"/>
      <c r="DK22" s="101"/>
      <c r="DL22" s="101"/>
      <c r="DM22" s="101"/>
      <c r="DN22" s="101"/>
      <c r="DO22" s="101"/>
      <c r="DP22" s="101"/>
      <c r="DQ22" s="101"/>
      <c r="DR22" s="101"/>
      <c r="DS22" s="101"/>
      <c r="DT22" s="101"/>
      <c r="DU22" s="101"/>
      <c r="DV22" s="101"/>
      <c r="DW22" s="101"/>
      <c r="DX22" s="101"/>
      <c r="DY22" s="101"/>
      <c r="DZ22" s="101"/>
      <c r="EA22" s="101"/>
      <c r="EB22" s="101"/>
      <c r="EC22" s="101"/>
      <c r="ED22" s="101"/>
      <c r="EE22" s="101"/>
      <c r="EF22" s="101"/>
      <c r="EG22" s="101"/>
      <c r="EH22" s="101"/>
      <c r="EI22" s="101"/>
      <c r="EJ22" s="101"/>
      <c r="EK22" s="101"/>
      <c r="EL22" s="101"/>
      <c r="EM22" s="101"/>
      <c r="EN22" s="101"/>
      <c r="EO22" s="101"/>
      <c r="EP22" s="101"/>
      <c r="EQ22" s="101"/>
      <c r="ER22" s="101"/>
      <c r="ES22" s="101"/>
      <c r="ET22" s="101"/>
      <c r="EU22" s="101"/>
      <c r="EV22" s="101"/>
      <c r="EW22" s="101"/>
      <c r="EX22" s="101"/>
      <c r="EY22" s="101"/>
      <c r="EZ22" s="101"/>
      <c r="FA22" s="101"/>
      <c r="FB22" s="101"/>
      <c r="FC22" s="101"/>
      <c r="FD22" s="101"/>
      <c r="FE22" s="101"/>
      <c r="FF22" s="101"/>
      <c r="FG22" s="101"/>
      <c r="FH22" s="101"/>
      <c r="FI22" s="101"/>
      <c r="FJ22" s="101"/>
      <c r="FK22" s="101"/>
      <c r="FL22" s="101"/>
      <c r="FM22" s="101"/>
      <c r="FN22" s="101"/>
      <c r="FO22" s="101"/>
      <c r="FP22" s="101"/>
      <c r="FQ22" s="101"/>
      <c r="FR22" s="101"/>
      <c r="FS22" s="101"/>
      <c r="FT22" s="101"/>
      <c r="FU22" s="101"/>
      <c r="FV22" s="101"/>
      <c r="FW22" s="101"/>
      <c r="FX22" s="101"/>
      <c r="FY22" s="101"/>
      <c r="FZ22" s="101"/>
      <c r="GA22" s="101"/>
      <c r="GB22" s="101"/>
      <c r="GC22" s="101"/>
      <c r="GD22" s="101"/>
      <c r="GE22" s="101"/>
      <c r="GF22" s="101"/>
      <c r="GG22" s="101"/>
      <c r="GH22" s="101"/>
      <c r="GI22" s="101"/>
      <c r="GJ22" s="101"/>
    </row>
    <row r="23" spans="1:192" ht="50.1" customHeight="1" outlineLevel="1" x14ac:dyDescent="0.25">
      <c r="A23" s="148" t="s">
        <v>1</v>
      </c>
      <c r="B23" s="167" t="s">
        <v>275</v>
      </c>
      <c r="C23" s="139" t="s">
        <v>440</v>
      </c>
      <c r="D23" s="170" t="s">
        <v>23</v>
      </c>
      <c r="E23" s="144" t="s">
        <v>527</v>
      </c>
      <c r="F23" s="211"/>
      <c r="G23" s="74"/>
      <c r="H23" s="74"/>
      <c r="I23" s="74"/>
      <c r="J23" s="74"/>
      <c r="K23" s="74"/>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101"/>
      <c r="AZ23" s="101"/>
      <c r="BA23" s="101"/>
      <c r="BB23" s="101"/>
      <c r="BC23" s="101"/>
      <c r="BD23" s="101"/>
      <c r="BE23" s="101"/>
      <c r="BF23" s="101"/>
      <c r="BG23" s="101"/>
      <c r="BH23" s="101"/>
      <c r="BI23" s="101"/>
      <c r="BJ23" s="101"/>
      <c r="BK23" s="101"/>
      <c r="BL23" s="101"/>
      <c r="BM23" s="101"/>
      <c r="BN23" s="101"/>
      <c r="BO23" s="101"/>
      <c r="BP23" s="101"/>
      <c r="BQ23" s="101"/>
      <c r="BR23" s="101"/>
      <c r="BS23" s="101"/>
      <c r="BT23" s="101"/>
      <c r="BU23" s="101"/>
      <c r="BV23" s="101"/>
      <c r="BW23" s="101"/>
      <c r="BX23" s="101"/>
      <c r="BY23" s="101"/>
      <c r="BZ23" s="101"/>
      <c r="CA23" s="101"/>
      <c r="CB23" s="101"/>
      <c r="CC23" s="101"/>
      <c r="CD23" s="101"/>
      <c r="CE23" s="101"/>
      <c r="CF23" s="101"/>
      <c r="CG23" s="101"/>
      <c r="CH23" s="101"/>
      <c r="CI23" s="101"/>
      <c r="CJ23" s="101"/>
      <c r="CK23" s="101"/>
      <c r="CL23" s="101"/>
      <c r="CM23" s="101"/>
      <c r="CN23" s="101"/>
      <c r="CO23" s="101"/>
      <c r="CP23" s="101"/>
      <c r="CQ23" s="101"/>
      <c r="CR23" s="101"/>
      <c r="CS23" s="101"/>
      <c r="CT23" s="101"/>
      <c r="CU23" s="101"/>
      <c r="CV23" s="101"/>
      <c r="CW23" s="101"/>
      <c r="CX23" s="101"/>
      <c r="CY23" s="101"/>
      <c r="CZ23" s="101"/>
      <c r="DA23" s="101"/>
      <c r="DB23" s="101"/>
      <c r="DC23" s="101"/>
      <c r="DD23" s="101"/>
      <c r="DE23" s="101"/>
      <c r="DF23" s="101"/>
      <c r="DG23" s="101"/>
      <c r="DH23" s="101"/>
      <c r="DI23" s="101"/>
      <c r="DJ23" s="101"/>
      <c r="DK23" s="101"/>
      <c r="DL23" s="101"/>
      <c r="DM23" s="101"/>
      <c r="DN23" s="101"/>
      <c r="DO23" s="101"/>
      <c r="DP23" s="101"/>
      <c r="DQ23" s="101"/>
      <c r="DR23" s="101"/>
      <c r="DS23" s="101"/>
      <c r="DT23" s="101"/>
      <c r="DU23" s="101"/>
      <c r="DV23" s="101"/>
      <c r="DW23" s="101"/>
      <c r="DX23" s="101"/>
      <c r="DY23" s="101"/>
      <c r="DZ23" s="101"/>
      <c r="EA23" s="101"/>
      <c r="EB23" s="101"/>
      <c r="EC23" s="101"/>
      <c r="ED23" s="101"/>
      <c r="EE23" s="101"/>
      <c r="EF23" s="101"/>
      <c r="EG23" s="101"/>
      <c r="EH23" s="101"/>
      <c r="EI23" s="101"/>
      <c r="EJ23" s="101"/>
      <c r="EK23" s="101"/>
      <c r="EL23" s="101"/>
      <c r="EM23" s="101"/>
      <c r="EN23" s="101"/>
      <c r="EO23" s="101"/>
      <c r="EP23" s="101"/>
      <c r="EQ23" s="101"/>
      <c r="ER23" s="101"/>
      <c r="ES23" s="101"/>
      <c r="ET23" s="101"/>
      <c r="EU23" s="101"/>
      <c r="EV23" s="101"/>
      <c r="EW23" s="101"/>
      <c r="EX23" s="101"/>
      <c r="EY23" s="101"/>
      <c r="EZ23" s="101"/>
      <c r="FA23" s="101"/>
      <c r="FB23" s="101"/>
      <c r="FC23" s="101"/>
      <c r="FD23" s="101"/>
      <c r="FE23" s="101"/>
      <c r="FF23" s="101"/>
      <c r="FG23" s="101"/>
      <c r="FH23" s="101"/>
      <c r="FI23" s="101"/>
      <c r="FJ23" s="101"/>
      <c r="FK23" s="101"/>
      <c r="FL23" s="101"/>
      <c r="FM23" s="101"/>
      <c r="FN23" s="101"/>
      <c r="FO23" s="101"/>
      <c r="FP23" s="101"/>
      <c r="FQ23" s="101"/>
      <c r="FR23" s="101"/>
      <c r="FS23" s="101"/>
      <c r="FT23" s="101"/>
      <c r="FU23" s="101"/>
      <c r="FV23" s="101"/>
      <c r="FW23" s="101"/>
      <c r="FX23" s="101"/>
      <c r="FY23" s="101"/>
      <c r="FZ23" s="101"/>
      <c r="GA23" s="101"/>
      <c r="GB23" s="101"/>
      <c r="GC23" s="101"/>
      <c r="GD23" s="101"/>
      <c r="GE23" s="101"/>
      <c r="GF23" s="101"/>
      <c r="GG23" s="101"/>
      <c r="GH23" s="101"/>
      <c r="GI23" s="101"/>
      <c r="GJ23" s="101"/>
    </row>
    <row r="24" spans="1:192" ht="50.1" customHeight="1" outlineLevel="1" x14ac:dyDescent="0.25">
      <c r="A24" s="148" t="s">
        <v>1</v>
      </c>
      <c r="B24" s="168" t="s">
        <v>276</v>
      </c>
      <c r="C24" s="140" t="s">
        <v>441</v>
      </c>
      <c r="D24" s="171" t="s">
        <v>23</v>
      </c>
      <c r="E24" s="146" t="s">
        <v>528</v>
      </c>
      <c r="F24" s="214"/>
      <c r="G24" s="74"/>
      <c r="H24" s="74"/>
      <c r="I24" s="74"/>
      <c r="J24" s="74"/>
      <c r="K24" s="74"/>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101"/>
      <c r="AZ24" s="101"/>
      <c r="BA24" s="101"/>
      <c r="BB24" s="101"/>
      <c r="BC24" s="101"/>
      <c r="BD24" s="101"/>
      <c r="BE24" s="101"/>
      <c r="BF24" s="101"/>
      <c r="BG24" s="101"/>
      <c r="BH24" s="101"/>
      <c r="BI24" s="101"/>
      <c r="BJ24" s="101"/>
      <c r="BK24" s="101"/>
      <c r="BL24" s="101"/>
      <c r="BM24" s="101"/>
      <c r="BN24" s="101"/>
      <c r="BO24" s="101"/>
      <c r="BP24" s="101"/>
      <c r="BQ24" s="101"/>
      <c r="BR24" s="101"/>
      <c r="BS24" s="101"/>
      <c r="BT24" s="101"/>
      <c r="BU24" s="101"/>
      <c r="BV24" s="101"/>
      <c r="BW24" s="101"/>
      <c r="BX24" s="101"/>
      <c r="BY24" s="101"/>
      <c r="BZ24" s="101"/>
      <c r="CA24" s="101"/>
      <c r="CB24" s="101"/>
      <c r="CC24" s="101"/>
      <c r="CD24" s="101"/>
      <c r="CE24" s="101"/>
      <c r="CF24" s="101"/>
      <c r="CG24" s="101"/>
      <c r="CH24" s="101"/>
      <c r="CI24" s="101"/>
      <c r="CJ24" s="101"/>
      <c r="CK24" s="101"/>
      <c r="CL24" s="101"/>
      <c r="CM24" s="101"/>
      <c r="CN24" s="101"/>
      <c r="CO24" s="101"/>
      <c r="CP24" s="101"/>
      <c r="CQ24" s="101"/>
      <c r="CR24" s="101"/>
      <c r="CS24" s="101"/>
      <c r="CT24" s="101"/>
      <c r="CU24" s="101"/>
      <c r="CV24" s="101"/>
      <c r="CW24" s="101"/>
      <c r="CX24" s="101"/>
      <c r="CY24" s="101"/>
      <c r="CZ24" s="101"/>
      <c r="DA24" s="101"/>
      <c r="DB24" s="101"/>
      <c r="DC24" s="101"/>
      <c r="DD24" s="101"/>
      <c r="DE24" s="101"/>
      <c r="DF24" s="101"/>
      <c r="DG24" s="101"/>
      <c r="DH24" s="101"/>
      <c r="DI24" s="101"/>
      <c r="DJ24" s="101"/>
      <c r="DK24" s="101"/>
      <c r="DL24" s="101"/>
      <c r="DM24" s="101"/>
      <c r="DN24" s="101"/>
      <c r="DO24" s="101"/>
      <c r="DP24" s="101"/>
      <c r="DQ24" s="101"/>
      <c r="DR24" s="101"/>
      <c r="DS24" s="101"/>
      <c r="DT24" s="101"/>
      <c r="DU24" s="101"/>
      <c r="DV24" s="101"/>
      <c r="DW24" s="101"/>
      <c r="DX24" s="101"/>
      <c r="DY24" s="101"/>
      <c r="DZ24" s="101"/>
      <c r="EA24" s="101"/>
      <c r="EB24" s="101"/>
      <c r="EC24" s="101"/>
      <c r="ED24" s="101"/>
      <c r="EE24" s="101"/>
      <c r="EF24" s="101"/>
      <c r="EG24" s="101"/>
      <c r="EH24" s="101"/>
      <c r="EI24" s="101"/>
      <c r="EJ24" s="101"/>
      <c r="EK24" s="101"/>
      <c r="EL24" s="101"/>
      <c r="EM24" s="101"/>
      <c r="EN24" s="101"/>
      <c r="EO24" s="101"/>
      <c r="EP24" s="101"/>
      <c r="EQ24" s="101"/>
      <c r="ER24" s="101"/>
      <c r="ES24" s="101"/>
      <c r="ET24" s="101"/>
      <c r="EU24" s="101"/>
      <c r="EV24" s="101"/>
      <c r="EW24" s="101"/>
      <c r="EX24" s="101"/>
      <c r="EY24" s="101"/>
      <c r="EZ24" s="101"/>
      <c r="FA24" s="101"/>
      <c r="FB24" s="101"/>
      <c r="FC24" s="101"/>
      <c r="FD24" s="101"/>
      <c r="FE24" s="101"/>
      <c r="FF24" s="101"/>
      <c r="FG24" s="101"/>
      <c r="FH24" s="101"/>
      <c r="FI24" s="101"/>
      <c r="FJ24" s="101"/>
      <c r="FK24" s="101"/>
      <c r="FL24" s="101"/>
      <c r="FM24" s="101"/>
      <c r="FN24" s="101"/>
      <c r="FO24" s="101"/>
      <c r="FP24" s="101"/>
      <c r="FQ24" s="101"/>
      <c r="FR24" s="101"/>
      <c r="FS24" s="101"/>
      <c r="FT24" s="101"/>
      <c r="FU24" s="101"/>
      <c r="FV24" s="101"/>
      <c r="FW24" s="101"/>
      <c r="FX24" s="101"/>
      <c r="FY24" s="101"/>
      <c r="FZ24" s="101"/>
      <c r="GA24" s="101"/>
      <c r="GB24" s="101"/>
      <c r="GC24" s="101"/>
      <c r="GD24" s="101"/>
      <c r="GE24" s="101"/>
      <c r="GF24" s="101"/>
      <c r="GG24" s="101"/>
      <c r="GH24" s="101"/>
      <c r="GI24" s="101"/>
      <c r="GJ24" s="101"/>
    </row>
    <row r="25" spans="1:192" ht="50.1" customHeight="1" outlineLevel="1" x14ac:dyDescent="0.25">
      <c r="A25" s="149" t="s">
        <v>4</v>
      </c>
      <c r="B25" s="167" t="s">
        <v>277</v>
      </c>
      <c r="C25" s="139" t="s">
        <v>442</v>
      </c>
      <c r="D25" s="170" t="s">
        <v>22</v>
      </c>
      <c r="E25" s="144" t="s">
        <v>529</v>
      </c>
      <c r="F25" s="211"/>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row>
    <row r="26" spans="1:192" ht="50.1" customHeight="1" outlineLevel="1" x14ac:dyDescent="0.25">
      <c r="A26" s="149" t="s">
        <v>4</v>
      </c>
      <c r="B26" s="168" t="s">
        <v>278</v>
      </c>
      <c r="C26" s="143" t="s">
        <v>443</v>
      </c>
      <c r="D26" s="172" t="s">
        <v>22</v>
      </c>
      <c r="E26" s="198" t="s">
        <v>530</v>
      </c>
      <c r="F26" s="209"/>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101"/>
      <c r="AZ26" s="101"/>
      <c r="BA26" s="101"/>
      <c r="BB26" s="101"/>
      <c r="BC26" s="101"/>
      <c r="BD26" s="101"/>
      <c r="BE26" s="101"/>
      <c r="BF26" s="101"/>
      <c r="BG26" s="101"/>
      <c r="BH26" s="101"/>
      <c r="BI26" s="101"/>
      <c r="BJ26" s="101"/>
      <c r="BK26" s="101"/>
      <c r="BL26" s="101"/>
      <c r="BM26" s="101"/>
      <c r="BN26" s="101"/>
      <c r="BO26" s="101"/>
      <c r="BP26" s="101"/>
      <c r="BQ26" s="101"/>
      <c r="BR26" s="101"/>
      <c r="BS26" s="101"/>
      <c r="BT26" s="101"/>
      <c r="BU26" s="101"/>
      <c r="BV26" s="101"/>
      <c r="BW26" s="101"/>
      <c r="BX26" s="101"/>
      <c r="BY26" s="101"/>
      <c r="BZ26" s="101"/>
      <c r="CA26" s="101"/>
      <c r="CB26" s="101"/>
      <c r="CC26" s="101"/>
      <c r="CD26" s="101"/>
      <c r="CE26" s="101"/>
      <c r="CF26" s="101"/>
      <c r="CG26" s="101"/>
      <c r="CH26" s="101"/>
      <c r="CI26" s="101"/>
      <c r="CJ26" s="101"/>
      <c r="CK26" s="101"/>
      <c r="CL26" s="101"/>
      <c r="CM26" s="101"/>
      <c r="CN26" s="101"/>
      <c r="CO26" s="101"/>
      <c r="CP26" s="101"/>
      <c r="CQ26" s="101"/>
      <c r="CR26" s="101"/>
      <c r="CS26" s="101"/>
      <c r="CT26" s="101"/>
      <c r="CU26" s="101"/>
      <c r="CV26" s="101"/>
      <c r="CW26" s="101"/>
      <c r="CX26" s="101"/>
      <c r="CY26" s="101"/>
      <c r="CZ26" s="101"/>
      <c r="DA26" s="101"/>
      <c r="DB26" s="101"/>
      <c r="DC26" s="101"/>
      <c r="DD26" s="101"/>
      <c r="DE26" s="101"/>
      <c r="DF26" s="101"/>
      <c r="DG26" s="101"/>
      <c r="DH26" s="101"/>
      <c r="DI26" s="101"/>
      <c r="DJ26" s="101"/>
      <c r="DK26" s="101"/>
      <c r="DL26" s="101"/>
      <c r="DM26" s="101"/>
      <c r="DN26" s="101"/>
      <c r="DO26" s="101"/>
      <c r="DP26" s="101"/>
      <c r="DQ26" s="101"/>
      <c r="DR26" s="101"/>
      <c r="DS26" s="101"/>
      <c r="DT26" s="101"/>
      <c r="DU26" s="101"/>
      <c r="DV26" s="101"/>
      <c r="DW26" s="101"/>
      <c r="DX26" s="101"/>
      <c r="DY26" s="101"/>
      <c r="DZ26" s="101"/>
      <c r="EA26" s="101"/>
      <c r="EB26" s="101"/>
      <c r="EC26" s="101"/>
      <c r="ED26" s="101"/>
      <c r="EE26" s="101"/>
      <c r="EF26" s="101"/>
      <c r="EG26" s="101"/>
      <c r="EH26" s="101"/>
      <c r="EI26" s="101"/>
      <c r="EJ26" s="101"/>
      <c r="EK26" s="101"/>
      <c r="EL26" s="101"/>
      <c r="EM26" s="101"/>
      <c r="EN26" s="101"/>
      <c r="EO26" s="101"/>
      <c r="EP26" s="101"/>
      <c r="EQ26" s="101"/>
      <c r="ER26" s="101"/>
      <c r="ES26" s="101"/>
      <c r="ET26" s="101"/>
      <c r="EU26" s="101"/>
      <c r="EV26" s="101"/>
      <c r="EW26" s="101"/>
      <c r="EX26" s="101"/>
      <c r="EY26" s="101"/>
      <c r="EZ26" s="101"/>
      <c r="FA26" s="101"/>
      <c r="FB26" s="101"/>
      <c r="FC26" s="101"/>
      <c r="FD26" s="101"/>
      <c r="FE26" s="101"/>
      <c r="FF26" s="101"/>
      <c r="FG26" s="101"/>
      <c r="FH26" s="101"/>
      <c r="FI26" s="101"/>
      <c r="FJ26" s="101"/>
      <c r="FK26" s="101"/>
      <c r="FL26" s="101"/>
      <c r="FM26" s="101"/>
      <c r="FN26" s="101"/>
      <c r="FO26" s="101"/>
      <c r="FP26" s="101"/>
      <c r="FQ26" s="101"/>
      <c r="FR26" s="101"/>
      <c r="FS26" s="101"/>
      <c r="FT26" s="101"/>
      <c r="FU26" s="101"/>
      <c r="FV26" s="101"/>
      <c r="FW26" s="101"/>
      <c r="FX26" s="101"/>
      <c r="FY26" s="101"/>
      <c r="FZ26" s="101"/>
      <c r="GA26" s="101"/>
      <c r="GB26" s="101"/>
      <c r="GC26" s="101"/>
      <c r="GD26" s="101"/>
      <c r="GE26" s="101"/>
      <c r="GF26" s="101"/>
      <c r="GG26" s="101"/>
      <c r="GH26" s="101"/>
      <c r="GI26" s="101"/>
      <c r="GJ26" s="101"/>
    </row>
    <row r="27" spans="1:192" ht="50.1" customHeight="1" outlineLevel="1" x14ac:dyDescent="0.25">
      <c r="A27" s="149" t="s">
        <v>4</v>
      </c>
      <c r="B27" s="167" t="s">
        <v>279</v>
      </c>
      <c r="C27" s="139" t="s">
        <v>444</v>
      </c>
      <c r="D27" s="170" t="s">
        <v>22</v>
      </c>
      <c r="E27" s="144" t="s">
        <v>531</v>
      </c>
      <c r="F27" s="211"/>
      <c r="G27" s="74"/>
      <c r="H27" s="74"/>
      <c r="I27" s="74"/>
      <c r="J27" s="74"/>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101"/>
      <c r="AZ27" s="101"/>
      <c r="BA27" s="101"/>
      <c r="BB27" s="101"/>
      <c r="BC27" s="101"/>
      <c r="BD27" s="101"/>
      <c r="BE27" s="101"/>
      <c r="BF27" s="101"/>
      <c r="BG27" s="101"/>
      <c r="BH27" s="101"/>
      <c r="BI27" s="101"/>
      <c r="BJ27" s="101"/>
      <c r="BK27" s="101"/>
      <c r="BL27" s="101"/>
      <c r="BM27" s="101"/>
      <c r="BN27" s="101"/>
      <c r="BO27" s="101"/>
      <c r="BP27" s="101"/>
      <c r="BQ27" s="101"/>
      <c r="BR27" s="101"/>
      <c r="BS27" s="101"/>
      <c r="BT27" s="101"/>
      <c r="BU27" s="101"/>
      <c r="BV27" s="101"/>
      <c r="BW27" s="101"/>
      <c r="BX27" s="101"/>
      <c r="BY27" s="101"/>
      <c r="BZ27" s="101"/>
      <c r="CA27" s="101"/>
      <c r="CB27" s="101"/>
      <c r="CC27" s="101"/>
      <c r="CD27" s="101"/>
      <c r="CE27" s="101"/>
      <c r="CF27" s="101"/>
      <c r="CG27" s="101"/>
      <c r="CH27" s="101"/>
      <c r="CI27" s="101"/>
      <c r="CJ27" s="101"/>
      <c r="CK27" s="101"/>
      <c r="CL27" s="101"/>
      <c r="CM27" s="101"/>
      <c r="CN27" s="101"/>
      <c r="CO27" s="101"/>
      <c r="CP27" s="101"/>
      <c r="CQ27" s="101"/>
      <c r="CR27" s="101"/>
      <c r="CS27" s="101"/>
      <c r="CT27" s="101"/>
      <c r="CU27" s="101"/>
      <c r="CV27" s="101"/>
      <c r="CW27" s="101"/>
      <c r="CX27" s="101"/>
      <c r="CY27" s="101"/>
      <c r="CZ27" s="101"/>
      <c r="DA27" s="101"/>
      <c r="DB27" s="101"/>
      <c r="DC27" s="101"/>
      <c r="DD27" s="101"/>
      <c r="DE27" s="101"/>
      <c r="DF27" s="101"/>
      <c r="DG27" s="101"/>
      <c r="DH27" s="101"/>
      <c r="DI27" s="101"/>
      <c r="DJ27" s="101"/>
      <c r="DK27" s="101"/>
      <c r="DL27" s="101"/>
      <c r="DM27" s="101"/>
      <c r="DN27" s="101"/>
      <c r="DO27" s="101"/>
      <c r="DP27" s="101"/>
      <c r="DQ27" s="101"/>
      <c r="DR27" s="101"/>
      <c r="DS27" s="101"/>
      <c r="DT27" s="101"/>
      <c r="DU27" s="101"/>
      <c r="DV27" s="101"/>
      <c r="DW27" s="101"/>
      <c r="DX27" s="101"/>
      <c r="DY27" s="101"/>
      <c r="DZ27" s="101"/>
      <c r="EA27" s="101"/>
      <c r="EB27" s="101"/>
      <c r="EC27" s="101"/>
      <c r="ED27" s="101"/>
      <c r="EE27" s="101"/>
      <c r="EF27" s="101"/>
      <c r="EG27" s="101"/>
      <c r="EH27" s="101"/>
      <c r="EI27" s="101"/>
      <c r="EJ27" s="101"/>
      <c r="EK27" s="101"/>
      <c r="EL27" s="101"/>
      <c r="EM27" s="101"/>
      <c r="EN27" s="101"/>
      <c r="EO27" s="101"/>
      <c r="EP27" s="101"/>
      <c r="EQ27" s="101"/>
      <c r="ER27" s="101"/>
      <c r="ES27" s="101"/>
      <c r="ET27" s="101"/>
      <c r="EU27" s="101"/>
      <c r="EV27" s="101"/>
      <c r="EW27" s="101"/>
      <c r="EX27" s="101"/>
      <c r="EY27" s="101"/>
      <c r="EZ27" s="101"/>
      <c r="FA27" s="101"/>
      <c r="FB27" s="101"/>
      <c r="FC27" s="101"/>
      <c r="FD27" s="101"/>
      <c r="FE27" s="101"/>
      <c r="FF27" s="101"/>
      <c r="FG27" s="101"/>
      <c r="FH27" s="101"/>
      <c r="FI27" s="101"/>
      <c r="FJ27" s="101"/>
      <c r="FK27" s="101"/>
      <c r="FL27" s="101"/>
      <c r="FM27" s="101"/>
      <c r="FN27" s="101"/>
      <c r="FO27" s="101"/>
      <c r="FP27" s="101"/>
      <c r="FQ27" s="101"/>
      <c r="FR27" s="101"/>
      <c r="FS27" s="101"/>
      <c r="FT27" s="101"/>
      <c r="FU27" s="101"/>
      <c r="FV27" s="101"/>
      <c r="FW27" s="101"/>
      <c r="FX27" s="101"/>
      <c r="FY27" s="101"/>
      <c r="FZ27" s="101"/>
      <c r="GA27" s="101"/>
      <c r="GB27" s="101"/>
      <c r="GC27" s="101"/>
      <c r="GD27" s="101"/>
      <c r="GE27" s="101"/>
      <c r="GF27" s="101"/>
      <c r="GG27" s="101"/>
      <c r="GH27" s="101"/>
      <c r="GI27" s="101"/>
      <c r="GJ27" s="101"/>
    </row>
    <row r="28" spans="1:192" ht="50.1" customHeight="1" outlineLevel="1" x14ac:dyDescent="0.25">
      <c r="A28" s="149" t="s">
        <v>4</v>
      </c>
      <c r="B28" s="168" t="s">
        <v>280</v>
      </c>
      <c r="C28" s="143" t="s">
        <v>445</v>
      </c>
      <c r="D28" s="172" t="s">
        <v>22</v>
      </c>
      <c r="E28" s="198" t="s">
        <v>532</v>
      </c>
      <c r="F28" s="209"/>
      <c r="G28" s="74"/>
      <c r="H28" s="74"/>
      <c r="I28" s="74"/>
      <c r="J28" s="74"/>
      <c r="K28" s="74"/>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101"/>
      <c r="AZ28" s="101"/>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01"/>
      <c r="CL28" s="101"/>
      <c r="CM28" s="101"/>
      <c r="CN28" s="101"/>
      <c r="CO28" s="101"/>
      <c r="CP28" s="101"/>
      <c r="CQ28" s="101"/>
      <c r="CR28" s="101"/>
      <c r="CS28" s="101"/>
      <c r="CT28" s="101"/>
      <c r="CU28" s="101"/>
      <c r="CV28" s="101"/>
      <c r="CW28" s="101"/>
      <c r="CX28" s="101"/>
      <c r="CY28" s="101"/>
      <c r="CZ28" s="101"/>
      <c r="DA28" s="101"/>
      <c r="DB28" s="101"/>
      <c r="DC28" s="101"/>
      <c r="DD28" s="101"/>
      <c r="DE28" s="101"/>
      <c r="DF28" s="101"/>
      <c r="DG28" s="101"/>
      <c r="DH28" s="101"/>
      <c r="DI28" s="101"/>
      <c r="DJ28" s="101"/>
      <c r="DK28" s="101"/>
      <c r="DL28" s="101"/>
      <c r="DM28" s="101"/>
      <c r="DN28" s="101"/>
      <c r="DO28" s="101"/>
      <c r="DP28" s="101"/>
      <c r="DQ28" s="101"/>
      <c r="DR28" s="101"/>
      <c r="DS28" s="101"/>
      <c r="DT28" s="101"/>
      <c r="DU28" s="101"/>
      <c r="DV28" s="101"/>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101"/>
      <c r="FA28" s="101"/>
      <c r="FB28" s="101"/>
      <c r="FC28" s="101"/>
      <c r="FD28" s="101"/>
      <c r="FE28" s="101"/>
      <c r="FF28" s="101"/>
      <c r="FG28" s="101"/>
      <c r="FH28" s="101"/>
      <c r="FI28" s="101"/>
      <c r="FJ28" s="101"/>
      <c r="FK28" s="101"/>
      <c r="FL28" s="101"/>
      <c r="FM28" s="101"/>
      <c r="FN28" s="101"/>
      <c r="FO28" s="101"/>
      <c r="FP28" s="101"/>
      <c r="FQ28" s="101"/>
      <c r="FR28" s="101"/>
      <c r="FS28" s="101"/>
      <c r="FT28" s="101"/>
      <c r="FU28" s="101"/>
      <c r="FV28" s="101"/>
      <c r="FW28" s="101"/>
      <c r="FX28" s="101"/>
      <c r="FY28" s="101"/>
      <c r="FZ28" s="101"/>
      <c r="GA28" s="101"/>
      <c r="GB28" s="101"/>
      <c r="GC28" s="101"/>
      <c r="GD28" s="101"/>
      <c r="GE28" s="101"/>
      <c r="GF28" s="101"/>
      <c r="GG28" s="101"/>
      <c r="GH28" s="101"/>
      <c r="GI28" s="101"/>
      <c r="GJ28" s="101"/>
    </row>
    <row r="29" spans="1:192" ht="50.1" customHeight="1" x14ac:dyDescent="0.25">
      <c r="A29" s="149" t="s">
        <v>4</v>
      </c>
      <c r="B29" s="167" t="s">
        <v>281</v>
      </c>
      <c r="C29" s="139" t="s">
        <v>446</v>
      </c>
      <c r="D29" s="170" t="s">
        <v>23</v>
      </c>
      <c r="E29" s="144" t="s">
        <v>533</v>
      </c>
      <c r="F29" s="211"/>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101"/>
      <c r="AZ29" s="101"/>
      <c r="BA29" s="101"/>
      <c r="BB29" s="101"/>
      <c r="BC29" s="101"/>
      <c r="BD29" s="101"/>
      <c r="BE29" s="101"/>
      <c r="BF29" s="101"/>
      <c r="BG29" s="101"/>
      <c r="BH29" s="101"/>
      <c r="BI29" s="101"/>
      <c r="BJ29" s="101"/>
      <c r="BK29" s="101"/>
      <c r="BL29" s="101"/>
      <c r="BM29" s="101"/>
      <c r="BN29" s="101"/>
      <c r="BO29" s="101"/>
      <c r="BP29" s="101"/>
      <c r="BQ29" s="101"/>
      <c r="BR29" s="101"/>
      <c r="BS29" s="101"/>
      <c r="BT29" s="101"/>
      <c r="BU29" s="101"/>
      <c r="BV29" s="101"/>
      <c r="BW29" s="101"/>
      <c r="BX29" s="101"/>
      <c r="BY29" s="101"/>
      <c r="BZ29" s="101"/>
      <c r="CA29" s="101"/>
      <c r="CB29" s="101"/>
      <c r="CC29" s="101"/>
      <c r="CD29" s="101"/>
      <c r="CE29" s="101"/>
      <c r="CF29" s="101"/>
      <c r="CG29" s="101"/>
      <c r="CH29" s="101"/>
      <c r="CI29" s="101"/>
      <c r="CJ29" s="101"/>
      <c r="CK29" s="101"/>
      <c r="CL29" s="101"/>
      <c r="CM29" s="101"/>
      <c r="CN29" s="101"/>
      <c r="CO29" s="101"/>
      <c r="CP29" s="101"/>
      <c r="CQ29" s="101"/>
      <c r="CR29" s="101"/>
      <c r="CS29" s="101"/>
      <c r="CT29" s="101"/>
      <c r="CU29" s="101"/>
      <c r="CV29" s="101"/>
      <c r="CW29" s="101"/>
      <c r="CX29" s="101"/>
      <c r="CY29" s="101"/>
      <c r="CZ29" s="101"/>
      <c r="DA29" s="101"/>
      <c r="DB29" s="101"/>
      <c r="DC29" s="101"/>
      <c r="DD29" s="101"/>
      <c r="DE29" s="101"/>
      <c r="DF29" s="101"/>
      <c r="DG29" s="101"/>
      <c r="DH29" s="101"/>
      <c r="DI29" s="101"/>
      <c r="DJ29" s="101"/>
      <c r="DK29" s="101"/>
      <c r="DL29" s="101"/>
      <c r="DM29" s="101"/>
      <c r="DN29" s="101"/>
      <c r="DO29" s="101"/>
      <c r="DP29" s="101"/>
      <c r="DQ29" s="101"/>
      <c r="DR29" s="101"/>
      <c r="DS29" s="101"/>
      <c r="DT29" s="101"/>
      <c r="DU29" s="101"/>
      <c r="DV29" s="101"/>
      <c r="DW29" s="101"/>
      <c r="DX29" s="101"/>
      <c r="DY29" s="101"/>
      <c r="DZ29" s="101"/>
      <c r="EA29" s="101"/>
      <c r="EB29" s="101"/>
      <c r="EC29" s="101"/>
      <c r="ED29" s="101"/>
      <c r="EE29" s="101"/>
      <c r="EF29" s="101"/>
      <c r="EG29" s="101"/>
      <c r="EH29" s="101"/>
      <c r="EI29" s="101"/>
      <c r="EJ29" s="101"/>
      <c r="EK29" s="101"/>
      <c r="EL29" s="101"/>
      <c r="EM29" s="101"/>
      <c r="EN29" s="101"/>
      <c r="EO29" s="101"/>
      <c r="EP29" s="101"/>
      <c r="EQ29" s="101"/>
      <c r="ER29" s="101"/>
      <c r="ES29" s="101"/>
      <c r="ET29" s="101"/>
      <c r="EU29" s="101"/>
      <c r="EV29" s="101"/>
      <c r="EW29" s="101"/>
      <c r="EX29" s="101"/>
      <c r="EY29" s="101"/>
      <c r="EZ29" s="101"/>
      <c r="FA29" s="101"/>
      <c r="FB29" s="101"/>
      <c r="FC29" s="101"/>
      <c r="FD29" s="101"/>
      <c r="FE29" s="101"/>
      <c r="FF29" s="101"/>
      <c r="FG29" s="101"/>
      <c r="FH29" s="101"/>
      <c r="FI29" s="101"/>
      <c r="FJ29" s="101"/>
      <c r="FK29" s="101"/>
      <c r="FL29" s="101"/>
      <c r="FM29" s="101"/>
      <c r="FN29" s="101"/>
      <c r="FO29" s="101"/>
      <c r="FP29" s="101"/>
      <c r="FQ29" s="101"/>
      <c r="FR29" s="101"/>
      <c r="FS29" s="101"/>
      <c r="FT29" s="101"/>
      <c r="FU29" s="101"/>
      <c r="FV29" s="101"/>
      <c r="FW29" s="101"/>
      <c r="FX29" s="101"/>
      <c r="FY29" s="101"/>
      <c r="FZ29" s="101"/>
      <c r="GA29" s="101"/>
      <c r="GB29" s="101"/>
      <c r="GC29" s="101"/>
      <c r="GD29" s="101"/>
      <c r="GE29" s="101"/>
      <c r="GF29" s="101"/>
      <c r="GG29" s="101"/>
      <c r="GH29" s="101"/>
      <c r="GI29" s="101"/>
      <c r="GJ29" s="101"/>
    </row>
    <row r="30" spans="1:192" ht="50.1" customHeight="1" outlineLevel="1" x14ac:dyDescent="0.25">
      <c r="A30" s="149" t="s">
        <v>4</v>
      </c>
      <c r="B30" s="168" t="s">
        <v>282</v>
      </c>
      <c r="C30" s="143" t="s">
        <v>447</v>
      </c>
      <c r="D30" s="172" t="s">
        <v>23</v>
      </c>
      <c r="E30" s="198" t="s">
        <v>534</v>
      </c>
      <c r="F30" s="209"/>
      <c r="G30" s="74"/>
      <c r="H30" s="74"/>
      <c r="I30" s="74"/>
      <c r="J30" s="74"/>
      <c r="K30" s="74"/>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101"/>
      <c r="AZ30" s="101"/>
      <c r="BA30" s="101"/>
      <c r="BB30" s="101"/>
      <c r="BC30" s="101"/>
      <c r="BD30" s="101"/>
      <c r="BE30" s="101"/>
      <c r="BF30" s="101"/>
      <c r="BG30" s="101"/>
      <c r="BH30" s="101"/>
      <c r="BI30" s="101"/>
      <c r="BJ30" s="101"/>
      <c r="BK30" s="101"/>
      <c r="BL30" s="101"/>
      <c r="BM30" s="101"/>
      <c r="BN30" s="101"/>
      <c r="BO30" s="101"/>
      <c r="BP30" s="101"/>
      <c r="BQ30" s="101"/>
      <c r="BR30" s="101"/>
      <c r="BS30" s="101"/>
      <c r="BT30" s="101"/>
      <c r="BU30" s="101"/>
      <c r="BV30" s="101"/>
      <c r="BW30" s="101"/>
      <c r="BX30" s="101"/>
      <c r="BY30" s="101"/>
      <c r="BZ30" s="101"/>
      <c r="CA30" s="101"/>
      <c r="CB30" s="101"/>
      <c r="CC30" s="101"/>
      <c r="CD30" s="101"/>
      <c r="CE30" s="101"/>
      <c r="CF30" s="101"/>
      <c r="CG30" s="101"/>
      <c r="CH30" s="101"/>
      <c r="CI30" s="101"/>
      <c r="CJ30" s="101"/>
      <c r="CK30" s="101"/>
      <c r="CL30" s="101"/>
      <c r="CM30" s="101"/>
      <c r="CN30" s="101"/>
      <c r="CO30" s="101"/>
      <c r="CP30" s="101"/>
      <c r="CQ30" s="101"/>
      <c r="CR30" s="101"/>
      <c r="CS30" s="101"/>
      <c r="CT30" s="101"/>
      <c r="CU30" s="101"/>
      <c r="CV30" s="101"/>
      <c r="CW30" s="101"/>
      <c r="CX30" s="101"/>
      <c r="CY30" s="101"/>
      <c r="CZ30" s="101"/>
      <c r="DA30" s="101"/>
      <c r="DB30" s="101"/>
      <c r="DC30" s="101"/>
      <c r="DD30" s="101"/>
      <c r="DE30" s="101"/>
      <c r="DF30" s="101"/>
      <c r="DG30" s="101"/>
      <c r="DH30" s="101"/>
      <c r="DI30" s="101"/>
      <c r="DJ30" s="101"/>
      <c r="DK30" s="101"/>
      <c r="DL30" s="101"/>
      <c r="DM30" s="101"/>
      <c r="DN30" s="101"/>
      <c r="DO30" s="101"/>
      <c r="DP30" s="101"/>
      <c r="DQ30" s="101"/>
      <c r="DR30" s="101"/>
      <c r="DS30" s="101"/>
      <c r="DT30" s="101"/>
      <c r="DU30" s="101"/>
      <c r="DV30" s="101"/>
      <c r="DW30" s="101"/>
      <c r="DX30" s="101"/>
      <c r="DY30" s="101"/>
      <c r="DZ30" s="101"/>
      <c r="EA30" s="101"/>
      <c r="EB30" s="101"/>
      <c r="EC30" s="101"/>
      <c r="ED30" s="101"/>
      <c r="EE30" s="101"/>
      <c r="EF30" s="101"/>
      <c r="EG30" s="101"/>
      <c r="EH30" s="101"/>
      <c r="EI30" s="101"/>
      <c r="EJ30" s="101"/>
      <c r="EK30" s="101"/>
      <c r="EL30" s="101"/>
      <c r="EM30" s="101"/>
      <c r="EN30" s="101"/>
      <c r="EO30" s="101"/>
      <c r="EP30" s="101"/>
      <c r="EQ30" s="101"/>
      <c r="ER30" s="101"/>
      <c r="ES30" s="101"/>
      <c r="ET30" s="101"/>
      <c r="EU30" s="101"/>
      <c r="EV30" s="101"/>
      <c r="EW30" s="101"/>
      <c r="EX30" s="101"/>
      <c r="EY30" s="101"/>
      <c r="EZ30" s="101"/>
      <c r="FA30" s="101"/>
      <c r="FB30" s="101"/>
      <c r="FC30" s="101"/>
      <c r="FD30" s="101"/>
      <c r="FE30" s="101"/>
      <c r="FF30" s="101"/>
      <c r="FG30" s="101"/>
      <c r="FH30" s="101"/>
      <c r="FI30" s="101"/>
      <c r="FJ30" s="101"/>
      <c r="FK30" s="101"/>
      <c r="FL30" s="101"/>
      <c r="FM30" s="101"/>
      <c r="FN30" s="101"/>
      <c r="FO30" s="101"/>
      <c r="FP30" s="101"/>
      <c r="FQ30" s="101"/>
      <c r="FR30" s="101"/>
      <c r="FS30" s="101"/>
      <c r="FT30" s="101"/>
      <c r="FU30" s="101"/>
      <c r="FV30" s="101"/>
      <c r="FW30" s="101"/>
      <c r="FX30" s="101"/>
      <c r="FY30" s="101"/>
      <c r="FZ30" s="101"/>
      <c r="GA30" s="101"/>
      <c r="GB30" s="101"/>
      <c r="GC30" s="101"/>
      <c r="GD30" s="101"/>
      <c r="GE30" s="101"/>
      <c r="GF30" s="101"/>
      <c r="GG30" s="101"/>
      <c r="GH30" s="101"/>
      <c r="GI30" s="101"/>
      <c r="GJ30" s="101"/>
    </row>
    <row r="31" spans="1:192" ht="50.1" customHeight="1" outlineLevel="1" x14ac:dyDescent="0.25">
      <c r="A31" s="149" t="s">
        <v>4</v>
      </c>
      <c r="B31" s="167" t="s">
        <v>283</v>
      </c>
      <c r="C31" s="143" t="s">
        <v>448</v>
      </c>
      <c r="D31" s="172" t="s">
        <v>22</v>
      </c>
      <c r="E31" s="198" t="s">
        <v>535</v>
      </c>
      <c r="F31" s="211"/>
      <c r="G31" s="74"/>
      <c r="H31" s="74"/>
      <c r="I31" s="74"/>
      <c r="J31" s="74"/>
      <c r="K31" s="74"/>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101"/>
      <c r="AZ31" s="101"/>
      <c r="BA31" s="101"/>
      <c r="BB31" s="101"/>
      <c r="BC31" s="101"/>
      <c r="BD31" s="101"/>
      <c r="BE31" s="101"/>
      <c r="BF31" s="101"/>
      <c r="BG31" s="101"/>
      <c r="BH31" s="101"/>
      <c r="BI31" s="101"/>
      <c r="BJ31" s="101"/>
      <c r="BK31" s="101"/>
      <c r="BL31" s="101"/>
      <c r="BM31" s="101"/>
      <c r="BN31" s="101"/>
      <c r="BO31" s="101"/>
      <c r="BP31" s="101"/>
      <c r="BQ31" s="101"/>
      <c r="BR31" s="101"/>
      <c r="BS31" s="101"/>
      <c r="BT31" s="101"/>
      <c r="BU31" s="101"/>
      <c r="BV31" s="101"/>
      <c r="BW31" s="101"/>
      <c r="BX31" s="101"/>
      <c r="BY31" s="101"/>
      <c r="BZ31" s="101"/>
      <c r="CA31" s="101"/>
      <c r="CB31" s="101"/>
      <c r="CC31" s="101"/>
      <c r="CD31" s="101"/>
      <c r="CE31" s="101"/>
      <c r="CF31" s="101"/>
      <c r="CG31" s="101"/>
      <c r="CH31" s="101"/>
      <c r="CI31" s="101"/>
      <c r="CJ31" s="101"/>
      <c r="CK31" s="101"/>
      <c r="CL31" s="101"/>
      <c r="CM31" s="101"/>
      <c r="CN31" s="101"/>
      <c r="CO31" s="101"/>
      <c r="CP31" s="101"/>
      <c r="CQ31" s="101"/>
      <c r="CR31" s="101"/>
      <c r="CS31" s="101"/>
      <c r="CT31" s="101"/>
      <c r="CU31" s="101"/>
      <c r="CV31" s="101"/>
      <c r="CW31" s="101"/>
      <c r="CX31" s="101"/>
      <c r="CY31" s="101"/>
      <c r="CZ31" s="101"/>
      <c r="DA31" s="101"/>
      <c r="DB31" s="101"/>
      <c r="DC31" s="101"/>
      <c r="DD31" s="101"/>
      <c r="DE31" s="101"/>
      <c r="DF31" s="101"/>
      <c r="DG31" s="101"/>
      <c r="DH31" s="101"/>
      <c r="DI31" s="101"/>
      <c r="DJ31" s="101"/>
      <c r="DK31" s="101"/>
      <c r="DL31" s="101"/>
      <c r="DM31" s="101"/>
      <c r="DN31" s="101"/>
      <c r="DO31" s="101"/>
      <c r="DP31" s="101"/>
      <c r="DQ31" s="101"/>
      <c r="DR31" s="101"/>
      <c r="DS31" s="101"/>
      <c r="DT31" s="101"/>
      <c r="DU31" s="101"/>
      <c r="DV31" s="101"/>
      <c r="DW31" s="101"/>
      <c r="DX31" s="101"/>
      <c r="DY31" s="101"/>
      <c r="DZ31" s="101"/>
      <c r="EA31" s="101"/>
      <c r="EB31" s="101"/>
      <c r="EC31" s="101"/>
      <c r="ED31" s="101"/>
      <c r="EE31" s="101"/>
      <c r="EF31" s="101"/>
      <c r="EG31" s="101"/>
      <c r="EH31" s="101"/>
      <c r="EI31" s="101"/>
      <c r="EJ31" s="101"/>
      <c r="EK31" s="101"/>
      <c r="EL31" s="101"/>
      <c r="EM31" s="101"/>
      <c r="EN31" s="101"/>
      <c r="EO31" s="101"/>
      <c r="EP31" s="101"/>
      <c r="EQ31" s="101"/>
      <c r="ER31" s="101"/>
      <c r="ES31" s="101"/>
      <c r="ET31" s="101"/>
      <c r="EU31" s="101"/>
      <c r="EV31" s="101"/>
      <c r="EW31" s="101"/>
      <c r="EX31" s="101"/>
      <c r="EY31" s="101"/>
      <c r="EZ31" s="101"/>
      <c r="FA31" s="101"/>
      <c r="FB31" s="101"/>
      <c r="FC31" s="101"/>
      <c r="FD31" s="101"/>
      <c r="FE31" s="101"/>
      <c r="FF31" s="101"/>
      <c r="FG31" s="101"/>
      <c r="FH31" s="101"/>
      <c r="FI31" s="101"/>
      <c r="FJ31" s="101"/>
      <c r="FK31" s="101"/>
      <c r="FL31" s="101"/>
      <c r="FM31" s="101"/>
      <c r="FN31" s="101"/>
      <c r="FO31" s="101"/>
      <c r="FP31" s="101"/>
      <c r="FQ31" s="101"/>
      <c r="FR31" s="101"/>
      <c r="FS31" s="101"/>
      <c r="FT31" s="101"/>
      <c r="FU31" s="101"/>
      <c r="FV31" s="101"/>
      <c r="FW31" s="101"/>
      <c r="FX31" s="101"/>
      <c r="FY31" s="101"/>
      <c r="FZ31" s="101"/>
      <c r="GA31" s="101"/>
      <c r="GB31" s="101"/>
      <c r="GC31" s="101"/>
      <c r="GD31" s="101"/>
      <c r="GE31" s="101"/>
      <c r="GF31" s="101"/>
      <c r="GG31" s="101"/>
      <c r="GH31" s="101"/>
      <c r="GI31" s="101"/>
      <c r="GJ31" s="101"/>
    </row>
    <row r="32" spans="1:192" ht="50.1" customHeight="1" outlineLevel="1" x14ac:dyDescent="0.25">
      <c r="A32" s="149" t="s">
        <v>4</v>
      </c>
      <c r="B32" s="168" t="s">
        <v>284</v>
      </c>
      <c r="C32" s="143" t="s">
        <v>449</v>
      </c>
      <c r="D32" s="172" t="s">
        <v>22</v>
      </c>
      <c r="E32" s="141" t="s">
        <v>682</v>
      </c>
      <c r="F32" s="209"/>
      <c r="G32" s="74"/>
      <c r="H32" s="74"/>
      <c r="I32" s="74"/>
      <c r="J32" s="74"/>
      <c r="K32" s="74"/>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101"/>
      <c r="AZ32" s="101"/>
      <c r="BA32" s="101"/>
      <c r="BB32" s="101"/>
      <c r="BC32" s="101"/>
      <c r="BD32" s="101"/>
      <c r="BE32" s="101"/>
      <c r="BF32" s="101"/>
      <c r="BG32" s="101"/>
      <c r="BH32" s="101"/>
      <c r="BI32" s="101"/>
      <c r="BJ32" s="101"/>
      <c r="BK32" s="101"/>
      <c r="BL32" s="101"/>
      <c r="BM32" s="101"/>
      <c r="BN32" s="101"/>
      <c r="BO32" s="101"/>
      <c r="BP32" s="101"/>
      <c r="BQ32" s="101"/>
      <c r="BR32" s="101"/>
      <c r="BS32" s="101"/>
      <c r="BT32" s="101"/>
      <c r="BU32" s="101"/>
      <c r="BV32" s="101"/>
      <c r="BW32" s="101"/>
      <c r="BX32" s="101"/>
      <c r="BY32" s="101"/>
      <c r="BZ32" s="101"/>
      <c r="CA32" s="101"/>
      <c r="CB32" s="101"/>
      <c r="CC32" s="101"/>
      <c r="CD32" s="101"/>
      <c r="CE32" s="101"/>
      <c r="CF32" s="101"/>
      <c r="CG32" s="101"/>
      <c r="CH32" s="101"/>
      <c r="CI32" s="101"/>
      <c r="CJ32" s="101"/>
      <c r="CK32" s="101"/>
      <c r="CL32" s="101"/>
      <c r="CM32" s="101"/>
      <c r="CN32" s="101"/>
      <c r="CO32" s="101"/>
      <c r="CP32" s="101"/>
      <c r="CQ32" s="101"/>
      <c r="CR32" s="101"/>
      <c r="CS32" s="101"/>
      <c r="CT32" s="101"/>
      <c r="CU32" s="101"/>
      <c r="CV32" s="101"/>
      <c r="CW32" s="101"/>
      <c r="CX32" s="101"/>
      <c r="CY32" s="101"/>
      <c r="CZ32" s="101"/>
      <c r="DA32" s="101"/>
      <c r="DB32" s="101"/>
      <c r="DC32" s="101"/>
      <c r="DD32" s="101"/>
      <c r="DE32" s="101"/>
      <c r="DF32" s="101"/>
      <c r="DG32" s="101"/>
      <c r="DH32" s="101"/>
      <c r="DI32" s="101"/>
      <c r="DJ32" s="101"/>
      <c r="DK32" s="101"/>
      <c r="DL32" s="101"/>
      <c r="DM32" s="101"/>
      <c r="DN32" s="101"/>
      <c r="DO32" s="101"/>
      <c r="DP32" s="101"/>
      <c r="DQ32" s="101"/>
      <c r="DR32" s="101"/>
      <c r="DS32" s="101"/>
      <c r="DT32" s="101"/>
      <c r="DU32" s="101"/>
      <c r="DV32" s="101"/>
      <c r="DW32" s="101"/>
      <c r="DX32" s="101"/>
      <c r="DY32" s="101"/>
      <c r="DZ32" s="101"/>
      <c r="EA32" s="101"/>
      <c r="EB32" s="101"/>
      <c r="EC32" s="101"/>
      <c r="ED32" s="101"/>
      <c r="EE32" s="101"/>
      <c r="EF32" s="101"/>
      <c r="EG32" s="101"/>
      <c r="EH32" s="101"/>
      <c r="EI32" s="101"/>
      <c r="EJ32" s="101"/>
      <c r="EK32" s="101"/>
      <c r="EL32" s="101"/>
      <c r="EM32" s="101"/>
      <c r="EN32" s="101"/>
      <c r="EO32" s="101"/>
      <c r="EP32" s="101"/>
      <c r="EQ32" s="101"/>
      <c r="ER32" s="101"/>
      <c r="ES32" s="101"/>
      <c r="ET32" s="101"/>
      <c r="EU32" s="101"/>
      <c r="EV32" s="101"/>
      <c r="EW32" s="101"/>
      <c r="EX32" s="101"/>
      <c r="EY32" s="101"/>
      <c r="EZ32" s="101"/>
      <c r="FA32" s="101"/>
      <c r="FB32" s="101"/>
      <c r="FC32" s="101"/>
      <c r="FD32" s="101"/>
      <c r="FE32" s="101"/>
      <c r="FF32" s="101"/>
      <c r="FG32" s="101"/>
      <c r="FH32" s="101"/>
      <c r="FI32" s="101"/>
      <c r="FJ32" s="101"/>
      <c r="FK32" s="101"/>
      <c r="FL32" s="101"/>
      <c r="FM32" s="101"/>
      <c r="FN32" s="101"/>
      <c r="FO32" s="101"/>
      <c r="FP32" s="101"/>
      <c r="FQ32" s="101"/>
      <c r="FR32" s="101"/>
      <c r="FS32" s="101"/>
      <c r="FT32" s="101"/>
      <c r="FU32" s="101"/>
      <c r="FV32" s="101"/>
      <c r="FW32" s="101"/>
      <c r="FX32" s="101"/>
      <c r="FY32" s="101"/>
      <c r="FZ32" s="101"/>
      <c r="GA32" s="101"/>
      <c r="GB32" s="101"/>
      <c r="GC32" s="101"/>
      <c r="GD32" s="101"/>
      <c r="GE32" s="101"/>
      <c r="GF32" s="101"/>
      <c r="GG32" s="101"/>
      <c r="GH32" s="101"/>
      <c r="GI32" s="101"/>
      <c r="GJ32" s="101"/>
    </row>
    <row r="33" spans="1:192" ht="50.1" customHeight="1" outlineLevel="1" x14ac:dyDescent="0.25">
      <c r="A33" s="149" t="s">
        <v>4</v>
      </c>
      <c r="B33" s="167" t="s">
        <v>285</v>
      </c>
      <c r="C33" s="139" t="s">
        <v>450</v>
      </c>
      <c r="D33" s="170" t="s">
        <v>22</v>
      </c>
      <c r="E33" s="147" t="s">
        <v>536</v>
      </c>
      <c r="F33" s="211"/>
      <c r="G33" s="74"/>
      <c r="H33" s="74"/>
      <c r="I33" s="74"/>
      <c r="J33" s="74"/>
      <c r="K33" s="74"/>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c r="CA33" s="101"/>
      <c r="CB33" s="101"/>
      <c r="CC33" s="101"/>
      <c r="CD33" s="101"/>
      <c r="CE33" s="101"/>
      <c r="CF33" s="101"/>
      <c r="CG33" s="101"/>
      <c r="CH33" s="101"/>
      <c r="CI33" s="101"/>
      <c r="CJ33" s="101"/>
      <c r="CK33" s="101"/>
      <c r="CL33" s="101"/>
      <c r="CM33" s="101"/>
      <c r="CN33" s="101"/>
      <c r="CO33" s="101"/>
      <c r="CP33" s="101"/>
      <c r="CQ33" s="101"/>
      <c r="CR33" s="101"/>
      <c r="CS33" s="101"/>
      <c r="CT33" s="101"/>
      <c r="CU33" s="101"/>
      <c r="CV33" s="101"/>
      <c r="CW33" s="101"/>
      <c r="CX33" s="101"/>
      <c r="CY33" s="101"/>
      <c r="CZ33" s="101"/>
      <c r="DA33" s="101"/>
      <c r="DB33" s="101"/>
      <c r="DC33" s="101"/>
      <c r="DD33" s="101"/>
      <c r="DE33" s="101"/>
      <c r="DF33" s="101"/>
      <c r="DG33" s="101"/>
      <c r="DH33" s="101"/>
      <c r="DI33" s="101"/>
      <c r="DJ33" s="101"/>
      <c r="DK33" s="101"/>
      <c r="DL33" s="101"/>
      <c r="DM33" s="101"/>
      <c r="DN33" s="101"/>
      <c r="DO33" s="101"/>
      <c r="DP33" s="101"/>
      <c r="DQ33" s="101"/>
      <c r="DR33" s="101"/>
      <c r="DS33" s="101"/>
      <c r="DT33" s="101"/>
      <c r="DU33" s="101"/>
      <c r="DV33" s="101"/>
      <c r="DW33" s="101"/>
      <c r="DX33" s="101"/>
      <c r="DY33" s="101"/>
      <c r="DZ33" s="101"/>
      <c r="EA33" s="101"/>
      <c r="EB33" s="101"/>
      <c r="EC33" s="101"/>
      <c r="ED33" s="101"/>
      <c r="EE33" s="101"/>
      <c r="EF33" s="101"/>
      <c r="EG33" s="101"/>
      <c r="EH33" s="101"/>
      <c r="EI33" s="101"/>
      <c r="EJ33" s="101"/>
      <c r="EK33" s="101"/>
      <c r="EL33" s="101"/>
      <c r="EM33" s="101"/>
      <c r="EN33" s="101"/>
      <c r="EO33" s="101"/>
      <c r="EP33" s="101"/>
      <c r="EQ33" s="101"/>
      <c r="ER33" s="101"/>
      <c r="ES33" s="101"/>
      <c r="ET33" s="101"/>
      <c r="EU33" s="101"/>
      <c r="EV33" s="101"/>
      <c r="EW33" s="101"/>
      <c r="EX33" s="101"/>
      <c r="EY33" s="101"/>
      <c r="EZ33" s="101"/>
      <c r="FA33" s="101"/>
      <c r="FB33" s="101"/>
      <c r="FC33" s="101"/>
      <c r="FD33" s="101"/>
      <c r="FE33" s="101"/>
      <c r="FF33" s="101"/>
      <c r="FG33" s="101"/>
      <c r="FH33" s="101"/>
      <c r="FI33" s="101"/>
      <c r="FJ33" s="101"/>
      <c r="FK33" s="101"/>
      <c r="FL33" s="101"/>
      <c r="FM33" s="101"/>
      <c r="FN33" s="101"/>
      <c r="FO33" s="101"/>
      <c r="FP33" s="101"/>
      <c r="FQ33" s="101"/>
      <c r="FR33" s="101"/>
      <c r="FS33" s="101"/>
      <c r="FT33" s="101"/>
      <c r="FU33" s="101"/>
      <c r="FV33" s="101"/>
      <c r="FW33" s="101"/>
      <c r="FX33" s="101"/>
      <c r="FY33" s="101"/>
      <c r="FZ33" s="101"/>
      <c r="GA33" s="101"/>
      <c r="GB33" s="101"/>
      <c r="GC33" s="101"/>
      <c r="GD33" s="101"/>
      <c r="GE33" s="101"/>
      <c r="GF33" s="101"/>
      <c r="GG33" s="101"/>
      <c r="GH33" s="101"/>
      <c r="GI33" s="101"/>
      <c r="GJ33" s="101"/>
    </row>
    <row r="34" spans="1:192" ht="50.1" customHeight="1" outlineLevel="1" x14ac:dyDescent="0.25">
      <c r="A34" s="149" t="s">
        <v>4</v>
      </c>
      <c r="B34" s="168" t="s">
        <v>286</v>
      </c>
      <c r="C34" s="140" t="s">
        <v>451</v>
      </c>
      <c r="D34" s="171" t="s">
        <v>22</v>
      </c>
      <c r="E34" s="142" t="s">
        <v>537</v>
      </c>
      <c r="F34" s="214"/>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101"/>
      <c r="AZ34" s="101"/>
      <c r="BA34" s="101"/>
      <c r="BB34" s="101"/>
      <c r="BC34" s="101"/>
      <c r="BD34" s="101"/>
      <c r="BE34" s="101"/>
      <c r="BF34" s="101"/>
      <c r="BG34" s="101"/>
      <c r="BH34" s="101"/>
      <c r="BI34" s="101"/>
      <c r="BJ34" s="101"/>
      <c r="BK34" s="101"/>
      <c r="BL34" s="101"/>
      <c r="BM34" s="101"/>
      <c r="BN34" s="101"/>
      <c r="BO34" s="101"/>
      <c r="BP34" s="101"/>
      <c r="BQ34" s="101"/>
      <c r="BR34" s="101"/>
      <c r="BS34" s="101"/>
      <c r="BT34" s="101"/>
      <c r="BU34" s="101"/>
      <c r="BV34" s="101"/>
      <c r="BW34" s="101"/>
      <c r="BX34" s="101"/>
      <c r="BY34" s="101"/>
      <c r="BZ34" s="101"/>
      <c r="CA34" s="101"/>
      <c r="CB34" s="101"/>
      <c r="CC34" s="101"/>
      <c r="CD34" s="101"/>
      <c r="CE34" s="101"/>
      <c r="CF34" s="101"/>
      <c r="CG34" s="101"/>
      <c r="CH34" s="101"/>
      <c r="CI34" s="101"/>
      <c r="CJ34" s="101"/>
      <c r="CK34" s="101"/>
      <c r="CL34" s="101"/>
      <c r="CM34" s="101"/>
      <c r="CN34" s="101"/>
      <c r="CO34" s="101"/>
      <c r="CP34" s="101"/>
      <c r="CQ34" s="101"/>
      <c r="CR34" s="101"/>
      <c r="CS34" s="101"/>
      <c r="CT34" s="101"/>
      <c r="CU34" s="101"/>
      <c r="CV34" s="101"/>
      <c r="CW34" s="101"/>
      <c r="CX34" s="101"/>
      <c r="CY34" s="101"/>
      <c r="CZ34" s="101"/>
      <c r="DA34" s="101"/>
      <c r="DB34" s="101"/>
      <c r="DC34" s="101"/>
      <c r="DD34" s="101"/>
      <c r="DE34" s="101"/>
      <c r="DF34" s="101"/>
      <c r="DG34" s="101"/>
      <c r="DH34" s="101"/>
      <c r="DI34" s="101"/>
      <c r="DJ34" s="101"/>
      <c r="DK34" s="101"/>
      <c r="DL34" s="101"/>
      <c r="DM34" s="101"/>
      <c r="DN34" s="101"/>
      <c r="DO34" s="101"/>
      <c r="DP34" s="101"/>
      <c r="DQ34" s="101"/>
      <c r="DR34" s="101"/>
      <c r="DS34" s="101"/>
      <c r="DT34" s="101"/>
      <c r="DU34" s="101"/>
      <c r="DV34" s="101"/>
      <c r="DW34" s="101"/>
      <c r="DX34" s="101"/>
      <c r="DY34" s="101"/>
      <c r="DZ34" s="101"/>
      <c r="EA34" s="101"/>
      <c r="EB34" s="101"/>
      <c r="EC34" s="101"/>
      <c r="ED34" s="101"/>
      <c r="EE34" s="101"/>
      <c r="EF34" s="101"/>
      <c r="EG34" s="101"/>
      <c r="EH34" s="101"/>
      <c r="EI34" s="101"/>
      <c r="EJ34" s="101"/>
      <c r="EK34" s="101"/>
      <c r="EL34" s="101"/>
      <c r="EM34" s="101"/>
      <c r="EN34" s="101"/>
      <c r="EO34" s="101"/>
      <c r="EP34" s="101"/>
      <c r="EQ34" s="101"/>
      <c r="ER34" s="101"/>
      <c r="ES34" s="101"/>
      <c r="ET34" s="101"/>
      <c r="EU34" s="101"/>
      <c r="EV34" s="101"/>
      <c r="EW34" s="101"/>
      <c r="EX34" s="101"/>
      <c r="EY34" s="101"/>
      <c r="EZ34" s="101"/>
      <c r="FA34" s="101"/>
      <c r="FB34" s="101"/>
      <c r="FC34" s="101"/>
      <c r="FD34" s="101"/>
      <c r="FE34" s="101"/>
      <c r="FF34" s="101"/>
      <c r="FG34" s="101"/>
      <c r="FH34" s="101"/>
      <c r="FI34" s="101"/>
      <c r="FJ34" s="101"/>
      <c r="FK34" s="101"/>
      <c r="FL34" s="101"/>
      <c r="FM34" s="101"/>
      <c r="FN34" s="101"/>
      <c r="FO34" s="101"/>
      <c r="FP34" s="101"/>
      <c r="FQ34" s="101"/>
      <c r="FR34" s="101"/>
      <c r="FS34" s="101"/>
      <c r="FT34" s="101"/>
      <c r="FU34" s="101"/>
      <c r="FV34" s="101"/>
      <c r="FW34" s="101"/>
      <c r="FX34" s="101"/>
      <c r="FY34" s="101"/>
      <c r="FZ34" s="101"/>
      <c r="GA34" s="101"/>
      <c r="GB34" s="101"/>
      <c r="GC34" s="101"/>
      <c r="GD34" s="101"/>
      <c r="GE34" s="101"/>
      <c r="GF34" s="101"/>
      <c r="GG34" s="101"/>
      <c r="GH34" s="101"/>
      <c r="GI34" s="101"/>
      <c r="GJ34" s="101"/>
    </row>
    <row r="35" spans="1:192" ht="50.1" customHeight="1" outlineLevel="1" x14ac:dyDescent="0.25">
      <c r="A35" s="149" t="s">
        <v>4</v>
      </c>
      <c r="B35" s="167" t="s">
        <v>287</v>
      </c>
      <c r="C35" s="139" t="s">
        <v>452</v>
      </c>
      <c r="D35" s="170" t="s">
        <v>22</v>
      </c>
      <c r="E35" s="147" t="s">
        <v>538</v>
      </c>
      <c r="F35" s="211"/>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101"/>
      <c r="AZ35" s="101"/>
      <c r="BA35" s="101"/>
      <c r="BB35" s="101"/>
      <c r="BC35" s="101"/>
      <c r="BD35" s="101"/>
      <c r="BE35" s="101"/>
      <c r="BF35" s="101"/>
      <c r="BG35" s="101"/>
      <c r="BH35" s="101"/>
      <c r="BI35" s="101"/>
      <c r="BJ35" s="101"/>
      <c r="BK35" s="101"/>
      <c r="BL35" s="101"/>
      <c r="BM35" s="101"/>
      <c r="BN35" s="101"/>
      <c r="BO35" s="101"/>
      <c r="BP35" s="101"/>
      <c r="BQ35" s="101"/>
      <c r="BR35" s="101"/>
      <c r="BS35" s="101"/>
      <c r="BT35" s="101"/>
      <c r="BU35" s="101"/>
      <c r="BV35" s="101"/>
      <c r="BW35" s="101"/>
      <c r="BX35" s="101"/>
      <c r="BY35" s="101"/>
      <c r="BZ35" s="101"/>
      <c r="CA35" s="101"/>
      <c r="CB35" s="101"/>
      <c r="CC35" s="101"/>
      <c r="CD35" s="101"/>
      <c r="CE35" s="101"/>
      <c r="CF35" s="101"/>
      <c r="CG35" s="101"/>
      <c r="CH35" s="101"/>
      <c r="CI35" s="101"/>
      <c r="CJ35" s="101"/>
      <c r="CK35" s="101"/>
      <c r="CL35" s="101"/>
      <c r="CM35" s="101"/>
      <c r="CN35" s="101"/>
      <c r="CO35" s="101"/>
      <c r="CP35" s="101"/>
      <c r="CQ35" s="101"/>
      <c r="CR35" s="101"/>
      <c r="CS35" s="101"/>
      <c r="CT35" s="101"/>
      <c r="CU35" s="101"/>
      <c r="CV35" s="101"/>
      <c r="CW35" s="101"/>
      <c r="CX35" s="101"/>
      <c r="CY35" s="101"/>
      <c r="CZ35" s="101"/>
      <c r="DA35" s="101"/>
      <c r="DB35" s="101"/>
      <c r="DC35" s="101"/>
      <c r="DD35" s="101"/>
      <c r="DE35" s="101"/>
      <c r="DF35" s="101"/>
      <c r="DG35" s="101"/>
      <c r="DH35" s="101"/>
      <c r="DI35" s="101"/>
      <c r="DJ35" s="101"/>
      <c r="DK35" s="101"/>
      <c r="DL35" s="101"/>
      <c r="DM35" s="101"/>
      <c r="DN35" s="101"/>
      <c r="DO35" s="101"/>
      <c r="DP35" s="101"/>
      <c r="DQ35" s="101"/>
      <c r="DR35" s="101"/>
      <c r="DS35" s="101"/>
      <c r="DT35" s="101"/>
      <c r="DU35" s="101"/>
      <c r="DV35" s="101"/>
      <c r="DW35" s="101"/>
      <c r="DX35" s="101"/>
      <c r="DY35" s="101"/>
      <c r="DZ35" s="101"/>
      <c r="EA35" s="101"/>
      <c r="EB35" s="101"/>
      <c r="EC35" s="101"/>
      <c r="ED35" s="101"/>
      <c r="EE35" s="101"/>
      <c r="EF35" s="101"/>
      <c r="EG35" s="101"/>
      <c r="EH35" s="101"/>
      <c r="EI35" s="101"/>
      <c r="EJ35" s="101"/>
      <c r="EK35" s="101"/>
      <c r="EL35" s="101"/>
      <c r="EM35" s="101"/>
      <c r="EN35" s="101"/>
      <c r="EO35" s="101"/>
      <c r="EP35" s="101"/>
      <c r="EQ35" s="101"/>
      <c r="ER35" s="101"/>
      <c r="ES35" s="101"/>
      <c r="ET35" s="101"/>
      <c r="EU35" s="101"/>
      <c r="EV35" s="101"/>
      <c r="EW35" s="101"/>
      <c r="EX35" s="101"/>
      <c r="EY35" s="101"/>
      <c r="EZ35" s="101"/>
      <c r="FA35" s="101"/>
      <c r="FB35" s="101"/>
      <c r="FC35" s="101"/>
      <c r="FD35" s="101"/>
      <c r="FE35" s="101"/>
      <c r="FF35" s="101"/>
      <c r="FG35" s="101"/>
      <c r="FH35" s="101"/>
      <c r="FI35" s="101"/>
      <c r="FJ35" s="101"/>
      <c r="FK35" s="101"/>
      <c r="FL35" s="101"/>
      <c r="FM35" s="101"/>
      <c r="FN35" s="101"/>
      <c r="FO35" s="101"/>
      <c r="FP35" s="101"/>
      <c r="FQ35" s="101"/>
      <c r="FR35" s="101"/>
      <c r="FS35" s="101"/>
      <c r="FT35" s="101"/>
      <c r="FU35" s="101"/>
      <c r="FV35" s="101"/>
      <c r="FW35" s="101"/>
      <c r="FX35" s="101"/>
      <c r="FY35" s="101"/>
      <c r="FZ35" s="101"/>
      <c r="GA35" s="101"/>
      <c r="GB35" s="101"/>
      <c r="GC35" s="101"/>
      <c r="GD35" s="101"/>
      <c r="GE35" s="101"/>
      <c r="GF35" s="101"/>
      <c r="GG35" s="101"/>
      <c r="GH35" s="101"/>
      <c r="GI35" s="101"/>
      <c r="GJ35" s="101"/>
    </row>
    <row r="36" spans="1:192" ht="50.1" customHeight="1" outlineLevel="1" x14ac:dyDescent="0.25">
      <c r="A36" s="149" t="s">
        <v>4</v>
      </c>
      <c r="B36" s="168" t="s">
        <v>288</v>
      </c>
      <c r="C36" s="140" t="s">
        <v>453</v>
      </c>
      <c r="D36" s="171" t="s">
        <v>22</v>
      </c>
      <c r="E36" s="146" t="s">
        <v>539</v>
      </c>
      <c r="F36" s="214"/>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101"/>
      <c r="AZ36" s="101"/>
      <c r="BA36" s="101"/>
      <c r="BB36" s="101"/>
      <c r="BC36" s="101"/>
      <c r="BD36" s="101"/>
      <c r="BE36" s="101"/>
      <c r="BF36" s="101"/>
      <c r="BG36" s="101"/>
      <c r="BH36" s="101"/>
      <c r="BI36" s="101"/>
      <c r="BJ36" s="101"/>
      <c r="BK36" s="101"/>
      <c r="BL36" s="101"/>
      <c r="BM36" s="101"/>
      <c r="BN36" s="101"/>
      <c r="BO36" s="101"/>
      <c r="BP36" s="101"/>
      <c r="BQ36" s="101"/>
      <c r="BR36" s="101"/>
      <c r="BS36" s="101"/>
      <c r="BT36" s="101"/>
      <c r="BU36" s="101"/>
      <c r="BV36" s="101"/>
      <c r="BW36" s="101"/>
      <c r="BX36" s="101"/>
      <c r="BY36" s="101"/>
      <c r="BZ36" s="101"/>
      <c r="CA36" s="101"/>
      <c r="CB36" s="101"/>
      <c r="CC36" s="101"/>
      <c r="CD36" s="101"/>
      <c r="CE36" s="101"/>
      <c r="CF36" s="101"/>
      <c r="CG36" s="101"/>
      <c r="CH36" s="101"/>
      <c r="CI36" s="101"/>
      <c r="CJ36" s="101"/>
      <c r="CK36" s="101"/>
      <c r="CL36" s="101"/>
      <c r="CM36" s="101"/>
      <c r="CN36" s="101"/>
      <c r="CO36" s="101"/>
      <c r="CP36" s="101"/>
      <c r="CQ36" s="101"/>
      <c r="CR36" s="101"/>
      <c r="CS36" s="101"/>
      <c r="CT36" s="101"/>
      <c r="CU36" s="101"/>
      <c r="CV36" s="101"/>
      <c r="CW36" s="101"/>
      <c r="CX36" s="101"/>
      <c r="CY36" s="101"/>
      <c r="CZ36" s="101"/>
      <c r="DA36" s="101"/>
      <c r="DB36" s="101"/>
      <c r="DC36" s="101"/>
      <c r="DD36" s="101"/>
      <c r="DE36" s="101"/>
      <c r="DF36" s="101"/>
      <c r="DG36" s="101"/>
      <c r="DH36" s="101"/>
      <c r="DI36" s="101"/>
      <c r="DJ36" s="101"/>
      <c r="DK36" s="101"/>
      <c r="DL36" s="101"/>
      <c r="DM36" s="101"/>
      <c r="DN36" s="101"/>
      <c r="DO36" s="101"/>
      <c r="DP36" s="101"/>
      <c r="DQ36" s="101"/>
      <c r="DR36" s="101"/>
      <c r="DS36" s="101"/>
      <c r="DT36" s="101"/>
      <c r="DU36" s="101"/>
      <c r="DV36" s="101"/>
      <c r="DW36" s="101"/>
      <c r="DX36" s="101"/>
      <c r="DY36" s="101"/>
      <c r="DZ36" s="101"/>
      <c r="EA36" s="101"/>
      <c r="EB36" s="101"/>
      <c r="EC36" s="101"/>
      <c r="ED36" s="101"/>
      <c r="EE36" s="101"/>
      <c r="EF36" s="101"/>
      <c r="EG36" s="101"/>
      <c r="EH36" s="101"/>
      <c r="EI36" s="101"/>
      <c r="EJ36" s="101"/>
      <c r="EK36" s="101"/>
      <c r="EL36" s="101"/>
      <c r="EM36" s="101"/>
      <c r="EN36" s="101"/>
      <c r="EO36" s="101"/>
      <c r="EP36" s="101"/>
      <c r="EQ36" s="101"/>
      <c r="ER36" s="101"/>
      <c r="ES36" s="101"/>
      <c r="ET36" s="101"/>
      <c r="EU36" s="101"/>
      <c r="EV36" s="101"/>
      <c r="EW36" s="101"/>
      <c r="EX36" s="101"/>
      <c r="EY36" s="101"/>
      <c r="EZ36" s="101"/>
      <c r="FA36" s="101"/>
      <c r="FB36" s="101"/>
      <c r="FC36" s="101"/>
      <c r="FD36" s="101"/>
      <c r="FE36" s="101"/>
      <c r="FF36" s="101"/>
      <c r="FG36" s="101"/>
      <c r="FH36" s="101"/>
      <c r="FI36" s="101"/>
      <c r="FJ36" s="101"/>
      <c r="FK36" s="101"/>
      <c r="FL36" s="101"/>
      <c r="FM36" s="101"/>
      <c r="FN36" s="101"/>
      <c r="FO36" s="101"/>
      <c r="FP36" s="101"/>
      <c r="FQ36" s="101"/>
      <c r="FR36" s="101"/>
      <c r="FS36" s="101"/>
      <c r="FT36" s="101"/>
      <c r="FU36" s="101"/>
      <c r="FV36" s="101"/>
      <c r="FW36" s="101"/>
      <c r="FX36" s="101"/>
      <c r="FY36" s="101"/>
      <c r="FZ36" s="101"/>
      <c r="GA36" s="101"/>
      <c r="GB36" s="101"/>
      <c r="GC36" s="101"/>
      <c r="GD36" s="101"/>
      <c r="GE36" s="101"/>
      <c r="GF36" s="101"/>
      <c r="GG36" s="101"/>
      <c r="GH36" s="101"/>
      <c r="GI36" s="101"/>
      <c r="GJ36" s="101"/>
    </row>
    <row r="37" spans="1:192" ht="50.1" customHeight="1" outlineLevel="1" x14ac:dyDescent="0.25">
      <c r="A37" s="149" t="s">
        <v>4</v>
      </c>
      <c r="B37" s="167" t="s">
        <v>289</v>
      </c>
      <c r="C37" s="139" t="s">
        <v>454</v>
      </c>
      <c r="D37" s="170" t="s">
        <v>22</v>
      </c>
      <c r="E37" s="144" t="s">
        <v>540</v>
      </c>
      <c r="F37" s="211"/>
      <c r="G37" s="74"/>
      <c r="H37" s="74"/>
      <c r="I37" s="74"/>
      <c r="J37" s="74"/>
      <c r="K37" s="74"/>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101"/>
      <c r="AZ37" s="101"/>
      <c r="BA37" s="101"/>
      <c r="BB37" s="101"/>
      <c r="BC37" s="101"/>
      <c r="BD37" s="101"/>
      <c r="BE37" s="101"/>
      <c r="BF37" s="101"/>
      <c r="BG37" s="101"/>
      <c r="BH37" s="101"/>
      <c r="BI37" s="101"/>
      <c r="BJ37" s="101"/>
      <c r="BK37" s="101"/>
      <c r="BL37" s="101"/>
      <c r="BM37" s="101"/>
      <c r="BN37" s="101"/>
      <c r="BO37" s="101"/>
      <c r="BP37" s="101"/>
      <c r="BQ37" s="101"/>
      <c r="BR37" s="101"/>
      <c r="BS37" s="101"/>
      <c r="BT37" s="101"/>
      <c r="BU37" s="101"/>
      <c r="BV37" s="101"/>
      <c r="BW37" s="101"/>
      <c r="BX37" s="101"/>
      <c r="BY37" s="101"/>
      <c r="BZ37" s="101"/>
      <c r="CA37" s="101"/>
      <c r="CB37" s="101"/>
      <c r="CC37" s="101"/>
      <c r="CD37" s="101"/>
      <c r="CE37" s="101"/>
      <c r="CF37" s="101"/>
      <c r="CG37" s="101"/>
      <c r="CH37" s="101"/>
      <c r="CI37" s="101"/>
      <c r="CJ37" s="101"/>
      <c r="CK37" s="101"/>
      <c r="CL37" s="101"/>
      <c r="CM37" s="101"/>
      <c r="CN37" s="101"/>
      <c r="CO37" s="101"/>
      <c r="CP37" s="101"/>
      <c r="CQ37" s="101"/>
      <c r="CR37" s="101"/>
      <c r="CS37" s="101"/>
      <c r="CT37" s="101"/>
      <c r="CU37" s="101"/>
      <c r="CV37" s="101"/>
      <c r="CW37" s="101"/>
      <c r="CX37" s="101"/>
      <c r="CY37" s="101"/>
      <c r="CZ37" s="101"/>
      <c r="DA37" s="101"/>
      <c r="DB37" s="101"/>
      <c r="DC37" s="101"/>
      <c r="DD37" s="101"/>
      <c r="DE37" s="101"/>
      <c r="DF37" s="101"/>
      <c r="DG37" s="101"/>
      <c r="DH37" s="101"/>
      <c r="DI37" s="101"/>
      <c r="DJ37" s="101"/>
      <c r="DK37" s="101"/>
      <c r="DL37" s="101"/>
      <c r="DM37" s="101"/>
      <c r="DN37" s="101"/>
      <c r="DO37" s="101"/>
      <c r="DP37" s="101"/>
      <c r="DQ37" s="101"/>
      <c r="DR37" s="101"/>
      <c r="DS37" s="101"/>
      <c r="DT37" s="101"/>
      <c r="DU37" s="101"/>
      <c r="DV37" s="101"/>
      <c r="DW37" s="101"/>
      <c r="DX37" s="101"/>
      <c r="DY37" s="101"/>
      <c r="DZ37" s="101"/>
      <c r="EA37" s="101"/>
      <c r="EB37" s="101"/>
      <c r="EC37" s="101"/>
      <c r="ED37" s="101"/>
      <c r="EE37" s="101"/>
      <c r="EF37" s="101"/>
      <c r="EG37" s="101"/>
      <c r="EH37" s="101"/>
      <c r="EI37" s="101"/>
      <c r="EJ37" s="101"/>
      <c r="EK37" s="101"/>
      <c r="EL37" s="101"/>
      <c r="EM37" s="101"/>
      <c r="EN37" s="101"/>
      <c r="EO37" s="101"/>
      <c r="EP37" s="101"/>
      <c r="EQ37" s="101"/>
      <c r="ER37" s="101"/>
      <c r="ES37" s="101"/>
      <c r="ET37" s="101"/>
      <c r="EU37" s="101"/>
      <c r="EV37" s="101"/>
      <c r="EW37" s="101"/>
      <c r="EX37" s="101"/>
      <c r="EY37" s="101"/>
      <c r="EZ37" s="101"/>
      <c r="FA37" s="101"/>
      <c r="FB37" s="101"/>
      <c r="FC37" s="101"/>
      <c r="FD37" s="101"/>
      <c r="FE37" s="101"/>
      <c r="FF37" s="101"/>
      <c r="FG37" s="101"/>
      <c r="FH37" s="101"/>
      <c r="FI37" s="101"/>
      <c r="FJ37" s="101"/>
      <c r="FK37" s="101"/>
      <c r="FL37" s="101"/>
      <c r="FM37" s="101"/>
      <c r="FN37" s="101"/>
      <c r="FO37" s="101"/>
      <c r="FP37" s="101"/>
      <c r="FQ37" s="101"/>
      <c r="FR37" s="101"/>
      <c r="FS37" s="101"/>
      <c r="FT37" s="101"/>
      <c r="FU37" s="101"/>
      <c r="FV37" s="101"/>
      <c r="FW37" s="101"/>
      <c r="FX37" s="101"/>
      <c r="FY37" s="101"/>
      <c r="FZ37" s="101"/>
      <c r="GA37" s="101"/>
      <c r="GB37" s="101"/>
      <c r="GC37" s="101"/>
      <c r="GD37" s="101"/>
      <c r="GE37" s="101"/>
      <c r="GF37" s="101"/>
      <c r="GG37" s="101"/>
      <c r="GH37" s="101"/>
      <c r="GI37" s="101"/>
      <c r="GJ37" s="101"/>
    </row>
    <row r="38" spans="1:192" ht="50.1" customHeight="1" outlineLevel="1" x14ac:dyDescent="0.25">
      <c r="A38" s="148" t="s">
        <v>7</v>
      </c>
      <c r="B38" s="168" t="s">
        <v>290</v>
      </c>
      <c r="C38" s="140" t="s">
        <v>455</v>
      </c>
      <c r="D38" s="171" t="s">
        <v>22</v>
      </c>
      <c r="E38" s="146" t="s">
        <v>541</v>
      </c>
      <c r="F38" s="214"/>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101"/>
      <c r="AZ38" s="101"/>
      <c r="BA38" s="101"/>
      <c r="BB38" s="101"/>
      <c r="BC38" s="101"/>
      <c r="BD38" s="101"/>
      <c r="BE38" s="101"/>
      <c r="BF38" s="101"/>
      <c r="BG38" s="101"/>
      <c r="BH38" s="101"/>
      <c r="BI38" s="101"/>
      <c r="BJ38" s="101"/>
      <c r="BK38" s="101"/>
      <c r="BL38" s="101"/>
      <c r="BM38" s="101"/>
      <c r="BN38" s="101"/>
      <c r="BO38" s="101"/>
      <c r="BP38" s="101"/>
      <c r="BQ38" s="101"/>
      <c r="BR38" s="101"/>
      <c r="BS38" s="101"/>
      <c r="BT38" s="101"/>
      <c r="BU38" s="101"/>
      <c r="BV38" s="101"/>
      <c r="BW38" s="101"/>
      <c r="BX38" s="101"/>
      <c r="BY38" s="101"/>
      <c r="BZ38" s="101"/>
      <c r="CA38" s="101"/>
      <c r="CB38" s="101"/>
      <c r="CC38" s="101"/>
      <c r="CD38" s="101"/>
      <c r="CE38" s="101"/>
      <c r="CF38" s="101"/>
      <c r="CG38" s="101"/>
      <c r="CH38" s="101"/>
      <c r="CI38" s="101"/>
      <c r="CJ38" s="101"/>
      <c r="CK38" s="101"/>
      <c r="CL38" s="101"/>
      <c r="CM38" s="101"/>
      <c r="CN38" s="101"/>
      <c r="CO38" s="101"/>
      <c r="CP38" s="101"/>
      <c r="CQ38" s="101"/>
      <c r="CR38" s="101"/>
      <c r="CS38" s="101"/>
      <c r="CT38" s="101"/>
      <c r="CU38" s="101"/>
      <c r="CV38" s="101"/>
      <c r="CW38" s="101"/>
      <c r="CX38" s="101"/>
      <c r="CY38" s="101"/>
      <c r="CZ38" s="101"/>
      <c r="DA38" s="101"/>
      <c r="DB38" s="101"/>
      <c r="DC38" s="101"/>
      <c r="DD38" s="101"/>
      <c r="DE38" s="101"/>
      <c r="DF38" s="101"/>
      <c r="DG38" s="101"/>
      <c r="DH38" s="101"/>
      <c r="DI38" s="101"/>
      <c r="DJ38" s="101"/>
      <c r="DK38" s="101"/>
      <c r="DL38" s="101"/>
      <c r="DM38" s="101"/>
      <c r="DN38" s="101"/>
      <c r="DO38" s="101"/>
      <c r="DP38" s="101"/>
      <c r="DQ38" s="101"/>
      <c r="DR38" s="101"/>
      <c r="DS38" s="101"/>
      <c r="DT38" s="101"/>
      <c r="DU38" s="101"/>
      <c r="DV38" s="101"/>
      <c r="DW38" s="101"/>
      <c r="DX38" s="101"/>
      <c r="DY38" s="101"/>
      <c r="DZ38" s="101"/>
      <c r="EA38" s="101"/>
      <c r="EB38" s="101"/>
      <c r="EC38" s="101"/>
      <c r="ED38" s="101"/>
      <c r="EE38" s="101"/>
      <c r="EF38" s="101"/>
      <c r="EG38" s="101"/>
      <c r="EH38" s="101"/>
      <c r="EI38" s="101"/>
      <c r="EJ38" s="101"/>
      <c r="EK38" s="101"/>
      <c r="EL38" s="101"/>
      <c r="EM38" s="101"/>
      <c r="EN38" s="101"/>
      <c r="EO38" s="101"/>
      <c r="EP38" s="101"/>
      <c r="EQ38" s="101"/>
      <c r="ER38" s="101"/>
      <c r="ES38" s="101"/>
      <c r="ET38" s="101"/>
      <c r="EU38" s="101"/>
      <c r="EV38" s="101"/>
      <c r="EW38" s="101"/>
      <c r="EX38" s="101"/>
      <c r="EY38" s="101"/>
      <c r="EZ38" s="101"/>
      <c r="FA38" s="101"/>
      <c r="FB38" s="101"/>
      <c r="FC38" s="101"/>
      <c r="FD38" s="101"/>
      <c r="FE38" s="101"/>
      <c r="FF38" s="101"/>
      <c r="FG38" s="101"/>
      <c r="FH38" s="101"/>
      <c r="FI38" s="101"/>
      <c r="FJ38" s="101"/>
      <c r="FK38" s="101"/>
      <c r="FL38" s="101"/>
      <c r="FM38" s="101"/>
      <c r="FN38" s="101"/>
      <c r="FO38" s="101"/>
      <c r="FP38" s="101"/>
      <c r="FQ38" s="101"/>
      <c r="FR38" s="101"/>
      <c r="FS38" s="101"/>
      <c r="FT38" s="101"/>
      <c r="FU38" s="101"/>
      <c r="FV38" s="101"/>
      <c r="FW38" s="101"/>
      <c r="FX38" s="101"/>
      <c r="FY38" s="101"/>
      <c r="FZ38" s="101"/>
      <c r="GA38" s="101"/>
      <c r="GB38" s="101"/>
      <c r="GC38" s="101"/>
      <c r="GD38" s="101"/>
      <c r="GE38" s="101"/>
      <c r="GF38" s="101"/>
      <c r="GG38" s="101"/>
      <c r="GH38" s="101"/>
      <c r="GI38" s="101"/>
      <c r="GJ38" s="101"/>
    </row>
    <row r="39" spans="1:192" ht="50.1" customHeight="1" outlineLevel="1" x14ac:dyDescent="0.25">
      <c r="A39" s="148" t="s">
        <v>7</v>
      </c>
      <c r="B39" s="167" t="s">
        <v>291</v>
      </c>
      <c r="C39" s="139" t="s">
        <v>456</v>
      </c>
      <c r="D39" s="170" t="s">
        <v>22</v>
      </c>
      <c r="E39" s="147" t="s">
        <v>542</v>
      </c>
      <c r="F39" s="211"/>
      <c r="G39" s="74"/>
      <c r="H39" s="74"/>
      <c r="I39" s="74"/>
      <c r="J39" s="74"/>
      <c r="K39" s="74"/>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101"/>
      <c r="AZ39" s="101"/>
      <c r="BA39" s="101"/>
      <c r="BB39" s="101"/>
      <c r="BC39" s="101"/>
      <c r="BD39" s="101"/>
      <c r="BE39" s="101"/>
      <c r="BF39" s="101"/>
      <c r="BG39" s="101"/>
      <c r="BH39" s="101"/>
      <c r="BI39" s="101"/>
      <c r="BJ39" s="101"/>
      <c r="BK39" s="101"/>
      <c r="BL39" s="101"/>
      <c r="BM39" s="101"/>
      <c r="BN39" s="101"/>
      <c r="BO39" s="101"/>
      <c r="BP39" s="101"/>
      <c r="BQ39" s="101"/>
      <c r="BR39" s="101"/>
      <c r="BS39" s="101"/>
      <c r="BT39" s="101"/>
      <c r="BU39" s="101"/>
      <c r="BV39" s="101"/>
      <c r="BW39" s="101"/>
      <c r="BX39" s="101"/>
      <c r="BY39" s="101"/>
      <c r="BZ39" s="101"/>
      <c r="CA39" s="101"/>
      <c r="CB39" s="101"/>
      <c r="CC39" s="101"/>
      <c r="CD39" s="101"/>
      <c r="CE39" s="101"/>
      <c r="CF39" s="101"/>
      <c r="CG39" s="101"/>
      <c r="CH39" s="101"/>
      <c r="CI39" s="101"/>
      <c r="CJ39" s="101"/>
      <c r="CK39" s="101"/>
      <c r="CL39" s="101"/>
      <c r="CM39" s="101"/>
      <c r="CN39" s="101"/>
      <c r="CO39" s="101"/>
      <c r="CP39" s="101"/>
      <c r="CQ39" s="101"/>
      <c r="CR39" s="101"/>
      <c r="CS39" s="101"/>
      <c r="CT39" s="101"/>
      <c r="CU39" s="101"/>
      <c r="CV39" s="101"/>
      <c r="CW39" s="101"/>
      <c r="CX39" s="101"/>
      <c r="CY39" s="101"/>
      <c r="CZ39" s="101"/>
      <c r="DA39" s="101"/>
      <c r="DB39" s="101"/>
      <c r="DC39" s="101"/>
      <c r="DD39" s="101"/>
      <c r="DE39" s="101"/>
      <c r="DF39" s="101"/>
      <c r="DG39" s="101"/>
      <c r="DH39" s="101"/>
      <c r="DI39" s="101"/>
      <c r="DJ39" s="101"/>
      <c r="DK39" s="101"/>
      <c r="DL39" s="101"/>
      <c r="DM39" s="101"/>
      <c r="DN39" s="101"/>
      <c r="DO39" s="101"/>
      <c r="DP39" s="101"/>
      <c r="DQ39" s="101"/>
      <c r="DR39" s="101"/>
      <c r="DS39" s="101"/>
      <c r="DT39" s="101"/>
      <c r="DU39" s="101"/>
      <c r="DV39" s="101"/>
      <c r="DW39" s="101"/>
      <c r="DX39" s="101"/>
      <c r="DY39" s="101"/>
      <c r="DZ39" s="101"/>
      <c r="EA39" s="101"/>
      <c r="EB39" s="101"/>
      <c r="EC39" s="101"/>
      <c r="ED39" s="101"/>
      <c r="EE39" s="101"/>
      <c r="EF39" s="101"/>
      <c r="EG39" s="101"/>
      <c r="EH39" s="101"/>
      <c r="EI39" s="101"/>
      <c r="EJ39" s="101"/>
      <c r="EK39" s="101"/>
      <c r="EL39" s="101"/>
      <c r="EM39" s="101"/>
      <c r="EN39" s="101"/>
      <c r="EO39" s="101"/>
      <c r="EP39" s="101"/>
      <c r="EQ39" s="101"/>
      <c r="ER39" s="101"/>
      <c r="ES39" s="101"/>
      <c r="ET39" s="101"/>
      <c r="EU39" s="101"/>
      <c r="EV39" s="101"/>
      <c r="EW39" s="101"/>
      <c r="EX39" s="101"/>
      <c r="EY39" s="101"/>
      <c r="EZ39" s="101"/>
      <c r="FA39" s="101"/>
      <c r="FB39" s="101"/>
      <c r="FC39" s="101"/>
      <c r="FD39" s="101"/>
      <c r="FE39" s="101"/>
      <c r="FF39" s="101"/>
      <c r="FG39" s="101"/>
      <c r="FH39" s="101"/>
      <c r="FI39" s="101"/>
      <c r="FJ39" s="101"/>
      <c r="FK39" s="101"/>
      <c r="FL39" s="101"/>
      <c r="FM39" s="101"/>
      <c r="FN39" s="101"/>
      <c r="FO39" s="101"/>
      <c r="FP39" s="101"/>
      <c r="FQ39" s="101"/>
      <c r="FR39" s="101"/>
      <c r="FS39" s="101"/>
      <c r="FT39" s="101"/>
      <c r="FU39" s="101"/>
      <c r="FV39" s="101"/>
      <c r="FW39" s="101"/>
      <c r="FX39" s="101"/>
      <c r="FY39" s="101"/>
      <c r="FZ39" s="101"/>
      <c r="GA39" s="101"/>
      <c r="GB39" s="101"/>
      <c r="GC39" s="101"/>
      <c r="GD39" s="101"/>
      <c r="GE39" s="101"/>
      <c r="GF39" s="101"/>
      <c r="GG39" s="101"/>
      <c r="GH39" s="101"/>
      <c r="GI39" s="101"/>
      <c r="GJ39" s="101"/>
    </row>
    <row r="40" spans="1:192" ht="50.1" customHeight="1" outlineLevel="1" x14ac:dyDescent="0.25">
      <c r="A40" s="148" t="s">
        <v>7</v>
      </c>
      <c r="B40" s="168" t="s">
        <v>292</v>
      </c>
      <c r="C40" s="238" t="s">
        <v>671</v>
      </c>
      <c r="D40" s="171" t="s">
        <v>22</v>
      </c>
      <c r="E40" s="142" t="s">
        <v>683</v>
      </c>
      <c r="F40" s="214"/>
      <c r="G40" s="74"/>
      <c r="H40" s="74"/>
      <c r="I40" s="74"/>
      <c r="J40" s="74"/>
      <c r="K40" s="74"/>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101"/>
      <c r="AZ40" s="101"/>
      <c r="BA40" s="101"/>
      <c r="BB40" s="101"/>
      <c r="BC40" s="101"/>
      <c r="BD40" s="101"/>
      <c r="BE40" s="101"/>
      <c r="BF40" s="101"/>
      <c r="BG40" s="101"/>
      <c r="BH40" s="101"/>
      <c r="BI40" s="101"/>
      <c r="BJ40" s="101"/>
      <c r="BK40" s="101"/>
      <c r="BL40" s="101"/>
      <c r="BM40" s="101"/>
      <c r="BN40" s="101"/>
      <c r="BO40" s="101"/>
      <c r="BP40" s="101"/>
      <c r="BQ40" s="101"/>
      <c r="BR40" s="101"/>
      <c r="BS40" s="101"/>
      <c r="BT40" s="101"/>
      <c r="BU40" s="101"/>
      <c r="BV40" s="101"/>
      <c r="BW40" s="101"/>
      <c r="BX40" s="101"/>
      <c r="BY40" s="101"/>
      <c r="BZ40" s="101"/>
      <c r="CA40" s="101"/>
      <c r="CB40" s="101"/>
      <c r="CC40" s="101"/>
      <c r="CD40" s="101"/>
      <c r="CE40" s="101"/>
      <c r="CF40" s="101"/>
      <c r="CG40" s="101"/>
      <c r="CH40" s="101"/>
      <c r="CI40" s="101"/>
      <c r="CJ40" s="101"/>
      <c r="CK40" s="101"/>
      <c r="CL40" s="101"/>
      <c r="CM40" s="101"/>
      <c r="CN40" s="101"/>
      <c r="CO40" s="101"/>
      <c r="CP40" s="101"/>
      <c r="CQ40" s="101"/>
      <c r="CR40" s="101"/>
      <c r="CS40" s="101"/>
      <c r="CT40" s="101"/>
      <c r="CU40" s="101"/>
      <c r="CV40" s="101"/>
      <c r="CW40" s="101"/>
      <c r="CX40" s="101"/>
      <c r="CY40" s="101"/>
      <c r="CZ40" s="101"/>
      <c r="DA40" s="101"/>
      <c r="DB40" s="101"/>
      <c r="DC40" s="101"/>
      <c r="DD40" s="101"/>
      <c r="DE40" s="101"/>
      <c r="DF40" s="101"/>
      <c r="DG40" s="101"/>
      <c r="DH40" s="101"/>
      <c r="DI40" s="101"/>
      <c r="DJ40" s="101"/>
      <c r="DK40" s="101"/>
      <c r="DL40" s="101"/>
      <c r="DM40" s="101"/>
      <c r="DN40" s="101"/>
      <c r="DO40" s="101"/>
      <c r="DP40" s="101"/>
      <c r="DQ40" s="101"/>
      <c r="DR40" s="101"/>
      <c r="DS40" s="101"/>
      <c r="DT40" s="101"/>
      <c r="DU40" s="101"/>
      <c r="DV40" s="101"/>
      <c r="DW40" s="101"/>
      <c r="DX40" s="101"/>
      <c r="DY40" s="101"/>
      <c r="DZ40" s="101"/>
      <c r="EA40" s="101"/>
      <c r="EB40" s="101"/>
      <c r="EC40" s="101"/>
      <c r="ED40" s="101"/>
      <c r="EE40" s="101"/>
      <c r="EF40" s="101"/>
      <c r="EG40" s="101"/>
      <c r="EH40" s="101"/>
      <c r="EI40" s="101"/>
      <c r="EJ40" s="101"/>
      <c r="EK40" s="101"/>
      <c r="EL40" s="101"/>
      <c r="EM40" s="101"/>
      <c r="EN40" s="101"/>
      <c r="EO40" s="101"/>
      <c r="EP40" s="101"/>
      <c r="EQ40" s="101"/>
      <c r="ER40" s="101"/>
      <c r="ES40" s="101"/>
      <c r="ET40" s="101"/>
      <c r="EU40" s="101"/>
      <c r="EV40" s="101"/>
      <c r="EW40" s="101"/>
      <c r="EX40" s="101"/>
      <c r="EY40" s="101"/>
      <c r="EZ40" s="101"/>
      <c r="FA40" s="101"/>
      <c r="FB40" s="101"/>
      <c r="FC40" s="101"/>
      <c r="FD40" s="101"/>
      <c r="FE40" s="101"/>
      <c r="FF40" s="101"/>
      <c r="FG40" s="101"/>
      <c r="FH40" s="101"/>
      <c r="FI40" s="101"/>
      <c r="FJ40" s="101"/>
      <c r="FK40" s="101"/>
      <c r="FL40" s="101"/>
      <c r="FM40" s="101"/>
      <c r="FN40" s="101"/>
      <c r="FO40" s="101"/>
      <c r="FP40" s="101"/>
      <c r="FQ40" s="101"/>
      <c r="FR40" s="101"/>
      <c r="FS40" s="101"/>
      <c r="FT40" s="101"/>
      <c r="FU40" s="101"/>
      <c r="FV40" s="101"/>
      <c r="FW40" s="101"/>
      <c r="FX40" s="101"/>
      <c r="FY40" s="101"/>
      <c r="FZ40" s="101"/>
      <c r="GA40" s="101"/>
      <c r="GB40" s="101"/>
      <c r="GC40" s="101"/>
      <c r="GD40" s="101"/>
      <c r="GE40" s="101"/>
      <c r="GF40" s="101"/>
      <c r="GG40" s="101"/>
      <c r="GH40" s="101"/>
      <c r="GI40" s="101"/>
      <c r="GJ40" s="101"/>
    </row>
    <row r="41" spans="1:192" ht="50.1" customHeight="1" outlineLevel="1" x14ac:dyDescent="0.25">
      <c r="A41" s="148" t="s">
        <v>7</v>
      </c>
      <c r="B41" s="167" t="s">
        <v>293</v>
      </c>
      <c r="C41" s="139" t="s">
        <v>457</v>
      </c>
      <c r="D41" s="170" t="s">
        <v>22</v>
      </c>
      <c r="E41" s="147" t="s">
        <v>543</v>
      </c>
      <c r="F41" s="211"/>
      <c r="G41" s="74"/>
      <c r="H41" s="74"/>
      <c r="I41" s="74"/>
      <c r="J41" s="74"/>
      <c r="K41" s="74"/>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101"/>
      <c r="AZ41" s="101"/>
      <c r="BA41" s="101"/>
      <c r="BB41" s="101"/>
      <c r="BC41" s="101"/>
      <c r="BD41" s="101"/>
      <c r="BE41" s="101"/>
      <c r="BF41" s="101"/>
      <c r="BG41" s="101"/>
      <c r="BH41" s="101"/>
      <c r="BI41" s="101"/>
      <c r="BJ41" s="101"/>
      <c r="BK41" s="101"/>
      <c r="BL41" s="101"/>
      <c r="BM41" s="101"/>
      <c r="BN41" s="101"/>
      <c r="BO41" s="101"/>
      <c r="BP41" s="101"/>
      <c r="BQ41" s="101"/>
      <c r="BR41" s="101"/>
      <c r="BS41" s="101"/>
      <c r="BT41" s="101"/>
      <c r="BU41" s="101"/>
      <c r="BV41" s="101"/>
      <c r="BW41" s="101"/>
      <c r="BX41" s="101"/>
      <c r="BY41" s="101"/>
      <c r="BZ41" s="101"/>
      <c r="CA41" s="101"/>
      <c r="CB41" s="101"/>
      <c r="CC41" s="101"/>
      <c r="CD41" s="101"/>
      <c r="CE41" s="101"/>
      <c r="CF41" s="101"/>
      <c r="CG41" s="101"/>
      <c r="CH41" s="101"/>
      <c r="CI41" s="101"/>
      <c r="CJ41" s="101"/>
      <c r="CK41" s="101"/>
      <c r="CL41" s="101"/>
      <c r="CM41" s="101"/>
      <c r="CN41" s="101"/>
      <c r="CO41" s="101"/>
      <c r="CP41" s="101"/>
      <c r="CQ41" s="101"/>
      <c r="CR41" s="101"/>
      <c r="CS41" s="101"/>
      <c r="CT41" s="101"/>
      <c r="CU41" s="101"/>
      <c r="CV41" s="101"/>
      <c r="CW41" s="101"/>
      <c r="CX41" s="101"/>
      <c r="CY41" s="101"/>
      <c r="CZ41" s="101"/>
      <c r="DA41" s="101"/>
      <c r="DB41" s="101"/>
      <c r="DC41" s="101"/>
      <c r="DD41" s="101"/>
      <c r="DE41" s="101"/>
      <c r="DF41" s="101"/>
      <c r="DG41" s="101"/>
      <c r="DH41" s="101"/>
      <c r="DI41" s="101"/>
      <c r="DJ41" s="101"/>
      <c r="DK41" s="101"/>
      <c r="DL41" s="101"/>
      <c r="DM41" s="101"/>
      <c r="DN41" s="101"/>
      <c r="DO41" s="101"/>
      <c r="DP41" s="101"/>
      <c r="DQ41" s="101"/>
      <c r="DR41" s="101"/>
      <c r="DS41" s="101"/>
      <c r="DT41" s="101"/>
      <c r="DU41" s="101"/>
      <c r="DV41" s="101"/>
      <c r="DW41" s="101"/>
      <c r="DX41" s="101"/>
      <c r="DY41" s="101"/>
      <c r="DZ41" s="101"/>
      <c r="EA41" s="101"/>
      <c r="EB41" s="101"/>
      <c r="EC41" s="101"/>
      <c r="ED41" s="101"/>
      <c r="EE41" s="101"/>
      <c r="EF41" s="101"/>
      <c r="EG41" s="101"/>
      <c r="EH41" s="101"/>
      <c r="EI41" s="101"/>
      <c r="EJ41" s="101"/>
      <c r="EK41" s="101"/>
      <c r="EL41" s="101"/>
      <c r="EM41" s="101"/>
      <c r="EN41" s="101"/>
      <c r="EO41" s="101"/>
      <c r="EP41" s="101"/>
      <c r="EQ41" s="101"/>
      <c r="ER41" s="101"/>
      <c r="ES41" s="101"/>
      <c r="ET41" s="101"/>
      <c r="EU41" s="101"/>
      <c r="EV41" s="101"/>
      <c r="EW41" s="101"/>
      <c r="EX41" s="101"/>
      <c r="EY41" s="101"/>
      <c r="EZ41" s="101"/>
      <c r="FA41" s="101"/>
      <c r="FB41" s="101"/>
      <c r="FC41" s="101"/>
      <c r="FD41" s="101"/>
      <c r="FE41" s="101"/>
      <c r="FF41" s="101"/>
      <c r="FG41" s="101"/>
      <c r="FH41" s="101"/>
      <c r="FI41" s="101"/>
      <c r="FJ41" s="101"/>
      <c r="FK41" s="101"/>
      <c r="FL41" s="101"/>
      <c r="FM41" s="101"/>
      <c r="FN41" s="101"/>
      <c r="FO41" s="101"/>
      <c r="FP41" s="101"/>
      <c r="FQ41" s="101"/>
      <c r="FR41" s="101"/>
      <c r="FS41" s="101"/>
      <c r="FT41" s="101"/>
      <c r="FU41" s="101"/>
      <c r="FV41" s="101"/>
      <c r="FW41" s="101"/>
      <c r="FX41" s="101"/>
      <c r="FY41" s="101"/>
      <c r="FZ41" s="101"/>
      <c r="GA41" s="101"/>
      <c r="GB41" s="101"/>
      <c r="GC41" s="101"/>
      <c r="GD41" s="101"/>
      <c r="GE41" s="101"/>
      <c r="GF41" s="101"/>
      <c r="GG41" s="101"/>
      <c r="GH41" s="101"/>
      <c r="GI41" s="101"/>
      <c r="GJ41" s="101"/>
    </row>
    <row r="42" spans="1:192" ht="50.1" customHeight="1" outlineLevel="1" x14ac:dyDescent="0.25">
      <c r="A42" s="148" t="s">
        <v>7</v>
      </c>
      <c r="B42" s="168" t="s">
        <v>294</v>
      </c>
      <c r="C42" s="140" t="s">
        <v>458</v>
      </c>
      <c r="D42" s="171" t="s">
        <v>22</v>
      </c>
      <c r="E42" s="146" t="s">
        <v>544</v>
      </c>
      <c r="F42" s="209"/>
      <c r="G42" s="74"/>
      <c r="H42" s="74"/>
      <c r="I42" s="74"/>
      <c r="J42" s="74"/>
      <c r="K42" s="74"/>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101"/>
      <c r="AZ42" s="101"/>
      <c r="BA42" s="101"/>
      <c r="BB42" s="101"/>
      <c r="BC42" s="101"/>
      <c r="BD42" s="101"/>
      <c r="BE42" s="101"/>
      <c r="BF42" s="101"/>
      <c r="BG42" s="101"/>
      <c r="BH42" s="101"/>
      <c r="BI42" s="101"/>
      <c r="BJ42" s="101"/>
      <c r="BK42" s="101"/>
      <c r="BL42" s="101"/>
      <c r="BM42" s="101"/>
      <c r="BN42" s="101"/>
      <c r="BO42" s="101"/>
      <c r="BP42" s="101"/>
      <c r="BQ42" s="101"/>
      <c r="BR42" s="101"/>
      <c r="BS42" s="101"/>
      <c r="BT42" s="101"/>
      <c r="BU42" s="101"/>
      <c r="BV42" s="101"/>
      <c r="BW42" s="101"/>
      <c r="BX42" s="101"/>
      <c r="BY42" s="101"/>
      <c r="BZ42" s="101"/>
      <c r="CA42" s="101"/>
      <c r="CB42" s="101"/>
      <c r="CC42" s="101"/>
      <c r="CD42" s="101"/>
      <c r="CE42" s="101"/>
      <c r="CF42" s="101"/>
      <c r="CG42" s="101"/>
      <c r="CH42" s="101"/>
      <c r="CI42" s="101"/>
      <c r="CJ42" s="101"/>
      <c r="CK42" s="101"/>
      <c r="CL42" s="101"/>
      <c r="CM42" s="101"/>
      <c r="CN42" s="101"/>
      <c r="CO42" s="101"/>
      <c r="CP42" s="101"/>
      <c r="CQ42" s="101"/>
      <c r="CR42" s="101"/>
      <c r="CS42" s="101"/>
      <c r="CT42" s="101"/>
      <c r="CU42" s="101"/>
      <c r="CV42" s="101"/>
      <c r="CW42" s="101"/>
      <c r="CX42" s="101"/>
      <c r="CY42" s="101"/>
      <c r="CZ42" s="101"/>
      <c r="DA42" s="101"/>
      <c r="DB42" s="101"/>
      <c r="DC42" s="101"/>
      <c r="DD42" s="101"/>
      <c r="DE42" s="101"/>
      <c r="DF42" s="101"/>
      <c r="DG42" s="101"/>
      <c r="DH42" s="101"/>
      <c r="DI42" s="101"/>
      <c r="DJ42" s="101"/>
      <c r="DK42" s="101"/>
      <c r="DL42" s="101"/>
      <c r="DM42" s="101"/>
      <c r="DN42" s="101"/>
      <c r="DO42" s="101"/>
      <c r="DP42" s="101"/>
      <c r="DQ42" s="101"/>
      <c r="DR42" s="101"/>
      <c r="DS42" s="101"/>
      <c r="DT42" s="101"/>
      <c r="DU42" s="101"/>
      <c r="DV42" s="101"/>
      <c r="DW42" s="101"/>
      <c r="DX42" s="101"/>
      <c r="DY42" s="101"/>
      <c r="DZ42" s="101"/>
      <c r="EA42" s="101"/>
      <c r="EB42" s="101"/>
      <c r="EC42" s="101"/>
      <c r="ED42" s="101"/>
      <c r="EE42" s="101"/>
      <c r="EF42" s="101"/>
      <c r="EG42" s="101"/>
      <c r="EH42" s="101"/>
      <c r="EI42" s="101"/>
      <c r="EJ42" s="101"/>
      <c r="EK42" s="101"/>
      <c r="EL42" s="101"/>
      <c r="EM42" s="101"/>
      <c r="EN42" s="101"/>
      <c r="EO42" s="101"/>
      <c r="EP42" s="101"/>
      <c r="EQ42" s="101"/>
      <c r="ER42" s="101"/>
      <c r="ES42" s="101"/>
      <c r="ET42" s="101"/>
      <c r="EU42" s="101"/>
      <c r="EV42" s="101"/>
      <c r="EW42" s="101"/>
      <c r="EX42" s="101"/>
      <c r="EY42" s="101"/>
      <c r="EZ42" s="101"/>
      <c r="FA42" s="101"/>
      <c r="FB42" s="101"/>
      <c r="FC42" s="101"/>
      <c r="FD42" s="101"/>
      <c r="FE42" s="101"/>
      <c r="FF42" s="101"/>
      <c r="FG42" s="101"/>
      <c r="FH42" s="101"/>
      <c r="FI42" s="101"/>
      <c r="FJ42" s="101"/>
      <c r="FK42" s="101"/>
      <c r="FL42" s="101"/>
      <c r="FM42" s="101"/>
      <c r="FN42" s="101"/>
      <c r="FO42" s="101"/>
      <c r="FP42" s="101"/>
      <c r="FQ42" s="101"/>
      <c r="FR42" s="101"/>
      <c r="FS42" s="101"/>
      <c r="FT42" s="101"/>
      <c r="FU42" s="101"/>
      <c r="FV42" s="101"/>
      <c r="FW42" s="101"/>
      <c r="FX42" s="101"/>
      <c r="FY42" s="101"/>
      <c r="FZ42" s="101"/>
      <c r="GA42" s="101"/>
      <c r="GB42" s="101"/>
      <c r="GC42" s="101"/>
      <c r="GD42" s="101"/>
      <c r="GE42" s="101"/>
      <c r="GF42" s="101"/>
      <c r="GG42" s="101"/>
      <c r="GH42" s="101"/>
      <c r="GI42" s="101"/>
      <c r="GJ42" s="101"/>
    </row>
    <row r="43" spans="1:192" ht="50.1" customHeight="1" outlineLevel="1" x14ac:dyDescent="0.25">
      <c r="A43" s="148" t="s">
        <v>7</v>
      </c>
      <c r="B43" s="167" t="s">
        <v>295</v>
      </c>
      <c r="C43" s="139" t="s">
        <v>233</v>
      </c>
      <c r="D43" s="170" t="s">
        <v>22</v>
      </c>
      <c r="E43" s="147" t="s">
        <v>684</v>
      </c>
      <c r="F43" s="211"/>
      <c r="G43" s="74"/>
      <c r="H43" s="74"/>
      <c r="I43" s="74"/>
      <c r="J43" s="74"/>
      <c r="K43" s="74"/>
      <c r="L43" s="74"/>
      <c r="M43" s="74"/>
      <c r="N43" s="74"/>
      <c r="O43" s="74"/>
      <c r="P43" s="74"/>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101"/>
      <c r="AZ43" s="101"/>
      <c r="BA43" s="101"/>
      <c r="BB43" s="101"/>
      <c r="BC43" s="101"/>
      <c r="BD43" s="101"/>
      <c r="BE43" s="101"/>
      <c r="BF43" s="101"/>
      <c r="BG43" s="101"/>
      <c r="BH43" s="101"/>
      <c r="BI43" s="101"/>
      <c r="BJ43" s="101"/>
      <c r="BK43" s="101"/>
      <c r="BL43" s="101"/>
      <c r="BM43" s="101"/>
      <c r="BN43" s="101"/>
      <c r="BO43" s="101"/>
      <c r="BP43" s="101"/>
      <c r="BQ43" s="101"/>
      <c r="BR43" s="101"/>
      <c r="BS43" s="101"/>
      <c r="BT43" s="101"/>
      <c r="BU43" s="101"/>
      <c r="BV43" s="101"/>
      <c r="BW43" s="101"/>
      <c r="BX43" s="101"/>
      <c r="BY43" s="101"/>
      <c r="BZ43" s="101"/>
      <c r="CA43" s="101"/>
      <c r="CB43" s="101"/>
      <c r="CC43" s="101"/>
      <c r="CD43" s="101"/>
      <c r="CE43" s="101"/>
      <c r="CF43" s="101"/>
      <c r="CG43" s="101"/>
      <c r="CH43" s="101"/>
      <c r="CI43" s="101"/>
      <c r="CJ43" s="101"/>
      <c r="CK43" s="101"/>
      <c r="CL43" s="101"/>
      <c r="CM43" s="101"/>
      <c r="CN43" s="101"/>
      <c r="CO43" s="101"/>
      <c r="CP43" s="101"/>
      <c r="CQ43" s="101"/>
      <c r="CR43" s="101"/>
      <c r="CS43" s="101"/>
      <c r="CT43" s="101"/>
      <c r="CU43" s="101"/>
      <c r="CV43" s="101"/>
      <c r="CW43" s="101"/>
      <c r="CX43" s="101"/>
      <c r="CY43" s="101"/>
      <c r="CZ43" s="101"/>
      <c r="DA43" s="101"/>
      <c r="DB43" s="101"/>
      <c r="DC43" s="101"/>
      <c r="DD43" s="101"/>
      <c r="DE43" s="101"/>
      <c r="DF43" s="101"/>
      <c r="DG43" s="101"/>
      <c r="DH43" s="101"/>
      <c r="DI43" s="101"/>
      <c r="DJ43" s="101"/>
      <c r="DK43" s="101"/>
      <c r="DL43" s="101"/>
      <c r="DM43" s="101"/>
      <c r="DN43" s="101"/>
      <c r="DO43" s="101"/>
      <c r="DP43" s="101"/>
      <c r="DQ43" s="101"/>
      <c r="DR43" s="101"/>
      <c r="DS43" s="101"/>
      <c r="DT43" s="101"/>
      <c r="DU43" s="101"/>
      <c r="DV43" s="101"/>
      <c r="DW43" s="101"/>
      <c r="DX43" s="101"/>
      <c r="DY43" s="101"/>
      <c r="DZ43" s="101"/>
      <c r="EA43" s="101"/>
      <c r="EB43" s="101"/>
      <c r="EC43" s="101"/>
      <c r="ED43" s="101"/>
      <c r="EE43" s="101"/>
      <c r="EF43" s="101"/>
      <c r="EG43" s="101"/>
      <c r="EH43" s="101"/>
      <c r="EI43" s="101"/>
      <c r="EJ43" s="101"/>
      <c r="EK43" s="101"/>
      <c r="EL43" s="101"/>
      <c r="EM43" s="101"/>
      <c r="EN43" s="101"/>
      <c r="EO43" s="101"/>
      <c r="EP43" s="101"/>
      <c r="EQ43" s="101"/>
      <c r="ER43" s="101"/>
      <c r="ES43" s="101"/>
      <c r="ET43" s="101"/>
      <c r="EU43" s="101"/>
      <c r="EV43" s="101"/>
      <c r="EW43" s="101"/>
      <c r="EX43" s="101"/>
      <c r="EY43" s="101"/>
      <c r="EZ43" s="101"/>
      <c r="FA43" s="101"/>
      <c r="FB43" s="101"/>
      <c r="FC43" s="101"/>
      <c r="FD43" s="101"/>
      <c r="FE43" s="101"/>
      <c r="FF43" s="101"/>
      <c r="FG43" s="101"/>
      <c r="FH43" s="101"/>
      <c r="FI43" s="101"/>
      <c r="FJ43" s="101"/>
      <c r="FK43" s="101"/>
      <c r="FL43" s="101"/>
      <c r="FM43" s="101"/>
      <c r="FN43" s="101"/>
      <c r="FO43" s="101"/>
      <c r="FP43" s="101"/>
      <c r="FQ43" s="101"/>
      <c r="FR43" s="101"/>
      <c r="FS43" s="101"/>
      <c r="FT43" s="101"/>
      <c r="FU43" s="101"/>
      <c r="FV43" s="101"/>
      <c r="FW43" s="101"/>
      <c r="FX43" s="101"/>
      <c r="FY43" s="101"/>
      <c r="FZ43" s="101"/>
      <c r="GA43" s="101"/>
      <c r="GB43" s="101"/>
      <c r="GC43" s="101"/>
      <c r="GD43" s="101"/>
      <c r="GE43" s="101"/>
      <c r="GF43" s="101"/>
      <c r="GG43" s="101"/>
      <c r="GH43" s="101"/>
      <c r="GI43" s="101"/>
      <c r="GJ43" s="101"/>
    </row>
    <row r="44" spans="1:192" ht="50.1" customHeight="1" outlineLevel="1" x14ac:dyDescent="0.25">
      <c r="A44" s="148" t="s">
        <v>7</v>
      </c>
      <c r="B44" s="168" t="s">
        <v>296</v>
      </c>
      <c r="C44" s="140" t="s">
        <v>459</v>
      </c>
      <c r="D44" s="171" t="s">
        <v>22</v>
      </c>
      <c r="E44" s="146" t="s">
        <v>545</v>
      </c>
      <c r="F44" s="214"/>
      <c r="G44" s="74"/>
      <c r="H44" s="74"/>
      <c r="I44" s="74"/>
      <c r="J44" s="74"/>
      <c r="K44" s="74"/>
      <c r="L44" s="74"/>
      <c r="M44" s="74"/>
      <c r="N44" s="74"/>
      <c r="O44" s="74"/>
      <c r="P44" s="74"/>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c r="CA44" s="101"/>
      <c r="CB44" s="101"/>
      <c r="CC44" s="101"/>
      <c r="CD44" s="101"/>
      <c r="CE44" s="101"/>
      <c r="CF44" s="101"/>
      <c r="CG44" s="101"/>
      <c r="CH44" s="101"/>
      <c r="CI44" s="101"/>
      <c r="CJ44" s="101"/>
      <c r="CK44" s="101"/>
      <c r="CL44" s="101"/>
      <c r="CM44" s="101"/>
      <c r="CN44" s="101"/>
      <c r="CO44" s="101"/>
      <c r="CP44" s="101"/>
      <c r="CQ44" s="101"/>
      <c r="CR44" s="101"/>
      <c r="CS44" s="101"/>
      <c r="CT44" s="101"/>
      <c r="CU44" s="101"/>
      <c r="CV44" s="101"/>
      <c r="CW44" s="101"/>
      <c r="CX44" s="101"/>
      <c r="CY44" s="101"/>
      <c r="CZ44" s="101"/>
      <c r="DA44" s="101"/>
      <c r="DB44" s="101"/>
      <c r="DC44" s="101"/>
      <c r="DD44" s="101"/>
      <c r="DE44" s="101"/>
      <c r="DF44" s="101"/>
      <c r="DG44" s="101"/>
      <c r="DH44" s="101"/>
      <c r="DI44" s="101"/>
      <c r="DJ44" s="101"/>
      <c r="DK44" s="101"/>
      <c r="DL44" s="101"/>
      <c r="DM44" s="101"/>
      <c r="DN44" s="101"/>
      <c r="DO44" s="101"/>
      <c r="DP44" s="101"/>
      <c r="DQ44" s="101"/>
      <c r="DR44" s="101"/>
      <c r="DS44" s="101"/>
      <c r="DT44" s="101"/>
      <c r="DU44" s="101"/>
      <c r="DV44" s="101"/>
      <c r="DW44" s="101"/>
      <c r="DX44" s="101"/>
      <c r="DY44" s="101"/>
      <c r="DZ44" s="101"/>
      <c r="EA44" s="101"/>
      <c r="EB44" s="101"/>
      <c r="EC44" s="101"/>
      <c r="ED44" s="101"/>
      <c r="EE44" s="101"/>
      <c r="EF44" s="101"/>
      <c r="EG44" s="101"/>
      <c r="EH44" s="101"/>
      <c r="EI44" s="101"/>
      <c r="EJ44" s="101"/>
      <c r="EK44" s="101"/>
      <c r="EL44" s="101"/>
      <c r="EM44" s="101"/>
      <c r="EN44" s="101"/>
      <c r="EO44" s="101"/>
      <c r="EP44" s="101"/>
      <c r="EQ44" s="101"/>
      <c r="ER44" s="101"/>
      <c r="ES44" s="101"/>
      <c r="ET44" s="101"/>
      <c r="EU44" s="101"/>
      <c r="EV44" s="101"/>
      <c r="EW44" s="101"/>
      <c r="EX44" s="101"/>
      <c r="EY44" s="101"/>
      <c r="EZ44" s="101"/>
      <c r="FA44" s="101"/>
      <c r="FB44" s="101"/>
      <c r="FC44" s="101"/>
      <c r="FD44" s="101"/>
      <c r="FE44" s="101"/>
      <c r="FF44" s="101"/>
      <c r="FG44" s="101"/>
      <c r="FH44" s="101"/>
      <c r="FI44" s="101"/>
      <c r="FJ44" s="101"/>
      <c r="FK44" s="101"/>
      <c r="FL44" s="101"/>
      <c r="FM44" s="101"/>
      <c r="FN44" s="101"/>
      <c r="FO44" s="101"/>
      <c r="FP44" s="101"/>
      <c r="FQ44" s="101"/>
      <c r="FR44" s="101"/>
      <c r="FS44" s="101"/>
      <c r="FT44" s="101"/>
      <c r="FU44" s="101"/>
      <c r="FV44" s="101"/>
      <c r="FW44" s="101"/>
      <c r="FX44" s="101"/>
      <c r="FY44" s="101"/>
      <c r="FZ44" s="101"/>
      <c r="GA44" s="101"/>
      <c r="GB44" s="101"/>
      <c r="GC44" s="101"/>
      <c r="GD44" s="101"/>
      <c r="GE44" s="101"/>
      <c r="GF44" s="101"/>
      <c r="GG44" s="101"/>
      <c r="GH44" s="101"/>
      <c r="GI44" s="101"/>
      <c r="GJ44" s="101"/>
    </row>
    <row r="45" spans="1:192" ht="50.1" customHeight="1" x14ac:dyDescent="0.25">
      <c r="A45" s="148" t="s">
        <v>7</v>
      </c>
      <c r="B45" s="167" t="s">
        <v>297</v>
      </c>
      <c r="C45" s="139" t="s">
        <v>460</v>
      </c>
      <c r="D45" s="170" t="s">
        <v>22</v>
      </c>
      <c r="E45" s="144" t="s">
        <v>685</v>
      </c>
      <c r="F45" s="211"/>
      <c r="G45" s="74"/>
      <c r="H45" s="74"/>
      <c r="I45" s="74"/>
      <c r="J45" s="74"/>
      <c r="K45" s="74"/>
      <c r="L45" s="74"/>
      <c r="M45" s="74"/>
      <c r="N45" s="74"/>
      <c r="O45" s="74"/>
      <c r="P45" s="74"/>
      <c r="Q45" s="74"/>
      <c r="R45" s="74"/>
      <c r="S45" s="74"/>
      <c r="T45" s="74"/>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101"/>
      <c r="AZ45" s="101"/>
      <c r="BA45" s="101"/>
      <c r="BB45" s="101"/>
      <c r="BC45" s="101"/>
      <c r="BD45" s="101"/>
      <c r="BE45" s="101"/>
      <c r="BF45" s="101"/>
      <c r="BG45" s="101"/>
      <c r="BH45" s="101"/>
      <c r="BI45" s="101"/>
      <c r="BJ45" s="101"/>
      <c r="BK45" s="101"/>
      <c r="BL45" s="101"/>
      <c r="BM45" s="101"/>
      <c r="BN45" s="101"/>
      <c r="BO45" s="101"/>
      <c r="BP45" s="101"/>
      <c r="BQ45" s="101"/>
      <c r="BR45" s="101"/>
      <c r="BS45" s="101"/>
      <c r="BT45" s="101"/>
      <c r="BU45" s="101"/>
      <c r="BV45" s="101"/>
      <c r="BW45" s="101"/>
      <c r="BX45" s="101"/>
      <c r="BY45" s="101"/>
      <c r="BZ45" s="101"/>
      <c r="CA45" s="101"/>
      <c r="CB45" s="101"/>
      <c r="CC45" s="101"/>
      <c r="CD45" s="101"/>
      <c r="CE45" s="101"/>
      <c r="CF45" s="101"/>
      <c r="CG45" s="101"/>
      <c r="CH45" s="101"/>
      <c r="CI45" s="101"/>
      <c r="CJ45" s="101"/>
      <c r="CK45" s="101"/>
      <c r="CL45" s="101"/>
      <c r="CM45" s="101"/>
      <c r="CN45" s="101"/>
      <c r="CO45" s="101"/>
      <c r="CP45" s="101"/>
      <c r="CQ45" s="101"/>
      <c r="CR45" s="101"/>
      <c r="CS45" s="101"/>
      <c r="CT45" s="101"/>
      <c r="CU45" s="101"/>
      <c r="CV45" s="101"/>
      <c r="CW45" s="101"/>
      <c r="CX45" s="101"/>
      <c r="CY45" s="101"/>
      <c r="CZ45" s="101"/>
      <c r="DA45" s="101"/>
      <c r="DB45" s="101"/>
      <c r="DC45" s="101"/>
      <c r="DD45" s="101"/>
      <c r="DE45" s="101"/>
      <c r="DF45" s="101"/>
      <c r="DG45" s="101"/>
      <c r="DH45" s="101"/>
      <c r="DI45" s="101"/>
      <c r="DJ45" s="101"/>
      <c r="DK45" s="101"/>
      <c r="DL45" s="101"/>
      <c r="DM45" s="101"/>
      <c r="DN45" s="101"/>
      <c r="DO45" s="101"/>
      <c r="DP45" s="101"/>
      <c r="DQ45" s="101"/>
      <c r="DR45" s="101"/>
      <c r="DS45" s="101"/>
      <c r="DT45" s="101"/>
      <c r="DU45" s="101"/>
      <c r="DV45" s="101"/>
      <c r="DW45" s="101"/>
      <c r="DX45" s="101"/>
      <c r="DY45" s="101"/>
      <c r="DZ45" s="101"/>
      <c r="EA45" s="101"/>
      <c r="EB45" s="101"/>
      <c r="EC45" s="101"/>
      <c r="ED45" s="101"/>
      <c r="EE45" s="101"/>
      <c r="EF45" s="101"/>
      <c r="EG45" s="101"/>
      <c r="EH45" s="101"/>
      <c r="EI45" s="101"/>
      <c r="EJ45" s="101"/>
      <c r="EK45" s="101"/>
      <c r="EL45" s="101"/>
      <c r="EM45" s="101"/>
      <c r="EN45" s="101"/>
      <c r="EO45" s="101"/>
      <c r="EP45" s="101"/>
      <c r="EQ45" s="101"/>
      <c r="ER45" s="101"/>
      <c r="ES45" s="101"/>
      <c r="ET45" s="101"/>
      <c r="EU45" s="101"/>
      <c r="EV45" s="101"/>
      <c r="EW45" s="101"/>
      <c r="EX45" s="101"/>
      <c r="EY45" s="101"/>
      <c r="EZ45" s="101"/>
      <c r="FA45" s="101"/>
      <c r="FB45" s="101"/>
      <c r="FC45" s="101"/>
      <c r="FD45" s="101"/>
      <c r="FE45" s="101"/>
      <c r="FF45" s="101"/>
      <c r="FG45" s="101"/>
      <c r="FH45" s="101"/>
      <c r="FI45" s="101"/>
      <c r="FJ45" s="101"/>
      <c r="FK45" s="101"/>
      <c r="FL45" s="101"/>
      <c r="FM45" s="101"/>
      <c r="FN45" s="101"/>
      <c r="FO45" s="101"/>
      <c r="FP45" s="101"/>
      <c r="FQ45" s="101"/>
      <c r="FR45" s="101"/>
      <c r="FS45" s="101"/>
      <c r="FT45" s="101"/>
      <c r="FU45" s="101"/>
      <c r="FV45" s="101"/>
      <c r="FW45" s="101"/>
      <c r="FX45" s="101"/>
      <c r="FY45" s="101"/>
      <c r="FZ45" s="101"/>
      <c r="GA45" s="101"/>
      <c r="GB45" s="101"/>
      <c r="GC45" s="101"/>
      <c r="GD45" s="101"/>
      <c r="GE45" s="101"/>
      <c r="GF45" s="101"/>
      <c r="GG45" s="101"/>
      <c r="GH45" s="101"/>
      <c r="GI45" s="101"/>
      <c r="GJ45" s="101"/>
    </row>
    <row r="46" spans="1:192" ht="50.1" customHeight="1" outlineLevel="1" x14ac:dyDescent="0.25">
      <c r="A46" s="149" t="s">
        <v>234</v>
      </c>
      <c r="B46" s="168" t="s">
        <v>298</v>
      </c>
      <c r="C46" s="140" t="s">
        <v>626</v>
      </c>
      <c r="D46" s="171" t="s">
        <v>22</v>
      </c>
      <c r="E46" s="146" t="s">
        <v>546</v>
      </c>
      <c r="F46" s="214"/>
      <c r="G46" s="74"/>
      <c r="H46" s="74"/>
      <c r="I46" s="74"/>
      <c r="J46" s="74"/>
      <c r="K46" s="74"/>
      <c r="L46" s="74"/>
      <c r="M46" s="74"/>
      <c r="N46" s="74"/>
      <c r="O46" s="74"/>
      <c r="P46" s="74"/>
      <c r="Q46" s="74"/>
      <c r="R46" s="74"/>
      <c r="S46" s="74"/>
      <c r="T46" s="74"/>
      <c r="U46" s="74"/>
      <c r="V46" s="74"/>
      <c r="W46" s="74"/>
      <c r="X46" s="74"/>
      <c r="Y46" s="74"/>
      <c r="Z46" s="7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X46" s="74"/>
      <c r="AY46" s="101"/>
      <c r="AZ46" s="101"/>
      <c r="BA46" s="101"/>
      <c r="BB46" s="101"/>
      <c r="BC46" s="101"/>
      <c r="BD46" s="101"/>
      <c r="BE46" s="101"/>
      <c r="BF46" s="101"/>
      <c r="BG46" s="101"/>
      <c r="BH46" s="101"/>
      <c r="BI46" s="101"/>
      <c r="BJ46" s="101"/>
      <c r="BK46" s="101"/>
      <c r="BL46" s="101"/>
      <c r="BM46" s="101"/>
      <c r="BN46" s="101"/>
      <c r="BO46" s="101"/>
      <c r="BP46" s="101"/>
      <c r="BQ46" s="101"/>
      <c r="BR46" s="101"/>
      <c r="BS46" s="101"/>
      <c r="BT46" s="101"/>
      <c r="BU46" s="101"/>
      <c r="BV46" s="101"/>
      <c r="BW46" s="101"/>
      <c r="BX46" s="101"/>
      <c r="BY46" s="101"/>
      <c r="BZ46" s="101"/>
      <c r="CA46" s="101"/>
      <c r="CB46" s="101"/>
      <c r="CC46" s="101"/>
      <c r="CD46" s="101"/>
      <c r="CE46" s="101"/>
      <c r="CF46" s="101"/>
      <c r="CG46" s="101"/>
      <c r="CH46" s="101"/>
      <c r="CI46" s="101"/>
      <c r="CJ46" s="101"/>
      <c r="CK46" s="101"/>
      <c r="CL46" s="101"/>
      <c r="CM46" s="101"/>
      <c r="CN46" s="101"/>
      <c r="CO46" s="101"/>
      <c r="CP46" s="101"/>
      <c r="CQ46" s="101"/>
      <c r="CR46" s="101"/>
      <c r="CS46" s="101"/>
      <c r="CT46" s="101"/>
      <c r="CU46" s="101"/>
      <c r="CV46" s="101"/>
      <c r="CW46" s="101"/>
      <c r="CX46" s="101"/>
      <c r="CY46" s="101"/>
      <c r="CZ46" s="101"/>
      <c r="DA46" s="101"/>
      <c r="DB46" s="101"/>
      <c r="DC46" s="101"/>
      <c r="DD46" s="101"/>
      <c r="DE46" s="101"/>
      <c r="DF46" s="101"/>
      <c r="DG46" s="101"/>
      <c r="DH46" s="101"/>
      <c r="DI46" s="101"/>
      <c r="DJ46" s="101"/>
      <c r="DK46" s="101"/>
      <c r="DL46" s="101"/>
      <c r="DM46" s="101"/>
      <c r="DN46" s="101"/>
      <c r="DO46" s="101"/>
      <c r="DP46" s="101"/>
      <c r="DQ46" s="101"/>
      <c r="DR46" s="101"/>
      <c r="DS46" s="101"/>
      <c r="DT46" s="101"/>
      <c r="DU46" s="101"/>
      <c r="DV46" s="101"/>
      <c r="DW46" s="101"/>
      <c r="DX46" s="101"/>
      <c r="DY46" s="101"/>
      <c r="DZ46" s="101"/>
      <c r="EA46" s="101"/>
      <c r="EB46" s="101"/>
      <c r="EC46" s="101"/>
      <c r="ED46" s="101"/>
      <c r="EE46" s="101"/>
      <c r="EF46" s="101"/>
      <c r="EG46" s="101"/>
      <c r="EH46" s="101"/>
      <c r="EI46" s="101"/>
      <c r="EJ46" s="101"/>
      <c r="EK46" s="101"/>
      <c r="EL46" s="101"/>
      <c r="EM46" s="101"/>
      <c r="EN46" s="101"/>
      <c r="EO46" s="101"/>
      <c r="EP46" s="101"/>
      <c r="EQ46" s="101"/>
      <c r="ER46" s="101"/>
      <c r="ES46" s="101"/>
      <c r="ET46" s="101"/>
      <c r="EU46" s="101"/>
      <c r="EV46" s="101"/>
      <c r="EW46" s="101"/>
      <c r="EX46" s="101"/>
      <c r="EY46" s="101"/>
      <c r="EZ46" s="101"/>
      <c r="FA46" s="101"/>
      <c r="FB46" s="101"/>
      <c r="FC46" s="101"/>
      <c r="FD46" s="101"/>
      <c r="FE46" s="101"/>
      <c r="FF46" s="101"/>
      <c r="FG46" s="101"/>
      <c r="FH46" s="101"/>
      <c r="FI46" s="101"/>
      <c r="FJ46" s="101"/>
      <c r="FK46" s="101"/>
      <c r="FL46" s="101"/>
      <c r="FM46" s="101"/>
      <c r="FN46" s="101"/>
      <c r="FO46" s="101"/>
      <c r="FP46" s="101"/>
      <c r="FQ46" s="101"/>
      <c r="FR46" s="101"/>
      <c r="FS46" s="101"/>
      <c r="FT46" s="101"/>
      <c r="FU46" s="101"/>
      <c r="FV46" s="101"/>
      <c r="FW46" s="101"/>
      <c r="FX46" s="101"/>
      <c r="FY46" s="101"/>
      <c r="FZ46" s="101"/>
      <c r="GA46" s="101"/>
      <c r="GB46" s="101"/>
      <c r="GC46" s="101"/>
      <c r="GD46" s="101"/>
      <c r="GE46" s="101"/>
      <c r="GF46" s="101"/>
      <c r="GG46" s="101"/>
      <c r="GH46" s="101"/>
      <c r="GI46" s="101"/>
      <c r="GJ46" s="101"/>
    </row>
    <row r="47" spans="1:192" ht="50.1" customHeight="1" outlineLevel="1" x14ac:dyDescent="0.25">
      <c r="A47" s="149" t="s">
        <v>234</v>
      </c>
      <c r="B47" s="167" t="s">
        <v>299</v>
      </c>
      <c r="C47" s="239" t="s">
        <v>672</v>
      </c>
      <c r="D47" s="170" t="s">
        <v>22</v>
      </c>
      <c r="E47" s="147" t="s">
        <v>686</v>
      </c>
      <c r="F47" s="211"/>
      <c r="G47" s="74"/>
      <c r="H47" s="74"/>
      <c r="I47" s="74"/>
      <c r="J47" s="74"/>
      <c r="K47" s="74"/>
      <c r="L47" s="74"/>
      <c r="M47" s="74"/>
      <c r="N47" s="74"/>
      <c r="O47" s="74"/>
      <c r="P47" s="74"/>
      <c r="Q47" s="74"/>
      <c r="R47" s="74"/>
      <c r="S47" s="74"/>
      <c r="T47" s="74"/>
      <c r="U47" s="74"/>
      <c r="V47" s="74"/>
      <c r="W47" s="74"/>
      <c r="X47" s="74"/>
      <c r="Y47" s="74"/>
      <c r="Z47" s="74"/>
      <c r="AA47" s="74"/>
      <c r="AB47" s="74"/>
      <c r="AC47" s="74"/>
      <c r="AD47" s="74"/>
      <c r="AE47" s="74"/>
      <c r="AF47" s="74"/>
      <c r="AG47" s="74"/>
      <c r="AH47" s="74"/>
      <c r="AI47" s="74"/>
      <c r="AJ47" s="74"/>
      <c r="AK47" s="74"/>
      <c r="AL47" s="74"/>
      <c r="AM47" s="74"/>
      <c r="AN47" s="74"/>
      <c r="AO47" s="74"/>
      <c r="AP47" s="74"/>
      <c r="AQ47" s="74"/>
      <c r="AR47" s="74"/>
      <c r="AS47" s="74"/>
      <c r="AT47" s="74"/>
      <c r="AU47" s="74"/>
      <c r="AV47" s="74"/>
      <c r="AW47" s="74"/>
      <c r="AX47" s="74"/>
      <c r="AY47" s="101"/>
      <c r="AZ47" s="101"/>
      <c r="BA47" s="101"/>
      <c r="BB47" s="101"/>
      <c r="BC47" s="101"/>
      <c r="BD47" s="101"/>
      <c r="BE47" s="101"/>
      <c r="BF47" s="101"/>
      <c r="BG47" s="101"/>
      <c r="BH47" s="101"/>
      <c r="BI47" s="101"/>
      <c r="BJ47" s="101"/>
      <c r="BK47" s="101"/>
      <c r="BL47" s="101"/>
      <c r="BM47" s="101"/>
      <c r="BN47" s="101"/>
      <c r="BO47" s="101"/>
      <c r="BP47" s="101"/>
      <c r="BQ47" s="101"/>
      <c r="BR47" s="101"/>
      <c r="BS47" s="101"/>
      <c r="BT47" s="101"/>
      <c r="BU47" s="101"/>
      <c r="BV47" s="101"/>
      <c r="BW47" s="101"/>
      <c r="BX47" s="101"/>
      <c r="BY47" s="101"/>
      <c r="BZ47" s="101"/>
      <c r="CA47" s="101"/>
      <c r="CB47" s="101"/>
      <c r="CC47" s="101"/>
      <c r="CD47" s="101"/>
      <c r="CE47" s="101"/>
      <c r="CF47" s="101"/>
      <c r="CG47" s="101"/>
      <c r="CH47" s="101"/>
      <c r="CI47" s="101"/>
      <c r="CJ47" s="101"/>
      <c r="CK47" s="101"/>
      <c r="CL47" s="101"/>
      <c r="CM47" s="101"/>
      <c r="CN47" s="101"/>
      <c r="CO47" s="101"/>
      <c r="CP47" s="101"/>
      <c r="CQ47" s="101"/>
      <c r="CR47" s="101"/>
      <c r="CS47" s="101"/>
      <c r="CT47" s="101"/>
      <c r="CU47" s="101"/>
      <c r="CV47" s="101"/>
      <c r="CW47" s="101"/>
      <c r="CX47" s="101"/>
      <c r="CY47" s="101"/>
      <c r="CZ47" s="101"/>
      <c r="DA47" s="101"/>
      <c r="DB47" s="101"/>
      <c r="DC47" s="101"/>
      <c r="DD47" s="101"/>
      <c r="DE47" s="101"/>
      <c r="DF47" s="101"/>
      <c r="DG47" s="101"/>
      <c r="DH47" s="101"/>
      <c r="DI47" s="101"/>
      <c r="DJ47" s="101"/>
      <c r="DK47" s="101"/>
      <c r="DL47" s="101"/>
      <c r="DM47" s="101"/>
      <c r="DN47" s="101"/>
      <c r="DO47" s="101"/>
      <c r="DP47" s="101"/>
      <c r="DQ47" s="101"/>
      <c r="DR47" s="101"/>
      <c r="DS47" s="101"/>
      <c r="DT47" s="101"/>
      <c r="DU47" s="101"/>
      <c r="DV47" s="101"/>
      <c r="DW47" s="101"/>
      <c r="DX47" s="101"/>
      <c r="DY47" s="101"/>
      <c r="DZ47" s="101"/>
      <c r="EA47" s="101"/>
      <c r="EB47" s="101"/>
      <c r="EC47" s="101"/>
      <c r="ED47" s="101"/>
      <c r="EE47" s="101"/>
      <c r="EF47" s="101"/>
      <c r="EG47" s="101"/>
      <c r="EH47" s="101"/>
      <c r="EI47" s="101"/>
      <c r="EJ47" s="101"/>
      <c r="EK47" s="101"/>
      <c r="EL47" s="101"/>
      <c r="EM47" s="101"/>
      <c r="EN47" s="101"/>
      <c r="EO47" s="101"/>
      <c r="EP47" s="101"/>
      <c r="EQ47" s="101"/>
      <c r="ER47" s="101"/>
      <c r="ES47" s="101"/>
      <c r="ET47" s="101"/>
      <c r="EU47" s="101"/>
      <c r="EV47" s="101"/>
      <c r="EW47" s="101"/>
      <c r="EX47" s="101"/>
      <c r="EY47" s="101"/>
      <c r="EZ47" s="101"/>
      <c r="FA47" s="101"/>
      <c r="FB47" s="101"/>
      <c r="FC47" s="101"/>
      <c r="FD47" s="101"/>
      <c r="FE47" s="101"/>
      <c r="FF47" s="101"/>
      <c r="FG47" s="101"/>
      <c r="FH47" s="101"/>
      <c r="FI47" s="101"/>
      <c r="FJ47" s="101"/>
      <c r="FK47" s="101"/>
      <c r="FL47" s="101"/>
      <c r="FM47" s="101"/>
      <c r="FN47" s="101"/>
      <c r="FO47" s="101"/>
      <c r="FP47" s="101"/>
      <c r="FQ47" s="101"/>
      <c r="FR47" s="101"/>
      <c r="FS47" s="101"/>
      <c r="FT47" s="101"/>
      <c r="FU47" s="101"/>
      <c r="FV47" s="101"/>
      <c r="FW47" s="101"/>
      <c r="FX47" s="101"/>
      <c r="FY47" s="101"/>
      <c r="FZ47" s="101"/>
      <c r="GA47" s="101"/>
      <c r="GB47" s="101"/>
      <c r="GC47" s="101"/>
      <c r="GD47" s="101"/>
      <c r="GE47" s="101"/>
      <c r="GF47" s="101"/>
      <c r="GG47" s="101"/>
      <c r="GH47" s="101"/>
      <c r="GI47" s="101"/>
      <c r="GJ47" s="101"/>
    </row>
    <row r="48" spans="1:192" ht="50.1" customHeight="1" outlineLevel="1" x14ac:dyDescent="0.25">
      <c r="A48" s="148" t="s">
        <v>6</v>
      </c>
      <c r="B48" s="168" t="s">
        <v>300</v>
      </c>
      <c r="C48" s="140" t="s">
        <v>461</v>
      </c>
      <c r="D48" s="171" t="s">
        <v>22</v>
      </c>
      <c r="E48" s="142" t="s">
        <v>547</v>
      </c>
      <c r="F48" s="214"/>
      <c r="G48" s="74"/>
      <c r="H48" s="74"/>
      <c r="I48" s="74"/>
      <c r="J48" s="74"/>
      <c r="K48" s="74"/>
      <c r="L48" s="74"/>
      <c r="M48" s="74"/>
      <c r="N48" s="74"/>
      <c r="O48" s="74"/>
      <c r="P48" s="74"/>
      <c r="Q48" s="74"/>
      <c r="R48" s="74"/>
      <c r="S48" s="74"/>
      <c r="T48" s="74"/>
      <c r="U48" s="74"/>
      <c r="V48" s="74"/>
      <c r="W48" s="74"/>
      <c r="X48" s="74"/>
      <c r="Y48" s="74"/>
      <c r="Z48" s="74"/>
      <c r="AA48" s="74"/>
      <c r="AB48" s="74"/>
      <c r="AC48" s="74"/>
      <c r="AD48" s="74"/>
      <c r="AE48" s="74"/>
      <c r="AF48" s="74"/>
      <c r="AG48" s="74"/>
      <c r="AH48" s="74"/>
      <c r="AI48" s="74"/>
      <c r="AJ48" s="74"/>
      <c r="AK48" s="74"/>
      <c r="AL48" s="74"/>
      <c r="AM48" s="74"/>
      <c r="AN48" s="74"/>
      <c r="AO48" s="74"/>
      <c r="AP48" s="74"/>
      <c r="AQ48" s="74"/>
      <c r="AR48" s="74"/>
      <c r="AS48" s="74"/>
      <c r="AT48" s="74"/>
      <c r="AU48" s="74"/>
      <c r="AV48" s="74"/>
      <c r="AW48" s="74"/>
      <c r="AX48" s="74"/>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c r="CO48" s="101"/>
      <c r="CP48" s="101"/>
      <c r="CQ48" s="101"/>
      <c r="CR48" s="101"/>
      <c r="CS48" s="101"/>
      <c r="CT48" s="101"/>
      <c r="CU48" s="101"/>
      <c r="CV48" s="101"/>
      <c r="CW48" s="101"/>
      <c r="CX48" s="101"/>
      <c r="CY48" s="101"/>
      <c r="CZ48" s="101"/>
      <c r="DA48" s="101"/>
      <c r="DB48" s="101"/>
      <c r="DC48" s="101"/>
      <c r="DD48" s="101"/>
      <c r="DE48" s="101"/>
      <c r="DF48" s="101"/>
      <c r="DG48" s="101"/>
      <c r="DH48" s="101"/>
      <c r="DI48" s="101"/>
      <c r="DJ48" s="101"/>
      <c r="DK48" s="101"/>
      <c r="DL48" s="101"/>
      <c r="DM48" s="101"/>
      <c r="DN48" s="101"/>
      <c r="DO48" s="101"/>
      <c r="DP48" s="101"/>
      <c r="DQ48" s="101"/>
      <c r="DR48" s="101"/>
      <c r="DS48" s="101"/>
      <c r="DT48" s="101"/>
      <c r="DU48" s="101"/>
      <c r="DV48" s="101"/>
      <c r="DW48" s="101"/>
      <c r="DX48" s="101"/>
      <c r="DY48" s="101"/>
      <c r="DZ48" s="101"/>
      <c r="EA48" s="101"/>
      <c r="EB48" s="101"/>
      <c r="EC48" s="101"/>
      <c r="ED48" s="101"/>
      <c r="EE48" s="101"/>
      <c r="EF48" s="101"/>
      <c r="EG48" s="101"/>
      <c r="EH48" s="101"/>
      <c r="EI48" s="101"/>
      <c r="EJ48" s="101"/>
      <c r="EK48" s="101"/>
      <c r="EL48" s="101"/>
      <c r="EM48" s="101"/>
      <c r="EN48" s="101"/>
      <c r="EO48" s="101"/>
      <c r="EP48" s="101"/>
      <c r="EQ48" s="101"/>
      <c r="ER48" s="101"/>
      <c r="ES48" s="101"/>
      <c r="ET48" s="101"/>
      <c r="EU48" s="101"/>
      <c r="EV48" s="101"/>
      <c r="EW48" s="101"/>
      <c r="EX48" s="101"/>
      <c r="EY48" s="101"/>
      <c r="EZ48" s="101"/>
      <c r="FA48" s="101"/>
      <c r="FB48" s="101"/>
      <c r="FC48" s="101"/>
      <c r="FD48" s="101"/>
      <c r="FE48" s="101"/>
      <c r="FF48" s="101"/>
      <c r="FG48" s="101"/>
      <c r="FH48" s="101"/>
      <c r="FI48" s="101"/>
      <c r="FJ48" s="101"/>
      <c r="FK48" s="101"/>
      <c r="FL48" s="101"/>
      <c r="FM48" s="101"/>
      <c r="FN48" s="101"/>
      <c r="FO48" s="101"/>
      <c r="FP48" s="101"/>
      <c r="FQ48" s="101"/>
      <c r="FR48" s="101"/>
      <c r="FS48" s="101"/>
      <c r="FT48" s="101"/>
      <c r="FU48" s="101"/>
      <c r="FV48" s="101"/>
      <c r="FW48" s="101"/>
      <c r="FX48" s="101"/>
      <c r="FY48" s="101"/>
      <c r="FZ48" s="101"/>
      <c r="GA48" s="101"/>
      <c r="GB48" s="101"/>
      <c r="GC48" s="101"/>
      <c r="GD48" s="101"/>
      <c r="GE48" s="101"/>
      <c r="GF48" s="101"/>
      <c r="GG48" s="101"/>
      <c r="GH48" s="101"/>
      <c r="GI48" s="101"/>
      <c r="GJ48" s="101"/>
    </row>
    <row r="49" spans="1:192" ht="50.1" customHeight="1" outlineLevel="1" x14ac:dyDescent="0.25">
      <c r="A49" s="148" t="s">
        <v>6</v>
      </c>
      <c r="B49" s="167" t="s">
        <v>301</v>
      </c>
      <c r="C49" s="139" t="s">
        <v>462</v>
      </c>
      <c r="D49" s="170" t="s">
        <v>22</v>
      </c>
      <c r="E49" s="144" t="s">
        <v>548</v>
      </c>
      <c r="F49" s="211"/>
      <c r="G49" s="74"/>
      <c r="H49" s="74"/>
      <c r="I49" s="74"/>
      <c r="J49" s="74"/>
      <c r="K49" s="74"/>
      <c r="L49" s="74"/>
      <c r="M49" s="74"/>
      <c r="N49" s="74"/>
      <c r="O49" s="74"/>
      <c r="P49" s="74"/>
      <c r="Q49" s="74"/>
      <c r="R49" s="74"/>
      <c r="S49" s="74"/>
      <c r="T49" s="74"/>
      <c r="U49" s="74"/>
      <c r="V49" s="74"/>
      <c r="W49" s="74"/>
      <c r="X49" s="74"/>
      <c r="Y49" s="74"/>
      <c r="Z49" s="74"/>
      <c r="AA49" s="74"/>
      <c r="AB49" s="74"/>
      <c r="AC49" s="74"/>
      <c r="AD49" s="74"/>
      <c r="AE49" s="74"/>
      <c r="AF49" s="74"/>
      <c r="AG49" s="74"/>
      <c r="AH49" s="74"/>
      <c r="AI49" s="74"/>
      <c r="AJ49" s="74"/>
      <c r="AK49" s="74"/>
      <c r="AL49" s="74"/>
      <c r="AM49" s="74"/>
      <c r="AN49" s="74"/>
      <c r="AO49" s="74"/>
      <c r="AP49" s="74"/>
      <c r="AQ49" s="74"/>
      <c r="AR49" s="74"/>
      <c r="AS49" s="74"/>
      <c r="AT49" s="74"/>
      <c r="AU49" s="74"/>
      <c r="AV49" s="74"/>
      <c r="AW49" s="74"/>
      <c r="AX49" s="74"/>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c r="CO49" s="101"/>
      <c r="CP49" s="101"/>
      <c r="CQ49" s="101"/>
      <c r="CR49" s="101"/>
      <c r="CS49" s="101"/>
      <c r="CT49" s="101"/>
      <c r="CU49" s="101"/>
      <c r="CV49" s="101"/>
      <c r="CW49" s="101"/>
      <c r="CX49" s="101"/>
      <c r="CY49" s="101"/>
      <c r="CZ49" s="101"/>
      <c r="DA49" s="101"/>
      <c r="DB49" s="101"/>
      <c r="DC49" s="101"/>
      <c r="DD49" s="101"/>
      <c r="DE49" s="101"/>
      <c r="DF49" s="101"/>
      <c r="DG49" s="101"/>
      <c r="DH49" s="101"/>
      <c r="DI49" s="101"/>
      <c r="DJ49" s="101"/>
      <c r="DK49" s="101"/>
      <c r="DL49" s="101"/>
      <c r="DM49" s="101"/>
      <c r="DN49" s="101"/>
      <c r="DO49" s="101"/>
      <c r="DP49" s="101"/>
      <c r="DQ49" s="101"/>
      <c r="DR49" s="101"/>
      <c r="DS49" s="101"/>
      <c r="DT49" s="101"/>
      <c r="DU49" s="101"/>
      <c r="DV49" s="101"/>
      <c r="DW49" s="101"/>
      <c r="DX49" s="101"/>
      <c r="DY49" s="101"/>
      <c r="DZ49" s="101"/>
      <c r="EA49" s="101"/>
      <c r="EB49" s="101"/>
      <c r="EC49" s="101"/>
      <c r="ED49" s="101"/>
      <c r="EE49" s="101"/>
      <c r="EF49" s="101"/>
      <c r="EG49" s="101"/>
      <c r="EH49" s="101"/>
      <c r="EI49" s="101"/>
      <c r="EJ49" s="101"/>
      <c r="EK49" s="101"/>
      <c r="EL49" s="101"/>
      <c r="EM49" s="101"/>
      <c r="EN49" s="101"/>
      <c r="EO49" s="101"/>
      <c r="EP49" s="101"/>
      <c r="EQ49" s="101"/>
      <c r="ER49" s="101"/>
      <c r="ES49" s="101"/>
      <c r="ET49" s="101"/>
      <c r="EU49" s="101"/>
      <c r="EV49" s="101"/>
      <c r="EW49" s="101"/>
      <c r="EX49" s="101"/>
      <c r="EY49" s="101"/>
      <c r="EZ49" s="101"/>
      <c r="FA49" s="101"/>
      <c r="FB49" s="101"/>
      <c r="FC49" s="101"/>
      <c r="FD49" s="101"/>
      <c r="FE49" s="101"/>
      <c r="FF49" s="101"/>
      <c r="FG49" s="101"/>
      <c r="FH49" s="101"/>
      <c r="FI49" s="101"/>
      <c r="FJ49" s="101"/>
      <c r="FK49" s="101"/>
      <c r="FL49" s="101"/>
      <c r="FM49" s="101"/>
      <c r="FN49" s="101"/>
      <c r="FO49" s="101"/>
      <c r="FP49" s="101"/>
      <c r="FQ49" s="101"/>
      <c r="FR49" s="101"/>
      <c r="FS49" s="101"/>
      <c r="FT49" s="101"/>
      <c r="FU49" s="101"/>
      <c r="FV49" s="101"/>
      <c r="FW49" s="101"/>
      <c r="FX49" s="101"/>
      <c r="FY49" s="101"/>
      <c r="FZ49" s="101"/>
      <c r="GA49" s="101"/>
      <c r="GB49" s="101"/>
      <c r="GC49" s="101"/>
      <c r="GD49" s="101"/>
      <c r="GE49" s="101"/>
      <c r="GF49" s="101"/>
      <c r="GG49" s="101"/>
      <c r="GH49" s="101"/>
      <c r="GI49" s="101"/>
      <c r="GJ49" s="101"/>
    </row>
    <row r="50" spans="1:192" ht="50.1" customHeight="1" outlineLevel="1" x14ac:dyDescent="0.25">
      <c r="A50" s="148" t="s">
        <v>6</v>
      </c>
      <c r="B50" s="168" t="s">
        <v>302</v>
      </c>
      <c r="C50" s="140" t="s">
        <v>463</v>
      </c>
      <c r="D50" s="171" t="s">
        <v>22</v>
      </c>
      <c r="E50" s="141" t="s">
        <v>549</v>
      </c>
      <c r="F50" s="214"/>
      <c r="G50" s="74"/>
      <c r="H50" s="74"/>
      <c r="I50" s="74"/>
      <c r="J50" s="74"/>
      <c r="K50" s="74"/>
      <c r="L50" s="74"/>
      <c r="M50" s="74"/>
      <c r="N50" s="74"/>
      <c r="O50" s="74"/>
      <c r="P50" s="74"/>
      <c r="Q50" s="74"/>
      <c r="R50" s="74"/>
      <c r="S50" s="74"/>
      <c r="T50" s="74"/>
      <c r="U50" s="74"/>
      <c r="V50" s="74"/>
      <c r="W50" s="74"/>
      <c r="X50" s="74"/>
      <c r="Y50" s="74"/>
      <c r="Z50" s="74"/>
      <c r="AA50" s="74"/>
      <c r="AB50" s="74"/>
      <c r="AC50" s="74"/>
      <c r="AD50" s="74"/>
      <c r="AE50" s="74"/>
      <c r="AF50" s="74"/>
      <c r="AG50" s="74"/>
      <c r="AH50" s="74"/>
      <c r="AI50" s="74"/>
      <c r="AJ50" s="74"/>
      <c r="AK50" s="74"/>
      <c r="AL50" s="74"/>
      <c r="AM50" s="74"/>
      <c r="AN50" s="74"/>
      <c r="AO50" s="74"/>
      <c r="AP50" s="74"/>
      <c r="AQ50" s="74"/>
      <c r="AR50" s="74"/>
      <c r="AS50" s="74"/>
      <c r="AT50" s="74"/>
      <c r="AU50" s="74"/>
      <c r="AV50" s="74"/>
      <c r="AW50" s="74"/>
      <c r="AX50" s="74"/>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c r="CO50" s="101"/>
      <c r="CP50" s="101"/>
      <c r="CQ50" s="101"/>
      <c r="CR50" s="101"/>
      <c r="CS50" s="101"/>
      <c r="CT50" s="101"/>
      <c r="CU50" s="101"/>
      <c r="CV50" s="101"/>
      <c r="CW50" s="101"/>
      <c r="CX50" s="101"/>
      <c r="CY50" s="101"/>
      <c r="CZ50" s="101"/>
      <c r="DA50" s="101"/>
      <c r="DB50" s="101"/>
      <c r="DC50" s="101"/>
      <c r="DD50" s="101"/>
      <c r="DE50" s="101"/>
      <c r="DF50" s="101"/>
      <c r="DG50" s="101"/>
      <c r="DH50" s="101"/>
      <c r="DI50" s="101"/>
      <c r="DJ50" s="101"/>
      <c r="DK50" s="101"/>
      <c r="DL50" s="101"/>
      <c r="DM50" s="101"/>
      <c r="DN50" s="101"/>
      <c r="DO50" s="101"/>
      <c r="DP50" s="101"/>
      <c r="DQ50" s="101"/>
      <c r="DR50" s="101"/>
      <c r="DS50" s="101"/>
      <c r="DT50" s="101"/>
      <c r="DU50" s="101"/>
      <c r="DV50" s="101"/>
      <c r="DW50" s="101"/>
      <c r="DX50" s="101"/>
      <c r="DY50" s="101"/>
      <c r="DZ50" s="101"/>
      <c r="EA50" s="101"/>
      <c r="EB50" s="101"/>
      <c r="EC50" s="101"/>
      <c r="ED50" s="101"/>
      <c r="EE50" s="101"/>
      <c r="EF50" s="101"/>
      <c r="EG50" s="101"/>
      <c r="EH50" s="101"/>
      <c r="EI50" s="101"/>
      <c r="EJ50" s="101"/>
      <c r="EK50" s="101"/>
      <c r="EL50" s="101"/>
      <c r="EM50" s="101"/>
      <c r="EN50" s="101"/>
      <c r="EO50" s="101"/>
      <c r="EP50" s="101"/>
      <c r="EQ50" s="101"/>
      <c r="ER50" s="101"/>
      <c r="ES50" s="101"/>
      <c r="ET50" s="101"/>
      <c r="EU50" s="101"/>
      <c r="EV50" s="101"/>
      <c r="EW50" s="101"/>
      <c r="EX50" s="101"/>
      <c r="EY50" s="101"/>
      <c r="EZ50" s="101"/>
      <c r="FA50" s="101"/>
      <c r="FB50" s="101"/>
      <c r="FC50" s="101"/>
      <c r="FD50" s="101"/>
      <c r="FE50" s="101"/>
      <c r="FF50" s="101"/>
      <c r="FG50" s="101"/>
      <c r="FH50" s="101"/>
      <c r="FI50" s="101"/>
      <c r="FJ50" s="101"/>
      <c r="FK50" s="101"/>
      <c r="FL50" s="101"/>
      <c r="FM50" s="101"/>
      <c r="FN50" s="101"/>
      <c r="FO50" s="101"/>
      <c r="FP50" s="101"/>
      <c r="FQ50" s="101"/>
      <c r="FR50" s="101"/>
      <c r="FS50" s="101"/>
      <c r="FT50" s="101"/>
      <c r="FU50" s="101"/>
      <c r="FV50" s="101"/>
      <c r="FW50" s="101"/>
      <c r="FX50" s="101"/>
      <c r="FY50" s="101"/>
      <c r="FZ50" s="101"/>
      <c r="GA50" s="101"/>
      <c r="GB50" s="101"/>
      <c r="GC50" s="101"/>
      <c r="GD50" s="101"/>
      <c r="GE50" s="101"/>
      <c r="GF50" s="101"/>
      <c r="GG50" s="101"/>
      <c r="GH50" s="101"/>
      <c r="GI50" s="101"/>
      <c r="GJ50" s="101"/>
    </row>
    <row r="51" spans="1:192" ht="50.1" customHeight="1" outlineLevel="1" x14ac:dyDescent="0.25">
      <c r="A51" s="148" t="s">
        <v>6</v>
      </c>
      <c r="B51" s="167" t="s">
        <v>303</v>
      </c>
      <c r="C51" s="139" t="s">
        <v>464</v>
      </c>
      <c r="D51" s="170" t="s">
        <v>22</v>
      </c>
      <c r="E51" s="144" t="s">
        <v>550</v>
      </c>
      <c r="F51" s="211"/>
      <c r="G51" s="74"/>
      <c r="H51" s="74"/>
      <c r="I51" s="74"/>
      <c r="J51" s="74"/>
      <c r="K51" s="74"/>
      <c r="L51" s="74"/>
      <c r="M51" s="74"/>
      <c r="N51" s="74"/>
      <c r="O51" s="74"/>
      <c r="P51" s="74"/>
      <c r="Q51" s="74"/>
      <c r="R51" s="74"/>
      <c r="S51" s="74"/>
      <c r="T51" s="74"/>
      <c r="U51" s="74"/>
      <c r="V51" s="74"/>
      <c r="W51" s="74"/>
      <c r="X51" s="74"/>
      <c r="Y51" s="74"/>
      <c r="Z51" s="74"/>
      <c r="AA51" s="74"/>
      <c r="AB51" s="74"/>
      <c r="AC51" s="74"/>
      <c r="AD51" s="74"/>
      <c r="AE51" s="74"/>
      <c r="AF51" s="74"/>
      <c r="AG51" s="74"/>
      <c r="AH51" s="74"/>
      <c r="AI51" s="74"/>
      <c r="AJ51" s="74"/>
      <c r="AK51" s="74"/>
      <c r="AL51" s="74"/>
      <c r="AM51" s="74"/>
      <c r="AN51" s="74"/>
      <c r="AO51" s="74"/>
      <c r="AP51" s="74"/>
      <c r="AQ51" s="74"/>
      <c r="AR51" s="74"/>
      <c r="AS51" s="74"/>
      <c r="AT51" s="74"/>
      <c r="AU51" s="74"/>
      <c r="AV51" s="74"/>
      <c r="AW51" s="74"/>
      <c r="AX51" s="74"/>
      <c r="AY51" s="101"/>
      <c r="AZ51" s="101"/>
      <c r="BA51" s="101"/>
      <c r="BB51" s="101"/>
      <c r="BC51" s="101"/>
      <c r="BD51" s="101"/>
      <c r="BE51" s="101"/>
      <c r="BF51" s="101"/>
      <c r="BG51" s="101"/>
      <c r="BH51" s="101"/>
      <c r="BI51" s="101"/>
      <c r="BJ51" s="101"/>
      <c r="BK51" s="101"/>
      <c r="BL51" s="101"/>
      <c r="BM51" s="101"/>
      <c r="BN51" s="101"/>
      <c r="BO51" s="101"/>
      <c r="BP51" s="101"/>
      <c r="BQ51" s="101"/>
      <c r="BR51" s="101"/>
      <c r="BS51" s="101"/>
      <c r="BT51" s="101"/>
      <c r="BU51" s="101"/>
      <c r="BV51" s="101"/>
      <c r="BW51" s="101"/>
      <c r="BX51" s="101"/>
      <c r="BY51" s="101"/>
      <c r="BZ51" s="101"/>
      <c r="CA51" s="101"/>
      <c r="CB51" s="101"/>
      <c r="CC51" s="101"/>
      <c r="CD51" s="101"/>
      <c r="CE51" s="101"/>
      <c r="CF51" s="101"/>
      <c r="CG51" s="101"/>
      <c r="CH51" s="101"/>
      <c r="CI51" s="101"/>
      <c r="CJ51" s="101"/>
      <c r="CK51" s="101"/>
      <c r="CL51" s="101"/>
      <c r="CM51" s="101"/>
      <c r="CN51" s="101"/>
      <c r="CO51" s="101"/>
      <c r="CP51" s="101"/>
      <c r="CQ51" s="101"/>
      <c r="CR51" s="101"/>
      <c r="CS51" s="101"/>
      <c r="CT51" s="101"/>
      <c r="CU51" s="101"/>
      <c r="CV51" s="101"/>
      <c r="CW51" s="101"/>
      <c r="CX51" s="101"/>
      <c r="CY51" s="101"/>
      <c r="CZ51" s="101"/>
      <c r="DA51" s="101"/>
      <c r="DB51" s="101"/>
      <c r="DC51" s="101"/>
      <c r="DD51" s="101"/>
      <c r="DE51" s="101"/>
      <c r="DF51" s="101"/>
      <c r="DG51" s="101"/>
      <c r="DH51" s="101"/>
      <c r="DI51" s="101"/>
      <c r="DJ51" s="101"/>
      <c r="DK51" s="101"/>
      <c r="DL51" s="101"/>
      <c r="DM51" s="101"/>
      <c r="DN51" s="101"/>
      <c r="DO51" s="101"/>
      <c r="DP51" s="101"/>
      <c r="DQ51" s="101"/>
      <c r="DR51" s="101"/>
      <c r="DS51" s="101"/>
      <c r="DT51" s="101"/>
      <c r="DU51" s="101"/>
      <c r="DV51" s="101"/>
      <c r="DW51" s="101"/>
      <c r="DX51" s="101"/>
      <c r="DY51" s="101"/>
      <c r="DZ51" s="101"/>
      <c r="EA51" s="101"/>
      <c r="EB51" s="101"/>
      <c r="EC51" s="101"/>
      <c r="ED51" s="101"/>
      <c r="EE51" s="101"/>
      <c r="EF51" s="101"/>
      <c r="EG51" s="101"/>
      <c r="EH51" s="101"/>
      <c r="EI51" s="101"/>
      <c r="EJ51" s="101"/>
      <c r="EK51" s="101"/>
      <c r="EL51" s="101"/>
      <c r="EM51" s="101"/>
      <c r="EN51" s="101"/>
      <c r="EO51" s="101"/>
      <c r="EP51" s="101"/>
      <c r="EQ51" s="101"/>
      <c r="ER51" s="101"/>
      <c r="ES51" s="101"/>
      <c r="ET51" s="101"/>
      <c r="EU51" s="101"/>
      <c r="EV51" s="101"/>
      <c r="EW51" s="101"/>
      <c r="EX51" s="101"/>
      <c r="EY51" s="101"/>
      <c r="EZ51" s="101"/>
      <c r="FA51" s="101"/>
      <c r="FB51" s="101"/>
      <c r="FC51" s="101"/>
      <c r="FD51" s="101"/>
      <c r="FE51" s="101"/>
      <c r="FF51" s="101"/>
      <c r="FG51" s="101"/>
      <c r="FH51" s="101"/>
      <c r="FI51" s="101"/>
      <c r="FJ51" s="101"/>
      <c r="FK51" s="101"/>
      <c r="FL51" s="101"/>
      <c r="FM51" s="101"/>
      <c r="FN51" s="101"/>
      <c r="FO51" s="101"/>
      <c r="FP51" s="101"/>
      <c r="FQ51" s="101"/>
      <c r="FR51" s="101"/>
      <c r="FS51" s="101"/>
      <c r="FT51" s="101"/>
      <c r="FU51" s="101"/>
      <c r="FV51" s="101"/>
      <c r="FW51" s="101"/>
      <c r="FX51" s="101"/>
      <c r="FY51" s="101"/>
      <c r="FZ51" s="101"/>
      <c r="GA51" s="101"/>
      <c r="GB51" s="101"/>
      <c r="GC51" s="101"/>
      <c r="GD51" s="101"/>
      <c r="GE51" s="101"/>
      <c r="GF51" s="101"/>
      <c r="GG51" s="101"/>
      <c r="GH51" s="101"/>
      <c r="GI51" s="101"/>
      <c r="GJ51" s="101"/>
    </row>
    <row r="52" spans="1:192" ht="50.1" customHeight="1" outlineLevel="1" x14ac:dyDescent="0.25">
      <c r="A52" s="148" t="s">
        <v>6</v>
      </c>
      <c r="B52" s="168" t="s">
        <v>304</v>
      </c>
      <c r="C52" s="140" t="s">
        <v>465</v>
      </c>
      <c r="D52" s="171" t="s">
        <v>23</v>
      </c>
      <c r="E52" s="146" t="s">
        <v>551</v>
      </c>
      <c r="F52" s="214"/>
      <c r="G52" s="74"/>
      <c r="H52" s="74"/>
      <c r="I52" s="74"/>
      <c r="J52" s="74"/>
      <c r="K52" s="74"/>
      <c r="L52" s="74"/>
      <c r="M52" s="74"/>
      <c r="N52" s="74"/>
      <c r="O52" s="74"/>
      <c r="P52" s="74"/>
      <c r="Q52" s="74"/>
      <c r="R52" s="74"/>
      <c r="S52" s="74"/>
      <c r="T52" s="74"/>
      <c r="U52" s="74"/>
      <c r="V52" s="74"/>
      <c r="W52" s="74"/>
      <c r="X52" s="74"/>
      <c r="Y52" s="74"/>
      <c r="Z52" s="7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X52" s="74"/>
      <c r="AY52" s="101"/>
      <c r="AZ52" s="101"/>
      <c r="BA52" s="101"/>
      <c r="BB52" s="101"/>
      <c r="BC52" s="101"/>
      <c r="BD52" s="101"/>
      <c r="BE52" s="101"/>
      <c r="BF52" s="101"/>
      <c r="BG52" s="101"/>
      <c r="BH52" s="101"/>
      <c r="BI52" s="101"/>
      <c r="BJ52" s="101"/>
      <c r="BK52" s="101"/>
      <c r="BL52" s="101"/>
      <c r="BM52" s="101"/>
      <c r="BN52" s="101"/>
      <c r="BO52" s="101"/>
      <c r="BP52" s="101"/>
      <c r="BQ52" s="101"/>
      <c r="BR52" s="101"/>
      <c r="BS52" s="101"/>
      <c r="BT52" s="101"/>
      <c r="BU52" s="101"/>
      <c r="BV52" s="101"/>
      <c r="BW52" s="101"/>
      <c r="BX52" s="101"/>
      <c r="BY52" s="101"/>
      <c r="BZ52" s="101"/>
      <c r="CA52" s="101"/>
      <c r="CB52" s="101"/>
      <c r="CC52" s="101"/>
      <c r="CD52" s="101"/>
      <c r="CE52" s="101"/>
      <c r="CF52" s="101"/>
      <c r="CG52" s="101"/>
      <c r="CH52" s="101"/>
      <c r="CI52" s="101"/>
      <c r="CJ52" s="101"/>
      <c r="CK52" s="101"/>
      <c r="CL52" s="101"/>
      <c r="CM52" s="101"/>
      <c r="CN52" s="101"/>
      <c r="CO52" s="101"/>
      <c r="CP52" s="101"/>
      <c r="CQ52" s="101"/>
      <c r="CR52" s="101"/>
      <c r="CS52" s="101"/>
      <c r="CT52" s="101"/>
      <c r="CU52" s="101"/>
      <c r="CV52" s="101"/>
      <c r="CW52" s="101"/>
      <c r="CX52" s="101"/>
      <c r="CY52" s="101"/>
      <c r="CZ52" s="101"/>
      <c r="DA52" s="101"/>
      <c r="DB52" s="101"/>
      <c r="DC52" s="101"/>
      <c r="DD52" s="101"/>
      <c r="DE52" s="101"/>
      <c r="DF52" s="101"/>
      <c r="DG52" s="101"/>
      <c r="DH52" s="101"/>
      <c r="DI52" s="101"/>
      <c r="DJ52" s="101"/>
      <c r="DK52" s="101"/>
      <c r="DL52" s="101"/>
      <c r="DM52" s="101"/>
      <c r="DN52" s="101"/>
      <c r="DO52" s="101"/>
      <c r="DP52" s="101"/>
      <c r="DQ52" s="101"/>
      <c r="DR52" s="101"/>
      <c r="DS52" s="101"/>
      <c r="DT52" s="101"/>
      <c r="DU52" s="101"/>
      <c r="DV52" s="101"/>
      <c r="DW52" s="101"/>
      <c r="DX52" s="101"/>
      <c r="DY52" s="101"/>
      <c r="DZ52" s="101"/>
      <c r="EA52" s="101"/>
      <c r="EB52" s="101"/>
      <c r="EC52" s="101"/>
      <c r="ED52" s="101"/>
      <c r="EE52" s="101"/>
      <c r="EF52" s="101"/>
      <c r="EG52" s="101"/>
      <c r="EH52" s="101"/>
      <c r="EI52" s="101"/>
      <c r="EJ52" s="101"/>
      <c r="EK52" s="101"/>
      <c r="EL52" s="101"/>
      <c r="EM52" s="101"/>
      <c r="EN52" s="101"/>
      <c r="EO52" s="101"/>
      <c r="EP52" s="101"/>
      <c r="EQ52" s="101"/>
      <c r="ER52" s="101"/>
      <c r="ES52" s="101"/>
      <c r="ET52" s="101"/>
      <c r="EU52" s="101"/>
      <c r="EV52" s="101"/>
      <c r="EW52" s="101"/>
      <c r="EX52" s="101"/>
      <c r="EY52" s="101"/>
      <c r="EZ52" s="101"/>
      <c r="FA52" s="101"/>
      <c r="FB52" s="101"/>
      <c r="FC52" s="101"/>
      <c r="FD52" s="101"/>
      <c r="FE52" s="101"/>
      <c r="FF52" s="101"/>
      <c r="FG52" s="101"/>
      <c r="FH52" s="101"/>
      <c r="FI52" s="101"/>
      <c r="FJ52" s="101"/>
      <c r="FK52" s="101"/>
      <c r="FL52" s="101"/>
      <c r="FM52" s="101"/>
      <c r="FN52" s="101"/>
      <c r="FO52" s="101"/>
      <c r="FP52" s="101"/>
      <c r="FQ52" s="101"/>
      <c r="FR52" s="101"/>
      <c r="FS52" s="101"/>
      <c r="FT52" s="101"/>
      <c r="FU52" s="101"/>
      <c r="FV52" s="101"/>
      <c r="FW52" s="101"/>
      <c r="FX52" s="101"/>
      <c r="FY52" s="101"/>
      <c r="FZ52" s="101"/>
      <c r="GA52" s="101"/>
      <c r="GB52" s="101"/>
      <c r="GC52" s="101"/>
      <c r="GD52" s="101"/>
      <c r="GE52" s="101"/>
      <c r="GF52" s="101"/>
      <c r="GG52" s="101"/>
      <c r="GH52" s="101"/>
      <c r="GI52" s="101"/>
      <c r="GJ52" s="101"/>
    </row>
    <row r="53" spans="1:192" ht="50.1" customHeight="1" outlineLevel="1" x14ac:dyDescent="0.25">
      <c r="A53" s="149" t="s">
        <v>235</v>
      </c>
      <c r="B53" s="167" t="s">
        <v>305</v>
      </c>
      <c r="C53" s="139" t="s">
        <v>466</v>
      </c>
      <c r="D53" s="167" t="s">
        <v>22</v>
      </c>
      <c r="E53" s="147" t="s">
        <v>552</v>
      </c>
      <c r="F53" s="211"/>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101"/>
      <c r="AZ53" s="101"/>
      <c r="BA53" s="101"/>
      <c r="BB53" s="101"/>
      <c r="BC53" s="101"/>
      <c r="BD53" s="101"/>
      <c r="BE53" s="101"/>
      <c r="BF53" s="101"/>
      <c r="BG53" s="101"/>
      <c r="BH53" s="101"/>
      <c r="BI53" s="101"/>
      <c r="BJ53" s="101"/>
      <c r="BK53" s="101"/>
      <c r="BL53" s="101"/>
      <c r="BM53" s="101"/>
      <c r="BN53" s="101"/>
      <c r="BO53" s="101"/>
      <c r="BP53" s="101"/>
      <c r="BQ53" s="101"/>
      <c r="BR53" s="101"/>
      <c r="BS53" s="101"/>
      <c r="BT53" s="101"/>
      <c r="BU53" s="101"/>
      <c r="BV53" s="101"/>
      <c r="BW53" s="101"/>
      <c r="BX53" s="101"/>
      <c r="BY53" s="101"/>
      <c r="BZ53" s="101"/>
      <c r="CA53" s="101"/>
      <c r="CB53" s="101"/>
      <c r="CC53" s="101"/>
      <c r="CD53" s="101"/>
      <c r="CE53" s="101"/>
      <c r="CF53" s="101"/>
      <c r="CG53" s="101"/>
      <c r="CH53" s="101"/>
      <c r="CI53" s="101"/>
      <c r="CJ53" s="101"/>
      <c r="CK53" s="101"/>
      <c r="CL53" s="101"/>
      <c r="CM53" s="101"/>
      <c r="CN53" s="101"/>
      <c r="CO53" s="101"/>
      <c r="CP53" s="101"/>
      <c r="CQ53" s="101"/>
      <c r="CR53" s="101"/>
      <c r="CS53" s="101"/>
      <c r="CT53" s="101"/>
      <c r="CU53" s="101"/>
      <c r="CV53" s="101"/>
      <c r="CW53" s="101"/>
      <c r="CX53" s="101"/>
      <c r="CY53" s="101"/>
      <c r="CZ53" s="101"/>
      <c r="DA53" s="101"/>
      <c r="DB53" s="101"/>
      <c r="DC53" s="101"/>
      <c r="DD53" s="101"/>
      <c r="DE53" s="101"/>
      <c r="DF53" s="101"/>
      <c r="DG53" s="101"/>
      <c r="DH53" s="101"/>
      <c r="DI53" s="101"/>
      <c r="DJ53" s="101"/>
      <c r="DK53" s="101"/>
      <c r="DL53" s="101"/>
      <c r="DM53" s="101"/>
      <c r="DN53" s="101"/>
      <c r="DO53" s="101"/>
      <c r="DP53" s="101"/>
      <c r="DQ53" s="101"/>
      <c r="DR53" s="101"/>
      <c r="DS53" s="101"/>
      <c r="DT53" s="101"/>
      <c r="DU53" s="101"/>
      <c r="DV53" s="101"/>
      <c r="DW53" s="101"/>
      <c r="DX53" s="101"/>
      <c r="DY53" s="101"/>
      <c r="DZ53" s="101"/>
      <c r="EA53" s="101"/>
      <c r="EB53" s="101"/>
      <c r="EC53" s="101"/>
      <c r="ED53" s="101"/>
      <c r="EE53" s="101"/>
      <c r="EF53" s="101"/>
      <c r="EG53" s="101"/>
      <c r="EH53" s="101"/>
      <c r="EI53" s="101"/>
      <c r="EJ53" s="101"/>
      <c r="EK53" s="101"/>
      <c r="EL53" s="101"/>
      <c r="EM53" s="101"/>
      <c r="EN53" s="101"/>
      <c r="EO53" s="101"/>
      <c r="EP53" s="101"/>
      <c r="EQ53" s="101"/>
      <c r="ER53" s="101"/>
      <c r="ES53" s="101"/>
      <c r="ET53" s="101"/>
      <c r="EU53" s="101"/>
      <c r="EV53" s="101"/>
      <c r="EW53" s="101"/>
      <c r="EX53" s="101"/>
      <c r="EY53" s="101"/>
      <c r="EZ53" s="101"/>
      <c r="FA53" s="101"/>
      <c r="FB53" s="101"/>
      <c r="FC53" s="101"/>
      <c r="FD53" s="101"/>
      <c r="FE53" s="101"/>
      <c r="FF53" s="101"/>
      <c r="FG53" s="101"/>
      <c r="FH53" s="101"/>
      <c r="FI53" s="101"/>
      <c r="FJ53" s="101"/>
      <c r="FK53" s="101"/>
      <c r="FL53" s="101"/>
      <c r="FM53" s="101"/>
      <c r="FN53" s="101"/>
      <c r="FO53" s="101"/>
      <c r="FP53" s="101"/>
      <c r="FQ53" s="101"/>
      <c r="FR53" s="101"/>
      <c r="FS53" s="101"/>
      <c r="FT53" s="101"/>
      <c r="FU53" s="101"/>
      <c r="FV53" s="101"/>
      <c r="FW53" s="101"/>
      <c r="FX53" s="101"/>
      <c r="FY53" s="101"/>
      <c r="FZ53" s="101"/>
      <c r="GA53" s="101"/>
      <c r="GB53" s="101"/>
      <c r="GC53" s="101"/>
      <c r="GD53" s="101"/>
      <c r="GE53" s="101"/>
      <c r="GF53" s="101"/>
      <c r="GG53" s="101"/>
      <c r="GH53" s="101"/>
      <c r="GI53" s="101"/>
      <c r="GJ53" s="101"/>
    </row>
    <row r="54" spans="1:192" ht="50.1" customHeight="1" outlineLevel="1" x14ac:dyDescent="0.25">
      <c r="A54" s="149" t="s">
        <v>235</v>
      </c>
      <c r="B54" s="168" t="s">
        <v>306</v>
      </c>
      <c r="C54" s="238" t="s">
        <v>687</v>
      </c>
      <c r="D54" s="168" t="s">
        <v>22</v>
      </c>
      <c r="E54" s="146" t="s">
        <v>688</v>
      </c>
      <c r="F54" s="209"/>
      <c r="G54" s="74"/>
      <c r="H54" s="74"/>
      <c r="I54" s="74"/>
      <c r="J54" s="74"/>
      <c r="K54" s="74"/>
      <c r="L54" s="74"/>
      <c r="M54" s="74"/>
      <c r="N54" s="74"/>
      <c r="O54" s="74"/>
      <c r="P54" s="74"/>
      <c r="Q54" s="74"/>
      <c r="R54" s="74"/>
      <c r="S54" s="74"/>
      <c r="T54" s="74"/>
      <c r="U54" s="74"/>
      <c r="V54" s="74"/>
      <c r="W54" s="74"/>
      <c r="X54" s="74"/>
      <c r="Y54" s="74"/>
      <c r="Z54" s="7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X54" s="74"/>
      <c r="AY54" s="101"/>
      <c r="AZ54" s="101"/>
      <c r="BA54" s="101"/>
      <c r="BB54" s="101"/>
      <c r="BC54" s="101"/>
      <c r="BD54" s="101"/>
      <c r="BE54" s="101"/>
      <c r="BF54" s="101"/>
      <c r="BG54" s="101"/>
      <c r="BH54" s="101"/>
      <c r="BI54" s="101"/>
      <c r="BJ54" s="101"/>
      <c r="BK54" s="101"/>
      <c r="BL54" s="101"/>
      <c r="BM54" s="101"/>
      <c r="BN54" s="101"/>
      <c r="BO54" s="101"/>
      <c r="BP54" s="101"/>
      <c r="BQ54" s="101"/>
      <c r="BR54" s="101"/>
      <c r="BS54" s="101"/>
      <c r="BT54" s="101"/>
      <c r="BU54" s="101"/>
      <c r="BV54" s="101"/>
      <c r="BW54" s="101"/>
      <c r="BX54" s="101"/>
      <c r="BY54" s="101"/>
      <c r="BZ54" s="101"/>
      <c r="CA54" s="101"/>
      <c r="CB54" s="101"/>
      <c r="CC54" s="101"/>
      <c r="CD54" s="101"/>
      <c r="CE54" s="101"/>
      <c r="CF54" s="101"/>
      <c r="CG54" s="101"/>
      <c r="CH54" s="101"/>
      <c r="CI54" s="101"/>
      <c r="CJ54" s="101"/>
      <c r="CK54" s="101"/>
      <c r="CL54" s="101"/>
      <c r="CM54" s="101"/>
      <c r="CN54" s="101"/>
      <c r="CO54" s="101"/>
      <c r="CP54" s="101"/>
      <c r="CQ54" s="101"/>
      <c r="CR54" s="101"/>
      <c r="CS54" s="101"/>
      <c r="CT54" s="101"/>
      <c r="CU54" s="101"/>
      <c r="CV54" s="101"/>
      <c r="CW54" s="101"/>
      <c r="CX54" s="101"/>
      <c r="CY54" s="101"/>
      <c r="CZ54" s="101"/>
      <c r="DA54" s="101"/>
      <c r="DB54" s="101"/>
      <c r="DC54" s="101"/>
      <c r="DD54" s="101"/>
      <c r="DE54" s="101"/>
      <c r="DF54" s="101"/>
      <c r="DG54" s="101"/>
      <c r="DH54" s="101"/>
      <c r="DI54" s="101"/>
      <c r="DJ54" s="101"/>
      <c r="DK54" s="101"/>
      <c r="DL54" s="101"/>
      <c r="DM54" s="101"/>
      <c r="DN54" s="101"/>
      <c r="DO54" s="101"/>
      <c r="DP54" s="101"/>
      <c r="DQ54" s="101"/>
      <c r="DR54" s="101"/>
      <c r="DS54" s="101"/>
      <c r="DT54" s="101"/>
      <c r="DU54" s="101"/>
      <c r="DV54" s="101"/>
      <c r="DW54" s="101"/>
      <c r="DX54" s="101"/>
      <c r="DY54" s="101"/>
      <c r="DZ54" s="101"/>
      <c r="EA54" s="101"/>
      <c r="EB54" s="101"/>
      <c r="EC54" s="101"/>
      <c r="ED54" s="101"/>
      <c r="EE54" s="101"/>
      <c r="EF54" s="101"/>
      <c r="EG54" s="101"/>
      <c r="EH54" s="101"/>
      <c r="EI54" s="101"/>
      <c r="EJ54" s="101"/>
      <c r="EK54" s="101"/>
      <c r="EL54" s="101"/>
      <c r="EM54" s="101"/>
      <c r="EN54" s="101"/>
      <c r="EO54" s="101"/>
      <c r="EP54" s="101"/>
      <c r="EQ54" s="101"/>
      <c r="ER54" s="101"/>
      <c r="ES54" s="101"/>
      <c r="ET54" s="101"/>
      <c r="EU54" s="101"/>
      <c r="EV54" s="101"/>
      <c r="EW54" s="101"/>
      <c r="EX54" s="101"/>
      <c r="EY54" s="101"/>
      <c r="EZ54" s="101"/>
      <c r="FA54" s="101"/>
      <c r="FB54" s="101"/>
      <c r="FC54" s="101"/>
      <c r="FD54" s="101"/>
      <c r="FE54" s="101"/>
      <c r="FF54" s="101"/>
      <c r="FG54" s="101"/>
      <c r="FH54" s="101"/>
      <c r="FI54" s="101"/>
      <c r="FJ54" s="101"/>
      <c r="FK54" s="101"/>
      <c r="FL54" s="101"/>
      <c r="FM54" s="101"/>
      <c r="FN54" s="101"/>
      <c r="FO54" s="101"/>
      <c r="FP54" s="101"/>
      <c r="FQ54" s="101"/>
      <c r="FR54" s="101"/>
      <c r="FS54" s="101"/>
      <c r="FT54" s="101"/>
      <c r="FU54" s="101"/>
      <c r="FV54" s="101"/>
      <c r="FW54" s="101"/>
      <c r="FX54" s="101"/>
      <c r="FY54" s="101"/>
      <c r="FZ54" s="101"/>
      <c r="GA54" s="101"/>
      <c r="GB54" s="101"/>
      <c r="GC54" s="101"/>
      <c r="GD54" s="101"/>
      <c r="GE54" s="101"/>
      <c r="GF54" s="101"/>
      <c r="GG54" s="101"/>
      <c r="GH54" s="101"/>
      <c r="GI54" s="101"/>
      <c r="GJ54" s="101"/>
    </row>
    <row r="55" spans="1:192" ht="50.1" customHeight="1" outlineLevel="1" x14ac:dyDescent="0.25">
      <c r="A55" s="149" t="s">
        <v>235</v>
      </c>
      <c r="B55" s="167" t="s">
        <v>307</v>
      </c>
      <c r="C55" s="139" t="s">
        <v>467</v>
      </c>
      <c r="D55" s="167" t="s">
        <v>22</v>
      </c>
      <c r="E55" s="144" t="s">
        <v>553</v>
      </c>
      <c r="F55" s="211"/>
      <c r="G55" s="74"/>
      <c r="H55" s="74"/>
      <c r="I55" s="74"/>
      <c r="J55" s="74"/>
      <c r="K55" s="74"/>
      <c r="L55" s="74"/>
      <c r="M55" s="74"/>
      <c r="N55" s="74"/>
      <c r="O55" s="74"/>
      <c r="P55" s="74"/>
      <c r="Q55" s="74"/>
      <c r="R55" s="74"/>
      <c r="S55" s="74"/>
      <c r="T55" s="74"/>
      <c r="U55" s="74"/>
      <c r="V55" s="74"/>
      <c r="W55" s="74"/>
      <c r="X55" s="74"/>
      <c r="Y55" s="74"/>
      <c r="Z55" s="7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X55" s="74"/>
      <c r="AY55" s="101"/>
      <c r="AZ55" s="101"/>
      <c r="BA55" s="101"/>
      <c r="BB55" s="101"/>
      <c r="BC55" s="101"/>
      <c r="BD55" s="101"/>
      <c r="BE55" s="101"/>
      <c r="BF55" s="101"/>
      <c r="BG55" s="101"/>
      <c r="BH55" s="101"/>
      <c r="BI55" s="101"/>
      <c r="BJ55" s="101"/>
      <c r="BK55" s="101"/>
      <c r="BL55" s="101"/>
      <c r="BM55" s="101"/>
      <c r="BN55" s="101"/>
      <c r="BO55" s="101"/>
      <c r="BP55" s="101"/>
      <c r="BQ55" s="101"/>
      <c r="BR55" s="101"/>
      <c r="BS55" s="101"/>
      <c r="BT55" s="101"/>
      <c r="BU55" s="101"/>
      <c r="BV55" s="101"/>
      <c r="BW55" s="101"/>
      <c r="BX55" s="101"/>
      <c r="BY55" s="101"/>
      <c r="BZ55" s="101"/>
      <c r="CA55" s="101"/>
      <c r="CB55" s="101"/>
      <c r="CC55" s="101"/>
      <c r="CD55" s="101"/>
      <c r="CE55" s="101"/>
      <c r="CF55" s="101"/>
      <c r="CG55" s="101"/>
      <c r="CH55" s="101"/>
      <c r="CI55" s="101"/>
      <c r="CJ55" s="101"/>
      <c r="CK55" s="101"/>
      <c r="CL55" s="101"/>
      <c r="CM55" s="101"/>
      <c r="CN55" s="101"/>
      <c r="CO55" s="101"/>
      <c r="CP55" s="101"/>
      <c r="CQ55" s="101"/>
      <c r="CR55" s="101"/>
      <c r="CS55" s="101"/>
      <c r="CT55" s="101"/>
      <c r="CU55" s="101"/>
      <c r="CV55" s="101"/>
      <c r="CW55" s="101"/>
      <c r="CX55" s="101"/>
      <c r="CY55" s="101"/>
      <c r="CZ55" s="101"/>
      <c r="DA55" s="101"/>
      <c r="DB55" s="101"/>
      <c r="DC55" s="101"/>
      <c r="DD55" s="101"/>
      <c r="DE55" s="101"/>
      <c r="DF55" s="101"/>
      <c r="DG55" s="101"/>
      <c r="DH55" s="101"/>
      <c r="DI55" s="101"/>
      <c r="DJ55" s="101"/>
      <c r="DK55" s="101"/>
      <c r="DL55" s="101"/>
      <c r="DM55" s="101"/>
      <c r="DN55" s="101"/>
      <c r="DO55" s="101"/>
      <c r="DP55" s="101"/>
      <c r="DQ55" s="101"/>
      <c r="DR55" s="101"/>
      <c r="DS55" s="101"/>
      <c r="DT55" s="101"/>
      <c r="DU55" s="101"/>
      <c r="DV55" s="101"/>
      <c r="DW55" s="101"/>
      <c r="DX55" s="101"/>
      <c r="DY55" s="101"/>
      <c r="DZ55" s="101"/>
      <c r="EA55" s="101"/>
      <c r="EB55" s="101"/>
      <c r="EC55" s="101"/>
      <c r="ED55" s="101"/>
      <c r="EE55" s="101"/>
      <c r="EF55" s="101"/>
      <c r="EG55" s="101"/>
      <c r="EH55" s="101"/>
      <c r="EI55" s="101"/>
      <c r="EJ55" s="101"/>
      <c r="EK55" s="101"/>
      <c r="EL55" s="101"/>
      <c r="EM55" s="101"/>
      <c r="EN55" s="101"/>
      <c r="EO55" s="101"/>
      <c r="EP55" s="101"/>
      <c r="EQ55" s="101"/>
      <c r="ER55" s="101"/>
      <c r="ES55" s="101"/>
      <c r="ET55" s="101"/>
      <c r="EU55" s="101"/>
      <c r="EV55" s="101"/>
      <c r="EW55" s="101"/>
      <c r="EX55" s="101"/>
      <c r="EY55" s="101"/>
      <c r="EZ55" s="101"/>
      <c r="FA55" s="101"/>
      <c r="FB55" s="101"/>
      <c r="FC55" s="101"/>
      <c r="FD55" s="101"/>
      <c r="FE55" s="101"/>
      <c r="FF55" s="101"/>
      <c r="FG55" s="101"/>
      <c r="FH55" s="101"/>
      <c r="FI55" s="101"/>
      <c r="FJ55" s="101"/>
      <c r="FK55" s="101"/>
      <c r="FL55" s="101"/>
      <c r="FM55" s="101"/>
      <c r="FN55" s="101"/>
      <c r="FO55" s="101"/>
      <c r="FP55" s="101"/>
      <c r="FQ55" s="101"/>
      <c r="FR55" s="101"/>
      <c r="FS55" s="101"/>
      <c r="FT55" s="101"/>
      <c r="FU55" s="101"/>
      <c r="FV55" s="101"/>
      <c r="FW55" s="101"/>
      <c r="FX55" s="101"/>
      <c r="FY55" s="101"/>
      <c r="FZ55" s="101"/>
      <c r="GA55" s="101"/>
      <c r="GB55" s="101"/>
      <c r="GC55" s="101"/>
      <c r="GD55" s="101"/>
      <c r="GE55" s="101"/>
      <c r="GF55" s="101"/>
      <c r="GG55" s="101"/>
      <c r="GH55" s="101"/>
      <c r="GI55" s="101"/>
      <c r="GJ55" s="101"/>
    </row>
    <row r="56" spans="1:192" ht="50.1" customHeight="1" x14ac:dyDescent="0.25">
      <c r="A56" s="149" t="s">
        <v>235</v>
      </c>
      <c r="B56" s="168" t="s">
        <v>308</v>
      </c>
      <c r="C56" s="140" t="s">
        <v>468</v>
      </c>
      <c r="D56" s="168" t="s">
        <v>22</v>
      </c>
      <c r="E56" s="142" t="s">
        <v>554</v>
      </c>
      <c r="F56" s="209"/>
      <c r="G56" s="74"/>
      <c r="H56" s="74"/>
      <c r="I56" s="74"/>
      <c r="J56" s="74"/>
      <c r="K56" s="74"/>
      <c r="L56" s="74"/>
      <c r="M56" s="74"/>
      <c r="N56" s="74"/>
      <c r="O56" s="74"/>
      <c r="P56" s="74"/>
      <c r="Q56" s="74"/>
      <c r="R56" s="74"/>
      <c r="S56" s="74"/>
      <c r="T56" s="74"/>
      <c r="U56" s="74"/>
      <c r="V56" s="74"/>
      <c r="W56" s="74"/>
      <c r="X56" s="74"/>
      <c r="Y56" s="74"/>
      <c r="Z56" s="7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X56" s="74"/>
      <c r="AY56" s="101"/>
      <c r="AZ56" s="101"/>
      <c r="BA56" s="101"/>
      <c r="BB56" s="101"/>
      <c r="BC56" s="101"/>
      <c r="BD56" s="101"/>
      <c r="BE56" s="101"/>
      <c r="BF56" s="101"/>
      <c r="BG56" s="101"/>
      <c r="BH56" s="101"/>
      <c r="BI56" s="101"/>
      <c r="BJ56" s="101"/>
      <c r="BK56" s="101"/>
      <c r="BL56" s="101"/>
      <c r="BM56" s="101"/>
      <c r="BN56" s="101"/>
      <c r="BO56" s="101"/>
      <c r="BP56" s="101"/>
      <c r="BQ56" s="101"/>
      <c r="BR56" s="101"/>
      <c r="BS56" s="101"/>
      <c r="BT56" s="101"/>
      <c r="BU56" s="101"/>
      <c r="BV56" s="101"/>
      <c r="BW56" s="101"/>
      <c r="BX56" s="101"/>
      <c r="BY56" s="101"/>
      <c r="BZ56" s="101"/>
      <c r="CA56" s="101"/>
      <c r="CB56" s="101"/>
      <c r="CC56" s="101"/>
      <c r="CD56" s="101"/>
      <c r="CE56" s="101"/>
      <c r="CF56" s="101"/>
      <c r="CG56" s="101"/>
      <c r="CH56" s="101"/>
      <c r="CI56" s="101"/>
      <c r="CJ56" s="101"/>
      <c r="CK56" s="101"/>
      <c r="CL56" s="101"/>
      <c r="CM56" s="101"/>
      <c r="CN56" s="101"/>
      <c r="CO56" s="101"/>
      <c r="CP56" s="101"/>
      <c r="CQ56" s="101"/>
      <c r="CR56" s="101"/>
      <c r="CS56" s="101"/>
      <c r="CT56" s="101"/>
      <c r="CU56" s="101"/>
      <c r="CV56" s="101"/>
      <c r="CW56" s="101"/>
      <c r="CX56" s="101"/>
      <c r="CY56" s="101"/>
      <c r="CZ56" s="101"/>
      <c r="DA56" s="101"/>
      <c r="DB56" s="101"/>
      <c r="DC56" s="101"/>
      <c r="DD56" s="101"/>
      <c r="DE56" s="101"/>
      <c r="DF56" s="101"/>
      <c r="DG56" s="101"/>
      <c r="DH56" s="101"/>
      <c r="DI56" s="101"/>
      <c r="DJ56" s="101"/>
      <c r="DK56" s="101"/>
      <c r="DL56" s="101"/>
      <c r="DM56" s="101"/>
      <c r="DN56" s="101"/>
      <c r="DO56" s="101"/>
      <c r="DP56" s="101"/>
      <c r="DQ56" s="101"/>
      <c r="DR56" s="101"/>
      <c r="DS56" s="101"/>
      <c r="DT56" s="101"/>
      <c r="DU56" s="101"/>
      <c r="DV56" s="101"/>
      <c r="DW56" s="101"/>
      <c r="DX56" s="101"/>
      <c r="DY56" s="101"/>
      <c r="DZ56" s="101"/>
      <c r="EA56" s="101"/>
      <c r="EB56" s="101"/>
      <c r="EC56" s="101"/>
      <c r="ED56" s="101"/>
      <c r="EE56" s="101"/>
      <c r="EF56" s="101"/>
      <c r="EG56" s="101"/>
      <c r="EH56" s="101"/>
      <c r="EI56" s="101"/>
      <c r="EJ56" s="101"/>
      <c r="EK56" s="101"/>
      <c r="EL56" s="101"/>
      <c r="EM56" s="101"/>
      <c r="EN56" s="101"/>
      <c r="EO56" s="101"/>
      <c r="EP56" s="101"/>
      <c r="EQ56" s="101"/>
      <c r="ER56" s="101"/>
      <c r="ES56" s="101"/>
      <c r="ET56" s="101"/>
      <c r="EU56" s="101"/>
      <c r="EV56" s="101"/>
      <c r="EW56" s="101"/>
      <c r="EX56" s="101"/>
      <c r="EY56" s="101"/>
      <c r="EZ56" s="101"/>
      <c r="FA56" s="101"/>
      <c r="FB56" s="101"/>
      <c r="FC56" s="101"/>
      <c r="FD56" s="101"/>
      <c r="FE56" s="101"/>
      <c r="FF56" s="101"/>
      <c r="FG56" s="101"/>
      <c r="FH56" s="101"/>
      <c r="FI56" s="101"/>
      <c r="FJ56" s="101"/>
      <c r="FK56" s="101"/>
      <c r="FL56" s="101"/>
      <c r="FM56" s="101"/>
      <c r="FN56" s="101"/>
      <c r="FO56" s="101"/>
      <c r="FP56" s="101"/>
      <c r="FQ56" s="101"/>
      <c r="FR56" s="101"/>
      <c r="FS56" s="101"/>
      <c r="FT56" s="101"/>
      <c r="FU56" s="101"/>
      <c r="FV56" s="101"/>
      <c r="FW56" s="101"/>
      <c r="FX56" s="101"/>
      <c r="FY56" s="101"/>
      <c r="FZ56" s="101"/>
      <c r="GA56" s="101"/>
      <c r="GB56" s="101"/>
      <c r="GC56" s="101"/>
      <c r="GD56" s="101"/>
      <c r="GE56" s="101"/>
      <c r="GF56" s="101"/>
      <c r="GG56" s="101"/>
      <c r="GH56" s="101"/>
      <c r="GI56" s="101"/>
      <c r="GJ56" s="101"/>
    </row>
    <row r="57" spans="1:192" ht="50.1" customHeight="1" outlineLevel="1" x14ac:dyDescent="0.25">
      <c r="A57" s="149" t="s">
        <v>235</v>
      </c>
      <c r="B57" s="167" t="s">
        <v>309</v>
      </c>
      <c r="C57" s="139" t="s">
        <v>469</v>
      </c>
      <c r="D57" s="167" t="s">
        <v>22</v>
      </c>
      <c r="E57" s="147" t="s">
        <v>555</v>
      </c>
      <c r="F57" s="211"/>
      <c r="G57" s="74"/>
      <c r="H57" s="74"/>
      <c r="I57" s="74"/>
      <c r="J57" s="74"/>
      <c r="K57" s="74"/>
      <c r="L57" s="74"/>
      <c r="M57" s="74"/>
      <c r="N57" s="74"/>
      <c r="O57" s="74"/>
      <c r="P57" s="74"/>
      <c r="Q57" s="74"/>
      <c r="R57" s="74"/>
      <c r="S57" s="74"/>
      <c r="T57" s="74"/>
      <c r="U57" s="74"/>
      <c r="V57" s="74"/>
      <c r="W57" s="74"/>
      <c r="X57" s="74"/>
      <c r="Y57" s="74"/>
      <c r="Z57" s="7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X57" s="74"/>
      <c r="AY57" s="101"/>
      <c r="AZ57" s="101"/>
      <c r="BA57" s="101"/>
      <c r="BB57" s="101"/>
      <c r="BC57" s="101"/>
      <c r="BD57" s="101"/>
      <c r="BE57" s="101"/>
      <c r="BF57" s="101"/>
      <c r="BG57" s="101"/>
      <c r="BH57" s="101"/>
      <c r="BI57" s="101"/>
      <c r="BJ57" s="101"/>
      <c r="BK57" s="101"/>
      <c r="BL57" s="101"/>
      <c r="BM57" s="101"/>
      <c r="BN57" s="101"/>
      <c r="BO57" s="101"/>
      <c r="BP57" s="101"/>
      <c r="BQ57" s="101"/>
      <c r="BR57" s="101"/>
      <c r="BS57" s="101"/>
      <c r="BT57" s="101"/>
      <c r="BU57" s="101"/>
      <c r="BV57" s="101"/>
      <c r="BW57" s="101"/>
      <c r="BX57" s="101"/>
      <c r="BY57" s="101"/>
      <c r="BZ57" s="101"/>
      <c r="CA57" s="101"/>
      <c r="CB57" s="101"/>
      <c r="CC57" s="101"/>
      <c r="CD57" s="101"/>
      <c r="CE57" s="101"/>
      <c r="CF57" s="101"/>
      <c r="CG57" s="101"/>
      <c r="CH57" s="101"/>
      <c r="CI57" s="101"/>
      <c r="CJ57" s="101"/>
      <c r="CK57" s="101"/>
      <c r="CL57" s="101"/>
      <c r="CM57" s="101"/>
      <c r="CN57" s="101"/>
      <c r="CO57" s="101"/>
      <c r="CP57" s="101"/>
      <c r="CQ57" s="101"/>
      <c r="CR57" s="101"/>
      <c r="CS57" s="101"/>
      <c r="CT57" s="101"/>
      <c r="CU57" s="101"/>
      <c r="CV57" s="101"/>
      <c r="CW57" s="101"/>
      <c r="CX57" s="101"/>
      <c r="CY57" s="101"/>
      <c r="CZ57" s="101"/>
      <c r="DA57" s="101"/>
      <c r="DB57" s="101"/>
      <c r="DC57" s="101"/>
      <c r="DD57" s="101"/>
      <c r="DE57" s="101"/>
      <c r="DF57" s="101"/>
      <c r="DG57" s="101"/>
      <c r="DH57" s="101"/>
      <c r="DI57" s="101"/>
      <c r="DJ57" s="101"/>
      <c r="DK57" s="101"/>
      <c r="DL57" s="101"/>
      <c r="DM57" s="101"/>
      <c r="DN57" s="101"/>
      <c r="DO57" s="101"/>
      <c r="DP57" s="101"/>
      <c r="DQ57" s="101"/>
      <c r="DR57" s="101"/>
      <c r="DS57" s="101"/>
      <c r="DT57" s="101"/>
      <c r="DU57" s="101"/>
      <c r="DV57" s="101"/>
      <c r="DW57" s="101"/>
      <c r="DX57" s="101"/>
      <c r="DY57" s="101"/>
      <c r="DZ57" s="101"/>
      <c r="EA57" s="101"/>
      <c r="EB57" s="101"/>
      <c r="EC57" s="101"/>
      <c r="ED57" s="101"/>
      <c r="EE57" s="101"/>
      <c r="EF57" s="101"/>
      <c r="EG57" s="101"/>
      <c r="EH57" s="101"/>
      <c r="EI57" s="101"/>
      <c r="EJ57" s="101"/>
      <c r="EK57" s="101"/>
      <c r="EL57" s="101"/>
      <c r="EM57" s="101"/>
      <c r="EN57" s="101"/>
      <c r="EO57" s="101"/>
      <c r="EP57" s="101"/>
      <c r="EQ57" s="101"/>
      <c r="ER57" s="101"/>
      <c r="ES57" s="101"/>
      <c r="ET57" s="101"/>
      <c r="EU57" s="101"/>
      <c r="EV57" s="101"/>
      <c r="EW57" s="101"/>
      <c r="EX57" s="101"/>
      <c r="EY57" s="101"/>
      <c r="EZ57" s="101"/>
      <c r="FA57" s="101"/>
      <c r="FB57" s="101"/>
      <c r="FC57" s="101"/>
      <c r="FD57" s="101"/>
      <c r="FE57" s="101"/>
      <c r="FF57" s="101"/>
      <c r="FG57" s="101"/>
      <c r="FH57" s="101"/>
      <c r="FI57" s="101"/>
      <c r="FJ57" s="101"/>
      <c r="FK57" s="101"/>
      <c r="FL57" s="101"/>
      <c r="FM57" s="101"/>
      <c r="FN57" s="101"/>
      <c r="FO57" s="101"/>
      <c r="FP57" s="101"/>
      <c r="FQ57" s="101"/>
      <c r="FR57" s="101"/>
      <c r="FS57" s="101"/>
      <c r="FT57" s="101"/>
      <c r="FU57" s="101"/>
      <c r="FV57" s="101"/>
      <c r="FW57" s="101"/>
      <c r="FX57" s="101"/>
      <c r="FY57" s="101"/>
      <c r="FZ57" s="101"/>
      <c r="GA57" s="101"/>
      <c r="GB57" s="101"/>
      <c r="GC57" s="101"/>
      <c r="GD57" s="101"/>
      <c r="GE57" s="101"/>
      <c r="GF57" s="101"/>
      <c r="GG57" s="101"/>
      <c r="GH57" s="101"/>
      <c r="GI57" s="101"/>
      <c r="GJ57" s="101"/>
    </row>
    <row r="58" spans="1:192" ht="50.1" customHeight="1" outlineLevel="1" x14ac:dyDescent="0.25">
      <c r="A58" s="149" t="s">
        <v>235</v>
      </c>
      <c r="B58" s="168" t="s">
        <v>310</v>
      </c>
      <c r="C58" s="140" t="s">
        <v>470</v>
      </c>
      <c r="D58" s="168" t="s">
        <v>22</v>
      </c>
      <c r="E58" s="146" t="s">
        <v>556</v>
      </c>
      <c r="F58" s="209"/>
      <c r="G58" s="74"/>
      <c r="H58" s="74"/>
      <c r="I58" s="74"/>
      <c r="J58" s="74"/>
      <c r="K58" s="74"/>
      <c r="L58" s="74"/>
      <c r="M58" s="74"/>
      <c r="N58" s="74"/>
      <c r="O58" s="74"/>
      <c r="P58" s="74"/>
      <c r="Q58" s="74"/>
      <c r="R58" s="74"/>
      <c r="S58" s="74"/>
      <c r="T58" s="74"/>
      <c r="U58" s="74"/>
      <c r="V58" s="74"/>
      <c r="W58" s="74"/>
      <c r="X58" s="74"/>
      <c r="Y58" s="74"/>
      <c r="Z58" s="7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X58" s="74"/>
      <c r="AY58" s="101"/>
      <c r="AZ58" s="101"/>
      <c r="BA58" s="101"/>
      <c r="BB58" s="101"/>
      <c r="BC58" s="101"/>
      <c r="BD58" s="101"/>
      <c r="BE58" s="101"/>
      <c r="BF58" s="101"/>
      <c r="BG58" s="101"/>
      <c r="BH58" s="101"/>
      <c r="BI58" s="101"/>
      <c r="BJ58" s="101"/>
      <c r="BK58" s="101"/>
      <c r="BL58" s="101"/>
      <c r="BM58" s="101"/>
      <c r="BN58" s="101"/>
      <c r="BO58" s="101"/>
      <c r="BP58" s="101"/>
      <c r="BQ58" s="101"/>
      <c r="BR58" s="101"/>
      <c r="BS58" s="101"/>
      <c r="BT58" s="101"/>
      <c r="BU58" s="101"/>
      <c r="BV58" s="101"/>
      <c r="BW58" s="101"/>
      <c r="BX58" s="101"/>
      <c r="BY58" s="101"/>
      <c r="BZ58" s="101"/>
      <c r="CA58" s="101"/>
      <c r="CB58" s="101"/>
      <c r="CC58" s="101"/>
      <c r="CD58" s="101"/>
      <c r="CE58" s="101"/>
      <c r="CF58" s="101"/>
      <c r="CG58" s="101"/>
      <c r="CH58" s="101"/>
      <c r="CI58" s="101"/>
      <c r="CJ58" s="101"/>
      <c r="CK58" s="101"/>
      <c r="CL58" s="101"/>
      <c r="CM58" s="101"/>
      <c r="CN58" s="101"/>
      <c r="CO58" s="101"/>
      <c r="CP58" s="101"/>
      <c r="CQ58" s="101"/>
      <c r="CR58" s="101"/>
      <c r="CS58" s="101"/>
      <c r="CT58" s="101"/>
      <c r="CU58" s="101"/>
      <c r="CV58" s="101"/>
      <c r="CW58" s="101"/>
      <c r="CX58" s="101"/>
      <c r="CY58" s="101"/>
      <c r="CZ58" s="101"/>
      <c r="DA58" s="101"/>
      <c r="DB58" s="101"/>
      <c r="DC58" s="101"/>
      <c r="DD58" s="101"/>
      <c r="DE58" s="101"/>
      <c r="DF58" s="101"/>
      <c r="DG58" s="101"/>
      <c r="DH58" s="101"/>
      <c r="DI58" s="101"/>
      <c r="DJ58" s="101"/>
      <c r="DK58" s="101"/>
      <c r="DL58" s="101"/>
      <c r="DM58" s="101"/>
      <c r="DN58" s="101"/>
      <c r="DO58" s="101"/>
      <c r="DP58" s="101"/>
      <c r="DQ58" s="101"/>
      <c r="DR58" s="101"/>
      <c r="DS58" s="101"/>
      <c r="DT58" s="101"/>
      <c r="DU58" s="101"/>
      <c r="DV58" s="101"/>
      <c r="DW58" s="101"/>
      <c r="DX58" s="101"/>
      <c r="DY58" s="101"/>
      <c r="DZ58" s="101"/>
      <c r="EA58" s="101"/>
      <c r="EB58" s="101"/>
      <c r="EC58" s="101"/>
      <c r="ED58" s="101"/>
      <c r="EE58" s="101"/>
      <c r="EF58" s="101"/>
      <c r="EG58" s="101"/>
      <c r="EH58" s="101"/>
      <c r="EI58" s="101"/>
      <c r="EJ58" s="101"/>
      <c r="EK58" s="101"/>
      <c r="EL58" s="101"/>
      <c r="EM58" s="101"/>
      <c r="EN58" s="101"/>
      <c r="EO58" s="101"/>
      <c r="EP58" s="101"/>
      <c r="EQ58" s="101"/>
      <c r="ER58" s="101"/>
      <c r="ES58" s="101"/>
      <c r="ET58" s="101"/>
      <c r="EU58" s="101"/>
      <c r="EV58" s="101"/>
      <c r="EW58" s="101"/>
      <c r="EX58" s="101"/>
      <c r="EY58" s="101"/>
      <c r="EZ58" s="101"/>
      <c r="FA58" s="101"/>
      <c r="FB58" s="101"/>
      <c r="FC58" s="101"/>
      <c r="FD58" s="101"/>
      <c r="FE58" s="101"/>
      <c r="FF58" s="101"/>
      <c r="FG58" s="101"/>
      <c r="FH58" s="101"/>
      <c r="FI58" s="101"/>
      <c r="FJ58" s="101"/>
      <c r="FK58" s="101"/>
      <c r="FL58" s="101"/>
      <c r="FM58" s="101"/>
      <c r="FN58" s="101"/>
      <c r="FO58" s="101"/>
      <c r="FP58" s="101"/>
      <c r="FQ58" s="101"/>
      <c r="FR58" s="101"/>
      <c r="FS58" s="101"/>
      <c r="FT58" s="101"/>
      <c r="FU58" s="101"/>
      <c r="FV58" s="101"/>
      <c r="FW58" s="101"/>
      <c r="FX58" s="101"/>
      <c r="FY58" s="101"/>
      <c r="FZ58" s="101"/>
      <c r="GA58" s="101"/>
      <c r="GB58" s="101"/>
      <c r="GC58" s="101"/>
      <c r="GD58" s="101"/>
      <c r="GE58" s="101"/>
      <c r="GF58" s="101"/>
      <c r="GG58" s="101"/>
      <c r="GH58" s="101"/>
      <c r="GI58" s="101"/>
      <c r="GJ58" s="101"/>
    </row>
    <row r="59" spans="1:192" ht="50.1" customHeight="1" outlineLevel="1" x14ac:dyDescent="0.25">
      <c r="A59" s="149" t="s">
        <v>235</v>
      </c>
      <c r="B59" s="167" t="s">
        <v>311</v>
      </c>
      <c r="C59" s="144" t="s">
        <v>471</v>
      </c>
      <c r="D59" s="167" t="s">
        <v>23</v>
      </c>
      <c r="E59" s="144" t="s">
        <v>557</v>
      </c>
      <c r="F59" s="211"/>
      <c r="G59" s="74"/>
      <c r="H59" s="74"/>
      <c r="I59" s="74"/>
      <c r="J59" s="74"/>
      <c r="K59" s="74"/>
      <c r="L59" s="74"/>
      <c r="M59" s="74"/>
      <c r="N59" s="74"/>
      <c r="O59" s="74"/>
      <c r="P59" s="74"/>
      <c r="Q59" s="74"/>
      <c r="R59" s="74"/>
      <c r="S59" s="74"/>
      <c r="T59" s="74"/>
      <c r="U59" s="74"/>
      <c r="V59" s="74"/>
      <c r="W59" s="74"/>
      <c r="X59" s="74"/>
      <c r="Y59" s="74"/>
      <c r="Z59" s="7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X59" s="74"/>
      <c r="AY59" s="101"/>
      <c r="AZ59" s="101"/>
      <c r="BA59" s="101"/>
      <c r="BB59" s="101"/>
      <c r="BC59" s="101"/>
      <c r="BD59" s="101"/>
      <c r="BE59" s="101"/>
      <c r="BF59" s="101"/>
      <c r="BG59" s="101"/>
      <c r="BH59" s="101"/>
      <c r="BI59" s="101"/>
      <c r="BJ59" s="101"/>
      <c r="BK59" s="101"/>
      <c r="BL59" s="101"/>
      <c r="BM59" s="101"/>
      <c r="BN59" s="101"/>
      <c r="BO59" s="101"/>
      <c r="BP59" s="101"/>
      <c r="BQ59" s="101"/>
      <c r="BR59" s="101"/>
      <c r="BS59" s="101"/>
      <c r="BT59" s="101"/>
      <c r="BU59" s="101"/>
      <c r="BV59" s="101"/>
      <c r="BW59" s="101"/>
      <c r="BX59" s="101"/>
      <c r="BY59" s="101"/>
      <c r="BZ59" s="101"/>
      <c r="CA59" s="101"/>
      <c r="CB59" s="101"/>
      <c r="CC59" s="101"/>
      <c r="CD59" s="101"/>
      <c r="CE59" s="101"/>
      <c r="CF59" s="101"/>
      <c r="CG59" s="101"/>
      <c r="CH59" s="101"/>
      <c r="CI59" s="101"/>
      <c r="CJ59" s="101"/>
      <c r="CK59" s="101"/>
      <c r="CL59" s="101"/>
      <c r="CM59" s="101"/>
      <c r="CN59" s="101"/>
      <c r="CO59" s="101"/>
      <c r="CP59" s="101"/>
      <c r="CQ59" s="101"/>
      <c r="CR59" s="101"/>
      <c r="CS59" s="101"/>
      <c r="CT59" s="101"/>
      <c r="CU59" s="101"/>
      <c r="CV59" s="101"/>
      <c r="CW59" s="101"/>
      <c r="CX59" s="101"/>
      <c r="CY59" s="101"/>
      <c r="CZ59" s="101"/>
      <c r="DA59" s="101"/>
      <c r="DB59" s="101"/>
      <c r="DC59" s="101"/>
      <c r="DD59" s="101"/>
      <c r="DE59" s="101"/>
      <c r="DF59" s="101"/>
      <c r="DG59" s="101"/>
      <c r="DH59" s="101"/>
      <c r="DI59" s="101"/>
      <c r="DJ59" s="101"/>
      <c r="DK59" s="101"/>
      <c r="DL59" s="101"/>
      <c r="DM59" s="101"/>
      <c r="DN59" s="101"/>
      <c r="DO59" s="101"/>
      <c r="DP59" s="101"/>
      <c r="DQ59" s="101"/>
      <c r="DR59" s="101"/>
      <c r="DS59" s="101"/>
      <c r="DT59" s="101"/>
      <c r="DU59" s="101"/>
      <c r="DV59" s="101"/>
      <c r="DW59" s="101"/>
      <c r="DX59" s="101"/>
      <c r="DY59" s="101"/>
      <c r="DZ59" s="101"/>
      <c r="EA59" s="101"/>
      <c r="EB59" s="101"/>
      <c r="EC59" s="101"/>
      <c r="ED59" s="101"/>
      <c r="EE59" s="101"/>
      <c r="EF59" s="101"/>
      <c r="EG59" s="101"/>
      <c r="EH59" s="101"/>
      <c r="EI59" s="101"/>
      <c r="EJ59" s="101"/>
      <c r="EK59" s="101"/>
      <c r="EL59" s="101"/>
      <c r="EM59" s="101"/>
      <c r="EN59" s="101"/>
      <c r="EO59" s="101"/>
      <c r="EP59" s="101"/>
      <c r="EQ59" s="101"/>
      <c r="ER59" s="101"/>
      <c r="ES59" s="101"/>
      <c r="ET59" s="101"/>
      <c r="EU59" s="101"/>
      <c r="EV59" s="101"/>
      <c r="EW59" s="101"/>
      <c r="EX59" s="101"/>
      <c r="EY59" s="101"/>
      <c r="EZ59" s="101"/>
      <c r="FA59" s="101"/>
      <c r="FB59" s="101"/>
      <c r="FC59" s="101"/>
      <c r="FD59" s="101"/>
      <c r="FE59" s="101"/>
      <c r="FF59" s="101"/>
      <c r="FG59" s="101"/>
      <c r="FH59" s="101"/>
      <c r="FI59" s="101"/>
      <c r="FJ59" s="101"/>
      <c r="FK59" s="101"/>
      <c r="FL59" s="101"/>
      <c r="FM59" s="101"/>
      <c r="FN59" s="101"/>
      <c r="FO59" s="101"/>
      <c r="FP59" s="101"/>
      <c r="FQ59" s="101"/>
      <c r="FR59" s="101"/>
      <c r="FS59" s="101"/>
      <c r="FT59" s="101"/>
      <c r="FU59" s="101"/>
      <c r="FV59" s="101"/>
      <c r="FW59" s="101"/>
      <c r="FX59" s="101"/>
      <c r="FY59" s="101"/>
      <c r="FZ59" s="101"/>
      <c r="GA59" s="101"/>
      <c r="GB59" s="101"/>
      <c r="GC59" s="101"/>
      <c r="GD59" s="101"/>
      <c r="GE59" s="101"/>
      <c r="GF59" s="101"/>
      <c r="GG59" s="101"/>
      <c r="GH59" s="101"/>
      <c r="GI59" s="101"/>
      <c r="GJ59" s="101"/>
    </row>
    <row r="60" spans="1:192" ht="50.1" customHeight="1" outlineLevel="1" x14ac:dyDescent="0.25">
      <c r="A60" s="149" t="s">
        <v>235</v>
      </c>
      <c r="B60" s="168" t="s">
        <v>312</v>
      </c>
      <c r="C60" s="142" t="s">
        <v>423</v>
      </c>
      <c r="D60" s="168" t="s">
        <v>23</v>
      </c>
      <c r="E60" s="146" t="s">
        <v>558</v>
      </c>
      <c r="F60" s="214"/>
      <c r="G60" s="74"/>
      <c r="H60" s="74"/>
      <c r="I60" s="74"/>
      <c r="J60" s="74"/>
      <c r="K60" s="74"/>
      <c r="L60" s="74"/>
      <c r="M60" s="74"/>
      <c r="N60" s="74"/>
      <c r="O60" s="74"/>
      <c r="P60" s="74"/>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X60" s="74"/>
      <c r="AY60" s="101"/>
      <c r="AZ60" s="101"/>
      <c r="BA60" s="101"/>
      <c r="BB60" s="101"/>
      <c r="BC60" s="101"/>
      <c r="BD60" s="101"/>
      <c r="BE60" s="101"/>
      <c r="BF60" s="101"/>
      <c r="BG60" s="101"/>
      <c r="BH60" s="101"/>
      <c r="BI60" s="101"/>
      <c r="BJ60" s="101"/>
      <c r="BK60" s="101"/>
      <c r="BL60" s="101"/>
      <c r="BM60" s="101"/>
      <c r="BN60" s="101"/>
      <c r="BO60" s="101"/>
      <c r="BP60" s="101"/>
      <c r="BQ60" s="101"/>
      <c r="BR60" s="101"/>
      <c r="BS60" s="101"/>
      <c r="BT60" s="101"/>
      <c r="BU60" s="101"/>
      <c r="BV60" s="101"/>
      <c r="BW60" s="101"/>
      <c r="BX60" s="101"/>
      <c r="BY60" s="101"/>
      <c r="BZ60" s="101"/>
      <c r="CA60" s="101"/>
      <c r="CB60" s="101"/>
      <c r="CC60" s="101"/>
      <c r="CD60" s="101"/>
      <c r="CE60" s="101"/>
      <c r="CF60" s="101"/>
      <c r="CG60" s="101"/>
      <c r="CH60" s="101"/>
      <c r="CI60" s="101"/>
      <c r="CJ60" s="101"/>
      <c r="CK60" s="101"/>
      <c r="CL60" s="101"/>
      <c r="CM60" s="101"/>
      <c r="CN60" s="101"/>
      <c r="CO60" s="101"/>
      <c r="CP60" s="101"/>
      <c r="CQ60" s="101"/>
      <c r="CR60" s="101"/>
      <c r="CS60" s="101"/>
      <c r="CT60" s="101"/>
      <c r="CU60" s="101"/>
      <c r="CV60" s="101"/>
      <c r="CW60" s="101"/>
      <c r="CX60" s="101"/>
      <c r="CY60" s="101"/>
      <c r="CZ60" s="101"/>
      <c r="DA60" s="101"/>
      <c r="DB60" s="101"/>
      <c r="DC60" s="101"/>
      <c r="DD60" s="101"/>
      <c r="DE60" s="101"/>
      <c r="DF60" s="101"/>
      <c r="DG60" s="101"/>
      <c r="DH60" s="101"/>
      <c r="DI60" s="101"/>
      <c r="DJ60" s="101"/>
      <c r="DK60" s="101"/>
      <c r="DL60" s="101"/>
      <c r="DM60" s="101"/>
      <c r="DN60" s="101"/>
      <c r="DO60" s="101"/>
      <c r="DP60" s="101"/>
      <c r="DQ60" s="101"/>
      <c r="DR60" s="101"/>
      <c r="DS60" s="101"/>
      <c r="DT60" s="101"/>
      <c r="DU60" s="101"/>
      <c r="DV60" s="101"/>
      <c r="DW60" s="101"/>
      <c r="DX60" s="101"/>
      <c r="DY60" s="101"/>
      <c r="DZ60" s="101"/>
      <c r="EA60" s="101"/>
      <c r="EB60" s="101"/>
      <c r="EC60" s="101"/>
      <c r="ED60" s="101"/>
      <c r="EE60" s="101"/>
      <c r="EF60" s="101"/>
      <c r="EG60" s="101"/>
      <c r="EH60" s="101"/>
      <c r="EI60" s="101"/>
      <c r="EJ60" s="101"/>
      <c r="EK60" s="101"/>
      <c r="EL60" s="101"/>
      <c r="EM60" s="101"/>
      <c r="EN60" s="101"/>
      <c r="EO60" s="101"/>
      <c r="EP60" s="101"/>
      <c r="EQ60" s="101"/>
      <c r="ER60" s="101"/>
      <c r="ES60" s="101"/>
      <c r="ET60" s="101"/>
      <c r="EU60" s="101"/>
      <c r="EV60" s="101"/>
      <c r="EW60" s="101"/>
      <c r="EX60" s="101"/>
      <c r="EY60" s="101"/>
      <c r="EZ60" s="101"/>
      <c r="FA60" s="101"/>
      <c r="FB60" s="101"/>
      <c r="FC60" s="101"/>
      <c r="FD60" s="101"/>
      <c r="FE60" s="101"/>
      <c r="FF60" s="101"/>
      <c r="FG60" s="101"/>
      <c r="FH60" s="101"/>
      <c r="FI60" s="101"/>
      <c r="FJ60" s="101"/>
      <c r="FK60" s="101"/>
      <c r="FL60" s="101"/>
      <c r="FM60" s="101"/>
      <c r="FN60" s="101"/>
      <c r="FO60" s="101"/>
      <c r="FP60" s="101"/>
      <c r="FQ60" s="101"/>
      <c r="FR60" s="101"/>
      <c r="FS60" s="101"/>
      <c r="FT60" s="101"/>
      <c r="FU60" s="101"/>
      <c r="FV60" s="101"/>
      <c r="FW60" s="101"/>
      <c r="FX60" s="101"/>
      <c r="FY60" s="101"/>
      <c r="FZ60" s="101"/>
      <c r="GA60" s="101"/>
      <c r="GB60" s="101"/>
      <c r="GC60" s="101"/>
      <c r="GD60" s="101"/>
      <c r="GE60" s="101"/>
      <c r="GF60" s="101"/>
      <c r="GG60" s="101"/>
      <c r="GH60" s="101"/>
      <c r="GI60" s="101"/>
      <c r="GJ60" s="101"/>
    </row>
    <row r="61" spans="1:192" ht="50.1" customHeight="1" outlineLevel="1" x14ac:dyDescent="0.25">
      <c r="A61" s="149" t="s">
        <v>235</v>
      </c>
      <c r="B61" s="167" t="s">
        <v>313</v>
      </c>
      <c r="C61" s="144" t="s">
        <v>472</v>
      </c>
      <c r="D61" s="167" t="s">
        <v>22</v>
      </c>
      <c r="E61" s="147" t="s">
        <v>559</v>
      </c>
      <c r="F61" s="211"/>
      <c r="G61" s="74"/>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101"/>
      <c r="AZ61" s="101"/>
      <c r="BA61" s="101"/>
      <c r="BB61" s="101"/>
      <c r="BC61" s="101"/>
      <c r="BD61" s="101"/>
      <c r="BE61" s="101"/>
      <c r="BF61" s="101"/>
      <c r="BG61" s="101"/>
      <c r="BH61" s="101"/>
      <c r="BI61" s="101"/>
      <c r="BJ61" s="101"/>
      <c r="BK61" s="101"/>
      <c r="BL61" s="101"/>
      <c r="BM61" s="101"/>
      <c r="BN61" s="101"/>
      <c r="BO61" s="101"/>
      <c r="BP61" s="101"/>
      <c r="BQ61" s="101"/>
      <c r="BR61" s="101"/>
      <c r="BS61" s="101"/>
      <c r="BT61" s="101"/>
      <c r="BU61" s="101"/>
      <c r="BV61" s="101"/>
      <c r="BW61" s="101"/>
      <c r="BX61" s="101"/>
      <c r="BY61" s="101"/>
      <c r="BZ61" s="101"/>
      <c r="CA61" s="101"/>
      <c r="CB61" s="101"/>
      <c r="CC61" s="101"/>
      <c r="CD61" s="101"/>
      <c r="CE61" s="101"/>
      <c r="CF61" s="101"/>
      <c r="CG61" s="101"/>
      <c r="CH61" s="101"/>
      <c r="CI61" s="101"/>
      <c r="CJ61" s="101"/>
      <c r="CK61" s="101"/>
      <c r="CL61" s="101"/>
      <c r="CM61" s="101"/>
      <c r="CN61" s="101"/>
      <c r="CO61" s="101"/>
      <c r="CP61" s="101"/>
      <c r="CQ61" s="101"/>
      <c r="CR61" s="101"/>
      <c r="CS61" s="101"/>
      <c r="CT61" s="101"/>
      <c r="CU61" s="101"/>
      <c r="CV61" s="101"/>
      <c r="CW61" s="101"/>
      <c r="CX61" s="101"/>
      <c r="CY61" s="101"/>
      <c r="CZ61" s="101"/>
      <c r="DA61" s="101"/>
      <c r="DB61" s="101"/>
      <c r="DC61" s="101"/>
      <c r="DD61" s="101"/>
      <c r="DE61" s="101"/>
      <c r="DF61" s="101"/>
      <c r="DG61" s="101"/>
      <c r="DH61" s="101"/>
      <c r="DI61" s="101"/>
      <c r="DJ61" s="101"/>
      <c r="DK61" s="101"/>
      <c r="DL61" s="101"/>
      <c r="DM61" s="101"/>
      <c r="DN61" s="101"/>
      <c r="DO61" s="101"/>
      <c r="DP61" s="101"/>
      <c r="DQ61" s="101"/>
      <c r="DR61" s="101"/>
      <c r="DS61" s="101"/>
      <c r="DT61" s="101"/>
      <c r="DU61" s="101"/>
      <c r="DV61" s="101"/>
      <c r="DW61" s="101"/>
      <c r="DX61" s="101"/>
      <c r="DY61" s="101"/>
      <c r="DZ61" s="101"/>
      <c r="EA61" s="101"/>
      <c r="EB61" s="101"/>
      <c r="EC61" s="101"/>
      <c r="ED61" s="101"/>
      <c r="EE61" s="101"/>
      <c r="EF61" s="101"/>
      <c r="EG61" s="101"/>
      <c r="EH61" s="101"/>
      <c r="EI61" s="101"/>
      <c r="EJ61" s="101"/>
      <c r="EK61" s="101"/>
      <c r="EL61" s="101"/>
      <c r="EM61" s="101"/>
      <c r="EN61" s="101"/>
      <c r="EO61" s="101"/>
      <c r="EP61" s="101"/>
      <c r="EQ61" s="101"/>
      <c r="ER61" s="101"/>
      <c r="ES61" s="101"/>
      <c r="ET61" s="101"/>
      <c r="EU61" s="101"/>
      <c r="EV61" s="101"/>
      <c r="EW61" s="101"/>
      <c r="EX61" s="101"/>
      <c r="EY61" s="101"/>
      <c r="EZ61" s="101"/>
      <c r="FA61" s="101"/>
      <c r="FB61" s="101"/>
      <c r="FC61" s="101"/>
      <c r="FD61" s="101"/>
      <c r="FE61" s="101"/>
      <c r="FF61" s="101"/>
      <c r="FG61" s="101"/>
      <c r="FH61" s="101"/>
      <c r="FI61" s="101"/>
      <c r="FJ61" s="101"/>
      <c r="FK61" s="101"/>
      <c r="FL61" s="101"/>
      <c r="FM61" s="101"/>
      <c r="FN61" s="101"/>
      <c r="FO61" s="101"/>
      <c r="FP61" s="101"/>
      <c r="FQ61" s="101"/>
      <c r="FR61" s="101"/>
      <c r="FS61" s="101"/>
      <c r="FT61" s="101"/>
      <c r="FU61" s="101"/>
      <c r="FV61" s="101"/>
      <c r="FW61" s="101"/>
      <c r="FX61" s="101"/>
      <c r="FY61" s="101"/>
      <c r="FZ61" s="101"/>
      <c r="GA61" s="101"/>
      <c r="GB61" s="101"/>
      <c r="GC61" s="101"/>
      <c r="GD61" s="101"/>
      <c r="GE61" s="101"/>
      <c r="GF61" s="101"/>
      <c r="GG61" s="101"/>
      <c r="GH61" s="101"/>
      <c r="GI61" s="101"/>
      <c r="GJ61" s="101"/>
    </row>
    <row r="62" spans="1:192" ht="50.1" customHeight="1" outlineLevel="1" x14ac:dyDescent="0.25">
      <c r="A62" s="149" t="s">
        <v>235</v>
      </c>
      <c r="B62" s="168" t="s">
        <v>314</v>
      </c>
      <c r="C62" s="142" t="s">
        <v>473</v>
      </c>
      <c r="D62" s="168" t="s">
        <v>22</v>
      </c>
      <c r="E62" s="146" t="s">
        <v>560</v>
      </c>
      <c r="F62" s="214"/>
      <c r="G62" s="74"/>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101"/>
      <c r="AZ62" s="101"/>
      <c r="BA62" s="101"/>
      <c r="BB62" s="101"/>
      <c r="BC62" s="101"/>
      <c r="BD62" s="101"/>
      <c r="BE62" s="101"/>
      <c r="BF62" s="101"/>
      <c r="BG62" s="101"/>
      <c r="BH62" s="101"/>
      <c r="BI62" s="101"/>
      <c r="BJ62" s="101"/>
      <c r="BK62" s="101"/>
      <c r="BL62" s="101"/>
      <c r="BM62" s="101"/>
      <c r="BN62" s="101"/>
      <c r="BO62" s="101"/>
      <c r="BP62" s="101"/>
      <c r="BQ62" s="101"/>
      <c r="BR62" s="101"/>
      <c r="BS62" s="101"/>
      <c r="BT62" s="101"/>
      <c r="BU62" s="101"/>
      <c r="BV62" s="101"/>
      <c r="BW62" s="101"/>
      <c r="BX62" s="101"/>
      <c r="BY62" s="101"/>
      <c r="BZ62" s="101"/>
      <c r="CA62" s="101"/>
      <c r="CB62" s="101"/>
      <c r="CC62" s="101"/>
      <c r="CD62" s="101"/>
      <c r="CE62" s="101"/>
      <c r="CF62" s="101"/>
      <c r="CG62" s="101"/>
      <c r="CH62" s="101"/>
      <c r="CI62" s="101"/>
      <c r="CJ62" s="101"/>
      <c r="CK62" s="101"/>
      <c r="CL62" s="101"/>
      <c r="CM62" s="101"/>
      <c r="CN62" s="101"/>
      <c r="CO62" s="101"/>
      <c r="CP62" s="101"/>
      <c r="CQ62" s="101"/>
      <c r="CR62" s="101"/>
      <c r="CS62" s="101"/>
      <c r="CT62" s="101"/>
      <c r="CU62" s="101"/>
      <c r="CV62" s="101"/>
      <c r="CW62" s="101"/>
      <c r="CX62" s="101"/>
      <c r="CY62" s="101"/>
      <c r="CZ62" s="101"/>
      <c r="DA62" s="101"/>
      <c r="DB62" s="101"/>
      <c r="DC62" s="101"/>
      <c r="DD62" s="101"/>
      <c r="DE62" s="101"/>
      <c r="DF62" s="101"/>
      <c r="DG62" s="101"/>
      <c r="DH62" s="101"/>
      <c r="DI62" s="101"/>
      <c r="DJ62" s="101"/>
      <c r="DK62" s="101"/>
      <c r="DL62" s="101"/>
      <c r="DM62" s="101"/>
      <c r="DN62" s="101"/>
      <c r="DO62" s="101"/>
      <c r="DP62" s="101"/>
      <c r="DQ62" s="101"/>
      <c r="DR62" s="101"/>
      <c r="DS62" s="101"/>
      <c r="DT62" s="101"/>
      <c r="DU62" s="101"/>
      <c r="DV62" s="101"/>
      <c r="DW62" s="101"/>
      <c r="DX62" s="101"/>
      <c r="DY62" s="101"/>
      <c r="DZ62" s="101"/>
      <c r="EA62" s="101"/>
      <c r="EB62" s="101"/>
      <c r="EC62" s="101"/>
      <c r="ED62" s="101"/>
      <c r="EE62" s="101"/>
      <c r="EF62" s="101"/>
      <c r="EG62" s="101"/>
      <c r="EH62" s="101"/>
      <c r="EI62" s="101"/>
      <c r="EJ62" s="101"/>
      <c r="EK62" s="101"/>
      <c r="EL62" s="101"/>
      <c r="EM62" s="101"/>
      <c r="EN62" s="101"/>
      <c r="EO62" s="101"/>
      <c r="EP62" s="101"/>
      <c r="EQ62" s="101"/>
      <c r="ER62" s="101"/>
      <c r="ES62" s="101"/>
      <c r="ET62" s="101"/>
      <c r="EU62" s="101"/>
      <c r="EV62" s="101"/>
      <c r="EW62" s="101"/>
      <c r="EX62" s="101"/>
      <c r="EY62" s="101"/>
      <c r="EZ62" s="101"/>
      <c r="FA62" s="101"/>
      <c r="FB62" s="101"/>
      <c r="FC62" s="101"/>
      <c r="FD62" s="101"/>
      <c r="FE62" s="101"/>
      <c r="FF62" s="101"/>
      <c r="FG62" s="101"/>
      <c r="FH62" s="101"/>
      <c r="FI62" s="101"/>
      <c r="FJ62" s="101"/>
      <c r="FK62" s="101"/>
      <c r="FL62" s="101"/>
      <c r="FM62" s="101"/>
      <c r="FN62" s="101"/>
      <c r="FO62" s="101"/>
      <c r="FP62" s="101"/>
      <c r="FQ62" s="101"/>
      <c r="FR62" s="101"/>
      <c r="FS62" s="101"/>
      <c r="FT62" s="101"/>
      <c r="FU62" s="101"/>
      <c r="FV62" s="101"/>
      <c r="FW62" s="101"/>
      <c r="FX62" s="101"/>
      <c r="FY62" s="101"/>
      <c r="FZ62" s="101"/>
      <c r="GA62" s="101"/>
      <c r="GB62" s="101"/>
      <c r="GC62" s="101"/>
      <c r="GD62" s="101"/>
      <c r="GE62" s="101"/>
      <c r="GF62" s="101"/>
      <c r="GG62" s="101"/>
      <c r="GH62" s="101"/>
      <c r="GI62" s="101"/>
      <c r="GJ62" s="101"/>
    </row>
    <row r="63" spans="1:192" ht="50.1" customHeight="1" outlineLevel="1" x14ac:dyDescent="0.25">
      <c r="A63" s="148" t="s">
        <v>236</v>
      </c>
      <c r="B63" s="167" t="s">
        <v>315</v>
      </c>
      <c r="C63" s="144" t="s">
        <v>474</v>
      </c>
      <c r="D63" s="167" t="s">
        <v>22</v>
      </c>
      <c r="E63" s="147" t="s">
        <v>561</v>
      </c>
      <c r="F63" s="211"/>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101"/>
      <c r="AZ63" s="101"/>
      <c r="BA63" s="101"/>
      <c r="BB63" s="101"/>
      <c r="BC63" s="101"/>
      <c r="BD63" s="101"/>
      <c r="BE63" s="101"/>
      <c r="BF63" s="101"/>
      <c r="BG63" s="101"/>
      <c r="BH63" s="101"/>
      <c r="BI63" s="101"/>
      <c r="BJ63" s="101"/>
      <c r="BK63" s="101"/>
      <c r="BL63" s="101"/>
      <c r="BM63" s="101"/>
      <c r="BN63" s="101"/>
      <c r="BO63" s="101"/>
      <c r="BP63" s="101"/>
      <c r="BQ63" s="101"/>
      <c r="BR63" s="101"/>
      <c r="BS63" s="101"/>
      <c r="BT63" s="101"/>
      <c r="BU63" s="101"/>
      <c r="BV63" s="101"/>
      <c r="BW63" s="101"/>
      <c r="BX63" s="101"/>
      <c r="BY63" s="101"/>
      <c r="BZ63" s="101"/>
      <c r="CA63" s="101"/>
      <c r="CB63" s="101"/>
      <c r="CC63" s="101"/>
      <c r="CD63" s="101"/>
      <c r="CE63" s="101"/>
      <c r="CF63" s="101"/>
      <c r="CG63" s="101"/>
      <c r="CH63" s="101"/>
      <c r="CI63" s="101"/>
      <c r="CJ63" s="101"/>
      <c r="CK63" s="101"/>
      <c r="CL63" s="101"/>
      <c r="CM63" s="101"/>
      <c r="CN63" s="101"/>
      <c r="CO63" s="101"/>
      <c r="CP63" s="101"/>
      <c r="CQ63" s="101"/>
      <c r="CR63" s="101"/>
      <c r="CS63" s="101"/>
      <c r="CT63" s="101"/>
      <c r="CU63" s="101"/>
      <c r="CV63" s="101"/>
      <c r="CW63" s="101"/>
      <c r="CX63" s="101"/>
      <c r="CY63" s="101"/>
      <c r="CZ63" s="101"/>
      <c r="DA63" s="101"/>
      <c r="DB63" s="101"/>
      <c r="DC63" s="101"/>
      <c r="DD63" s="101"/>
      <c r="DE63" s="101"/>
      <c r="DF63" s="101"/>
      <c r="DG63" s="101"/>
      <c r="DH63" s="101"/>
      <c r="DI63" s="101"/>
      <c r="DJ63" s="101"/>
      <c r="DK63" s="101"/>
      <c r="DL63" s="101"/>
      <c r="DM63" s="101"/>
      <c r="DN63" s="101"/>
      <c r="DO63" s="101"/>
      <c r="DP63" s="101"/>
      <c r="DQ63" s="101"/>
      <c r="DR63" s="101"/>
      <c r="DS63" s="101"/>
      <c r="DT63" s="101"/>
      <c r="DU63" s="101"/>
      <c r="DV63" s="101"/>
      <c r="DW63" s="101"/>
      <c r="DX63" s="101"/>
      <c r="DY63" s="101"/>
      <c r="DZ63" s="101"/>
      <c r="EA63" s="101"/>
      <c r="EB63" s="101"/>
      <c r="EC63" s="101"/>
      <c r="ED63" s="101"/>
      <c r="EE63" s="101"/>
      <c r="EF63" s="101"/>
      <c r="EG63" s="101"/>
      <c r="EH63" s="101"/>
      <c r="EI63" s="101"/>
      <c r="EJ63" s="101"/>
      <c r="EK63" s="101"/>
      <c r="EL63" s="101"/>
      <c r="EM63" s="101"/>
      <c r="EN63" s="101"/>
      <c r="EO63" s="101"/>
      <c r="EP63" s="101"/>
      <c r="EQ63" s="101"/>
      <c r="ER63" s="101"/>
      <c r="ES63" s="101"/>
      <c r="ET63" s="101"/>
      <c r="EU63" s="101"/>
      <c r="EV63" s="101"/>
      <c r="EW63" s="101"/>
      <c r="EX63" s="101"/>
      <c r="EY63" s="101"/>
      <c r="EZ63" s="101"/>
      <c r="FA63" s="101"/>
      <c r="FB63" s="101"/>
      <c r="FC63" s="101"/>
      <c r="FD63" s="101"/>
      <c r="FE63" s="101"/>
      <c r="FF63" s="101"/>
      <c r="FG63" s="101"/>
      <c r="FH63" s="101"/>
      <c r="FI63" s="101"/>
      <c r="FJ63" s="101"/>
      <c r="FK63" s="101"/>
      <c r="FL63" s="101"/>
      <c r="FM63" s="101"/>
      <c r="FN63" s="101"/>
      <c r="FO63" s="101"/>
      <c r="FP63" s="101"/>
      <c r="FQ63" s="101"/>
      <c r="FR63" s="101"/>
      <c r="FS63" s="101"/>
      <c r="FT63" s="101"/>
      <c r="FU63" s="101"/>
      <c r="FV63" s="101"/>
      <c r="FW63" s="101"/>
      <c r="FX63" s="101"/>
      <c r="FY63" s="101"/>
      <c r="FZ63" s="101"/>
      <c r="GA63" s="101"/>
      <c r="GB63" s="101"/>
      <c r="GC63" s="101"/>
      <c r="GD63" s="101"/>
      <c r="GE63" s="101"/>
      <c r="GF63" s="101"/>
      <c r="GG63" s="101"/>
      <c r="GH63" s="101"/>
      <c r="GI63" s="101"/>
      <c r="GJ63" s="101"/>
    </row>
    <row r="64" spans="1:192" ht="50.1" customHeight="1" outlineLevel="1" x14ac:dyDescent="0.25">
      <c r="A64" s="148" t="s">
        <v>236</v>
      </c>
      <c r="B64" s="168" t="s">
        <v>316</v>
      </c>
      <c r="C64" s="141" t="s">
        <v>475</v>
      </c>
      <c r="D64" s="169" t="s">
        <v>22</v>
      </c>
      <c r="E64" s="198" t="s">
        <v>562</v>
      </c>
      <c r="F64" s="209"/>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101"/>
      <c r="AZ64" s="101"/>
      <c r="BA64" s="101"/>
      <c r="BB64" s="101"/>
      <c r="BC64" s="101"/>
      <c r="BD64" s="101"/>
      <c r="BE64" s="101"/>
      <c r="BF64" s="101"/>
      <c r="BG64" s="101"/>
      <c r="BH64" s="101"/>
      <c r="BI64" s="101"/>
      <c r="BJ64" s="101"/>
      <c r="BK64" s="101"/>
      <c r="BL64" s="101"/>
      <c r="BM64" s="101"/>
      <c r="BN64" s="101"/>
      <c r="BO64" s="101"/>
      <c r="BP64" s="101"/>
      <c r="BQ64" s="101"/>
      <c r="BR64" s="101"/>
      <c r="BS64" s="101"/>
      <c r="BT64" s="101"/>
      <c r="BU64" s="101"/>
      <c r="BV64" s="101"/>
      <c r="BW64" s="101"/>
      <c r="BX64" s="101"/>
      <c r="BY64" s="101"/>
      <c r="BZ64" s="101"/>
      <c r="CA64" s="101"/>
      <c r="CB64" s="101"/>
      <c r="CC64" s="101"/>
      <c r="CD64" s="101"/>
      <c r="CE64" s="101"/>
      <c r="CF64" s="101"/>
      <c r="CG64" s="101"/>
      <c r="CH64" s="101"/>
      <c r="CI64" s="101"/>
      <c r="CJ64" s="101"/>
      <c r="CK64" s="101"/>
      <c r="CL64" s="101"/>
      <c r="CM64" s="101"/>
      <c r="CN64" s="101"/>
      <c r="CO64" s="101"/>
      <c r="CP64" s="101"/>
      <c r="CQ64" s="101"/>
      <c r="CR64" s="101"/>
      <c r="CS64" s="101"/>
      <c r="CT64" s="101"/>
      <c r="CU64" s="101"/>
      <c r="CV64" s="101"/>
      <c r="CW64" s="101"/>
      <c r="CX64" s="101"/>
      <c r="CY64" s="101"/>
      <c r="CZ64" s="101"/>
      <c r="DA64" s="101"/>
      <c r="DB64" s="101"/>
      <c r="DC64" s="101"/>
      <c r="DD64" s="101"/>
      <c r="DE64" s="101"/>
      <c r="DF64" s="101"/>
      <c r="DG64" s="101"/>
      <c r="DH64" s="101"/>
      <c r="DI64" s="101"/>
      <c r="DJ64" s="101"/>
      <c r="DK64" s="101"/>
      <c r="DL64" s="101"/>
      <c r="DM64" s="101"/>
      <c r="DN64" s="101"/>
      <c r="DO64" s="101"/>
      <c r="DP64" s="101"/>
      <c r="DQ64" s="101"/>
      <c r="DR64" s="101"/>
      <c r="DS64" s="101"/>
      <c r="DT64" s="101"/>
      <c r="DU64" s="101"/>
      <c r="DV64" s="101"/>
      <c r="DW64" s="101"/>
      <c r="DX64" s="101"/>
      <c r="DY64" s="101"/>
      <c r="DZ64" s="101"/>
      <c r="EA64" s="101"/>
      <c r="EB64" s="101"/>
      <c r="EC64" s="101"/>
      <c r="ED64" s="101"/>
      <c r="EE64" s="101"/>
      <c r="EF64" s="101"/>
      <c r="EG64" s="101"/>
      <c r="EH64" s="101"/>
      <c r="EI64" s="101"/>
      <c r="EJ64" s="101"/>
      <c r="EK64" s="101"/>
      <c r="EL64" s="101"/>
      <c r="EM64" s="101"/>
      <c r="EN64" s="101"/>
      <c r="EO64" s="101"/>
      <c r="EP64" s="101"/>
      <c r="EQ64" s="101"/>
      <c r="ER64" s="101"/>
      <c r="ES64" s="101"/>
      <c r="ET64" s="101"/>
      <c r="EU64" s="101"/>
      <c r="EV64" s="101"/>
      <c r="EW64" s="101"/>
      <c r="EX64" s="101"/>
      <c r="EY64" s="101"/>
      <c r="EZ64" s="101"/>
      <c r="FA64" s="101"/>
      <c r="FB64" s="101"/>
      <c r="FC64" s="101"/>
      <c r="FD64" s="101"/>
      <c r="FE64" s="101"/>
      <c r="FF64" s="101"/>
      <c r="FG64" s="101"/>
      <c r="FH64" s="101"/>
      <c r="FI64" s="101"/>
      <c r="FJ64" s="101"/>
      <c r="FK64" s="101"/>
      <c r="FL64" s="101"/>
      <c r="FM64" s="101"/>
      <c r="FN64" s="101"/>
      <c r="FO64" s="101"/>
      <c r="FP64" s="101"/>
      <c r="FQ64" s="101"/>
      <c r="FR64" s="101"/>
      <c r="FS64" s="101"/>
      <c r="FT64" s="101"/>
      <c r="FU64" s="101"/>
      <c r="FV64" s="101"/>
      <c r="FW64" s="101"/>
      <c r="FX64" s="101"/>
      <c r="FY64" s="101"/>
      <c r="FZ64" s="101"/>
      <c r="GA64" s="101"/>
      <c r="GB64" s="101"/>
      <c r="GC64" s="101"/>
      <c r="GD64" s="101"/>
      <c r="GE64" s="101"/>
      <c r="GF64" s="101"/>
      <c r="GG64" s="101"/>
      <c r="GH64" s="101"/>
      <c r="GI64" s="101"/>
      <c r="GJ64" s="101"/>
    </row>
    <row r="65" spans="1:192" ht="50.1" customHeight="1" outlineLevel="1" x14ac:dyDescent="0.25">
      <c r="A65" s="148" t="s">
        <v>236</v>
      </c>
      <c r="B65" s="167" t="s">
        <v>317</v>
      </c>
      <c r="C65" s="144" t="s">
        <v>476</v>
      </c>
      <c r="D65" s="167" t="s">
        <v>22</v>
      </c>
      <c r="E65" s="147" t="s">
        <v>563</v>
      </c>
      <c r="F65" s="211"/>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101"/>
      <c r="AZ65" s="101"/>
      <c r="BA65" s="101"/>
      <c r="BB65" s="101"/>
      <c r="BC65" s="101"/>
      <c r="BD65" s="101"/>
      <c r="BE65" s="101"/>
      <c r="BF65" s="101"/>
      <c r="BG65" s="101"/>
      <c r="BH65" s="101"/>
      <c r="BI65" s="101"/>
      <c r="BJ65" s="101"/>
      <c r="BK65" s="101"/>
      <c r="BL65" s="101"/>
      <c r="BM65" s="101"/>
      <c r="BN65" s="101"/>
      <c r="BO65" s="101"/>
      <c r="BP65" s="101"/>
      <c r="BQ65" s="101"/>
      <c r="BR65" s="101"/>
      <c r="BS65" s="101"/>
      <c r="BT65" s="101"/>
      <c r="BU65" s="101"/>
      <c r="BV65" s="101"/>
      <c r="BW65" s="101"/>
      <c r="BX65" s="101"/>
      <c r="BY65" s="101"/>
      <c r="BZ65" s="101"/>
      <c r="CA65" s="101"/>
      <c r="CB65" s="101"/>
      <c r="CC65" s="101"/>
      <c r="CD65" s="101"/>
      <c r="CE65" s="101"/>
      <c r="CF65" s="101"/>
      <c r="CG65" s="101"/>
      <c r="CH65" s="101"/>
      <c r="CI65" s="101"/>
      <c r="CJ65" s="101"/>
      <c r="CK65" s="101"/>
      <c r="CL65" s="101"/>
      <c r="CM65" s="101"/>
      <c r="CN65" s="101"/>
      <c r="CO65" s="101"/>
      <c r="CP65" s="101"/>
      <c r="CQ65" s="101"/>
      <c r="CR65" s="101"/>
      <c r="CS65" s="101"/>
      <c r="CT65" s="101"/>
      <c r="CU65" s="101"/>
      <c r="CV65" s="101"/>
      <c r="CW65" s="101"/>
      <c r="CX65" s="101"/>
      <c r="CY65" s="101"/>
      <c r="CZ65" s="101"/>
      <c r="DA65" s="101"/>
      <c r="DB65" s="101"/>
      <c r="DC65" s="101"/>
      <c r="DD65" s="101"/>
      <c r="DE65" s="101"/>
      <c r="DF65" s="101"/>
      <c r="DG65" s="101"/>
      <c r="DH65" s="101"/>
      <c r="DI65" s="101"/>
      <c r="DJ65" s="101"/>
      <c r="DK65" s="101"/>
      <c r="DL65" s="101"/>
      <c r="DM65" s="101"/>
      <c r="DN65" s="101"/>
      <c r="DO65" s="101"/>
      <c r="DP65" s="101"/>
      <c r="DQ65" s="101"/>
      <c r="DR65" s="101"/>
      <c r="DS65" s="101"/>
      <c r="DT65" s="101"/>
      <c r="DU65" s="101"/>
      <c r="DV65" s="101"/>
      <c r="DW65" s="101"/>
      <c r="DX65" s="101"/>
      <c r="DY65" s="101"/>
      <c r="DZ65" s="101"/>
      <c r="EA65" s="101"/>
      <c r="EB65" s="101"/>
      <c r="EC65" s="101"/>
      <c r="ED65" s="101"/>
      <c r="EE65" s="101"/>
      <c r="EF65" s="101"/>
      <c r="EG65" s="101"/>
      <c r="EH65" s="101"/>
      <c r="EI65" s="101"/>
      <c r="EJ65" s="101"/>
      <c r="EK65" s="101"/>
      <c r="EL65" s="101"/>
      <c r="EM65" s="101"/>
      <c r="EN65" s="101"/>
      <c r="EO65" s="101"/>
      <c r="EP65" s="101"/>
      <c r="EQ65" s="101"/>
      <c r="ER65" s="101"/>
      <c r="ES65" s="101"/>
      <c r="ET65" s="101"/>
      <c r="EU65" s="101"/>
      <c r="EV65" s="101"/>
      <c r="EW65" s="101"/>
      <c r="EX65" s="101"/>
      <c r="EY65" s="101"/>
      <c r="EZ65" s="101"/>
      <c r="FA65" s="101"/>
      <c r="FB65" s="101"/>
      <c r="FC65" s="101"/>
      <c r="FD65" s="101"/>
      <c r="FE65" s="101"/>
      <c r="FF65" s="101"/>
      <c r="FG65" s="101"/>
      <c r="FH65" s="101"/>
      <c r="FI65" s="101"/>
      <c r="FJ65" s="101"/>
      <c r="FK65" s="101"/>
      <c r="FL65" s="101"/>
      <c r="FM65" s="101"/>
      <c r="FN65" s="101"/>
      <c r="FO65" s="101"/>
      <c r="FP65" s="101"/>
      <c r="FQ65" s="101"/>
      <c r="FR65" s="101"/>
      <c r="FS65" s="101"/>
      <c r="FT65" s="101"/>
      <c r="FU65" s="101"/>
      <c r="FV65" s="101"/>
      <c r="FW65" s="101"/>
      <c r="FX65" s="101"/>
      <c r="FY65" s="101"/>
      <c r="FZ65" s="101"/>
      <c r="GA65" s="101"/>
      <c r="GB65" s="101"/>
      <c r="GC65" s="101"/>
      <c r="GD65" s="101"/>
      <c r="GE65" s="101"/>
      <c r="GF65" s="101"/>
      <c r="GG65" s="101"/>
      <c r="GH65" s="101"/>
      <c r="GI65" s="101"/>
      <c r="GJ65" s="101"/>
    </row>
    <row r="66" spans="1:192" ht="50.1" customHeight="1" outlineLevel="1" x14ac:dyDescent="0.25">
      <c r="A66" s="148" t="s">
        <v>236</v>
      </c>
      <c r="B66" s="168" t="s">
        <v>318</v>
      </c>
      <c r="C66" s="141" t="s">
        <v>477</v>
      </c>
      <c r="D66" s="169" t="s">
        <v>22</v>
      </c>
      <c r="E66" s="198" t="s">
        <v>564</v>
      </c>
      <c r="F66" s="209"/>
      <c r="G66" s="74"/>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101"/>
      <c r="AZ66" s="101"/>
      <c r="BA66" s="101"/>
      <c r="BB66" s="101"/>
      <c r="BC66" s="101"/>
      <c r="BD66" s="101"/>
      <c r="BE66" s="101"/>
      <c r="BF66" s="101"/>
      <c r="BG66" s="101"/>
      <c r="BH66" s="101"/>
      <c r="BI66" s="101"/>
      <c r="BJ66" s="101"/>
      <c r="BK66" s="101"/>
      <c r="BL66" s="101"/>
      <c r="BM66" s="101"/>
      <c r="BN66" s="101"/>
      <c r="BO66" s="101"/>
      <c r="BP66" s="101"/>
      <c r="BQ66" s="101"/>
      <c r="BR66" s="101"/>
      <c r="BS66" s="101"/>
      <c r="BT66" s="101"/>
      <c r="BU66" s="101"/>
      <c r="BV66" s="101"/>
      <c r="BW66" s="101"/>
      <c r="BX66" s="101"/>
      <c r="BY66" s="101"/>
      <c r="BZ66" s="101"/>
      <c r="CA66" s="101"/>
      <c r="CB66" s="101"/>
      <c r="CC66" s="101"/>
      <c r="CD66" s="101"/>
      <c r="CE66" s="101"/>
      <c r="CF66" s="101"/>
      <c r="CG66" s="101"/>
      <c r="CH66" s="101"/>
      <c r="CI66" s="101"/>
      <c r="CJ66" s="101"/>
      <c r="CK66" s="101"/>
      <c r="CL66" s="101"/>
      <c r="CM66" s="101"/>
      <c r="CN66" s="101"/>
      <c r="CO66" s="101"/>
      <c r="CP66" s="101"/>
      <c r="CQ66" s="101"/>
      <c r="CR66" s="101"/>
      <c r="CS66" s="101"/>
      <c r="CT66" s="101"/>
      <c r="CU66" s="101"/>
      <c r="CV66" s="101"/>
      <c r="CW66" s="101"/>
      <c r="CX66" s="101"/>
      <c r="CY66" s="101"/>
      <c r="CZ66" s="101"/>
      <c r="DA66" s="101"/>
      <c r="DB66" s="101"/>
      <c r="DC66" s="101"/>
      <c r="DD66" s="101"/>
      <c r="DE66" s="101"/>
      <c r="DF66" s="101"/>
      <c r="DG66" s="101"/>
      <c r="DH66" s="101"/>
      <c r="DI66" s="101"/>
      <c r="DJ66" s="101"/>
      <c r="DK66" s="101"/>
      <c r="DL66" s="101"/>
      <c r="DM66" s="101"/>
      <c r="DN66" s="101"/>
      <c r="DO66" s="101"/>
      <c r="DP66" s="101"/>
      <c r="DQ66" s="101"/>
      <c r="DR66" s="101"/>
      <c r="DS66" s="101"/>
      <c r="DT66" s="101"/>
      <c r="DU66" s="101"/>
      <c r="DV66" s="101"/>
      <c r="DW66" s="101"/>
      <c r="DX66" s="101"/>
      <c r="DY66" s="101"/>
      <c r="DZ66" s="101"/>
      <c r="EA66" s="101"/>
      <c r="EB66" s="101"/>
      <c r="EC66" s="101"/>
      <c r="ED66" s="101"/>
      <c r="EE66" s="101"/>
      <c r="EF66" s="101"/>
      <c r="EG66" s="101"/>
      <c r="EH66" s="101"/>
      <c r="EI66" s="101"/>
      <c r="EJ66" s="101"/>
      <c r="EK66" s="101"/>
      <c r="EL66" s="101"/>
      <c r="EM66" s="101"/>
      <c r="EN66" s="101"/>
      <c r="EO66" s="101"/>
      <c r="EP66" s="101"/>
      <c r="EQ66" s="101"/>
      <c r="ER66" s="101"/>
      <c r="ES66" s="101"/>
      <c r="ET66" s="101"/>
      <c r="EU66" s="101"/>
      <c r="EV66" s="101"/>
      <c r="EW66" s="101"/>
      <c r="EX66" s="101"/>
      <c r="EY66" s="101"/>
      <c r="EZ66" s="101"/>
      <c r="FA66" s="101"/>
      <c r="FB66" s="101"/>
      <c r="FC66" s="101"/>
      <c r="FD66" s="101"/>
      <c r="FE66" s="101"/>
      <c r="FF66" s="101"/>
      <c r="FG66" s="101"/>
      <c r="FH66" s="101"/>
      <c r="FI66" s="101"/>
      <c r="FJ66" s="101"/>
      <c r="FK66" s="101"/>
      <c r="FL66" s="101"/>
      <c r="FM66" s="101"/>
      <c r="FN66" s="101"/>
      <c r="FO66" s="101"/>
      <c r="FP66" s="101"/>
      <c r="FQ66" s="101"/>
      <c r="FR66" s="101"/>
      <c r="FS66" s="101"/>
      <c r="FT66" s="101"/>
      <c r="FU66" s="101"/>
      <c r="FV66" s="101"/>
      <c r="FW66" s="101"/>
      <c r="FX66" s="101"/>
      <c r="FY66" s="101"/>
      <c r="FZ66" s="101"/>
      <c r="GA66" s="101"/>
      <c r="GB66" s="101"/>
      <c r="GC66" s="101"/>
      <c r="GD66" s="101"/>
      <c r="GE66" s="101"/>
      <c r="GF66" s="101"/>
      <c r="GG66" s="101"/>
      <c r="GH66" s="101"/>
      <c r="GI66" s="101"/>
      <c r="GJ66" s="101"/>
    </row>
    <row r="67" spans="1:192" ht="50.1" customHeight="1" outlineLevel="1" x14ac:dyDescent="0.25">
      <c r="A67" s="149" t="s">
        <v>237</v>
      </c>
      <c r="B67" s="167" t="s">
        <v>319</v>
      </c>
      <c r="C67" s="144" t="s">
        <v>478</v>
      </c>
      <c r="D67" s="167" t="s">
        <v>22</v>
      </c>
      <c r="E67" s="147" t="s">
        <v>565</v>
      </c>
      <c r="F67" s="211"/>
      <c r="G67" s="74"/>
      <c r="H67" s="74"/>
      <c r="I67" s="74"/>
      <c r="J67" s="74"/>
      <c r="K67" s="74"/>
      <c r="L67" s="74"/>
      <c r="M67" s="74"/>
      <c r="N67" s="74"/>
      <c r="O67" s="74"/>
      <c r="P67" s="74"/>
      <c r="Q67" s="74"/>
      <c r="R67" s="74"/>
      <c r="S67" s="74"/>
      <c r="T67" s="74"/>
      <c r="U67" s="74"/>
      <c r="V67" s="74"/>
      <c r="W67" s="74"/>
      <c r="X67" s="74"/>
      <c r="Y67" s="74"/>
      <c r="Z67" s="74"/>
      <c r="AA67" s="74"/>
      <c r="AB67" s="74"/>
      <c r="AC67" s="74"/>
      <c r="AD67" s="74"/>
      <c r="AE67" s="74"/>
      <c r="AF67" s="74"/>
      <c r="AG67" s="74"/>
      <c r="AH67" s="74"/>
      <c r="AI67" s="74"/>
      <c r="AJ67" s="74"/>
      <c r="AK67" s="74"/>
      <c r="AL67" s="74"/>
      <c r="AM67" s="74"/>
      <c r="AN67" s="74"/>
      <c r="AO67" s="74"/>
      <c r="AP67" s="74"/>
      <c r="AQ67" s="74"/>
      <c r="AR67" s="74"/>
      <c r="AS67" s="74"/>
      <c r="AT67" s="74"/>
      <c r="AU67" s="74"/>
      <c r="AV67" s="74"/>
      <c r="AW67" s="74"/>
      <c r="AX67" s="74"/>
      <c r="AY67" s="101"/>
      <c r="AZ67" s="101"/>
      <c r="BA67" s="101"/>
      <c r="BB67" s="101"/>
      <c r="BC67" s="101"/>
      <c r="BD67" s="101"/>
      <c r="BE67" s="101"/>
      <c r="BF67" s="101"/>
      <c r="BG67" s="101"/>
      <c r="BH67" s="101"/>
      <c r="BI67" s="101"/>
      <c r="BJ67" s="101"/>
      <c r="BK67" s="101"/>
      <c r="BL67" s="101"/>
      <c r="BM67" s="101"/>
      <c r="BN67" s="101"/>
      <c r="BO67" s="101"/>
      <c r="BP67" s="101"/>
      <c r="BQ67" s="101"/>
      <c r="BR67" s="101"/>
      <c r="BS67" s="101"/>
      <c r="BT67" s="101"/>
      <c r="BU67" s="101"/>
      <c r="BV67" s="101"/>
      <c r="BW67" s="101"/>
      <c r="BX67" s="101"/>
      <c r="BY67" s="101"/>
      <c r="BZ67" s="101"/>
      <c r="CA67" s="101"/>
      <c r="CB67" s="101"/>
      <c r="CC67" s="101"/>
      <c r="CD67" s="101"/>
      <c r="CE67" s="101"/>
      <c r="CF67" s="101"/>
      <c r="CG67" s="101"/>
      <c r="CH67" s="101"/>
      <c r="CI67" s="101"/>
      <c r="CJ67" s="101"/>
      <c r="CK67" s="101"/>
      <c r="CL67" s="101"/>
      <c r="CM67" s="101"/>
      <c r="CN67" s="101"/>
      <c r="CO67" s="101"/>
      <c r="CP67" s="101"/>
      <c r="CQ67" s="101"/>
      <c r="CR67" s="101"/>
      <c r="CS67" s="101"/>
      <c r="CT67" s="101"/>
      <c r="CU67" s="101"/>
      <c r="CV67" s="101"/>
      <c r="CW67" s="101"/>
      <c r="CX67" s="101"/>
      <c r="CY67" s="101"/>
      <c r="CZ67" s="101"/>
      <c r="DA67" s="101"/>
      <c r="DB67" s="101"/>
      <c r="DC67" s="101"/>
      <c r="DD67" s="101"/>
      <c r="DE67" s="101"/>
      <c r="DF67" s="101"/>
      <c r="DG67" s="101"/>
      <c r="DH67" s="101"/>
      <c r="DI67" s="101"/>
      <c r="DJ67" s="101"/>
      <c r="DK67" s="101"/>
      <c r="DL67" s="101"/>
      <c r="DM67" s="101"/>
      <c r="DN67" s="101"/>
      <c r="DO67" s="101"/>
      <c r="DP67" s="101"/>
      <c r="DQ67" s="101"/>
      <c r="DR67" s="101"/>
      <c r="DS67" s="101"/>
      <c r="DT67" s="101"/>
      <c r="DU67" s="101"/>
      <c r="DV67" s="101"/>
      <c r="DW67" s="101"/>
      <c r="DX67" s="101"/>
      <c r="DY67" s="101"/>
      <c r="DZ67" s="101"/>
      <c r="EA67" s="101"/>
      <c r="EB67" s="101"/>
      <c r="EC67" s="101"/>
      <c r="ED67" s="101"/>
      <c r="EE67" s="101"/>
      <c r="EF67" s="101"/>
      <c r="EG67" s="101"/>
      <c r="EH67" s="101"/>
      <c r="EI67" s="101"/>
      <c r="EJ67" s="101"/>
      <c r="EK67" s="101"/>
      <c r="EL67" s="101"/>
      <c r="EM67" s="101"/>
      <c r="EN67" s="101"/>
      <c r="EO67" s="101"/>
      <c r="EP67" s="101"/>
      <c r="EQ67" s="101"/>
      <c r="ER67" s="101"/>
      <c r="ES67" s="101"/>
      <c r="ET67" s="101"/>
      <c r="EU67" s="101"/>
      <c r="EV67" s="101"/>
      <c r="EW67" s="101"/>
      <c r="EX67" s="101"/>
      <c r="EY67" s="101"/>
      <c r="EZ67" s="101"/>
      <c r="FA67" s="101"/>
      <c r="FB67" s="101"/>
      <c r="FC67" s="101"/>
      <c r="FD67" s="101"/>
      <c r="FE67" s="101"/>
      <c r="FF67" s="101"/>
      <c r="FG67" s="101"/>
      <c r="FH67" s="101"/>
      <c r="FI67" s="101"/>
      <c r="FJ67" s="101"/>
      <c r="FK67" s="101"/>
      <c r="FL67" s="101"/>
      <c r="FM67" s="101"/>
      <c r="FN67" s="101"/>
      <c r="FO67" s="101"/>
      <c r="FP67" s="101"/>
      <c r="FQ67" s="101"/>
      <c r="FR67" s="101"/>
      <c r="FS67" s="101"/>
      <c r="FT67" s="101"/>
      <c r="FU67" s="101"/>
      <c r="FV67" s="101"/>
      <c r="FW67" s="101"/>
      <c r="FX67" s="101"/>
      <c r="FY67" s="101"/>
      <c r="FZ67" s="101"/>
      <c r="GA67" s="101"/>
      <c r="GB67" s="101"/>
      <c r="GC67" s="101"/>
      <c r="GD67" s="101"/>
      <c r="GE67" s="101"/>
      <c r="GF67" s="101"/>
      <c r="GG67" s="101"/>
      <c r="GH67" s="101"/>
      <c r="GI67" s="101"/>
      <c r="GJ67" s="101"/>
    </row>
    <row r="68" spans="1:192" ht="50.1" customHeight="1" outlineLevel="1" x14ac:dyDescent="0.25">
      <c r="A68" s="149" t="s">
        <v>237</v>
      </c>
      <c r="B68" s="168" t="s">
        <v>320</v>
      </c>
      <c r="C68" s="240" t="s">
        <v>673</v>
      </c>
      <c r="D68" s="169" t="s">
        <v>22</v>
      </c>
      <c r="E68" s="198" t="s">
        <v>566</v>
      </c>
      <c r="F68" s="209"/>
      <c r="G68" s="74"/>
      <c r="H68" s="74"/>
      <c r="I68" s="74"/>
      <c r="J68" s="74"/>
      <c r="K68" s="74"/>
      <c r="L68" s="74"/>
      <c r="M68" s="74"/>
      <c r="N68" s="74"/>
      <c r="O68" s="74"/>
      <c r="P68" s="74"/>
      <c r="Q68" s="74"/>
      <c r="R68" s="74"/>
      <c r="S68" s="74"/>
      <c r="T68" s="74"/>
      <c r="U68" s="74"/>
      <c r="V68" s="74"/>
      <c r="W68" s="74"/>
      <c r="X68" s="74"/>
      <c r="Y68" s="74"/>
      <c r="Z68" s="74"/>
      <c r="AA68" s="74"/>
      <c r="AB68" s="74"/>
      <c r="AC68" s="74"/>
      <c r="AD68" s="74"/>
      <c r="AE68" s="74"/>
      <c r="AF68" s="74"/>
      <c r="AG68" s="74"/>
      <c r="AH68" s="74"/>
      <c r="AI68" s="74"/>
      <c r="AJ68" s="74"/>
      <c r="AK68" s="74"/>
      <c r="AL68" s="74"/>
      <c r="AM68" s="74"/>
      <c r="AN68" s="74"/>
      <c r="AO68" s="74"/>
      <c r="AP68" s="74"/>
      <c r="AQ68" s="74"/>
      <c r="AR68" s="74"/>
      <c r="AS68" s="74"/>
      <c r="AT68" s="74"/>
      <c r="AU68" s="74"/>
      <c r="AV68" s="74"/>
      <c r="AW68" s="74"/>
      <c r="AX68" s="74"/>
      <c r="AY68" s="101"/>
      <c r="AZ68" s="101"/>
      <c r="BA68" s="101"/>
      <c r="BB68" s="101"/>
      <c r="BC68" s="101"/>
      <c r="BD68" s="101"/>
      <c r="BE68" s="101"/>
      <c r="BF68" s="101"/>
      <c r="BG68" s="101"/>
      <c r="BH68" s="101"/>
      <c r="BI68" s="101"/>
      <c r="BJ68" s="101"/>
      <c r="BK68" s="101"/>
      <c r="BL68" s="101"/>
      <c r="BM68" s="101"/>
      <c r="BN68" s="101"/>
      <c r="BO68" s="101"/>
      <c r="BP68" s="101"/>
      <c r="BQ68" s="101"/>
      <c r="BR68" s="101"/>
      <c r="BS68" s="101"/>
      <c r="BT68" s="101"/>
      <c r="BU68" s="101"/>
      <c r="BV68" s="101"/>
      <c r="BW68" s="101"/>
      <c r="BX68" s="101"/>
      <c r="BY68" s="101"/>
      <c r="BZ68" s="101"/>
      <c r="CA68" s="101"/>
      <c r="CB68" s="101"/>
      <c r="CC68" s="101"/>
      <c r="CD68" s="101"/>
      <c r="CE68" s="101"/>
      <c r="CF68" s="101"/>
      <c r="CG68" s="101"/>
      <c r="CH68" s="101"/>
      <c r="CI68" s="101"/>
      <c r="CJ68" s="101"/>
      <c r="CK68" s="101"/>
      <c r="CL68" s="101"/>
      <c r="CM68" s="101"/>
      <c r="CN68" s="101"/>
      <c r="CO68" s="101"/>
      <c r="CP68" s="101"/>
      <c r="CQ68" s="101"/>
      <c r="CR68" s="101"/>
      <c r="CS68" s="101"/>
      <c r="CT68" s="101"/>
      <c r="CU68" s="101"/>
      <c r="CV68" s="101"/>
      <c r="CW68" s="101"/>
      <c r="CX68" s="101"/>
      <c r="CY68" s="101"/>
      <c r="CZ68" s="101"/>
      <c r="DA68" s="101"/>
      <c r="DB68" s="101"/>
      <c r="DC68" s="101"/>
      <c r="DD68" s="101"/>
      <c r="DE68" s="101"/>
      <c r="DF68" s="101"/>
      <c r="DG68" s="101"/>
      <c r="DH68" s="101"/>
      <c r="DI68" s="101"/>
      <c r="DJ68" s="101"/>
      <c r="DK68" s="101"/>
      <c r="DL68" s="101"/>
      <c r="DM68" s="101"/>
      <c r="DN68" s="101"/>
      <c r="DO68" s="101"/>
      <c r="DP68" s="101"/>
      <c r="DQ68" s="101"/>
      <c r="DR68" s="101"/>
      <c r="DS68" s="101"/>
      <c r="DT68" s="101"/>
      <c r="DU68" s="101"/>
      <c r="DV68" s="101"/>
      <c r="DW68" s="101"/>
      <c r="DX68" s="101"/>
      <c r="DY68" s="101"/>
      <c r="DZ68" s="101"/>
      <c r="EA68" s="101"/>
      <c r="EB68" s="101"/>
      <c r="EC68" s="101"/>
      <c r="ED68" s="101"/>
      <c r="EE68" s="101"/>
      <c r="EF68" s="101"/>
      <c r="EG68" s="101"/>
      <c r="EH68" s="101"/>
      <c r="EI68" s="101"/>
      <c r="EJ68" s="101"/>
      <c r="EK68" s="101"/>
      <c r="EL68" s="101"/>
      <c r="EM68" s="101"/>
      <c r="EN68" s="101"/>
      <c r="EO68" s="101"/>
      <c r="EP68" s="101"/>
      <c r="EQ68" s="101"/>
      <c r="ER68" s="101"/>
      <c r="ES68" s="101"/>
      <c r="ET68" s="101"/>
      <c r="EU68" s="101"/>
      <c r="EV68" s="101"/>
      <c r="EW68" s="101"/>
      <c r="EX68" s="101"/>
      <c r="EY68" s="101"/>
      <c r="EZ68" s="101"/>
      <c r="FA68" s="101"/>
      <c r="FB68" s="101"/>
      <c r="FC68" s="101"/>
      <c r="FD68" s="101"/>
      <c r="FE68" s="101"/>
      <c r="FF68" s="101"/>
      <c r="FG68" s="101"/>
      <c r="FH68" s="101"/>
      <c r="FI68" s="101"/>
      <c r="FJ68" s="101"/>
      <c r="FK68" s="101"/>
      <c r="FL68" s="101"/>
      <c r="FM68" s="101"/>
      <c r="FN68" s="101"/>
      <c r="FO68" s="101"/>
      <c r="FP68" s="101"/>
      <c r="FQ68" s="101"/>
      <c r="FR68" s="101"/>
      <c r="FS68" s="101"/>
      <c r="FT68" s="101"/>
      <c r="FU68" s="101"/>
      <c r="FV68" s="101"/>
      <c r="FW68" s="101"/>
      <c r="FX68" s="101"/>
      <c r="FY68" s="101"/>
      <c r="FZ68" s="101"/>
      <c r="GA68" s="101"/>
      <c r="GB68" s="101"/>
      <c r="GC68" s="101"/>
      <c r="GD68" s="101"/>
      <c r="GE68" s="101"/>
      <c r="GF68" s="101"/>
      <c r="GG68" s="101"/>
      <c r="GH68" s="101"/>
      <c r="GI68" s="101"/>
      <c r="GJ68" s="101"/>
    </row>
    <row r="69" spans="1:192" ht="50.1" customHeight="1" outlineLevel="1" x14ac:dyDescent="0.25">
      <c r="A69" s="149" t="s">
        <v>237</v>
      </c>
      <c r="B69" s="167" t="s">
        <v>321</v>
      </c>
      <c r="C69" s="144" t="s">
        <v>479</v>
      </c>
      <c r="D69" s="167" t="s">
        <v>22</v>
      </c>
      <c r="E69" s="147" t="s">
        <v>567</v>
      </c>
      <c r="F69" s="211"/>
      <c r="G69" s="74"/>
      <c r="H69" s="74"/>
      <c r="I69" s="74"/>
      <c r="J69" s="74"/>
      <c r="K69" s="74"/>
      <c r="L69" s="74"/>
      <c r="M69" s="74"/>
      <c r="N69" s="74"/>
      <c r="O69" s="74"/>
      <c r="P69" s="74"/>
      <c r="Q69" s="74"/>
      <c r="R69" s="74"/>
      <c r="S69" s="74"/>
      <c r="T69" s="74"/>
      <c r="U69" s="74"/>
      <c r="V69" s="74"/>
      <c r="W69" s="74"/>
      <c r="X69" s="74"/>
      <c r="Y69" s="74"/>
      <c r="Z69" s="74"/>
      <c r="AA69" s="74"/>
      <c r="AB69" s="74"/>
      <c r="AC69" s="74"/>
      <c r="AD69" s="74"/>
      <c r="AE69" s="74"/>
      <c r="AF69" s="74"/>
      <c r="AG69" s="74"/>
      <c r="AH69" s="74"/>
      <c r="AI69" s="74"/>
      <c r="AJ69" s="74"/>
      <c r="AK69" s="74"/>
      <c r="AL69" s="74"/>
      <c r="AM69" s="74"/>
      <c r="AN69" s="74"/>
      <c r="AO69" s="74"/>
      <c r="AP69" s="74"/>
      <c r="AQ69" s="74"/>
      <c r="AR69" s="74"/>
      <c r="AS69" s="74"/>
      <c r="AT69" s="74"/>
      <c r="AU69" s="74"/>
      <c r="AV69" s="74"/>
      <c r="AW69" s="74"/>
      <c r="AX69" s="74"/>
      <c r="AY69" s="101"/>
      <c r="AZ69" s="101"/>
      <c r="BA69" s="101"/>
      <c r="BB69" s="101"/>
      <c r="BC69" s="101"/>
      <c r="BD69" s="101"/>
      <c r="BE69" s="101"/>
      <c r="BF69" s="101"/>
      <c r="BG69" s="101"/>
      <c r="BH69" s="101"/>
      <c r="BI69" s="101"/>
      <c r="BJ69" s="101"/>
      <c r="BK69" s="101"/>
      <c r="BL69" s="101"/>
      <c r="BM69" s="101"/>
      <c r="BN69" s="101"/>
      <c r="BO69" s="101"/>
      <c r="BP69" s="101"/>
      <c r="BQ69" s="101"/>
      <c r="BR69" s="101"/>
      <c r="BS69" s="101"/>
      <c r="BT69" s="101"/>
      <c r="BU69" s="101"/>
      <c r="BV69" s="101"/>
      <c r="BW69" s="101"/>
      <c r="BX69" s="101"/>
      <c r="BY69" s="101"/>
      <c r="BZ69" s="101"/>
      <c r="CA69" s="101"/>
      <c r="CB69" s="101"/>
      <c r="CC69" s="101"/>
      <c r="CD69" s="101"/>
      <c r="CE69" s="101"/>
      <c r="CF69" s="101"/>
      <c r="CG69" s="101"/>
      <c r="CH69" s="101"/>
      <c r="CI69" s="101"/>
      <c r="CJ69" s="101"/>
      <c r="CK69" s="101"/>
      <c r="CL69" s="101"/>
      <c r="CM69" s="101"/>
      <c r="CN69" s="101"/>
      <c r="CO69" s="101"/>
      <c r="CP69" s="101"/>
      <c r="CQ69" s="101"/>
      <c r="CR69" s="101"/>
      <c r="CS69" s="101"/>
      <c r="CT69" s="101"/>
      <c r="CU69" s="101"/>
      <c r="CV69" s="101"/>
      <c r="CW69" s="101"/>
      <c r="CX69" s="101"/>
      <c r="CY69" s="101"/>
      <c r="CZ69" s="101"/>
      <c r="DA69" s="101"/>
      <c r="DB69" s="101"/>
      <c r="DC69" s="101"/>
      <c r="DD69" s="101"/>
      <c r="DE69" s="101"/>
      <c r="DF69" s="101"/>
      <c r="DG69" s="101"/>
      <c r="DH69" s="101"/>
      <c r="DI69" s="101"/>
      <c r="DJ69" s="101"/>
      <c r="DK69" s="101"/>
      <c r="DL69" s="101"/>
      <c r="DM69" s="101"/>
      <c r="DN69" s="101"/>
      <c r="DO69" s="101"/>
      <c r="DP69" s="101"/>
      <c r="DQ69" s="101"/>
      <c r="DR69" s="101"/>
      <c r="DS69" s="101"/>
      <c r="DT69" s="101"/>
      <c r="DU69" s="101"/>
      <c r="DV69" s="101"/>
      <c r="DW69" s="101"/>
      <c r="DX69" s="101"/>
      <c r="DY69" s="101"/>
      <c r="DZ69" s="101"/>
      <c r="EA69" s="101"/>
      <c r="EB69" s="101"/>
      <c r="EC69" s="101"/>
      <c r="ED69" s="101"/>
      <c r="EE69" s="101"/>
      <c r="EF69" s="101"/>
      <c r="EG69" s="101"/>
      <c r="EH69" s="101"/>
      <c r="EI69" s="101"/>
      <c r="EJ69" s="101"/>
      <c r="EK69" s="101"/>
      <c r="EL69" s="101"/>
      <c r="EM69" s="101"/>
      <c r="EN69" s="101"/>
      <c r="EO69" s="101"/>
      <c r="EP69" s="101"/>
      <c r="EQ69" s="101"/>
      <c r="ER69" s="101"/>
      <c r="ES69" s="101"/>
      <c r="ET69" s="101"/>
      <c r="EU69" s="101"/>
      <c r="EV69" s="101"/>
      <c r="EW69" s="101"/>
      <c r="EX69" s="101"/>
      <c r="EY69" s="101"/>
      <c r="EZ69" s="101"/>
      <c r="FA69" s="101"/>
      <c r="FB69" s="101"/>
      <c r="FC69" s="101"/>
      <c r="FD69" s="101"/>
      <c r="FE69" s="101"/>
      <c r="FF69" s="101"/>
      <c r="FG69" s="101"/>
      <c r="FH69" s="101"/>
      <c r="FI69" s="101"/>
      <c r="FJ69" s="101"/>
      <c r="FK69" s="101"/>
      <c r="FL69" s="101"/>
      <c r="FM69" s="101"/>
      <c r="FN69" s="101"/>
      <c r="FO69" s="101"/>
      <c r="FP69" s="101"/>
      <c r="FQ69" s="101"/>
      <c r="FR69" s="101"/>
      <c r="FS69" s="101"/>
      <c r="FT69" s="101"/>
      <c r="FU69" s="101"/>
      <c r="FV69" s="101"/>
      <c r="FW69" s="101"/>
      <c r="FX69" s="101"/>
      <c r="FY69" s="101"/>
      <c r="FZ69" s="101"/>
      <c r="GA69" s="101"/>
      <c r="GB69" s="101"/>
      <c r="GC69" s="101"/>
      <c r="GD69" s="101"/>
      <c r="GE69" s="101"/>
      <c r="GF69" s="101"/>
      <c r="GG69" s="101"/>
      <c r="GH69" s="101"/>
      <c r="GI69" s="101"/>
      <c r="GJ69" s="101"/>
    </row>
    <row r="70" spans="1:192" ht="50.1" customHeight="1" outlineLevel="1" x14ac:dyDescent="0.25">
      <c r="A70" s="149" t="s">
        <v>237</v>
      </c>
      <c r="B70" s="168" t="s">
        <v>322</v>
      </c>
      <c r="C70" s="141" t="s">
        <v>480</v>
      </c>
      <c r="D70" s="169" t="s">
        <v>23</v>
      </c>
      <c r="E70" s="198" t="s">
        <v>689</v>
      </c>
      <c r="F70" s="209"/>
      <c r="G70" s="74"/>
      <c r="H70" s="74"/>
      <c r="I70" s="74"/>
      <c r="J70" s="74"/>
      <c r="K70" s="74"/>
      <c r="L70" s="74"/>
      <c r="M70" s="74"/>
      <c r="N70" s="74"/>
      <c r="O70" s="74"/>
      <c r="P70" s="74"/>
      <c r="Q70" s="74"/>
      <c r="R70" s="74"/>
      <c r="S70" s="74"/>
      <c r="T70" s="74"/>
      <c r="U70" s="74"/>
      <c r="V70" s="74"/>
      <c r="W70" s="74"/>
      <c r="X70" s="74"/>
      <c r="Y70" s="74"/>
      <c r="Z70" s="74"/>
      <c r="AA70" s="74"/>
      <c r="AB70" s="74"/>
      <c r="AC70" s="74"/>
      <c r="AD70" s="74"/>
      <c r="AE70" s="74"/>
      <c r="AF70" s="74"/>
      <c r="AG70" s="74"/>
      <c r="AH70" s="74"/>
      <c r="AI70" s="74"/>
      <c r="AJ70" s="74"/>
      <c r="AK70" s="74"/>
      <c r="AL70" s="74"/>
      <c r="AM70" s="74"/>
      <c r="AN70" s="74"/>
      <c r="AO70" s="74"/>
      <c r="AP70" s="74"/>
      <c r="AQ70" s="74"/>
      <c r="AR70" s="74"/>
      <c r="AS70" s="74"/>
      <c r="AT70" s="74"/>
      <c r="AU70" s="74"/>
      <c r="AV70" s="74"/>
      <c r="AW70" s="74"/>
      <c r="AX70" s="74"/>
      <c r="AY70" s="101"/>
      <c r="AZ70" s="101"/>
      <c r="BA70" s="101"/>
      <c r="BB70" s="101"/>
      <c r="BC70" s="101"/>
      <c r="BD70" s="101"/>
      <c r="BE70" s="101"/>
      <c r="BF70" s="101"/>
      <c r="BG70" s="101"/>
      <c r="BH70" s="101"/>
      <c r="BI70" s="101"/>
      <c r="BJ70" s="101"/>
      <c r="BK70" s="101"/>
      <c r="BL70" s="101"/>
      <c r="BM70" s="101"/>
      <c r="BN70" s="101"/>
      <c r="BO70" s="101"/>
      <c r="BP70" s="101"/>
      <c r="BQ70" s="101"/>
      <c r="BR70" s="101"/>
      <c r="BS70" s="101"/>
      <c r="BT70" s="101"/>
      <c r="BU70" s="101"/>
      <c r="BV70" s="101"/>
      <c r="BW70" s="101"/>
      <c r="BX70" s="101"/>
      <c r="BY70" s="101"/>
      <c r="BZ70" s="101"/>
      <c r="CA70" s="101"/>
      <c r="CB70" s="101"/>
      <c r="CC70" s="101"/>
      <c r="CD70" s="101"/>
      <c r="CE70" s="101"/>
      <c r="CF70" s="101"/>
      <c r="CG70" s="101"/>
      <c r="CH70" s="101"/>
      <c r="CI70" s="101"/>
      <c r="CJ70" s="101"/>
      <c r="CK70" s="101"/>
      <c r="CL70" s="101"/>
      <c r="CM70" s="101"/>
      <c r="CN70" s="101"/>
      <c r="CO70" s="101"/>
      <c r="CP70" s="101"/>
      <c r="CQ70" s="101"/>
      <c r="CR70" s="101"/>
      <c r="CS70" s="101"/>
      <c r="CT70" s="101"/>
      <c r="CU70" s="101"/>
      <c r="CV70" s="101"/>
      <c r="CW70" s="101"/>
      <c r="CX70" s="101"/>
      <c r="CY70" s="101"/>
      <c r="CZ70" s="101"/>
      <c r="DA70" s="101"/>
      <c r="DB70" s="101"/>
      <c r="DC70" s="101"/>
      <c r="DD70" s="101"/>
      <c r="DE70" s="101"/>
      <c r="DF70" s="101"/>
      <c r="DG70" s="101"/>
      <c r="DH70" s="101"/>
      <c r="DI70" s="101"/>
      <c r="DJ70" s="101"/>
      <c r="DK70" s="101"/>
      <c r="DL70" s="101"/>
      <c r="DM70" s="101"/>
      <c r="DN70" s="101"/>
      <c r="DO70" s="101"/>
      <c r="DP70" s="101"/>
      <c r="DQ70" s="101"/>
      <c r="DR70" s="101"/>
      <c r="DS70" s="101"/>
      <c r="DT70" s="101"/>
      <c r="DU70" s="101"/>
      <c r="DV70" s="101"/>
      <c r="DW70" s="101"/>
      <c r="DX70" s="101"/>
      <c r="DY70" s="101"/>
      <c r="DZ70" s="101"/>
      <c r="EA70" s="101"/>
      <c r="EB70" s="101"/>
      <c r="EC70" s="101"/>
      <c r="ED70" s="101"/>
      <c r="EE70" s="101"/>
      <c r="EF70" s="101"/>
      <c r="EG70" s="101"/>
      <c r="EH70" s="101"/>
      <c r="EI70" s="101"/>
      <c r="EJ70" s="101"/>
      <c r="EK70" s="101"/>
      <c r="EL70" s="101"/>
      <c r="EM70" s="101"/>
      <c r="EN70" s="101"/>
      <c r="EO70" s="101"/>
      <c r="EP70" s="101"/>
      <c r="EQ70" s="101"/>
      <c r="ER70" s="101"/>
      <c r="ES70" s="101"/>
      <c r="ET70" s="101"/>
      <c r="EU70" s="101"/>
      <c r="EV70" s="101"/>
      <c r="EW70" s="101"/>
      <c r="EX70" s="101"/>
      <c r="EY70" s="101"/>
      <c r="EZ70" s="101"/>
      <c r="FA70" s="101"/>
      <c r="FB70" s="101"/>
      <c r="FC70" s="101"/>
      <c r="FD70" s="101"/>
      <c r="FE70" s="101"/>
      <c r="FF70" s="101"/>
      <c r="FG70" s="101"/>
      <c r="FH70" s="101"/>
      <c r="FI70" s="101"/>
      <c r="FJ70" s="101"/>
      <c r="FK70" s="101"/>
      <c r="FL70" s="101"/>
      <c r="FM70" s="101"/>
      <c r="FN70" s="101"/>
      <c r="FO70" s="101"/>
      <c r="FP70" s="101"/>
      <c r="FQ70" s="101"/>
      <c r="FR70" s="101"/>
      <c r="FS70" s="101"/>
      <c r="FT70" s="101"/>
      <c r="FU70" s="101"/>
      <c r="FV70" s="101"/>
      <c r="FW70" s="101"/>
      <c r="FX70" s="101"/>
      <c r="FY70" s="101"/>
      <c r="FZ70" s="101"/>
      <c r="GA70" s="101"/>
      <c r="GB70" s="101"/>
      <c r="GC70" s="101"/>
      <c r="GD70" s="101"/>
      <c r="GE70" s="101"/>
      <c r="GF70" s="101"/>
      <c r="GG70" s="101"/>
      <c r="GH70" s="101"/>
      <c r="GI70" s="101"/>
      <c r="GJ70" s="101"/>
    </row>
    <row r="71" spans="1:192" ht="50.1" customHeight="1" outlineLevel="1" x14ac:dyDescent="0.25">
      <c r="A71" s="149" t="s">
        <v>237</v>
      </c>
      <c r="B71" s="167" t="s">
        <v>323</v>
      </c>
      <c r="C71" s="144" t="s">
        <v>481</v>
      </c>
      <c r="D71" s="167" t="s">
        <v>23</v>
      </c>
      <c r="E71" s="147" t="s">
        <v>568</v>
      </c>
      <c r="F71" s="211"/>
      <c r="G71" s="74"/>
      <c r="H71" s="74"/>
      <c r="I71" s="74"/>
      <c r="J71" s="74"/>
      <c r="K71" s="74"/>
      <c r="L71" s="74"/>
      <c r="M71" s="74"/>
      <c r="N71" s="74"/>
      <c r="O71" s="74"/>
      <c r="P71" s="74"/>
      <c r="Q71" s="74"/>
      <c r="R71" s="74"/>
      <c r="S71" s="74"/>
      <c r="T71" s="74"/>
      <c r="U71" s="74"/>
      <c r="V71" s="74"/>
      <c r="W71" s="74"/>
      <c r="X71" s="74"/>
      <c r="Y71" s="74"/>
      <c r="Z71" s="74"/>
      <c r="AA71" s="74"/>
      <c r="AB71" s="74"/>
      <c r="AC71" s="74"/>
      <c r="AD71" s="74"/>
      <c r="AE71" s="74"/>
      <c r="AF71" s="74"/>
      <c r="AG71" s="74"/>
      <c r="AH71" s="74"/>
      <c r="AI71" s="74"/>
      <c r="AJ71" s="74"/>
      <c r="AK71" s="74"/>
      <c r="AL71" s="74"/>
      <c r="AM71" s="74"/>
      <c r="AN71" s="74"/>
      <c r="AO71" s="74"/>
      <c r="AP71" s="74"/>
      <c r="AQ71" s="74"/>
      <c r="AR71" s="74"/>
      <c r="AS71" s="74"/>
      <c r="AT71" s="74"/>
      <c r="AU71" s="74"/>
      <c r="AV71" s="74"/>
      <c r="AW71" s="74"/>
      <c r="AX71" s="74"/>
      <c r="AY71" s="101"/>
      <c r="AZ71" s="101"/>
      <c r="BA71" s="101"/>
      <c r="BB71" s="101"/>
      <c r="BC71" s="101"/>
      <c r="BD71" s="101"/>
      <c r="BE71" s="101"/>
      <c r="BF71" s="101"/>
      <c r="BG71" s="101"/>
      <c r="BH71" s="101"/>
      <c r="BI71" s="101"/>
      <c r="BJ71" s="101"/>
      <c r="BK71" s="101"/>
      <c r="BL71" s="101"/>
      <c r="BM71" s="101"/>
      <c r="BN71" s="101"/>
      <c r="BO71" s="101"/>
      <c r="BP71" s="101"/>
      <c r="BQ71" s="101"/>
      <c r="BR71" s="101"/>
      <c r="BS71" s="101"/>
      <c r="BT71" s="101"/>
      <c r="BU71" s="101"/>
      <c r="BV71" s="101"/>
      <c r="BW71" s="101"/>
      <c r="BX71" s="101"/>
      <c r="BY71" s="101"/>
      <c r="BZ71" s="101"/>
      <c r="CA71" s="101"/>
      <c r="CB71" s="101"/>
      <c r="CC71" s="101"/>
      <c r="CD71" s="101"/>
      <c r="CE71" s="101"/>
      <c r="CF71" s="101"/>
      <c r="CG71" s="101"/>
      <c r="CH71" s="101"/>
      <c r="CI71" s="101"/>
      <c r="CJ71" s="101"/>
      <c r="CK71" s="101"/>
      <c r="CL71" s="101"/>
      <c r="CM71" s="101"/>
      <c r="CN71" s="101"/>
      <c r="CO71" s="101"/>
      <c r="CP71" s="101"/>
      <c r="CQ71" s="101"/>
      <c r="CR71" s="101"/>
      <c r="CS71" s="101"/>
      <c r="CT71" s="101"/>
      <c r="CU71" s="101"/>
      <c r="CV71" s="101"/>
      <c r="CW71" s="101"/>
      <c r="CX71" s="101"/>
      <c r="CY71" s="101"/>
      <c r="CZ71" s="101"/>
      <c r="DA71" s="101"/>
      <c r="DB71" s="101"/>
      <c r="DC71" s="101"/>
      <c r="DD71" s="101"/>
      <c r="DE71" s="101"/>
      <c r="DF71" s="101"/>
      <c r="DG71" s="101"/>
      <c r="DH71" s="101"/>
      <c r="DI71" s="101"/>
      <c r="DJ71" s="101"/>
      <c r="DK71" s="101"/>
      <c r="DL71" s="101"/>
      <c r="DM71" s="101"/>
      <c r="DN71" s="101"/>
      <c r="DO71" s="101"/>
      <c r="DP71" s="101"/>
      <c r="DQ71" s="101"/>
      <c r="DR71" s="101"/>
      <c r="DS71" s="101"/>
      <c r="DT71" s="101"/>
      <c r="DU71" s="101"/>
      <c r="DV71" s="101"/>
      <c r="DW71" s="101"/>
      <c r="DX71" s="101"/>
      <c r="DY71" s="101"/>
      <c r="DZ71" s="101"/>
      <c r="EA71" s="101"/>
      <c r="EB71" s="101"/>
      <c r="EC71" s="101"/>
      <c r="ED71" s="101"/>
      <c r="EE71" s="101"/>
      <c r="EF71" s="101"/>
      <c r="EG71" s="101"/>
      <c r="EH71" s="101"/>
      <c r="EI71" s="101"/>
      <c r="EJ71" s="101"/>
      <c r="EK71" s="101"/>
      <c r="EL71" s="101"/>
      <c r="EM71" s="101"/>
      <c r="EN71" s="101"/>
      <c r="EO71" s="101"/>
      <c r="EP71" s="101"/>
      <c r="EQ71" s="101"/>
      <c r="ER71" s="101"/>
      <c r="ES71" s="101"/>
      <c r="ET71" s="101"/>
      <c r="EU71" s="101"/>
      <c r="EV71" s="101"/>
      <c r="EW71" s="101"/>
      <c r="EX71" s="101"/>
      <c r="EY71" s="101"/>
      <c r="EZ71" s="101"/>
      <c r="FA71" s="101"/>
      <c r="FB71" s="101"/>
      <c r="FC71" s="101"/>
      <c r="FD71" s="101"/>
      <c r="FE71" s="101"/>
      <c r="FF71" s="101"/>
      <c r="FG71" s="101"/>
      <c r="FH71" s="101"/>
      <c r="FI71" s="101"/>
      <c r="FJ71" s="101"/>
      <c r="FK71" s="101"/>
      <c r="FL71" s="101"/>
      <c r="FM71" s="101"/>
      <c r="FN71" s="101"/>
      <c r="FO71" s="101"/>
      <c r="FP71" s="101"/>
      <c r="FQ71" s="101"/>
      <c r="FR71" s="101"/>
      <c r="FS71" s="101"/>
      <c r="FT71" s="101"/>
      <c r="FU71" s="101"/>
      <c r="FV71" s="101"/>
      <c r="FW71" s="101"/>
      <c r="FX71" s="101"/>
      <c r="FY71" s="101"/>
      <c r="FZ71" s="101"/>
      <c r="GA71" s="101"/>
      <c r="GB71" s="101"/>
      <c r="GC71" s="101"/>
      <c r="GD71" s="101"/>
      <c r="GE71" s="101"/>
      <c r="GF71" s="101"/>
      <c r="GG71" s="101"/>
      <c r="GH71" s="101"/>
      <c r="GI71" s="101"/>
      <c r="GJ71" s="101"/>
    </row>
    <row r="72" spans="1:192" ht="50.1" customHeight="1" outlineLevel="1" x14ac:dyDescent="0.25">
      <c r="A72" s="149" t="s">
        <v>237</v>
      </c>
      <c r="B72" s="168" t="s">
        <v>324</v>
      </c>
      <c r="C72" s="142" t="s">
        <v>482</v>
      </c>
      <c r="D72" s="168" t="s">
        <v>22</v>
      </c>
      <c r="E72" s="146" t="s">
        <v>569</v>
      </c>
      <c r="F72" s="214"/>
      <c r="G72" s="74"/>
      <c r="H72" s="74"/>
      <c r="I72" s="74"/>
      <c r="J72" s="74"/>
      <c r="K72" s="74"/>
      <c r="L72" s="74"/>
      <c r="M72" s="74"/>
      <c r="N72" s="74"/>
      <c r="O72" s="74"/>
      <c r="P72" s="74"/>
      <c r="Q72" s="74"/>
      <c r="R72" s="74"/>
      <c r="S72" s="74"/>
      <c r="T72" s="74"/>
      <c r="U72" s="74"/>
      <c r="V72" s="74"/>
      <c r="W72" s="74"/>
      <c r="X72" s="74"/>
      <c r="Y72" s="74"/>
      <c r="Z72" s="74"/>
      <c r="AA72" s="74"/>
      <c r="AB72" s="74"/>
      <c r="AC72" s="74"/>
      <c r="AD72" s="74"/>
      <c r="AE72" s="74"/>
      <c r="AF72" s="74"/>
      <c r="AG72" s="74"/>
      <c r="AH72" s="74"/>
      <c r="AI72" s="74"/>
      <c r="AJ72" s="74"/>
      <c r="AK72" s="74"/>
      <c r="AL72" s="74"/>
      <c r="AM72" s="74"/>
      <c r="AN72" s="74"/>
      <c r="AO72" s="74"/>
      <c r="AP72" s="74"/>
      <c r="AQ72" s="74"/>
      <c r="AR72" s="74"/>
      <c r="AS72" s="74"/>
      <c r="AT72" s="74"/>
      <c r="AU72" s="74"/>
      <c r="AV72" s="74"/>
      <c r="AW72" s="74"/>
      <c r="AX72" s="74"/>
      <c r="AY72" s="101"/>
      <c r="AZ72" s="101"/>
      <c r="BA72" s="101"/>
      <c r="BB72" s="101"/>
      <c r="BC72" s="101"/>
      <c r="BD72" s="101"/>
      <c r="BE72" s="101"/>
      <c r="BF72" s="101"/>
      <c r="BG72" s="101"/>
      <c r="BH72" s="101"/>
      <c r="BI72" s="101"/>
      <c r="BJ72" s="101"/>
      <c r="BK72" s="101"/>
      <c r="BL72" s="101"/>
      <c r="BM72" s="101"/>
      <c r="BN72" s="101"/>
      <c r="BO72" s="101"/>
      <c r="BP72" s="101"/>
      <c r="BQ72" s="101"/>
      <c r="BR72" s="101"/>
      <c r="BS72" s="101"/>
      <c r="BT72" s="101"/>
      <c r="BU72" s="101"/>
      <c r="BV72" s="101"/>
      <c r="BW72" s="101"/>
      <c r="BX72" s="101"/>
      <c r="BY72" s="101"/>
      <c r="BZ72" s="101"/>
      <c r="CA72" s="101"/>
      <c r="CB72" s="101"/>
      <c r="CC72" s="101"/>
      <c r="CD72" s="101"/>
      <c r="CE72" s="101"/>
      <c r="CF72" s="101"/>
      <c r="CG72" s="101"/>
      <c r="CH72" s="101"/>
      <c r="CI72" s="101"/>
      <c r="CJ72" s="101"/>
      <c r="CK72" s="101"/>
      <c r="CL72" s="101"/>
      <c r="CM72" s="101"/>
      <c r="CN72" s="101"/>
      <c r="CO72" s="101"/>
      <c r="CP72" s="101"/>
      <c r="CQ72" s="101"/>
      <c r="CR72" s="101"/>
      <c r="CS72" s="101"/>
      <c r="CT72" s="101"/>
      <c r="CU72" s="101"/>
      <c r="CV72" s="101"/>
      <c r="CW72" s="101"/>
      <c r="CX72" s="101"/>
      <c r="CY72" s="101"/>
      <c r="CZ72" s="101"/>
      <c r="DA72" s="101"/>
      <c r="DB72" s="101"/>
      <c r="DC72" s="101"/>
      <c r="DD72" s="101"/>
      <c r="DE72" s="101"/>
      <c r="DF72" s="101"/>
      <c r="DG72" s="101"/>
      <c r="DH72" s="101"/>
      <c r="DI72" s="101"/>
      <c r="DJ72" s="101"/>
      <c r="DK72" s="101"/>
      <c r="DL72" s="101"/>
      <c r="DM72" s="101"/>
      <c r="DN72" s="101"/>
      <c r="DO72" s="101"/>
      <c r="DP72" s="101"/>
      <c r="DQ72" s="101"/>
      <c r="DR72" s="101"/>
      <c r="DS72" s="101"/>
      <c r="DT72" s="101"/>
      <c r="DU72" s="101"/>
      <c r="DV72" s="101"/>
      <c r="DW72" s="101"/>
      <c r="DX72" s="101"/>
      <c r="DY72" s="101"/>
      <c r="DZ72" s="101"/>
      <c r="EA72" s="101"/>
      <c r="EB72" s="101"/>
      <c r="EC72" s="101"/>
      <c r="ED72" s="101"/>
      <c r="EE72" s="101"/>
      <c r="EF72" s="101"/>
      <c r="EG72" s="101"/>
      <c r="EH72" s="101"/>
      <c r="EI72" s="101"/>
      <c r="EJ72" s="101"/>
      <c r="EK72" s="101"/>
      <c r="EL72" s="101"/>
      <c r="EM72" s="101"/>
      <c r="EN72" s="101"/>
      <c r="EO72" s="101"/>
      <c r="EP72" s="101"/>
      <c r="EQ72" s="101"/>
      <c r="ER72" s="101"/>
      <c r="ES72" s="101"/>
      <c r="ET72" s="101"/>
      <c r="EU72" s="101"/>
      <c r="EV72" s="101"/>
      <c r="EW72" s="101"/>
      <c r="EX72" s="101"/>
      <c r="EY72" s="101"/>
      <c r="EZ72" s="101"/>
      <c r="FA72" s="101"/>
      <c r="FB72" s="101"/>
      <c r="FC72" s="101"/>
      <c r="FD72" s="101"/>
      <c r="FE72" s="101"/>
      <c r="FF72" s="101"/>
      <c r="FG72" s="101"/>
      <c r="FH72" s="101"/>
      <c r="FI72" s="101"/>
      <c r="FJ72" s="101"/>
      <c r="FK72" s="101"/>
      <c r="FL72" s="101"/>
      <c r="FM72" s="101"/>
      <c r="FN72" s="101"/>
      <c r="FO72" s="101"/>
      <c r="FP72" s="101"/>
      <c r="FQ72" s="101"/>
      <c r="FR72" s="101"/>
      <c r="FS72" s="101"/>
      <c r="FT72" s="101"/>
      <c r="FU72" s="101"/>
      <c r="FV72" s="101"/>
      <c r="FW72" s="101"/>
      <c r="FX72" s="101"/>
      <c r="FY72" s="101"/>
      <c r="FZ72" s="101"/>
      <c r="GA72" s="101"/>
      <c r="GB72" s="101"/>
      <c r="GC72" s="101"/>
      <c r="GD72" s="101"/>
      <c r="GE72" s="101"/>
      <c r="GF72" s="101"/>
      <c r="GG72" s="101"/>
      <c r="GH72" s="101"/>
      <c r="GI72" s="101"/>
      <c r="GJ72" s="101"/>
    </row>
    <row r="73" spans="1:192" ht="50.1" customHeight="1" outlineLevel="1" x14ac:dyDescent="0.25">
      <c r="A73" s="149" t="s">
        <v>237</v>
      </c>
      <c r="B73" s="167" t="s">
        <v>325</v>
      </c>
      <c r="C73" s="144" t="s">
        <v>483</v>
      </c>
      <c r="D73" s="167" t="s">
        <v>22</v>
      </c>
      <c r="E73" s="147" t="s">
        <v>570</v>
      </c>
      <c r="F73" s="211"/>
      <c r="G73" s="74"/>
      <c r="H73" s="74"/>
      <c r="I73" s="74"/>
      <c r="J73" s="74"/>
      <c r="K73" s="74"/>
      <c r="L73" s="74"/>
      <c r="M73" s="74"/>
      <c r="N73" s="74"/>
      <c r="O73" s="74"/>
      <c r="P73" s="74"/>
      <c r="Q73" s="74"/>
      <c r="R73" s="74"/>
      <c r="S73" s="74"/>
      <c r="T73" s="74"/>
      <c r="U73" s="74"/>
      <c r="V73" s="74"/>
      <c r="W73" s="74"/>
      <c r="X73" s="74"/>
      <c r="Y73" s="74"/>
      <c r="Z73" s="74"/>
      <c r="AA73" s="74"/>
      <c r="AB73" s="74"/>
      <c r="AC73" s="74"/>
      <c r="AD73" s="74"/>
      <c r="AE73" s="74"/>
      <c r="AF73" s="74"/>
      <c r="AG73" s="74"/>
      <c r="AH73" s="74"/>
      <c r="AI73" s="74"/>
      <c r="AJ73" s="74"/>
      <c r="AK73" s="74"/>
      <c r="AL73" s="74"/>
      <c r="AM73" s="74"/>
      <c r="AN73" s="74"/>
      <c r="AO73" s="74"/>
      <c r="AP73" s="74"/>
      <c r="AQ73" s="74"/>
      <c r="AR73" s="74"/>
      <c r="AS73" s="74"/>
      <c r="AT73" s="74"/>
      <c r="AU73" s="74"/>
      <c r="AV73" s="74"/>
      <c r="AW73" s="74"/>
      <c r="AX73" s="74"/>
      <c r="AY73" s="101"/>
      <c r="AZ73" s="101"/>
      <c r="BA73" s="101"/>
      <c r="BB73" s="101"/>
      <c r="BC73" s="101"/>
      <c r="BD73" s="101"/>
      <c r="BE73" s="101"/>
      <c r="BF73" s="101"/>
      <c r="BG73" s="101"/>
      <c r="BH73" s="101"/>
      <c r="BI73" s="101"/>
      <c r="BJ73" s="101"/>
      <c r="BK73" s="101"/>
      <c r="BL73" s="101"/>
      <c r="BM73" s="101"/>
      <c r="BN73" s="101"/>
      <c r="BO73" s="101"/>
      <c r="BP73" s="101"/>
      <c r="BQ73" s="101"/>
      <c r="BR73" s="101"/>
      <c r="BS73" s="101"/>
      <c r="BT73" s="101"/>
      <c r="BU73" s="101"/>
      <c r="BV73" s="101"/>
      <c r="BW73" s="101"/>
      <c r="BX73" s="101"/>
      <c r="BY73" s="101"/>
      <c r="BZ73" s="101"/>
      <c r="CA73" s="101"/>
      <c r="CB73" s="101"/>
      <c r="CC73" s="101"/>
      <c r="CD73" s="101"/>
      <c r="CE73" s="101"/>
      <c r="CF73" s="101"/>
      <c r="CG73" s="101"/>
      <c r="CH73" s="101"/>
      <c r="CI73" s="101"/>
      <c r="CJ73" s="101"/>
      <c r="CK73" s="101"/>
      <c r="CL73" s="101"/>
      <c r="CM73" s="101"/>
      <c r="CN73" s="101"/>
      <c r="CO73" s="101"/>
      <c r="CP73" s="101"/>
      <c r="CQ73" s="101"/>
      <c r="CR73" s="101"/>
      <c r="CS73" s="101"/>
      <c r="CT73" s="101"/>
      <c r="CU73" s="101"/>
      <c r="CV73" s="101"/>
      <c r="CW73" s="101"/>
      <c r="CX73" s="101"/>
      <c r="CY73" s="101"/>
      <c r="CZ73" s="101"/>
      <c r="DA73" s="101"/>
      <c r="DB73" s="101"/>
      <c r="DC73" s="101"/>
      <c r="DD73" s="101"/>
      <c r="DE73" s="101"/>
      <c r="DF73" s="101"/>
      <c r="DG73" s="101"/>
      <c r="DH73" s="101"/>
      <c r="DI73" s="101"/>
      <c r="DJ73" s="101"/>
      <c r="DK73" s="101"/>
      <c r="DL73" s="101"/>
      <c r="DM73" s="101"/>
      <c r="DN73" s="101"/>
      <c r="DO73" s="101"/>
      <c r="DP73" s="101"/>
      <c r="DQ73" s="101"/>
      <c r="DR73" s="101"/>
      <c r="DS73" s="101"/>
      <c r="DT73" s="101"/>
      <c r="DU73" s="101"/>
      <c r="DV73" s="101"/>
      <c r="DW73" s="101"/>
      <c r="DX73" s="101"/>
      <c r="DY73" s="101"/>
      <c r="DZ73" s="101"/>
      <c r="EA73" s="101"/>
      <c r="EB73" s="101"/>
      <c r="EC73" s="101"/>
      <c r="ED73" s="101"/>
      <c r="EE73" s="101"/>
      <c r="EF73" s="101"/>
      <c r="EG73" s="101"/>
      <c r="EH73" s="101"/>
      <c r="EI73" s="101"/>
      <c r="EJ73" s="101"/>
      <c r="EK73" s="101"/>
      <c r="EL73" s="101"/>
      <c r="EM73" s="101"/>
      <c r="EN73" s="101"/>
      <c r="EO73" s="101"/>
      <c r="EP73" s="101"/>
      <c r="EQ73" s="101"/>
      <c r="ER73" s="101"/>
      <c r="ES73" s="101"/>
      <c r="ET73" s="101"/>
      <c r="EU73" s="101"/>
      <c r="EV73" s="101"/>
      <c r="EW73" s="101"/>
      <c r="EX73" s="101"/>
      <c r="EY73" s="101"/>
      <c r="EZ73" s="101"/>
      <c r="FA73" s="101"/>
      <c r="FB73" s="101"/>
      <c r="FC73" s="101"/>
      <c r="FD73" s="101"/>
      <c r="FE73" s="101"/>
      <c r="FF73" s="101"/>
      <c r="FG73" s="101"/>
      <c r="FH73" s="101"/>
      <c r="FI73" s="101"/>
      <c r="FJ73" s="101"/>
      <c r="FK73" s="101"/>
      <c r="FL73" s="101"/>
      <c r="FM73" s="101"/>
      <c r="FN73" s="101"/>
      <c r="FO73" s="101"/>
      <c r="FP73" s="101"/>
      <c r="FQ73" s="101"/>
      <c r="FR73" s="101"/>
      <c r="FS73" s="101"/>
      <c r="FT73" s="101"/>
      <c r="FU73" s="101"/>
      <c r="FV73" s="101"/>
      <c r="FW73" s="101"/>
      <c r="FX73" s="101"/>
      <c r="FY73" s="101"/>
      <c r="FZ73" s="101"/>
      <c r="GA73" s="101"/>
      <c r="GB73" s="101"/>
      <c r="GC73" s="101"/>
      <c r="GD73" s="101"/>
      <c r="GE73" s="101"/>
      <c r="GF73" s="101"/>
      <c r="GG73" s="101"/>
      <c r="GH73" s="101"/>
      <c r="GI73" s="101"/>
      <c r="GJ73" s="101"/>
    </row>
    <row r="74" spans="1:192" ht="50.1" customHeight="1" outlineLevel="1" x14ac:dyDescent="0.25">
      <c r="A74" s="149" t="s">
        <v>237</v>
      </c>
      <c r="B74" s="168" t="s">
        <v>326</v>
      </c>
      <c r="C74" s="142" t="s">
        <v>424</v>
      </c>
      <c r="D74" s="168" t="s">
        <v>22</v>
      </c>
      <c r="E74" s="142" t="s">
        <v>571</v>
      </c>
      <c r="F74" s="214"/>
      <c r="G74" s="74"/>
      <c r="H74" s="74"/>
      <c r="I74" s="74"/>
      <c r="J74" s="74"/>
      <c r="K74" s="74"/>
      <c r="L74" s="74"/>
      <c r="M74" s="74"/>
      <c r="N74" s="74"/>
      <c r="O74" s="74"/>
      <c r="P74" s="74"/>
      <c r="Q74" s="74"/>
      <c r="R74" s="74"/>
      <c r="S74" s="74"/>
      <c r="T74" s="74"/>
      <c r="U74" s="74"/>
      <c r="V74" s="74"/>
      <c r="W74" s="74"/>
      <c r="X74" s="74"/>
      <c r="Y74" s="74"/>
      <c r="Z74" s="74"/>
      <c r="AA74" s="74"/>
      <c r="AB74" s="74"/>
      <c r="AC74" s="74"/>
      <c r="AD74" s="74"/>
      <c r="AE74" s="74"/>
      <c r="AF74" s="74"/>
      <c r="AG74" s="74"/>
      <c r="AH74" s="74"/>
      <c r="AI74" s="74"/>
      <c r="AJ74" s="74"/>
      <c r="AK74" s="74"/>
      <c r="AL74" s="74"/>
      <c r="AM74" s="74"/>
      <c r="AN74" s="74"/>
      <c r="AO74" s="74"/>
      <c r="AP74" s="74"/>
      <c r="AQ74" s="74"/>
      <c r="AR74" s="74"/>
      <c r="AS74" s="74"/>
      <c r="AT74" s="74"/>
      <c r="AU74" s="74"/>
      <c r="AV74" s="74"/>
      <c r="AW74" s="74"/>
      <c r="AX74" s="74"/>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1"/>
      <c r="CL74" s="101"/>
      <c r="CM74" s="101"/>
      <c r="CN74" s="101"/>
      <c r="CO74" s="101"/>
      <c r="CP74" s="101"/>
      <c r="CQ74" s="101"/>
      <c r="CR74" s="101"/>
      <c r="CS74" s="101"/>
      <c r="CT74" s="101"/>
      <c r="CU74" s="101"/>
      <c r="CV74" s="101"/>
      <c r="CW74" s="101"/>
      <c r="CX74" s="101"/>
      <c r="CY74" s="101"/>
      <c r="CZ74" s="101"/>
      <c r="DA74" s="101"/>
      <c r="DB74" s="101"/>
      <c r="DC74" s="101"/>
      <c r="DD74" s="101"/>
      <c r="DE74" s="101"/>
      <c r="DF74" s="101"/>
      <c r="DG74" s="101"/>
      <c r="DH74" s="101"/>
      <c r="DI74" s="101"/>
      <c r="DJ74" s="101"/>
      <c r="DK74" s="101"/>
      <c r="DL74" s="101"/>
      <c r="DM74" s="101"/>
      <c r="DN74" s="101"/>
      <c r="DO74" s="101"/>
      <c r="DP74" s="101"/>
      <c r="DQ74" s="101"/>
      <c r="DR74" s="101"/>
      <c r="DS74" s="101"/>
      <c r="DT74" s="101"/>
      <c r="DU74" s="101"/>
      <c r="DV74" s="101"/>
      <c r="DW74" s="101"/>
      <c r="DX74" s="101"/>
      <c r="DY74" s="101"/>
      <c r="DZ74" s="101"/>
      <c r="EA74" s="101"/>
      <c r="EB74" s="101"/>
      <c r="EC74" s="101"/>
      <c r="ED74" s="101"/>
      <c r="EE74" s="101"/>
      <c r="EF74" s="101"/>
      <c r="EG74" s="101"/>
      <c r="EH74" s="101"/>
      <c r="EI74" s="101"/>
      <c r="EJ74" s="101"/>
      <c r="EK74" s="101"/>
      <c r="EL74" s="101"/>
      <c r="EM74" s="101"/>
      <c r="EN74" s="101"/>
      <c r="EO74" s="101"/>
      <c r="EP74" s="101"/>
      <c r="EQ74" s="101"/>
      <c r="ER74" s="101"/>
      <c r="ES74" s="101"/>
      <c r="ET74" s="101"/>
      <c r="EU74" s="101"/>
      <c r="EV74" s="101"/>
      <c r="EW74" s="101"/>
      <c r="EX74" s="101"/>
      <c r="EY74" s="101"/>
      <c r="EZ74" s="101"/>
      <c r="FA74" s="101"/>
      <c r="FB74" s="101"/>
      <c r="FC74" s="101"/>
      <c r="FD74" s="101"/>
      <c r="FE74" s="101"/>
      <c r="FF74" s="101"/>
      <c r="FG74" s="101"/>
      <c r="FH74" s="101"/>
      <c r="FI74" s="101"/>
      <c r="FJ74" s="101"/>
      <c r="FK74" s="101"/>
      <c r="FL74" s="101"/>
      <c r="FM74" s="101"/>
      <c r="FN74" s="101"/>
      <c r="FO74" s="101"/>
      <c r="FP74" s="101"/>
      <c r="FQ74" s="101"/>
      <c r="FR74" s="101"/>
      <c r="FS74" s="101"/>
      <c r="FT74" s="101"/>
      <c r="FU74" s="101"/>
      <c r="FV74" s="101"/>
      <c r="FW74" s="101"/>
      <c r="FX74" s="101"/>
      <c r="FY74" s="101"/>
      <c r="FZ74" s="101"/>
      <c r="GA74" s="101"/>
      <c r="GB74" s="101"/>
      <c r="GC74" s="101"/>
      <c r="GD74" s="101"/>
      <c r="GE74" s="101"/>
      <c r="GF74" s="101"/>
      <c r="GG74" s="101"/>
      <c r="GH74" s="101"/>
      <c r="GI74" s="101"/>
      <c r="GJ74" s="101"/>
    </row>
    <row r="75" spans="1:192" ht="50.1" customHeight="1" outlineLevel="1" x14ac:dyDescent="0.25">
      <c r="A75" s="149" t="s">
        <v>237</v>
      </c>
      <c r="B75" s="167" t="s">
        <v>327</v>
      </c>
      <c r="C75" s="144" t="s">
        <v>484</v>
      </c>
      <c r="D75" s="167" t="s">
        <v>22</v>
      </c>
      <c r="E75" s="147" t="s">
        <v>572</v>
      </c>
      <c r="F75" s="211"/>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BZ75" s="101"/>
      <c r="CA75" s="101"/>
      <c r="CB75" s="101"/>
      <c r="CC75" s="101"/>
      <c r="CD75" s="101"/>
      <c r="CE75" s="101"/>
      <c r="CF75" s="101"/>
      <c r="CG75" s="101"/>
      <c r="CH75" s="101"/>
      <c r="CI75" s="101"/>
      <c r="CJ75" s="101"/>
      <c r="CK75" s="101"/>
      <c r="CL75" s="101"/>
      <c r="CM75" s="101"/>
      <c r="CN75" s="101"/>
      <c r="CO75" s="101"/>
      <c r="CP75" s="101"/>
      <c r="CQ75" s="101"/>
      <c r="CR75" s="101"/>
      <c r="CS75" s="101"/>
      <c r="CT75" s="101"/>
      <c r="CU75" s="101"/>
      <c r="CV75" s="101"/>
      <c r="CW75" s="101"/>
      <c r="CX75" s="101"/>
      <c r="CY75" s="101"/>
      <c r="CZ75" s="101"/>
      <c r="DA75" s="101"/>
      <c r="DB75" s="101"/>
      <c r="DC75" s="101"/>
      <c r="DD75" s="101"/>
      <c r="DE75" s="101"/>
      <c r="DF75" s="101"/>
      <c r="DG75" s="101"/>
      <c r="DH75" s="101"/>
      <c r="DI75" s="101"/>
      <c r="DJ75" s="101"/>
      <c r="DK75" s="101"/>
      <c r="DL75" s="101"/>
      <c r="DM75" s="101"/>
      <c r="DN75" s="101"/>
      <c r="DO75" s="101"/>
      <c r="DP75" s="101"/>
      <c r="DQ75" s="101"/>
      <c r="DR75" s="101"/>
      <c r="DS75" s="101"/>
      <c r="DT75" s="101"/>
      <c r="DU75" s="101"/>
      <c r="DV75" s="101"/>
      <c r="DW75" s="101"/>
      <c r="DX75" s="101"/>
      <c r="DY75" s="101"/>
      <c r="DZ75" s="101"/>
      <c r="EA75" s="101"/>
      <c r="EB75" s="101"/>
      <c r="EC75" s="101"/>
      <c r="ED75" s="101"/>
      <c r="EE75" s="101"/>
      <c r="EF75" s="101"/>
      <c r="EG75" s="101"/>
      <c r="EH75" s="101"/>
      <c r="EI75" s="101"/>
      <c r="EJ75" s="101"/>
      <c r="EK75" s="101"/>
      <c r="EL75" s="101"/>
      <c r="EM75" s="101"/>
      <c r="EN75" s="101"/>
      <c r="EO75" s="101"/>
      <c r="EP75" s="101"/>
      <c r="EQ75" s="101"/>
      <c r="ER75" s="101"/>
      <c r="ES75" s="101"/>
      <c r="ET75" s="101"/>
      <c r="EU75" s="101"/>
      <c r="EV75" s="101"/>
      <c r="EW75" s="101"/>
      <c r="EX75" s="101"/>
      <c r="EY75" s="101"/>
      <c r="EZ75" s="101"/>
      <c r="FA75" s="101"/>
      <c r="FB75" s="101"/>
      <c r="FC75" s="101"/>
      <c r="FD75" s="101"/>
      <c r="FE75" s="101"/>
      <c r="FF75" s="101"/>
      <c r="FG75" s="101"/>
      <c r="FH75" s="101"/>
      <c r="FI75" s="101"/>
      <c r="FJ75" s="101"/>
      <c r="FK75" s="101"/>
      <c r="FL75" s="101"/>
      <c r="FM75" s="101"/>
      <c r="FN75" s="101"/>
      <c r="FO75" s="101"/>
      <c r="FP75" s="101"/>
      <c r="FQ75" s="101"/>
      <c r="FR75" s="101"/>
      <c r="FS75" s="101"/>
      <c r="FT75" s="101"/>
      <c r="FU75" s="101"/>
      <c r="FV75" s="101"/>
      <c r="FW75" s="101"/>
      <c r="FX75" s="101"/>
      <c r="FY75" s="101"/>
      <c r="FZ75" s="101"/>
      <c r="GA75" s="101"/>
      <c r="GB75" s="101"/>
      <c r="GC75" s="101"/>
      <c r="GD75" s="101"/>
      <c r="GE75" s="101"/>
      <c r="GF75" s="101"/>
      <c r="GG75" s="101"/>
      <c r="GH75" s="101"/>
      <c r="GI75" s="101"/>
      <c r="GJ75" s="101"/>
    </row>
    <row r="76" spans="1:192" ht="50.1" customHeight="1" outlineLevel="1" x14ac:dyDescent="0.25">
      <c r="A76" s="149" t="s">
        <v>237</v>
      </c>
      <c r="B76" s="168" t="s">
        <v>328</v>
      </c>
      <c r="C76" s="142" t="s">
        <v>485</v>
      </c>
      <c r="D76" s="168" t="s">
        <v>22</v>
      </c>
      <c r="E76" s="146" t="s">
        <v>573</v>
      </c>
      <c r="F76" s="214"/>
      <c r="G76" s="74"/>
      <c r="H76" s="74"/>
      <c r="I76" s="74"/>
      <c r="J76" s="74"/>
      <c r="K76" s="74"/>
      <c r="L76" s="74"/>
      <c r="M76" s="74"/>
      <c r="N76" s="74"/>
      <c r="O76" s="74"/>
      <c r="P76" s="74"/>
      <c r="Q76" s="74"/>
      <c r="R76" s="74"/>
      <c r="S76" s="74"/>
      <c r="T76" s="74"/>
      <c r="U76" s="74"/>
      <c r="V76" s="74"/>
      <c r="W76" s="74"/>
      <c r="X76" s="74"/>
      <c r="Y76" s="74"/>
      <c r="Z76" s="74"/>
      <c r="AA76" s="74"/>
      <c r="AB76" s="74"/>
      <c r="AC76" s="74"/>
      <c r="AD76" s="74"/>
      <c r="AE76" s="74"/>
      <c r="AF76" s="74"/>
      <c r="AG76" s="74"/>
      <c r="AH76" s="74"/>
      <c r="AI76" s="74"/>
      <c r="AJ76" s="74"/>
      <c r="AK76" s="74"/>
      <c r="AL76" s="74"/>
      <c r="AM76" s="74"/>
      <c r="AN76" s="74"/>
      <c r="AO76" s="74"/>
      <c r="AP76" s="74"/>
      <c r="AQ76" s="74"/>
      <c r="AR76" s="74"/>
      <c r="AS76" s="74"/>
      <c r="AT76" s="74"/>
      <c r="AU76" s="74"/>
      <c r="AV76" s="74"/>
      <c r="AW76" s="74"/>
      <c r="AX76" s="74"/>
      <c r="AY76" s="101"/>
      <c r="AZ76" s="101"/>
      <c r="BA76" s="101"/>
      <c r="BB76" s="101"/>
      <c r="BC76" s="101"/>
      <c r="BD76" s="101"/>
      <c r="BE76" s="101"/>
      <c r="BF76" s="101"/>
      <c r="BG76" s="101"/>
      <c r="BH76" s="101"/>
      <c r="BI76" s="101"/>
      <c r="BJ76" s="101"/>
      <c r="BK76" s="101"/>
      <c r="BL76" s="101"/>
      <c r="BM76" s="101"/>
      <c r="BN76" s="101"/>
      <c r="BO76" s="101"/>
      <c r="BP76" s="101"/>
      <c r="BQ76" s="101"/>
      <c r="BR76" s="101"/>
      <c r="BS76" s="101"/>
      <c r="BT76" s="101"/>
      <c r="BU76" s="101"/>
      <c r="BV76" s="101"/>
      <c r="BW76" s="101"/>
      <c r="BX76" s="101"/>
      <c r="BY76" s="101"/>
      <c r="BZ76" s="101"/>
      <c r="CA76" s="101"/>
      <c r="CB76" s="101"/>
      <c r="CC76" s="101"/>
      <c r="CD76" s="101"/>
      <c r="CE76" s="101"/>
      <c r="CF76" s="101"/>
      <c r="CG76" s="101"/>
      <c r="CH76" s="101"/>
      <c r="CI76" s="101"/>
      <c r="CJ76" s="101"/>
      <c r="CK76" s="101"/>
      <c r="CL76" s="101"/>
      <c r="CM76" s="101"/>
      <c r="CN76" s="101"/>
      <c r="CO76" s="101"/>
      <c r="CP76" s="101"/>
      <c r="CQ76" s="101"/>
      <c r="CR76" s="101"/>
      <c r="CS76" s="101"/>
      <c r="CT76" s="101"/>
      <c r="CU76" s="101"/>
      <c r="CV76" s="101"/>
      <c r="CW76" s="101"/>
      <c r="CX76" s="101"/>
      <c r="CY76" s="101"/>
      <c r="CZ76" s="101"/>
      <c r="DA76" s="101"/>
      <c r="DB76" s="101"/>
      <c r="DC76" s="101"/>
      <c r="DD76" s="101"/>
      <c r="DE76" s="101"/>
      <c r="DF76" s="101"/>
      <c r="DG76" s="101"/>
      <c r="DH76" s="101"/>
      <c r="DI76" s="101"/>
      <c r="DJ76" s="101"/>
      <c r="DK76" s="101"/>
      <c r="DL76" s="101"/>
      <c r="DM76" s="101"/>
      <c r="DN76" s="101"/>
      <c r="DO76" s="101"/>
      <c r="DP76" s="101"/>
      <c r="DQ76" s="101"/>
      <c r="DR76" s="101"/>
      <c r="DS76" s="101"/>
      <c r="DT76" s="101"/>
      <c r="DU76" s="101"/>
      <c r="DV76" s="101"/>
      <c r="DW76" s="101"/>
      <c r="DX76" s="101"/>
      <c r="DY76" s="101"/>
      <c r="DZ76" s="101"/>
      <c r="EA76" s="101"/>
      <c r="EB76" s="101"/>
      <c r="EC76" s="101"/>
      <c r="ED76" s="101"/>
      <c r="EE76" s="101"/>
      <c r="EF76" s="101"/>
      <c r="EG76" s="101"/>
      <c r="EH76" s="101"/>
      <c r="EI76" s="101"/>
      <c r="EJ76" s="101"/>
      <c r="EK76" s="101"/>
      <c r="EL76" s="101"/>
      <c r="EM76" s="101"/>
      <c r="EN76" s="101"/>
      <c r="EO76" s="101"/>
      <c r="EP76" s="101"/>
      <c r="EQ76" s="101"/>
      <c r="ER76" s="101"/>
      <c r="ES76" s="101"/>
      <c r="ET76" s="101"/>
      <c r="EU76" s="101"/>
      <c r="EV76" s="101"/>
      <c r="EW76" s="101"/>
      <c r="EX76" s="101"/>
      <c r="EY76" s="101"/>
      <c r="EZ76" s="101"/>
      <c r="FA76" s="101"/>
      <c r="FB76" s="101"/>
      <c r="FC76" s="101"/>
      <c r="FD76" s="101"/>
      <c r="FE76" s="101"/>
      <c r="FF76" s="101"/>
      <c r="FG76" s="101"/>
      <c r="FH76" s="101"/>
      <c r="FI76" s="101"/>
      <c r="FJ76" s="101"/>
      <c r="FK76" s="101"/>
      <c r="FL76" s="101"/>
      <c r="FM76" s="101"/>
      <c r="FN76" s="101"/>
      <c r="FO76" s="101"/>
      <c r="FP76" s="101"/>
      <c r="FQ76" s="101"/>
      <c r="FR76" s="101"/>
      <c r="FS76" s="101"/>
      <c r="FT76" s="101"/>
      <c r="FU76" s="101"/>
      <c r="FV76" s="101"/>
      <c r="FW76" s="101"/>
      <c r="FX76" s="101"/>
      <c r="FY76" s="101"/>
      <c r="FZ76" s="101"/>
      <c r="GA76" s="101"/>
      <c r="GB76" s="101"/>
      <c r="GC76" s="101"/>
      <c r="GD76" s="101"/>
      <c r="GE76" s="101"/>
      <c r="GF76" s="101"/>
      <c r="GG76" s="101"/>
      <c r="GH76" s="101"/>
      <c r="GI76" s="101"/>
      <c r="GJ76" s="101"/>
    </row>
    <row r="77" spans="1:192" ht="50.1" customHeight="1" outlineLevel="1" x14ac:dyDescent="0.25">
      <c r="A77" s="149" t="s">
        <v>237</v>
      </c>
      <c r="B77" s="167" t="s">
        <v>329</v>
      </c>
      <c r="C77" s="241" t="s">
        <v>674</v>
      </c>
      <c r="D77" s="167" t="s">
        <v>23</v>
      </c>
      <c r="E77" s="147" t="s">
        <v>574</v>
      </c>
      <c r="F77" s="211"/>
      <c r="G77" s="74"/>
      <c r="H77" s="74"/>
      <c r="I77" s="74"/>
      <c r="J77" s="74"/>
      <c r="K77" s="74"/>
      <c r="L77" s="74"/>
      <c r="M77" s="74"/>
      <c r="N77" s="74"/>
      <c r="O77" s="74"/>
      <c r="P77" s="74"/>
      <c r="Q77" s="74"/>
      <c r="R77" s="74"/>
      <c r="S77" s="74"/>
      <c r="T77" s="74"/>
      <c r="U77" s="74"/>
      <c r="V77" s="74"/>
      <c r="W77" s="74"/>
      <c r="X77" s="74"/>
      <c r="Y77" s="74"/>
      <c r="Z77" s="74"/>
      <c r="AA77" s="74"/>
      <c r="AB77" s="74"/>
      <c r="AC77" s="74"/>
      <c r="AD77" s="74"/>
      <c r="AE77" s="74"/>
      <c r="AF77" s="74"/>
      <c r="AG77" s="74"/>
      <c r="AH77" s="74"/>
      <c r="AI77" s="74"/>
      <c r="AJ77" s="74"/>
      <c r="AK77" s="74"/>
      <c r="AL77" s="74"/>
      <c r="AM77" s="74"/>
      <c r="AN77" s="74"/>
      <c r="AO77" s="74"/>
      <c r="AP77" s="74"/>
      <c r="AQ77" s="74"/>
      <c r="AR77" s="74"/>
      <c r="AS77" s="74"/>
      <c r="AT77" s="74"/>
      <c r="AU77" s="74"/>
      <c r="AV77" s="74"/>
      <c r="AW77" s="74"/>
      <c r="AX77" s="74"/>
      <c r="AY77" s="101"/>
      <c r="AZ77" s="101"/>
      <c r="BA77" s="101"/>
      <c r="BB77" s="101"/>
      <c r="BC77" s="101"/>
      <c r="BD77" s="101"/>
      <c r="BE77" s="101"/>
      <c r="BF77" s="101"/>
      <c r="BG77" s="101"/>
      <c r="BH77" s="101"/>
      <c r="BI77" s="101"/>
      <c r="BJ77" s="101"/>
      <c r="BK77" s="101"/>
      <c r="BL77" s="101"/>
      <c r="BM77" s="101"/>
      <c r="BN77" s="101"/>
      <c r="BO77" s="101"/>
      <c r="BP77" s="101"/>
      <c r="BQ77" s="101"/>
      <c r="BR77" s="101"/>
      <c r="BS77" s="101"/>
      <c r="BT77" s="101"/>
      <c r="BU77" s="101"/>
      <c r="BV77" s="101"/>
      <c r="BW77" s="101"/>
      <c r="BX77" s="101"/>
      <c r="BY77" s="101"/>
      <c r="BZ77" s="101"/>
      <c r="CA77" s="101"/>
      <c r="CB77" s="101"/>
      <c r="CC77" s="101"/>
      <c r="CD77" s="101"/>
      <c r="CE77" s="101"/>
      <c r="CF77" s="101"/>
      <c r="CG77" s="101"/>
      <c r="CH77" s="101"/>
      <c r="CI77" s="101"/>
      <c r="CJ77" s="101"/>
      <c r="CK77" s="101"/>
      <c r="CL77" s="101"/>
      <c r="CM77" s="101"/>
      <c r="CN77" s="101"/>
      <c r="CO77" s="101"/>
      <c r="CP77" s="101"/>
      <c r="CQ77" s="101"/>
      <c r="CR77" s="101"/>
      <c r="CS77" s="101"/>
      <c r="CT77" s="101"/>
      <c r="CU77" s="101"/>
      <c r="CV77" s="101"/>
      <c r="CW77" s="101"/>
      <c r="CX77" s="101"/>
      <c r="CY77" s="101"/>
      <c r="CZ77" s="101"/>
      <c r="DA77" s="101"/>
      <c r="DB77" s="101"/>
      <c r="DC77" s="101"/>
      <c r="DD77" s="101"/>
      <c r="DE77" s="101"/>
      <c r="DF77" s="101"/>
      <c r="DG77" s="101"/>
      <c r="DH77" s="101"/>
      <c r="DI77" s="101"/>
      <c r="DJ77" s="101"/>
      <c r="DK77" s="101"/>
      <c r="DL77" s="101"/>
      <c r="DM77" s="101"/>
      <c r="DN77" s="101"/>
      <c r="DO77" s="101"/>
      <c r="DP77" s="101"/>
      <c r="DQ77" s="101"/>
      <c r="DR77" s="101"/>
      <c r="DS77" s="101"/>
      <c r="DT77" s="101"/>
      <c r="DU77" s="101"/>
      <c r="DV77" s="101"/>
      <c r="DW77" s="101"/>
      <c r="DX77" s="101"/>
      <c r="DY77" s="101"/>
      <c r="DZ77" s="101"/>
      <c r="EA77" s="101"/>
      <c r="EB77" s="101"/>
      <c r="EC77" s="101"/>
      <c r="ED77" s="101"/>
      <c r="EE77" s="101"/>
      <c r="EF77" s="101"/>
      <c r="EG77" s="101"/>
      <c r="EH77" s="101"/>
      <c r="EI77" s="101"/>
      <c r="EJ77" s="101"/>
      <c r="EK77" s="101"/>
      <c r="EL77" s="101"/>
      <c r="EM77" s="101"/>
      <c r="EN77" s="101"/>
      <c r="EO77" s="101"/>
      <c r="EP77" s="101"/>
      <c r="EQ77" s="101"/>
      <c r="ER77" s="101"/>
      <c r="ES77" s="101"/>
      <c r="ET77" s="101"/>
      <c r="EU77" s="101"/>
      <c r="EV77" s="101"/>
      <c r="EW77" s="101"/>
      <c r="EX77" s="101"/>
      <c r="EY77" s="101"/>
      <c r="EZ77" s="101"/>
      <c r="FA77" s="101"/>
      <c r="FB77" s="101"/>
      <c r="FC77" s="101"/>
      <c r="FD77" s="101"/>
      <c r="FE77" s="101"/>
      <c r="FF77" s="101"/>
      <c r="FG77" s="101"/>
      <c r="FH77" s="101"/>
      <c r="FI77" s="101"/>
      <c r="FJ77" s="101"/>
      <c r="FK77" s="101"/>
      <c r="FL77" s="101"/>
      <c r="FM77" s="101"/>
      <c r="FN77" s="101"/>
      <c r="FO77" s="101"/>
      <c r="FP77" s="101"/>
      <c r="FQ77" s="101"/>
      <c r="FR77" s="101"/>
      <c r="FS77" s="101"/>
      <c r="FT77" s="101"/>
      <c r="FU77" s="101"/>
      <c r="FV77" s="101"/>
      <c r="FW77" s="101"/>
      <c r="FX77" s="101"/>
      <c r="FY77" s="101"/>
      <c r="FZ77" s="101"/>
      <c r="GA77" s="101"/>
      <c r="GB77" s="101"/>
      <c r="GC77" s="101"/>
      <c r="GD77" s="101"/>
      <c r="GE77" s="101"/>
      <c r="GF77" s="101"/>
      <c r="GG77" s="101"/>
      <c r="GH77" s="101"/>
      <c r="GI77" s="101"/>
      <c r="GJ77" s="101"/>
    </row>
    <row r="78" spans="1:192" ht="50.1" customHeight="1" outlineLevel="1" x14ac:dyDescent="0.25">
      <c r="A78" s="149" t="s">
        <v>237</v>
      </c>
      <c r="B78" s="168" t="s">
        <v>330</v>
      </c>
      <c r="C78" s="142" t="s">
        <v>486</v>
      </c>
      <c r="D78" s="168" t="s">
        <v>23</v>
      </c>
      <c r="E78" s="146" t="s">
        <v>575</v>
      </c>
      <c r="F78" s="209"/>
      <c r="G78" s="74"/>
      <c r="H78" s="74"/>
      <c r="I78" s="74"/>
      <c r="J78" s="74"/>
      <c r="K78" s="74"/>
      <c r="L78" s="74"/>
      <c r="M78" s="74"/>
      <c r="N78" s="74"/>
      <c r="O78" s="74"/>
      <c r="P78" s="74"/>
      <c r="Q78" s="74"/>
      <c r="R78" s="74"/>
      <c r="S78" s="74"/>
      <c r="T78" s="74"/>
      <c r="U78" s="74"/>
      <c r="V78" s="74"/>
      <c r="W78" s="74"/>
      <c r="X78" s="74"/>
      <c r="Y78" s="74"/>
      <c r="Z78" s="74"/>
      <c r="AA78" s="74"/>
      <c r="AB78" s="74"/>
      <c r="AC78" s="74"/>
      <c r="AD78" s="74"/>
      <c r="AE78" s="74"/>
      <c r="AF78" s="74"/>
      <c r="AG78" s="74"/>
      <c r="AH78" s="74"/>
      <c r="AI78" s="74"/>
      <c r="AJ78" s="74"/>
      <c r="AK78" s="74"/>
      <c r="AL78" s="74"/>
      <c r="AM78" s="74"/>
      <c r="AN78" s="74"/>
      <c r="AO78" s="74"/>
      <c r="AP78" s="74"/>
      <c r="AQ78" s="74"/>
      <c r="AR78" s="74"/>
      <c r="AS78" s="74"/>
      <c r="AT78" s="74"/>
      <c r="AU78" s="74"/>
      <c r="AV78" s="74"/>
      <c r="AW78" s="74"/>
      <c r="AX78" s="74"/>
      <c r="AY78" s="101"/>
      <c r="AZ78" s="101"/>
      <c r="BA78" s="101"/>
      <c r="BB78" s="101"/>
      <c r="BC78" s="101"/>
      <c r="BD78" s="101"/>
      <c r="BE78" s="101"/>
      <c r="BF78" s="101"/>
      <c r="BG78" s="101"/>
      <c r="BH78" s="101"/>
      <c r="BI78" s="101"/>
      <c r="BJ78" s="101"/>
      <c r="BK78" s="101"/>
      <c r="BL78" s="101"/>
      <c r="BM78" s="101"/>
      <c r="BN78" s="101"/>
      <c r="BO78" s="101"/>
      <c r="BP78" s="101"/>
      <c r="BQ78" s="101"/>
      <c r="BR78" s="101"/>
      <c r="BS78" s="101"/>
      <c r="BT78" s="101"/>
      <c r="BU78" s="101"/>
      <c r="BV78" s="101"/>
      <c r="BW78" s="101"/>
      <c r="BX78" s="101"/>
      <c r="BY78" s="101"/>
      <c r="BZ78" s="101"/>
      <c r="CA78" s="101"/>
      <c r="CB78" s="101"/>
      <c r="CC78" s="101"/>
      <c r="CD78" s="101"/>
      <c r="CE78" s="101"/>
      <c r="CF78" s="101"/>
      <c r="CG78" s="101"/>
      <c r="CH78" s="101"/>
      <c r="CI78" s="101"/>
      <c r="CJ78" s="101"/>
      <c r="CK78" s="101"/>
      <c r="CL78" s="101"/>
      <c r="CM78" s="101"/>
      <c r="CN78" s="101"/>
      <c r="CO78" s="101"/>
      <c r="CP78" s="101"/>
      <c r="CQ78" s="101"/>
      <c r="CR78" s="101"/>
      <c r="CS78" s="101"/>
      <c r="CT78" s="101"/>
      <c r="CU78" s="101"/>
      <c r="CV78" s="101"/>
      <c r="CW78" s="101"/>
      <c r="CX78" s="101"/>
      <c r="CY78" s="101"/>
      <c r="CZ78" s="101"/>
      <c r="DA78" s="101"/>
      <c r="DB78" s="101"/>
      <c r="DC78" s="101"/>
      <c r="DD78" s="101"/>
      <c r="DE78" s="101"/>
      <c r="DF78" s="101"/>
      <c r="DG78" s="101"/>
      <c r="DH78" s="101"/>
      <c r="DI78" s="101"/>
      <c r="DJ78" s="101"/>
      <c r="DK78" s="101"/>
      <c r="DL78" s="101"/>
      <c r="DM78" s="101"/>
      <c r="DN78" s="101"/>
      <c r="DO78" s="101"/>
      <c r="DP78" s="101"/>
      <c r="DQ78" s="101"/>
      <c r="DR78" s="101"/>
      <c r="DS78" s="101"/>
      <c r="DT78" s="101"/>
      <c r="DU78" s="101"/>
      <c r="DV78" s="101"/>
      <c r="DW78" s="101"/>
      <c r="DX78" s="101"/>
      <c r="DY78" s="101"/>
      <c r="DZ78" s="101"/>
      <c r="EA78" s="101"/>
      <c r="EB78" s="101"/>
      <c r="EC78" s="101"/>
      <c r="ED78" s="101"/>
      <c r="EE78" s="101"/>
      <c r="EF78" s="101"/>
      <c r="EG78" s="101"/>
      <c r="EH78" s="101"/>
      <c r="EI78" s="101"/>
      <c r="EJ78" s="101"/>
      <c r="EK78" s="101"/>
      <c r="EL78" s="101"/>
      <c r="EM78" s="101"/>
      <c r="EN78" s="101"/>
      <c r="EO78" s="101"/>
      <c r="EP78" s="101"/>
      <c r="EQ78" s="101"/>
      <c r="ER78" s="101"/>
      <c r="ES78" s="101"/>
      <c r="ET78" s="101"/>
      <c r="EU78" s="101"/>
      <c r="EV78" s="101"/>
      <c r="EW78" s="101"/>
      <c r="EX78" s="101"/>
      <c r="EY78" s="101"/>
      <c r="EZ78" s="101"/>
      <c r="FA78" s="101"/>
      <c r="FB78" s="101"/>
      <c r="FC78" s="101"/>
      <c r="FD78" s="101"/>
      <c r="FE78" s="101"/>
      <c r="FF78" s="101"/>
      <c r="FG78" s="101"/>
      <c r="FH78" s="101"/>
      <c r="FI78" s="101"/>
      <c r="FJ78" s="101"/>
      <c r="FK78" s="101"/>
      <c r="FL78" s="101"/>
      <c r="FM78" s="101"/>
      <c r="FN78" s="101"/>
      <c r="FO78" s="101"/>
      <c r="FP78" s="101"/>
      <c r="FQ78" s="101"/>
      <c r="FR78" s="101"/>
      <c r="FS78" s="101"/>
      <c r="FT78" s="101"/>
      <c r="FU78" s="101"/>
      <c r="FV78" s="101"/>
      <c r="FW78" s="101"/>
      <c r="FX78" s="101"/>
      <c r="FY78" s="101"/>
      <c r="FZ78" s="101"/>
      <c r="GA78" s="101"/>
      <c r="GB78" s="101"/>
      <c r="GC78" s="101"/>
      <c r="GD78" s="101"/>
      <c r="GE78" s="101"/>
      <c r="GF78" s="101"/>
      <c r="GG78" s="101"/>
      <c r="GH78" s="101"/>
      <c r="GI78" s="101"/>
      <c r="GJ78" s="101"/>
    </row>
    <row r="79" spans="1:192" ht="50.1" customHeight="1" outlineLevel="1" x14ac:dyDescent="0.25">
      <c r="A79" s="149" t="s">
        <v>237</v>
      </c>
      <c r="B79" s="167" t="s">
        <v>331</v>
      </c>
      <c r="C79" s="144" t="s">
        <v>487</v>
      </c>
      <c r="D79" s="167" t="s">
        <v>23</v>
      </c>
      <c r="E79" s="147" t="s">
        <v>576</v>
      </c>
      <c r="F79" s="211"/>
      <c r="G79" s="74"/>
      <c r="H79" s="74"/>
      <c r="I79" s="74"/>
      <c r="J79" s="74"/>
      <c r="K79" s="74"/>
      <c r="L79" s="74"/>
      <c r="M79" s="74"/>
      <c r="N79" s="74"/>
      <c r="O79" s="74"/>
      <c r="P79" s="74"/>
      <c r="Q79" s="74"/>
      <c r="R79" s="74"/>
      <c r="S79" s="74"/>
      <c r="T79" s="74"/>
      <c r="U79" s="74"/>
      <c r="V79" s="74"/>
      <c r="W79" s="74"/>
      <c r="X79" s="74"/>
      <c r="Y79" s="74"/>
      <c r="Z79" s="74"/>
      <c r="AA79" s="74"/>
      <c r="AB79" s="74"/>
      <c r="AC79" s="74"/>
      <c r="AD79" s="74"/>
      <c r="AE79" s="74"/>
      <c r="AF79" s="74"/>
      <c r="AG79" s="74"/>
      <c r="AH79" s="74"/>
      <c r="AI79" s="74"/>
      <c r="AJ79" s="74"/>
      <c r="AK79" s="74"/>
      <c r="AL79" s="74"/>
      <c r="AM79" s="74"/>
      <c r="AN79" s="74"/>
      <c r="AO79" s="74"/>
      <c r="AP79" s="74"/>
      <c r="AQ79" s="74"/>
      <c r="AR79" s="74"/>
      <c r="AS79" s="74"/>
      <c r="AT79" s="74"/>
      <c r="AU79" s="74"/>
      <c r="AV79" s="74"/>
      <c r="AW79" s="74"/>
      <c r="AX79" s="74"/>
      <c r="AY79" s="101"/>
      <c r="AZ79" s="101"/>
      <c r="BA79" s="101"/>
      <c r="BB79" s="101"/>
      <c r="BC79" s="101"/>
      <c r="BD79" s="101"/>
      <c r="BE79" s="101"/>
      <c r="BF79" s="101"/>
      <c r="BG79" s="101"/>
      <c r="BH79" s="101"/>
      <c r="BI79" s="101"/>
      <c r="BJ79" s="101"/>
      <c r="BK79" s="101"/>
      <c r="BL79" s="101"/>
      <c r="BM79" s="101"/>
      <c r="BN79" s="101"/>
      <c r="BO79" s="101"/>
      <c r="BP79" s="101"/>
      <c r="BQ79" s="101"/>
      <c r="BR79" s="101"/>
      <c r="BS79" s="101"/>
      <c r="BT79" s="101"/>
      <c r="BU79" s="101"/>
      <c r="BV79" s="101"/>
      <c r="BW79" s="101"/>
      <c r="BX79" s="101"/>
      <c r="BY79" s="101"/>
      <c r="BZ79" s="101"/>
      <c r="CA79" s="101"/>
      <c r="CB79" s="101"/>
      <c r="CC79" s="101"/>
      <c r="CD79" s="101"/>
      <c r="CE79" s="101"/>
      <c r="CF79" s="101"/>
      <c r="CG79" s="101"/>
      <c r="CH79" s="101"/>
      <c r="CI79" s="101"/>
      <c r="CJ79" s="101"/>
      <c r="CK79" s="101"/>
      <c r="CL79" s="101"/>
      <c r="CM79" s="101"/>
      <c r="CN79" s="101"/>
      <c r="CO79" s="101"/>
      <c r="CP79" s="101"/>
      <c r="CQ79" s="101"/>
      <c r="CR79" s="101"/>
      <c r="CS79" s="101"/>
      <c r="CT79" s="101"/>
      <c r="CU79" s="101"/>
      <c r="CV79" s="101"/>
      <c r="CW79" s="101"/>
      <c r="CX79" s="101"/>
      <c r="CY79" s="101"/>
      <c r="CZ79" s="101"/>
      <c r="DA79" s="101"/>
      <c r="DB79" s="101"/>
      <c r="DC79" s="101"/>
      <c r="DD79" s="101"/>
      <c r="DE79" s="101"/>
      <c r="DF79" s="101"/>
      <c r="DG79" s="101"/>
      <c r="DH79" s="101"/>
      <c r="DI79" s="101"/>
      <c r="DJ79" s="101"/>
      <c r="DK79" s="101"/>
      <c r="DL79" s="101"/>
      <c r="DM79" s="101"/>
      <c r="DN79" s="101"/>
      <c r="DO79" s="101"/>
      <c r="DP79" s="101"/>
      <c r="DQ79" s="101"/>
      <c r="DR79" s="101"/>
      <c r="DS79" s="101"/>
      <c r="DT79" s="101"/>
      <c r="DU79" s="101"/>
      <c r="DV79" s="101"/>
      <c r="DW79" s="101"/>
      <c r="DX79" s="101"/>
      <c r="DY79" s="101"/>
      <c r="DZ79" s="101"/>
      <c r="EA79" s="101"/>
      <c r="EB79" s="101"/>
      <c r="EC79" s="101"/>
      <c r="ED79" s="101"/>
      <c r="EE79" s="101"/>
      <c r="EF79" s="101"/>
      <c r="EG79" s="101"/>
      <c r="EH79" s="101"/>
      <c r="EI79" s="101"/>
      <c r="EJ79" s="101"/>
      <c r="EK79" s="101"/>
      <c r="EL79" s="101"/>
      <c r="EM79" s="101"/>
      <c r="EN79" s="101"/>
      <c r="EO79" s="101"/>
      <c r="EP79" s="101"/>
      <c r="EQ79" s="101"/>
      <c r="ER79" s="101"/>
      <c r="ES79" s="101"/>
      <c r="ET79" s="101"/>
      <c r="EU79" s="101"/>
      <c r="EV79" s="101"/>
      <c r="EW79" s="101"/>
      <c r="EX79" s="101"/>
      <c r="EY79" s="101"/>
      <c r="EZ79" s="101"/>
      <c r="FA79" s="101"/>
      <c r="FB79" s="101"/>
      <c r="FC79" s="101"/>
      <c r="FD79" s="101"/>
      <c r="FE79" s="101"/>
      <c r="FF79" s="101"/>
      <c r="FG79" s="101"/>
      <c r="FH79" s="101"/>
      <c r="FI79" s="101"/>
      <c r="FJ79" s="101"/>
      <c r="FK79" s="101"/>
      <c r="FL79" s="101"/>
      <c r="FM79" s="101"/>
      <c r="FN79" s="101"/>
      <c r="FO79" s="101"/>
      <c r="FP79" s="101"/>
      <c r="FQ79" s="101"/>
      <c r="FR79" s="101"/>
      <c r="FS79" s="101"/>
      <c r="FT79" s="101"/>
      <c r="FU79" s="101"/>
      <c r="FV79" s="101"/>
      <c r="FW79" s="101"/>
      <c r="FX79" s="101"/>
      <c r="FY79" s="101"/>
      <c r="FZ79" s="101"/>
      <c r="GA79" s="101"/>
      <c r="GB79" s="101"/>
      <c r="GC79" s="101"/>
      <c r="GD79" s="101"/>
      <c r="GE79" s="101"/>
      <c r="GF79" s="101"/>
      <c r="GG79" s="101"/>
      <c r="GH79" s="101"/>
      <c r="GI79" s="101"/>
      <c r="GJ79" s="101"/>
    </row>
    <row r="80" spans="1:192" ht="50.1" customHeight="1" outlineLevel="1" x14ac:dyDescent="0.25">
      <c r="A80" s="149" t="s">
        <v>237</v>
      </c>
      <c r="B80" s="168" t="s">
        <v>332</v>
      </c>
      <c r="C80" s="142" t="s">
        <v>425</v>
      </c>
      <c r="D80" s="168" t="s">
        <v>22</v>
      </c>
      <c r="E80" s="146" t="s">
        <v>577</v>
      </c>
      <c r="F80" s="209"/>
      <c r="G80" s="74"/>
      <c r="H80" s="74"/>
      <c r="I80" s="74"/>
      <c r="J80" s="74"/>
      <c r="K80" s="74"/>
      <c r="L80" s="74"/>
      <c r="M80" s="74"/>
      <c r="N80" s="74"/>
      <c r="O80" s="74"/>
      <c r="P80" s="74"/>
      <c r="Q80" s="74"/>
      <c r="R80" s="74"/>
      <c r="S80" s="74"/>
      <c r="T80" s="74"/>
      <c r="U80" s="74"/>
      <c r="V80" s="74"/>
      <c r="W80" s="74"/>
      <c r="X80" s="74"/>
      <c r="Y80" s="74"/>
      <c r="Z80" s="74"/>
      <c r="AA80" s="74"/>
      <c r="AB80" s="74"/>
      <c r="AC80" s="74"/>
      <c r="AD80" s="74"/>
      <c r="AE80" s="74"/>
      <c r="AF80" s="74"/>
      <c r="AG80" s="74"/>
      <c r="AH80" s="74"/>
      <c r="AI80" s="74"/>
      <c r="AJ80" s="74"/>
      <c r="AK80" s="74"/>
      <c r="AL80" s="74"/>
      <c r="AM80" s="74"/>
      <c r="AN80" s="74"/>
      <c r="AO80" s="74"/>
      <c r="AP80" s="74"/>
      <c r="AQ80" s="74"/>
      <c r="AR80" s="74"/>
      <c r="AS80" s="74"/>
      <c r="AT80" s="74"/>
      <c r="AU80" s="74"/>
      <c r="AV80" s="74"/>
      <c r="AW80" s="74"/>
      <c r="AX80" s="74"/>
      <c r="AY80" s="101"/>
      <c r="AZ80" s="101"/>
      <c r="BA80" s="101"/>
      <c r="BB80" s="101"/>
      <c r="BC80" s="101"/>
      <c r="BD80" s="101"/>
      <c r="BE80" s="101"/>
      <c r="BF80" s="101"/>
      <c r="BG80" s="101"/>
      <c r="BH80" s="101"/>
      <c r="BI80" s="101"/>
      <c r="BJ80" s="101"/>
      <c r="BK80" s="101"/>
      <c r="BL80" s="101"/>
      <c r="BM80" s="101"/>
      <c r="BN80" s="101"/>
      <c r="BO80" s="101"/>
      <c r="BP80" s="101"/>
      <c r="BQ80" s="101"/>
      <c r="BR80" s="101"/>
      <c r="BS80" s="101"/>
      <c r="BT80" s="101"/>
      <c r="BU80" s="101"/>
      <c r="BV80" s="101"/>
      <c r="BW80" s="101"/>
      <c r="BX80" s="101"/>
      <c r="BY80" s="101"/>
      <c r="BZ80" s="101"/>
      <c r="CA80" s="101"/>
      <c r="CB80" s="101"/>
      <c r="CC80" s="101"/>
      <c r="CD80" s="101"/>
      <c r="CE80" s="101"/>
      <c r="CF80" s="101"/>
      <c r="CG80" s="101"/>
      <c r="CH80" s="101"/>
      <c r="CI80" s="101"/>
      <c r="CJ80" s="101"/>
      <c r="CK80" s="101"/>
      <c r="CL80" s="101"/>
      <c r="CM80" s="101"/>
      <c r="CN80" s="101"/>
      <c r="CO80" s="101"/>
      <c r="CP80" s="101"/>
      <c r="CQ80" s="101"/>
      <c r="CR80" s="101"/>
      <c r="CS80" s="101"/>
      <c r="CT80" s="101"/>
      <c r="CU80" s="101"/>
      <c r="CV80" s="101"/>
      <c r="CW80" s="101"/>
      <c r="CX80" s="101"/>
      <c r="CY80" s="101"/>
      <c r="CZ80" s="101"/>
      <c r="DA80" s="101"/>
      <c r="DB80" s="101"/>
      <c r="DC80" s="101"/>
      <c r="DD80" s="101"/>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1"/>
      <c r="EF80" s="101"/>
      <c r="EG80" s="101"/>
      <c r="EH80" s="101"/>
      <c r="EI80" s="101"/>
      <c r="EJ80" s="101"/>
      <c r="EK80" s="101"/>
      <c r="EL80" s="101"/>
      <c r="EM80" s="101"/>
      <c r="EN80" s="101"/>
      <c r="EO80" s="101"/>
      <c r="EP80" s="101"/>
      <c r="EQ80" s="101"/>
      <c r="ER80" s="101"/>
      <c r="ES80" s="101"/>
      <c r="ET80" s="101"/>
      <c r="EU80" s="101"/>
      <c r="EV80" s="101"/>
      <c r="EW80" s="101"/>
      <c r="EX80" s="101"/>
      <c r="EY80" s="101"/>
      <c r="EZ80" s="101"/>
      <c r="FA80" s="101"/>
      <c r="FB80" s="101"/>
      <c r="FC80" s="101"/>
      <c r="FD80" s="101"/>
      <c r="FE80" s="101"/>
      <c r="FF80" s="101"/>
      <c r="FG80" s="101"/>
      <c r="FH80" s="101"/>
      <c r="FI80" s="101"/>
      <c r="FJ80" s="101"/>
      <c r="FK80" s="101"/>
      <c r="FL80" s="101"/>
      <c r="FM80" s="101"/>
      <c r="FN80" s="101"/>
      <c r="FO80" s="101"/>
      <c r="FP80" s="101"/>
      <c r="FQ80" s="101"/>
      <c r="FR80" s="101"/>
      <c r="FS80" s="101"/>
      <c r="FT80" s="101"/>
      <c r="FU80" s="101"/>
      <c r="FV80" s="101"/>
      <c r="FW80" s="101"/>
      <c r="FX80" s="101"/>
      <c r="FY80" s="101"/>
      <c r="FZ80" s="101"/>
      <c r="GA80" s="101"/>
      <c r="GB80" s="101"/>
      <c r="GC80" s="101"/>
      <c r="GD80" s="101"/>
      <c r="GE80" s="101"/>
      <c r="GF80" s="101"/>
      <c r="GG80" s="101"/>
      <c r="GH80" s="101"/>
      <c r="GI80" s="101"/>
      <c r="GJ80" s="101"/>
    </row>
    <row r="81" spans="1:192" ht="50.1" customHeight="1" outlineLevel="1" x14ac:dyDescent="0.25">
      <c r="A81" s="148" t="s">
        <v>2</v>
      </c>
      <c r="B81" s="167" t="s">
        <v>333</v>
      </c>
      <c r="C81" s="144" t="s">
        <v>488</v>
      </c>
      <c r="D81" s="167" t="s">
        <v>22</v>
      </c>
      <c r="E81" s="144" t="s">
        <v>690</v>
      </c>
      <c r="F81" s="211"/>
      <c r="G81" s="74"/>
      <c r="H81" s="74"/>
      <c r="I81" s="74"/>
      <c r="J81" s="74"/>
      <c r="K81" s="74"/>
      <c r="L81" s="74"/>
      <c r="M81" s="74"/>
      <c r="N81" s="74"/>
      <c r="O81" s="74"/>
      <c r="P81" s="74"/>
      <c r="Q81" s="74"/>
      <c r="R81" s="74"/>
      <c r="S81" s="74"/>
      <c r="T81" s="74"/>
      <c r="U81" s="74"/>
      <c r="V81" s="74"/>
      <c r="W81" s="74"/>
      <c r="X81" s="74"/>
      <c r="Y81" s="74"/>
      <c r="Z81" s="74"/>
      <c r="AA81" s="74"/>
      <c r="AB81" s="74"/>
      <c r="AC81" s="74"/>
      <c r="AD81" s="74"/>
      <c r="AE81" s="74"/>
      <c r="AF81" s="74"/>
      <c r="AG81" s="74"/>
      <c r="AH81" s="74"/>
      <c r="AI81" s="74"/>
      <c r="AJ81" s="74"/>
      <c r="AK81" s="74"/>
      <c r="AL81" s="74"/>
      <c r="AM81" s="74"/>
      <c r="AN81" s="74"/>
      <c r="AO81" s="74"/>
      <c r="AP81" s="74"/>
      <c r="AQ81" s="74"/>
      <c r="AR81" s="74"/>
      <c r="AS81" s="74"/>
      <c r="AT81" s="74"/>
      <c r="AU81" s="74"/>
      <c r="AV81" s="74"/>
      <c r="AW81" s="74"/>
      <c r="AX81" s="74"/>
      <c r="AY81" s="101"/>
      <c r="AZ81" s="101"/>
      <c r="BA81" s="101"/>
      <c r="BB81" s="101"/>
      <c r="BC81" s="101"/>
      <c r="BD81" s="101"/>
      <c r="BE81" s="101"/>
      <c r="BF81" s="101"/>
      <c r="BG81" s="101"/>
      <c r="BH81" s="101"/>
      <c r="BI81" s="101"/>
      <c r="BJ81" s="101"/>
      <c r="BK81" s="101"/>
      <c r="BL81" s="101"/>
      <c r="BM81" s="101"/>
      <c r="BN81" s="101"/>
      <c r="BO81" s="101"/>
      <c r="BP81" s="101"/>
      <c r="BQ81" s="101"/>
      <c r="BR81" s="101"/>
      <c r="BS81" s="101"/>
      <c r="BT81" s="101"/>
      <c r="BU81" s="101"/>
      <c r="BV81" s="101"/>
      <c r="BW81" s="101"/>
      <c r="BX81" s="101"/>
      <c r="BY81" s="101"/>
      <c r="BZ81" s="101"/>
      <c r="CA81" s="101"/>
      <c r="CB81" s="101"/>
      <c r="CC81" s="101"/>
      <c r="CD81" s="101"/>
      <c r="CE81" s="101"/>
      <c r="CF81" s="101"/>
      <c r="CG81" s="101"/>
      <c r="CH81" s="101"/>
      <c r="CI81" s="101"/>
      <c r="CJ81" s="101"/>
      <c r="CK81" s="101"/>
      <c r="CL81" s="101"/>
      <c r="CM81" s="101"/>
      <c r="CN81" s="101"/>
      <c r="CO81" s="101"/>
      <c r="CP81" s="101"/>
      <c r="CQ81" s="101"/>
      <c r="CR81" s="101"/>
      <c r="CS81" s="101"/>
      <c r="CT81" s="101"/>
      <c r="CU81" s="101"/>
      <c r="CV81" s="101"/>
      <c r="CW81" s="101"/>
      <c r="CX81" s="101"/>
      <c r="CY81" s="101"/>
      <c r="CZ81" s="101"/>
      <c r="DA81" s="101"/>
      <c r="DB81" s="101"/>
      <c r="DC81" s="101"/>
      <c r="DD81" s="101"/>
      <c r="DE81" s="101"/>
      <c r="DF81" s="101"/>
      <c r="DG81" s="101"/>
      <c r="DH81" s="101"/>
      <c r="DI81" s="101"/>
      <c r="DJ81" s="101"/>
      <c r="DK81" s="101"/>
      <c r="DL81" s="101"/>
      <c r="DM81" s="101"/>
      <c r="DN81" s="101"/>
      <c r="DO81" s="101"/>
      <c r="DP81" s="101"/>
      <c r="DQ81" s="101"/>
      <c r="DR81" s="101"/>
      <c r="DS81" s="101"/>
      <c r="DT81" s="101"/>
      <c r="DU81" s="101"/>
      <c r="DV81" s="101"/>
      <c r="DW81" s="101"/>
      <c r="DX81" s="101"/>
      <c r="DY81" s="101"/>
      <c r="DZ81" s="101"/>
      <c r="EA81" s="101"/>
      <c r="EB81" s="101"/>
      <c r="EC81" s="101"/>
      <c r="ED81" s="101"/>
      <c r="EE81" s="101"/>
      <c r="EF81" s="101"/>
      <c r="EG81" s="101"/>
      <c r="EH81" s="101"/>
      <c r="EI81" s="101"/>
      <c r="EJ81" s="101"/>
      <c r="EK81" s="101"/>
      <c r="EL81" s="101"/>
      <c r="EM81" s="101"/>
      <c r="EN81" s="101"/>
      <c r="EO81" s="101"/>
      <c r="EP81" s="101"/>
      <c r="EQ81" s="101"/>
      <c r="ER81" s="101"/>
      <c r="ES81" s="101"/>
      <c r="ET81" s="101"/>
      <c r="EU81" s="101"/>
      <c r="EV81" s="101"/>
      <c r="EW81" s="101"/>
      <c r="EX81" s="101"/>
      <c r="EY81" s="101"/>
      <c r="EZ81" s="101"/>
      <c r="FA81" s="101"/>
      <c r="FB81" s="101"/>
      <c r="FC81" s="101"/>
      <c r="FD81" s="101"/>
      <c r="FE81" s="101"/>
      <c r="FF81" s="101"/>
      <c r="FG81" s="101"/>
      <c r="FH81" s="101"/>
      <c r="FI81" s="101"/>
      <c r="FJ81" s="101"/>
      <c r="FK81" s="101"/>
      <c r="FL81" s="101"/>
      <c r="FM81" s="101"/>
      <c r="FN81" s="101"/>
      <c r="FO81" s="101"/>
      <c r="FP81" s="101"/>
      <c r="FQ81" s="101"/>
      <c r="FR81" s="101"/>
      <c r="FS81" s="101"/>
      <c r="FT81" s="101"/>
      <c r="FU81" s="101"/>
      <c r="FV81" s="101"/>
      <c r="FW81" s="101"/>
      <c r="FX81" s="101"/>
      <c r="FY81" s="101"/>
      <c r="FZ81" s="101"/>
      <c r="GA81" s="101"/>
      <c r="GB81" s="101"/>
      <c r="GC81" s="101"/>
      <c r="GD81" s="101"/>
      <c r="GE81" s="101"/>
      <c r="GF81" s="101"/>
      <c r="GG81" s="101"/>
      <c r="GH81" s="101"/>
      <c r="GI81" s="101"/>
      <c r="GJ81" s="101"/>
    </row>
    <row r="82" spans="1:192" ht="50.1" customHeight="1" outlineLevel="1" x14ac:dyDescent="0.25">
      <c r="A82" s="148" t="s">
        <v>2</v>
      </c>
      <c r="B82" s="168" t="s">
        <v>334</v>
      </c>
      <c r="C82" s="142" t="s">
        <v>489</v>
      </c>
      <c r="D82" s="168" t="s">
        <v>22</v>
      </c>
      <c r="E82" s="146" t="s">
        <v>578</v>
      </c>
      <c r="F82" s="214"/>
      <c r="G82" s="74"/>
      <c r="H82" s="74"/>
      <c r="I82" s="74"/>
      <c r="J82" s="74"/>
      <c r="K82" s="74"/>
      <c r="L82" s="74"/>
      <c r="M82" s="74"/>
      <c r="N82" s="74"/>
      <c r="O82" s="74"/>
      <c r="P82" s="74"/>
      <c r="Q82" s="74"/>
      <c r="R82" s="74"/>
      <c r="S82" s="74"/>
      <c r="T82" s="74"/>
      <c r="U82" s="74"/>
      <c r="V82" s="74"/>
      <c r="W82" s="74"/>
      <c r="X82" s="74"/>
      <c r="Y82" s="74"/>
      <c r="Z82" s="74"/>
      <c r="AA82" s="74"/>
      <c r="AB82" s="74"/>
      <c r="AC82" s="74"/>
      <c r="AD82" s="74"/>
      <c r="AE82" s="74"/>
      <c r="AF82" s="74"/>
      <c r="AG82" s="74"/>
      <c r="AH82" s="74"/>
      <c r="AI82" s="74"/>
      <c r="AJ82" s="74"/>
      <c r="AK82" s="74"/>
      <c r="AL82" s="74"/>
      <c r="AM82" s="74"/>
      <c r="AN82" s="74"/>
      <c r="AO82" s="74"/>
      <c r="AP82" s="74"/>
      <c r="AQ82" s="74"/>
      <c r="AR82" s="74"/>
      <c r="AS82" s="74"/>
      <c r="AT82" s="74"/>
      <c r="AU82" s="74"/>
      <c r="AV82" s="74"/>
      <c r="AW82" s="74"/>
      <c r="AX82" s="74"/>
      <c r="AY82" s="101"/>
      <c r="AZ82" s="101"/>
      <c r="BA82" s="101"/>
      <c r="BB82" s="101"/>
      <c r="BC82" s="101"/>
      <c r="BD82" s="101"/>
      <c r="BE82" s="101"/>
      <c r="BF82" s="101"/>
      <c r="BG82" s="101"/>
      <c r="BH82" s="101"/>
      <c r="BI82" s="101"/>
      <c r="BJ82" s="101"/>
      <c r="BK82" s="101"/>
      <c r="BL82" s="101"/>
      <c r="BM82" s="101"/>
      <c r="BN82" s="101"/>
      <c r="BO82" s="101"/>
      <c r="BP82" s="101"/>
      <c r="BQ82" s="101"/>
      <c r="BR82" s="101"/>
      <c r="BS82" s="101"/>
      <c r="BT82" s="101"/>
      <c r="BU82" s="101"/>
      <c r="BV82" s="101"/>
      <c r="BW82" s="101"/>
      <c r="BX82" s="101"/>
      <c r="BY82" s="101"/>
      <c r="BZ82" s="101"/>
      <c r="CA82" s="101"/>
      <c r="CB82" s="101"/>
      <c r="CC82" s="101"/>
      <c r="CD82" s="101"/>
      <c r="CE82" s="101"/>
      <c r="CF82" s="101"/>
      <c r="CG82" s="101"/>
      <c r="CH82" s="101"/>
      <c r="CI82" s="101"/>
      <c r="CJ82" s="101"/>
      <c r="CK82" s="101"/>
      <c r="CL82" s="101"/>
      <c r="CM82" s="101"/>
      <c r="CN82" s="101"/>
      <c r="CO82" s="101"/>
      <c r="CP82" s="101"/>
      <c r="CQ82" s="101"/>
      <c r="CR82" s="101"/>
      <c r="CS82" s="101"/>
      <c r="CT82" s="101"/>
      <c r="CU82" s="101"/>
      <c r="CV82" s="101"/>
      <c r="CW82" s="101"/>
      <c r="CX82" s="101"/>
      <c r="CY82" s="101"/>
      <c r="CZ82" s="101"/>
      <c r="DA82" s="101"/>
      <c r="DB82" s="101"/>
      <c r="DC82" s="101"/>
      <c r="DD82" s="101"/>
      <c r="DE82" s="101"/>
      <c r="DF82" s="101"/>
      <c r="DG82" s="101"/>
      <c r="DH82" s="101"/>
      <c r="DI82" s="101"/>
      <c r="DJ82" s="101"/>
      <c r="DK82" s="101"/>
      <c r="DL82" s="101"/>
      <c r="DM82" s="101"/>
      <c r="DN82" s="101"/>
      <c r="DO82" s="101"/>
      <c r="DP82" s="101"/>
      <c r="DQ82" s="101"/>
      <c r="DR82" s="101"/>
      <c r="DS82" s="101"/>
      <c r="DT82" s="101"/>
      <c r="DU82" s="101"/>
      <c r="DV82" s="101"/>
      <c r="DW82" s="101"/>
      <c r="DX82" s="101"/>
      <c r="DY82" s="101"/>
      <c r="DZ82" s="101"/>
      <c r="EA82" s="101"/>
      <c r="EB82" s="101"/>
      <c r="EC82" s="101"/>
      <c r="ED82" s="101"/>
      <c r="EE82" s="101"/>
      <c r="EF82" s="101"/>
      <c r="EG82" s="101"/>
      <c r="EH82" s="101"/>
      <c r="EI82" s="101"/>
      <c r="EJ82" s="101"/>
      <c r="EK82" s="101"/>
      <c r="EL82" s="101"/>
      <c r="EM82" s="101"/>
      <c r="EN82" s="101"/>
      <c r="EO82" s="101"/>
      <c r="EP82" s="101"/>
      <c r="EQ82" s="101"/>
      <c r="ER82" s="101"/>
      <c r="ES82" s="101"/>
      <c r="ET82" s="101"/>
      <c r="EU82" s="101"/>
      <c r="EV82" s="101"/>
      <c r="EW82" s="101"/>
      <c r="EX82" s="101"/>
      <c r="EY82" s="101"/>
      <c r="EZ82" s="101"/>
      <c r="FA82" s="101"/>
      <c r="FB82" s="101"/>
      <c r="FC82" s="101"/>
      <c r="FD82" s="101"/>
      <c r="FE82" s="101"/>
      <c r="FF82" s="101"/>
      <c r="FG82" s="101"/>
      <c r="FH82" s="101"/>
      <c r="FI82" s="101"/>
      <c r="FJ82" s="101"/>
      <c r="FK82" s="101"/>
      <c r="FL82" s="101"/>
      <c r="FM82" s="101"/>
      <c r="FN82" s="101"/>
      <c r="FO82" s="101"/>
      <c r="FP82" s="101"/>
      <c r="FQ82" s="101"/>
      <c r="FR82" s="101"/>
      <c r="FS82" s="101"/>
      <c r="FT82" s="101"/>
      <c r="FU82" s="101"/>
      <c r="FV82" s="101"/>
      <c r="FW82" s="101"/>
      <c r="FX82" s="101"/>
      <c r="FY82" s="101"/>
      <c r="FZ82" s="101"/>
      <c r="GA82" s="101"/>
      <c r="GB82" s="101"/>
      <c r="GC82" s="101"/>
      <c r="GD82" s="101"/>
      <c r="GE82" s="101"/>
      <c r="GF82" s="101"/>
      <c r="GG82" s="101"/>
      <c r="GH82" s="101"/>
      <c r="GI82" s="101"/>
      <c r="GJ82" s="101"/>
    </row>
    <row r="83" spans="1:192" ht="50.1" customHeight="1" outlineLevel="1" x14ac:dyDescent="0.25">
      <c r="A83" s="148" t="s">
        <v>2</v>
      </c>
      <c r="B83" s="167" t="s">
        <v>335</v>
      </c>
      <c r="C83" s="144" t="s">
        <v>516</v>
      </c>
      <c r="D83" s="167" t="s">
        <v>23</v>
      </c>
      <c r="E83" s="147" t="s">
        <v>579</v>
      </c>
      <c r="F83" s="211"/>
      <c r="G83" s="74"/>
      <c r="H83" s="74"/>
      <c r="I83" s="74"/>
      <c r="J83" s="74"/>
      <c r="K83" s="74"/>
      <c r="L83" s="74"/>
      <c r="M83" s="74"/>
      <c r="N83" s="74"/>
      <c r="O83" s="74"/>
      <c r="P83" s="74"/>
      <c r="Q83" s="74"/>
      <c r="R83" s="74"/>
      <c r="S83" s="74"/>
      <c r="T83" s="74"/>
      <c r="U83" s="74"/>
      <c r="V83" s="74"/>
      <c r="W83" s="74"/>
      <c r="X83" s="74"/>
      <c r="Y83" s="74"/>
      <c r="Z83" s="74"/>
      <c r="AA83" s="74"/>
      <c r="AB83" s="74"/>
      <c r="AC83" s="74"/>
      <c r="AD83" s="74"/>
      <c r="AE83" s="74"/>
      <c r="AF83" s="74"/>
      <c r="AG83" s="74"/>
      <c r="AH83" s="74"/>
      <c r="AI83" s="74"/>
      <c r="AJ83" s="74"/>
      <c r="AK83" s="74"/>
      <c r="AL83" s="74"/>
      <c r="AM83" s="74"/>
      <c r="AN83" s="74"/>
      <c r="AO83" s="74"/>
      <c r="AP83" s="74"/>
      <c r="AQ83" s="74"/>
      <c r="AR83" s="74"/>
      <c r="AS83" s="74"/>
      <c r="AT83" s="74"/>
      <c r="AU83" s="74"/>
      <c r="AV83" s="74"/>
      <c r="AW83" s="74"/>
      <c r="AX83" s="74"/>
      <c r="AY83" s="101"/>
      <c r="AZ83" s="101"/>
      <c r="BA83" s="101"/>
      <c r="BB83" s="101"/>
      <c r="BC83" s="101"/>
      <c r="BD83" s="101"/>
      <c r="BE83" s="101"/>
      <c r="BF83" s="101"/>
      <c r="BG83" s="101"/>
      <c r="BH83" s="101"/>
      <c r="BI83" s="101"/>
      <c r="BJ83" s="101"/>
      <c r="BK83" s="101"/>
      <c r="BL83" s="101"/>
      <c r="BM83" s="101"/>
      <c r="BN83" s="101"/>
      <c r="BO83" s="101"/>
      <c r="BP83" s="101"/>
      <c r="BQ83" s="101"/>
      <c r="BR83" s="101"/>
      <c r="BS83" s="101"/>
      <c r="BT83" s="101"/>
      <c r="BU83" s="101"/>
      <c r="BV83" s="101"/>
      <c r="BW83" s="101"/>
      <c r="BX83" s="101"/>
      <c r="BY83" s="101"/>
      <c r="BZ83" s="101"/>
      <c r="CA83" s="101"/>
      <c r="CB83" s="101"/>
      <c r="CC83" s="101"/>
      <c r="CD83" s="101"/>
      <c r="CE83" s="101"/>
      <c r="CF83" s="101"/>
      <c r="CG83" s="101"/>
      <c r="CH83" s="101"/>
      <c r="CI83" s="101"/>
      <c r="CJ83" s="101"/>
      <c r="CK83" s="101"/>
      <c r="CL83" s="101"/>
      <c r="CM83" s="101"/>
      <c r="CN83" s="101"/>
      <c r="CO83" s="101"/>
      <c r="CP83" s="101"/>
      <c r="CQ83" s="101"/>
      <c r="CR83" s="101"/>
      <c r="CS83" s="101"/>
      <c r="CT83" s="101"/>
      <c r="CU83" s="101"/>
      <c r="CV83" s="101"/>
      <c r="CW83" s="101"/>
      <c r="CX83" s="101"/>
      <c r="CY83" s="101"/>
      <c r="CZ83" s="101"/>
      <c r="DA83" s="101"/>
      <c r="DB83" s="101"/>
      <c r="DC83" s="101"/>
      <c r="DD83" s="101"/>
      <c r="DE83" s="101"/>
      <c r="DF83" s="101"/>
      <c r="DG83" s="101"/>
      <c r="DH83" s="101"/>
      <c r="DI83" s="101"/>
      <c r="DJ83" s="101"/>
      <c r="DK83" s="101"/>
      <c r="DL83" s="101"/>
      <c r="DM83" s="101"/>
      <c r="DN83" s="101"/>
      <c r="DO83" s="101"/>
      <c r="DP83" s="101"/>
      <c r="DQ83" s="101"/>
      <c r="DR83" s="101"/>
      <c r="DS83" s="101"/>
      <c r="DT83" s="101"/>
      <c r="DU83" s="101"/>
      <c r="DV83" s="101"/>
      <c r="DW83" s="101"/>
      <c r="DX83" s="101"/>
      <c r="DY83" s="101"/>
      <c r="DZ83" s="101"/>
      <c r="EA83" s="101"/>
      <c r="EB83" s="101"/>
      <c r="EC83" s="101"/>
      <c r="ED83" s="101"/>
      <c r="EE83" s="101"/>
      <c r="EF83" s="101"/>
      <c r="EG83" s="101"/>
      <c r="EH83" s="101"/>
      <c r="EI83" s="101"/>
      <c r="EJ83" s="101"/>
      <c r="EK83" s="101"/>
      <c r="EL83" s="101"/>
      <c r="EM83" s="101"/>
      <c r="EN83" s="101"/>
      <c r="EO83" s="101"/>
      <c r="EP83" s="101"/>
      <c r="EQ83" s="101"/>
      <c r="ER83" s="101"/>
      <c r="ES83" s="101"/>
      <c r="ET83" s="101"/>
      <c r="EU83" s="101"/>
      <c r="EV83" s="101"/>
      <c r="EW83" s="101"/>
      <c r="EX83" s="101"/>
      <c r="EY83" s="101"/>
      <c r="EZ83" s="101"/>
      <c r="FA83" s="101"/>
      <c r="FB83" s="101"/>
      <c r="FC83" s="101"/>
      <c r="FD83" s="101"/>
      <c r="FE83" s="101"/>
      <c r="FF83" s="101"/>
      <c r="FG83" s="101"/>
      <c r="FH83" s="101"/>
      <c r="FI83" s="101"/>
      <c r="FJ83" s="101"/>
      <c r="FK83" s="101"/>
      <c r="FL83" s="101"/>
      <c r="FM83" s="101"/>
      <c r="FN83" s="101"/>
      <c r="FO83" s="101"/>
      <c r="FP83" s="101"/>
      <c r="FQ83" s="101"/>
      <c r="FR83" s="101"/>
      <c r="FS83" s="101"/>
      <c r="FT83" s="101"/>
      <c r="FU83" s="101"/>
      <c r="FV83" s="101"/>
      <c r="FW83" s="101"/>
      <c r="FX83" s="101"/>
      <c r="FY83" s="101"/>
      <c r="FZ83" s="101"/>
      <c r="GA83" s="101"/>
      <c r="GB83" s="101"/>
      <c r="GC83" s="101"/>
      <c r="GD83" s="101"/>
      <c r="GE83" s="101"/>
      <c r="GF83" s="101"/>
      <c r="GG83" s="101"/>
      <c r="GH83" s="101"/>
      <c r="GI83" s="101"/>
      <c r="GJ83" s="101"/>
    </row>
    <row r="84" spans="1:192" ht="50.1" customHeight="1" outlineLevel="1" x14ac:dyDescent="0.25">
      <c r="A84" s="148" t="s">
        <v>2</v>
      </c>
      <c r="B84" s="168" t="s">
        <v>336</v>
      </c>
      <c r="C84" s="142" t="s">
        <v>426</v>
      </c>
      <c r="D84" s="168" t="s">
        <v>23</v>
      </c>
      <c r="E84" s="146" t="s">
        <v>691</v>
      </c>
      <c r="F84" s="214"/>
      <c r="G84" s="74"/>
      <c r="H84" s="74"/>
      <c r="I84" s="74"/>
      <c r="J84" s="74"/>
      <c r="K84" s="74"/>
      <c r="L84" s="74"/>
      <c r="M84" s="74"/>
      <c r="N84" s="74"/>
      <c r="O84" s="74"/>
      <c r="P84" s="74"/>
      <c r="Q84" s="74"/>
      <c r="R84" s="74"/>
      <c r="S84" s="74"/>
      <c r="T84" s="74"/>
      <c r="U84" s="74"/>
      <c r="V84" s="74"/>
      <c r="W84" s="74"/>
      <c r="X84" s="74"/>
      <c r="Y84" s="74"/>
      <c r="Z84" s="74"/>
      <c r="AA84" s="74"/>
      <c r="AB84" s="74"/>
      <c r="AC84" s="74"/>
      <c r="AD84" s="74"/>
      <c r="AE84" s="74"/>
      <c r="AF84" s="74"/>
      <c r="AG84" s="74"/>
      <c r="AH84" s="74"/>
      <c r="AI84" s="74"/>
      <c r="AJ84" s="74"/>
      <c r="AK84" s="74"/>
      <c r="AL84" s="74"/>
      <c r="AM84" s="74"/>
      <c r="AN84" s="74"/>
      <c r="AO84" s="74"/>
      <c r="AP84" s="74"/>
      <c r="AQ84" s="74"/>
      <c r="AR84" s="74"/>
      <c r="AS84" s="74"/>
      <c r="AT84" s="74"/>
      <c r="AU84" s="74"/>
      <c r="AV84" s="74"/>
      <c r="AW84" s="74"/>
      <c r="AX84" s="74"/>
      <c r="AY84" s="101"/>
      <c r="AZ84" s="101"/>
      <c r="BA84" s="101"/>
      <c r="BB84" s="101"/>
      <c r="BC84" s="101"/>
      <c r="BD84" s="101"/>
      <c r="BE84" s="101"/>
      <c r="BF84" s="101"/>
      <c r="BG84" s="101"/>
      <c r="BH84" s="101"/>
      <c r="BI84" s="101"/>
      <c r="BJ84" s="101"/>
      <c r="BK84" s="101"/>
      <c r="BL84" s="101"/>
      <c r="BM84" s="101"/>
      <c r="BN84" s="101"/>
      <c r="BO84" s="101"/>
      <c r="BP84" s="101"/>
      <c r="BQ84" s="101"/>
      <c r="BR84" s="101"/>
      <c r="BS84" s="101"/>
      <c r="BT84" s="101"/>
      <c r="BU84" s="101"/>
      <c r="BV84" s="101"/>
      <c r="BW84" s="101"/>
      <c r="BX84" s="101"/>
      <c r="BY84" s="101"/>
      <c r="BZ84" s="101"/>
      <c r="CA84" s="101"/>
      <c r="CB84" s="101"/>
      <c r="CC84" s="101"/>
      <c r="CD84" s="101"/>
      <c r="CE84" s="101"/>
      <c r="CF84" s="101"/>
      <c r="CG84" s="101"/>
      <c r="CH84" s="101"/>
      <c r="CI84" s="101"/>
      <c r="CJ84" s="101"/>
      <c r="CK84" s="101"/>
      <c r="CL84" s="101"/>
      <c r="CM84" s="101"/>
      <c r="CN84" s="101"/>
      <c r="CO84" s="101"/>
      <c r="CP84" s="101"/>
      <c r="CQ84" s="101"/>
      <c r="CR84" s="101"/>
      <c r="CS84" s="101"/>
      <c r="CT84" s="101"/>
      <c r="CU84" s="101"/>
      <c r="CV84" s="101"/>
      <c r="CW84" s="101"/>
      <c r="CX84" s="101"/>
      <c r="CY84" s="101"/>
      <c r="CZ84" s="101"/>
      <c r="DA84" s="101"/>
      <c r="DB84" s="101"/>
      <c r="DC84" s="101"/>
      <c r="DD84" s="101"/>
      <c r="DE84" s="101"/>
      <c r="DF84" s="101"/>
      <c r="DG84" s="101"/>
      <c r="DH84" s="101"/>
      <c r="DI84" s="101"/>
      <c r="DJ84" s="101"/>
      <c r="DK84" s="101"/>
      <c r="DL84" s="101"/>
      <c r="DM84" s="101"/>
      <c r="DN84" s="101"/>
      <c r="DO84" s="101"/>
      <c r="DP84" s="101"/>
      <c r="DQ84" s="101"/>
      <c r="DR84" s="101"/>
      <c r="DS84" s="101"/>
      <c r="DT84" s="101"/>
      <c r="DU84" s="101"/>
      <c r="DV84" s="101"/>
      <c r="DW84" s="101"/>
      <c r="DX84" s="101"/>
      <c r="DY84" s="101"/>
      <c r="DZ84" s="101"/>
      <c r="EA84" s="101"/>
      <c r="EB84" s="101"/>
      <c r="EC84" s="101"/>
      <c r="ED84" s="101"/>
      <c r="EE84" s="101"/>
      <c r="EF84" s="101"/>
      <c r="EG84" s="101"/>
      <c r="EH84" s="101"/>
      <c r="EI84" s="101"/>
      <c r="EJ84" s="101"/>
      <c r="EK84" s="101"/>
      <c r="EL84" s="101"/>
      <c r="EM84" s="101"/>
      <c r="EN84" s="101"/>
      <c r="EO84" s="101"/>
      <c r="EP84" s="101"/>
      <c r="EQ84" s="101"/>
      <c r="ER84" s="101"/>
      <c r="ES84" s="101"/>
      <c r="ET84" s="101"/>
      <c r="EU84" s="101"/>
      <c r="EV84" s="101"/>
      <c r="EW84" s="101"/>
      <c r="EX84" s="101"/>
      <c r="EY84" s="101"/>
      <c r="EZ84" s="101"/>
      <c r="FA84" s="101"/>
      <c r="FB84" s="101"/>
      <c r="FC84" s="101"/>
      <c r="FD84" s="101"/>
      <c r="FE84" s="101"/>
      <c r="FF84" s="101"/>
      <c r="FG84" s="101"/>
      <c r="FH84" s="101"/>
      <c r="FI84" s="101"/>
      <c r="FJ84" s="101"/>
      <c r="FK84" s="101"/>
      <c r="FL84" s="101"/>
      <c r="FM84" s="101"/>
      <c r="FN84" s="101"/>
      <c r="FO84" s="101"/>
      <c r="FP84" s="101"/>
      <c r="FQ84" s="101"/>
      <c r="FR84" s="101"/>
      <c r="FS84" s="101"/>
      <c r="FT84" s="101"/>
      <c r="FU84" s="101"/>
      <c r="FV84" s="101"/>
      <c r="FW84" s="101"/>
      <c r="FX84" s="101"/>
      <c r="FY84" s="101"/>
      <c r="FZ84" s="101"/>
      <c r="GA84" s="101"/>
      <c r="GB84" s="101"/>
      <c r="GC84" s="101"/>
      <c r="GD84" s="101"/>
      <c r="GE84" s="101"/>
      <c r="GF84" s="101"/>
      <c r="GG84" s="101"/>
      <c r="GH84" s="101"/>
      <c r="GI84" s="101"/>
      <c r="GJ84" s="101"/>
    </row>
    <row r="85" spans="1:192" ht="50.1" customHeight="1" outlineLevel="1" x14ac:dyDescent="0.25">
      <c r="A85" s="148" t="s">
        <v>2</v>
      </c>
      <c r="B85" s="167" t="s">
        <v>337</v>
      </c>
      <c r="C85" s="144" t="s">
        <v>490</v>
      </c>
      <c r="D85" s="167" t="s">
        <v>22</v>
      </c>
      <c r="E85" s="147" t="s">
        <v>580</v>
      </c>
      <c r="F85" s="211"/>
      <c r="G85" s="74"/>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74"/>
      <c r="AH85" s="74"/>
      <c r="AI85" s="74"/>
      <c r="AJ85" s="74"/>
      <c r="AK85" s="74"/>
      <c r="AL85" s="74"/>
      <c r="AM85" s="74"/>
      <c r="AN85" s="74"/>
      <c r="AO85" s="74"/>
      <c r="AP85" s="74"/>
      <c r="AQ85" s="74"/>
      <c r="AR85" s="74"/>
      <c r="AS85" s="74"/>
      <c r="AT85" s="74"/>
      <c r="AU85" s="74"/>
      <c r="AV85" s="74"/>
      <c r="AW85" s="74"/>
      <c r="AX85" s="74"/>
      <c r="AY85" s="101"/>
      <c r="AZ85" s="101"/>
      <c r="BA85" s="101"/>
      <c r="BB85" s="101"/>
      <c r="BC85" s="101"/>
      <c r="BD85" s="101"/>
      <c r="BE85" s="101"/>
      <c r="BF85" s="101"/>
      <c r="BG85" s="101"/>
      <c r="BH85" s="101"/>
      <c r="BI85" s="101"/>
      <c r="BJ85" s="101"/>
      <c r="BK85" s="101"/>
      <c r="BL85" s="101"/>
      <c r="BM85" s="101"/>
      <c r="BN85" s="101"/>
      <c r="BO85" s="101"/>
      <c r="BP85" s="101"/>
      <c r="BQ85" s="101"/>
      <c r="BR85" s="101"/>
      <c r="BS85" s="101"/>
      <c r="BT85" s="101"/>
      <c r="BU85" s="101"/>
      <c r="BV85" s="101"/>
      <c r="BW85" s="101"/>
      <c r="BX85" s="101"/>
      <c r="BY85" s="101"/>
      <c r="BZ85" s="101"/>
      <c r="CA85" s="101"/>
      <c r="CB85" s="101"/>
      <c r="CC85" s="101"/>
      <c r="CD85" s="101"/>
      <c r="CE85" s="101"/>
      <c r="CF85" s="101"/>
      <c r="CG85" s="101"/>
      <c r="CH85" s="101"/>
      <c r="CI85" s="101"/>
      <c r="CJ85" s="101"/>
      <c r="CK85" s="101"/>
      <c r="CL85" s="101"/>
      <c r="CM85" s="101"/>
      <c r="CN85" s="101"/>
      <c r="CO85" s="101"/>
      <c r="CP85" s="101"/>
      <c r="CQ85" s="101"/>
      <c r="CR85" s="101"/>
      <c r="CS85" s="101"/>
      <c r="CT85" s="101"/>
      <c r="CU85" s="101"/>
      <c r="CV85" s="101"/>
      <c r="CW85" s="101"/>
      <c r="CX85" s="101"/>
      <c r="CY85" s="101"/>
      <c r="CZ85" s="101"/>
      <c r="DA85" s="101"/>
      <c r="DB85" s="101"/>
      <c r="DC85" s="101"/>
      <c r="DD85" s="101"/>
      <c r="DE85" s="101"/>
      <c r="DF85" s="101"/>
      <c r="DG85" s="101"/>
      <c r="DH85" s="101"/>
      <c r="DI85" s="101"/>
      <c r="DJ85" s="101"/>
      <c r="DK85" s="101"/>
      <c r="DL85" s="101"/>
      <c r="DM85" s="101"/>
      <c r="DN85" s="101"/>
      <c r="DO85" s="101"/>
      <c r="DP85" s="101"/>
      <c r="DQ85" s="101"/>
      <c r="DR85" s="101"/>
      <c r="DS85" s="101"/>
      <c r="DT85" s="101"/>
      <c r="DU85" s="101"/>
      <c r="DV85" s="101"/>
      <c r="DW85" s="101"/>
      <c r="DX85" s="101"/>
      <c r="DY85" s="101"/>
      <c r="DZ85" s="101"/>
      <c r="EA85" s="101"/>
      <c r="EB85" s="101"/>
      <c r="EC85" s="101"/>
      <c r="ED85" s="101"/>
      <c r="EE85" s="101"/>
      <c r="EF85" s="101"/>
      <c r="EG85" s="101"/>
      <c r="EH85" s="101"/>
      <c r="EI85" s="101"/>
      <c r="EJ85" s="101"/>
      <c r="EK85" s="101"/>
      <c r="EL85" s="101"/>
      <c r="EM85" s="101"/>
      <c r="EN85" s="101"/>
      <c r="EO85" s="101"/>
      <c r="EP85" s="101"/>
      <c r="EQ85" s="101"/>
      <c r="ER85" s="101"/>
      <c r="ES85" s="101"/>
      <c r="ET85" s="101"/>
      <c r="EU85" s="101"/>
      <c r="EV85" s="101"/>
      <c r="EW85" s="101"/>
      <c r="EX85" s="101"/>
      <c r="EY85" s="101"/>
      <c r="EZ85" s="101"/>
      <c r="FA85" s="101"/>
      <c r="FB85" s="101"/>
      <c r="FC85" s="101"/>
      <c r="FD85" s="101"/>
      <c r="FE85" s="101"/>
      <c r="FF85" s="101"/>
      <c r="FG85" s="101"/>
      <c r="FH85" s="101"/>
      <c r="FI85" s="101"/>
      <c r="FJ85" s="101"/>
      <c r="FK85" s="101"/>
      <c r="FL85" s="101"/>
      <c r="FM85" s="101"/>
      <c r="FN85" s="101"/>
      <c r="FO85" s="101"/>
      <c r="FP85" s="101"/>
      <c r="FQ85" s="101"/>
      <c r="FR85" s="101"/>
      <c r="FS85" s="101"/>
      <c r="FT85" s="101"/>
      <c r="FU85" s="101"/>
      <c r="FV85" s="101"/>
      <c r="FW85" s="101"/>
      <c r="FX85" s="101"/>
      <c r="FY85" s="101"/>
      <c r="FZ85" s="101"/>
      <c r="GA85" s="101"/>
      <c r="GB85" s="101"/>
      <c r="GC85" s="101"/>
      <c r="GD85" s="101"/>
      <c r="GE85" s="101"/>
      <c r="GF85" s="101"/>
      <c r="GG85" s="101"/>
      <c r="GH85" s="101"/>
      <c r="GI85" s="101"/>
      <c r="GJ85" s="101"/>
    </row>
    <row r="86" spans="1:192" ht="50.1" customHeight="1" outlineLevel="1" x14ac:dyDescent="0.25">
      <c r="A86" s="148" t="s">
        <v>2</v>
      </c>
      <c r="B86" s="168" t="s">
        <v>338</v>
      </c>
      <c r="C86" s="240" t="s">
        <v>675</v>
      </c>
      <c r="D86" s="169" t="s">
        <v>22</v>
      </c>
      <c r="E86" s="198" t="s">
        <v>581</v>
      </c>
      <c r="F86" s="209"/>
      <c r="G86" s="74"/>
      <c r="H86" s="74"/>
      <c r="I86" s="74"/>
      <c r="J86" s="74"/>
      <c r="K86" s="74"/>
      <c r="L86" s="74"/>
      <c r="M86" s="74"/>
      <c r="N86" s="74"/>
      <c r="O86" s="74"/>
      <c r="P86" s="74"/>
      <c r="Q86" s="74"/>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101"/>
      <c r="AZ86" s="101"/>
      <c r="BA86" s="101"/>
      <c r="BB86" s="101"/>
      <c r="BC86" s="101"/>
      <c r="BD86" s="101"/>
      <c r="BE86" s="101"/>
      <c r="BF86" s="101"/>
      <c r="BG86" s="101"/>
      <c r="BH86" s="101"/>
      <c r="BI86" s="101"/>
      <c r="BJ86" s="101"/>
      <c r="BK86" s="101"/>
      <c r="BL86" s="101"/>
      <c r="BM86" s="101"/>
      <c r="BN86" s="101"/>
      <c r="BO86" s="101"/>
      <c r="BP86" s="101"/>
      <c r="BQ86" s="101"/>
      <c r="BR86" s="101"/>
      <c r="BS86" s="101"/>
      <c r="BT86" s="101"/>
      <c r="BU86" s="101"/>
      <c r="BV86" s="101"/>
      <c r="BW86" s="101"/>
      <c r="BX86" s="101"/>
      <c r="BY86" s="101"/>
      <c r="BZ86" s="101"/>
      <c r="CA86" s="101"/>
      <c r="CB86" s="101"/>
      <c r="CC86" s="101"/>
      <c r="CD86" s="101"/>
      <c r="CE86" s="101"/>
      <c r="CF86" s="101"/>
      <c r="CG86" s="101"/>
      <c r="CH86" s="101"/>
      <c r="CI86" s="101"/>
      <c r="CJ86" s="101"/>
      <c r="CK86" s="101"/>
      <c r="CL86" s="101"/>
      <c r="CM86" s="101"/>
      <c r="CN86" s="101"/>
      <c r="CO86" s="101"/>
      <c r="CP86" s="101"/>
      <c r="CQ86" s="101"/>
      <c r="CR86" s="101"/>
      <c r="CS86" s="101"/>
      <c r="CT86" s="101"/>
      <c r="CU86" s="101"/>
      <c r="CV86" s="101"/>
      <c r="CW86" s="101"/>
      <c r="CX86" s="101"/>
      <c r="CY86" s="101"/>
      <c r="CZ86" s="101"/>
      <c r="DA86" s="101"/>
      <c r="DB86" s="101"/>
      <c r="DC86" s="101"/>
      <c r="DD86" s="101"/>
      <c r="DE86" s="101"/>
      <c r="DF86" s="101"/>
      <c r="DG86" s="101"/>
      <c r="DH86" s="101"/>
      <c r="DI86" s="101"/>
      <c r="DJ86" s="101"/>
      <c r="DK86" s="101"/>
      <c r="DL86" s="101"/>
      <c r="DM86" s="101"/>
      <c r="DN86" s="101"/>
      <c r="DO86" s="101"/>
      <c r="DP86" s="101"/>
      <c r="DQ86" s="101"/>
      <c r="DR86" s="101"/>
      <c r="DS86" s="101"/>
      <c r="DT86" s="101"/>
      <c r="DU86" s="101"/>
      <c r="DV86" s="101"/>
      <c r="DW86" s="101"/>
      <c r="DX86" s="101"/>
      <c r="DY86" s="101"/>
      <c r="DZ86" s="101"/>
      <c r="EA86" s="101"/>
      <c r="EB86" s="101"/>
      <c r="EC86" s="101"/>
      <c r="ED86" s="101"/>
      <c r="EE86" s="101"/>
      <c r="EF86" s="101"/>
      <c r="EG86" s="101"/>
      <c r="EH86" s="101"/>
      <c r="EI86" s="101"/>
      <c r="EJ86" s="101"/>
      <c r="EK86" s="101"/>
      <c r="EL86" s="101"/>
      <c r="EM86" s="101"/>
      <c r="EN86" s="101"/>
      <c r="EO86" s="101"/>
      <c r="EP86" s="101"/>
      <c r="EQ86" s="101"/>
      <c r="ER86" s="101"/>
      <c r="ES86" s="101"/>
      <c r="ET86" s="101"/>
      <c r="EU86" s="101"/>
      <c r="EV86" s="101"/>
      <c r="EW86" s="101"/>
      <c r="EX86" s="101"/>
      <c r="EY86" s="101"/>
      <c r="EZ86" s="101"/>
      <c r="FA86" s="101"/>
      <c r="FB86" s="101"/>
      <c r="FC86" s="101"/>
      <c r="FD86" s="101"/>
      <c r="FE86" s="101"/>
      <c r="FF86" s="101"/>
      <c r="FG86" s="101"/>
      <c r="FH86" s="101"/>
      <c r="FI86" s="101"/>
      <c r="FJ86" s="101"/>
      <c r="FK86" s="101"/>
      <c r="FL86" s="101"/>
      <c r="FM86" s="101"/>
      <c r="FN86" s="101"/>
      <c r="FO86" s="101"/>
      <c r="FP86" s="101"/>
      <c r="FQ86" s="101"/>
      <c r="FR86" s="101"/>
      <c r="FS86" s="101"/>
      <c r="FT86" s="101"/>
      <c r="FU86" s="101"/>
      <c r="FV86" s="101"/>
      <c r="FW86" s="101"/>
      <c r="FX86" s="101"/>
      <c r="FY86" s="101"/>
      <c r="FZ86" s="101"/>
      <c r="GA86" s="101"/>
      <c r="GB86" s="101"/>
      <c r="GC86" s="101"/>
      <c r="GD86" s="101"/>
      <c r="GE86" s="101"/>
      <c r="GF86" s="101"/>
      <c r="GG86" s="101"/>
      <c r="GH86" s="101"/>
      <c r="GI86" s="101"/>
      <c r="GJ86" s="101"/>
    </row>
    <row r="87" spans="1:192" ht="50.1" customHeight="1" outlineLevel="1" x14ac:dyDescent="0.25">
      <c r="A87" s="148" t="s">
        <v>2</v>
      </c>
      <c r="B87" s="167" t="s">
        <v>339</v>
      </c>
      <c r="C87" s="144" t="s">
        <v>427</v>
      </c>
      <c r="D87" s="167" t="s">
        <v>22</v>
      </c>
      <c r="E87" s="147" t="s">
        <v>582</v>
      </c>
      <c r="F87" s="211"/>
      <c r="G87" s="74"/>
      <c r="H87" s="74"/>
      <c r="I87" s="74"/>
      <c r="J87" s="74"/>
      <c r="K87" s="74"/>
      <c r="L87" s="74"/>
      <c r="M87" s="74"/>
      <c r="N87" s="74"/>
      <c r="O87" s="74"/>
      <c r="P87" s="74"/>
      <c r="Q87" s="74"/>
      <c r="R87" s="74"/>
      <c r="S87" s="74"/>
      <c r="T87" s="74"/>
      <c r="U87" s="74"/>
      <c r="V87" s="74"/>
      <c r="W87" s="74"/>
      <c r="X87" s="74"/>
      <c r="Y87" s="74"/>
      <c r="Z87" s="74"/>
      <c r="AA87" s="74"/>
      <c r="AB87" s="74"/>
      <c r="AC87" s="74"/>
      <c r="AD87" s="74"/>
      <c r="AE87" s="74"/>
      <c r="AF87" s="74"/>
      <c r="AG87" s="74"/>
      <c r="AH87" s="74"/>
      <c r="AI87" s="74"/>
      <c r="AJ87" s="74"/>
      <c r="AK87" s="74"/>
      <c r="AL87" s="74"/>
      <c r="AM87" s="74"/>
      <c r="AN87" s="74"/>
      <c r="AO87" s="74"/>
      <c r="AP87" s="74"/>
      <c r="AQ87" s="74"/>
      <c r="AR87" s="74"/>
      <c r="AS87" s="74"/>
      <c r="AT87" s="74"/>
      <c r="AU87" s="74"/>
      <c r="AV87" s="74"/>
      <c r="AW87" s="74"/>
      <c r="AX87" s="74"/>
      <c r="AY87" s="101"/>
      <c r="AZ87" s="101"/>
      <c r="BA87" s="101"/>
      <c r="BB87" s="101"/>
      <c r="BC87" s="101"/>
      <c r="BD87" s="101"/>
      <c r="BE87" s="101"/>
      <c r="BF87" s="101"/>
      <c r="BG87" s="101"/>
      <c r="BH87" s="101"/>
      <c r="BI87" s="101"/>
      <c r="BJ87" s="101"/>
      <c r="BK87" s="101"/>
      <c r="BL87" s="101"/>
      <c r="BM87" s="101"/>
      <c r="BN87" s="101"/>
      <c r="BO87" s="101"/>
      <c r="BP87" s="101"/>
      <c r="BQ87" s="101"/>
      <c r="BR87" s="101"/>
      <c r="BS87" s="101"/>
      <c r="BT87" s="101"/>
      <c r="BU87" s="101"/>
      <c r="BV87" s="101"/>
      <c r="BW87" s="101"/>
      <c r="BX87" s="101"/>
      <c r="BY87" s="101"/>
      <c r="BZ87" s="101"/>
      <c r="CA87" s="101"/>
      <c r="CB87" s="101"/>
      <c r="CC87" s="101"/>
      <c r="CD87" s="101"/>
      <c r="CE87" s="101"/>
      <c r="CF87" s="101"/>
      <c r="CG87" s="101"/>
      <c r="CH87" s="101"/>
      <c r="CI87" s="101"/>
      <c r="CJ87" s="101"/>
      <c r="CK87" s="101"/>
      <c r="CL87" s="101"/>
      <c r="CM87" s="101"/>
      <c r="CN87" s="101"/>
      <c r="CO87" s="101"/>
      <c r="CP87" s="101"/>
      <c r="CQ87" s="101"/>
      <c r="CR87" s="101"/>
      <c r="CS87" s="101"/>
      <c r="CT87" s="101"/>
      <c r="CU87" s="101"/>
      <c r="CV87" s="101"/>
      <c r="CW87" s="101"/>
      <c r="CX87" s="101"/>
      <c r="CY87" s="101"/>
      <c r="CZ87" s="101"/>
      <c r="DA87" s="101"/>
      <c r="DB87" s="101"/>
      <c r="DC87" s="101"/>
      <c r="DD87" s="101"/>
      <c r="DE87" s="101"/>
      <c r="DF87" s="101"/>
      <c r="DG87" s="101"/>
      <c r="DH87" s="101"/>
      <c r="DI87" s="101"/>
      <c r="DJ87" s="101"/>
      <c r="DK87" s="101"/>
      <c r="DL87" s="101"/>
      <c r="DM87" s="101"/>
      <c r="DN87" s="101"/>
      <c r="DO87" s="101"/>
      <c r="DP87" s="101"/>
      <c r="DQ87" s="101"/>
      <c r="DR87" s="101"/>
      <c r="DS87" s="101"/>
      <c r="DT87" s="101"/>
      <c r="DU87" s="101"/>
      <c r="DV87" s="101"/>
      <c r="DW87" s="101"/>
      <c r="DX87" s="101"/>
      <c r="DY87" s="101"/>
      <c r="DZ87" s="101"/>
      <c r="EA87" s="101"/>
      <c r="EB87" s="101"/>
      <c r="EC87" s="101"/>
      <c r="ED87" s="101"/>
      <c r="EE87" s="101"/>
      <c r="EF87" s="101"/>
      <c r="EG87" s="101"/>
      <c r="EH87" s="101"/>
      <c r="EI87" s="101"/>
      <c r="EJ87" s="101"/>
      <c r="EK87" s="101"/>
      <c r="EL87" s="101"/>
      <c r="EM87" s="101"/>
      <c r="EN87" s="101"/>
      <c r="EO87" s="101"/>
      <c r="EP87" s="101"/>
      <c r="EQ87" s="101"/>
      <c r="ER87" s="101"/>
      <c r="ES87" s="101"/>
      <c r="ET87" s="101"/>
      <c r="EU87" s="101"/>
      <c r="EV87" s="101"/>
      <c r="EW87" s="101"/>
      <c r="EX87" s="101"/>
      <c r="EY87" s="101"/>
      <c r="EZ87" s="101"/>
      <c r="FA87" s="101"/>
      <c r="FB87" s="101"/>
      <c r="FC87" s="101"/>
      <c r="FD87" s="101"/>
      <c r="FE87" s="101"/>
      <c r="FF87" s="101"/>
      <c r="FG87" s="101"/>
      <c r="FH87" s="101"/>
      <c r="FI87" s="101"/>
      <c r="FJ87" s="101"/>
      <c r="FK87" s="101"/>
      <c r="FL87" s="101"/>
      <c r="FM87" s="101"/>
      <c r="FN87" s="101"/>
      <c r="FO87" s="101"/>
      <c r="FP87" s="101"/>
      <c r="FQ87" s="101"/>
      <c r="FR87" s="101"/>
      <c r="FS87" s="101"/>
      <c r="FT87" s="101"/>
      <c r="FU87" s="101"/>
      <c r="FV87" s="101"/>
      <c r="FW87" s="101"/>
      <c r="FX87" s="101"/>
      <c r="FY87" s="101"/>
      <c r="FZ87" s="101"/>
      <c r="GA87" s="101"/>
      <c r="GB87" s="101"/>
      <c r="GC87" s="101"/>
      <c r="GD87" s="101"/>
      <c r="GE87" s="101"/>
      <c r="GF87" s="101"/>
      <c r="GG87" s="101"/>
      <c r="GH87" s="101"/>
      <c r="GI87" s="101"/>
      <c r="GJ87" s="101"/>
    </row>
    <row r="88" spans="1:192" ht="50.1" customHeight="1" outlineLevel="1" x14ac:dyDescent="0.25">
      <c r="A88" s="148" t="s">
        <v>2</v>
      </c>
      <c r="B88" s="168" t="s">
        <v>340</v>
      </c>
      <c r="C88" s="141" t="s">
        <v>491</v>
      </c>
      <c r="D88" s="169" t="s">
        <v>22</v>
      </c>
      <c r="E88" s="198" t="s">
        <v>583</v>
      </c>
      <c r="F88" s="209"/>
      <c r="G88" s="74"/>
      <c r="H88" s="74"/>
      <c r="I88" s="74"/>
      <c r="J88" s="74"/>
      <c r="K88" s="74"/>
      <c r="L88" s="74"/>
      <c r="M88" s="74"/>
      <c r="N88" s="74"/>
      <c r="O88" s="74"/>
      <c r="P88" s="74"/>
      <c r="Q88" s="74"/>
      <c r="R88" s="74"/>
      <c r="S88" s="74"/>
      <c r="T88" s="74"/>
      <c r="U88" s="74"/>
      <c r="V88" s="74"/>
      <c r="W88" s="74"/>
      <c r="X88" s="74"/>
      <c r="Y88" s="74"/>
      <c r="Z88" s="74"/>
      <c r="AA88" s="74"/>
      <c r="AB88" s="74"/>
      <c r="AC88" s="74"/>
      <c r="AD88" s="74"/>
      <c r="AE88" s="74"/>
      <c r="AF88" s="74"/>
      <c r="AG88" s="74"/>
      <c r="AH88" s="74"/>
      <c r="AI88" s="74"/>
      <c r="AJ88" s="74"/>
      <c r="AK88" s="74"/>
      <c r="AL88" s="74"/>
      <c r="AM88" s="74"/>
      <c r="AN88" s="74"/>
      <c r="AO88" s="74"/>
      <c r="AP88" s="74"/>
      <c r="AQ88" s="74"/>
      <c r="AR88" s="74"/>
      <c r="AS88" s="74"/>
      <c r="AT88" s="74"/>
      <c r="AU88" s="74"/>
      <c r="AV88" s="74"/>
      <c r="AW88" s="74"/>
      <c r="AX88" s="74"/>
      <c r="AY88" s="101"/>
      <c r="AZ88" s="101"/>
      <c r="BA88" s="101"/>
      <c r="BB88" s="101"/>
      <c r="BC88" s="101"/>
      <c r="BD88" s="101"/>
      <c r="BE88" s="101"/>
      <c r="BF88" s="101"/>
      <c r="BG88" s="101"/>
      <c r="BH88" s="101"/>
      <c r="BI88" s="101"/>
      <c r="BJ88" s="101"/>
      <c r="BK88" s="101"/>
      <c r="BL88" s="101"/>
      <c r="BM88" s="101"/>
      <c r="BN88" s="101"/>
      <c r="BO88" s="101"/>
      <c r="BP88" s="101"/>
      <c r="BQ88" s="101"/>
      <c r="BR88" s="101"/>
      <c r="BS88" s="101"/>
      <c r="BT88" s="101"/>
      <c r="BU88" s="101"/>
      <c r="BV88" s="101"/>
      <c r="BW88" s="101"/>
      <c r="BX88" s="101"/>
      <c r="BY88" s="101"/>
      <c r="BZ88" s="101"/>
      <c r="CA88" s="101"/>
      <c r="CB88" s="101"/>
      <c r="CC88" s="101"/>
      <c r="CD88" s="101"/>
      <c r="CE88" s="101"/>
      <c r="CF88" s="101"/>
      <c r="CG88" s="101"/>
      <c r="CH88" s="101"/>
      <c r="CI88" s="101"/>
      <c r="CJ88" s="101"/>
      <c r="CK88" s="101"/>
      <c r="CL88" s="101"/>
      <c r="CM88" s="101"/>
      <c r="CN88" s="101"/>
      <c r="CO88" s="101"/>
      <c r="CP88" s="101"/>
      <c r="CQ88" s="101"/>
      <c r="CR88" s="101"/>
      <c r="CS88" s="101"/>
      <c r="CT88" s="101"/>
      <c r="CU88" s="101"/>
      <c r="CV88" s="101"/>
      <c r="CW88" s="101"/>
      <c r="CX88" s="101"/>
      <c r="CY88" s="101"/>
      <c r="CZ88" s="101"/>
      <c r="DA88" s="101"/>
      <c r="DB88" s="101"/>
      <c r="DC88" s="101"/>
      <c r="DD88" s="101"/>
      <c r="DE88" s="101"/>
      <c r="DF88" s="101"/>
      <c r="DG88" s="101"/>
      <c r="DH88" s="101"/>
      <c r="DI88" s="101"/>
      <c r="DJ88" s="101"/>
      <c r="DK88" s="101"/>
      <c r="DL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M88" s="101"/>
      <c r="EN88" s="101"/>
      <c r="EO88" s="101"/>
      <c r="EP88" s="101"/>
      <c r="EQ88" s="101"/>
      <c r="ER88" s="101"/>
      <c r="ES88" s="101"/>
      <c r="ET88" s="101"/>
      <c r="EU88" s="101"/>
      <c r="EV88" s="101"/>
      <c r="EW88" s="101"/>
      <c r="EX88" s="101"/>
      <c r="EY88" s="101"/>
      <c r="EZ88" s="101"/>
      <c r="FA88" s="101"/>
      <c r="FB88" s="101"/>
      <c r="FC88" s="101"/>
      <c r="FD88" s="101"/>
      <c r="FE88" s="101"/>
      <c r="FF88" s="101"/>
      <c r="FG88" s="101"/>
      <c r="FH88" s="101"/>
      <c r="FI88" s="101"/>
      <c r="FJ88" s="101"/>
      <c r="FK88" s="101"/>
      <c r="FL88" s="101"/>
      <c r="FM88" s="101"/>
      <c r="FN88" s="101"/>
      <c r="FO88" s="101"/>
      <c r="FP88" s="101"/>
      <c r="FQ88" s="101"/>
      <c r="FR88" s="101"/>
      <c r="FS88" s="101"/>
      <c r="FT88" s="101"/>
      <c r="FU88" s="101"/>
      <c r="FV88" s="101"/>
      <c r="FW88" s="101"/>
      <c r="FX88" s="101"/>
      <c r="FY88" s="101"/>
      <c r="FZ88" s="101"/>
      <c r="GA88" s="101"/>
      <c r="GB88" s="101"/>
      <c r="GC88" s="101"/>
      <c r="GD88" s="101"/>
      <c r="GE88" s="101"/>
      <c r="GF88" s="101"/>
      <c r="GG88" s="101"/>
      <c r="GH88" s="101"/>
      <c r="GI88" s="101"/>
      <c r="GJ88" s="101"/>
    </row>
    <row r="89" spans="1:192" ht="50.1" customHeight="1" outlineLevel="1" x14ac:dyDescent="0.25">
      <c r="A89" s="148" t="s">
        <v>2</v>
      </c>
      <c r="B89" s="167" t="s">
        <v>341</v>
      </c>
      <c r="C89" s="144" t="s">
        <v>492</v>
      </c>
      <c r="D89" s="167" t="s">
        <v>22</v>
      </c>
      <c r="E89" s="144" t="s">
        <v>584</v>
      </c>
      <c r="F89" s="211"/>
      <c r="G89" s="74"/>
      <c r="H89" s="74"/>
      <c r="I89" s="74"/>
      <c r="J89" s="74"/>
      <c r="K89" s="74"/>
      <c r="L89" s="74"/>
      <c r="M89" s="74"/>
      <c r="N89" s="74"/>
      <c r="O89" s="74"/>
      <c r="P89" s="74"/>
      <c r="Q89" s="74"/>
      <c r="R89" s="74"/>
      <c r="S89" s="74"/>
      <c r="T89" s="74"/>
      <c r="U89" s="74"/>
      <c r="V89" s="74"/>
      <c r="W89" s="74"/>
      <c r="X89" s="74"/>
      <c r="Y89" s="74"/>
      <c r="Z89" s="74"/>
      <c r="AA89" s="74"/>
      <c r="AB89" s="74"/>
      <c r="AC89" s="74"/>
      <c r="AD89" s="74"/>
      <c r="AE89" s="74"/>
      <c r="AF89" s="74"/>
      <c r="AG89" s="74"/>
      <c r="AH89" s="74"/>
      <c r="AI89" s="74"/>
      <c r="AJ89" s="74"/>
      <c r="AK89" s="74"/>
      <c r="AL89" s="74"/>
      <c r="AM89" s="74"/>
      <c r="AN89" s="74"/>
      <c r="AO89" s="74"/>
      <c r="AP89" s="74"/>
      <c r="AQ89" s="74"/>
      <c r="AR89" s="74"/>
      <c r="AS89" s="74"/>
      <c r="AT89" s="74"/>
      <c r="AU89" s="74"/>
      <c r="AV89" s="74"/>
      <c r="AW89" s="74"/>
      <c r="AX89" s="74"/>
      <c r="AY89" s="101"/>
      <c r="AZ89" s="101"/>
      <c r="BA89" s="101"/>
      <c r="BB89" s="101"/>
      <c r="BC89" s="101"/>
      <c r="BD89" s="101"/>
      <c r="BE89" s="101"/>
      <c r="BF89" s="101"/>
      <c r="BG89" s="101"/>
      <c r="BH89" s="101"/>
      <c r="BI89" s="101"/>
      <c r="BJ89" s="101"/>
      <c r="BK89" s="101"/>
      <c r="BL89" s="101"/>
      <c r="BM89" s="101"/>
      <c r="BN89" s="101"/>
      <c r="BO89" s="101"/>
      <c r="BP89" s="101"/>
      <c r="BQ89" s="101"/>
      <c r="BR89" s="101"/>
      <c r="BS89" s="101"/>
      <c r="BT89" s="101"/>
      <c r="BU89" s="101"/>
      <c r="BV89" s="101"/>
      <c r="BW89" s="101"/>
      <c r="BX89" s="101"/>
      <c r="BY89" s="101"/>
      <c r="BZ89" s="101"/>
      <c r="CA89" s="101"/>
      <c r="CB89" s="101"/>
      <c r="CC89" s="101"/>
      <c r="CD89" s="101"/>
      <c r="CE89" s="101"/>
      <c r="CF89" s="101"/>
      <c r="CG89" s="101"/>
      <c r="CH89" s="101"/>
      <c r="CI89" s="101"/>
      <c r="CJ89" s="101"/>
      <c r="CK89" s="101"/>
      <c r="CL89" s="101"/>
      <c r="CM89" s="101"/>
      <c r="CN89" s="101"/>
      <c r="CO89" s="101"/>
      <c r="CP89" s="101"/>
      <c r="CQ89" s="101"/>
      <c r="CR89" s="101"/>
      <c r="CS89" s="101"/>
      <c r="CT89" s="101"/>
      <c r="CU89" s="101"/>
      <c r="CV89" s="101"/>
      <c r="CW89" s="101"/>
      <c r="CX89" s="101"/>
      <c r="CY89" s="101"/>
      <c r="CZ89" s="101"/>
      <c r="DA89" s="101"/>
      <c r="DB89" s="101"/>
      <c r="DC89" s="101"/>
      <c r="DD89" s="101"/>
      <c r="DE89" s="101"/>
      <c r="DF89" s="101"/>
      <c r="DG89" s="101"/>
      <c r="DH89" s="101"/>
      <c r="DI89" s="101"/>
      <c r="DJ89" s="101"/>
      <c r="DK89" s="101"/>
      <c r="DL89" s="101"/>
      <c r="DM89" s="101"/>
      <c r="DN89" s="101"/>
      <c r="DO89" s="101"/>
      <c r="DP89" s="101"/>
      <c r="DQ89" s="101"/>
      <c r="DR89" s="101"/>
      <c r="DS89" s="101"/>
      <c r="DT89" s="101"/>
      <c r="DU89" s="101"/>
      <c r="DV89" s="101"/>
      <c r="DW89" s="101"/>
      <c r="DX89" s="101"/>
      <c r="DY89" s="101"/>
      <c r="DZ89" s="101"/>
      <c r="EA89" s="101"/>
      <c r="EB89" s="101"/>
      <c r="EC89" s="101"/>
      <c r="ED89" s="101"/>
      <c r="EE89" s="101"/>
      <c r="EF89" s="101"/>
      <c r="EG89" s="101"/>
      <c r="EH89" s="101"/>
      <c r="EI89" s="101"/>
      <c r="EJ89" s="101"/>
      <c r="EK89" s="101"/>
      <c r="EL89" s="101"/>
      <c r="EM89" s="101"/>
      <c r="EN89" s="101"/>
      <c r="EO89" s="101"/>
      <c r="EP89" s="101"/>
      <c r="EQ89" s="101"/>
      <c r="ER89" s="101"/>
      <c r="ES89" s="101"/>
      <c r="ET89" s="101"/>
      <c r="EU89" s="101"/>
      <c r="EV89" s="101"/>
      <c r="EW89" s="101"/>
      <c r="EX89" s="101"/>
      <c r="EY89" s="101"/>
      <c r="EZ89" s="101"/>
      <c r="FA89" s="101"/>
      <c r="FB89" s="101"/>
      <c r="FC89" s="101"/>
      <c r="FD89" s="101"/>
      <c r="FE89" s="101"/>
      <c r="FF89" s="101"/>
      <c r="FG89" s="101"/>
      <c r="FH89" s="101"/>
      <c r="FI89" s="101"/>
      <c r="FJ89" s="101"/>
      <c r="FK89" s="101"/>
      <c r="FL89" s="101"/>
      <c r="FM89" s="101"/>
      <c r="FN89" s="101"/>
      <c r="FO89" s="101"/>
      <c r="FP89" s="101"/>
      <c r="FQ89" s="101"/>
      <c r="FR89" s="101"/>
      <c r="FS89" s="101"/>
      <c r="FT89" s="101"/>
      <c r="FU89" s="101"/>
      <c r="FV89" s="101"/>
      <c r="FW89" s="101"/>
      <c r="FX89" s="101"/>
      <c r="FY89" s="101"/>
      <c r="FZ89" s="101"/>
      <c r="GA89" s="101"/>
      <c r="GB89" s="101"/>
      <c r="GC89" s="101"/>
      <c r="GD89" s="101"/>
      <c r="GE89" s="101"/>
      <c r="GF89" s="101"/>
      <c r="GG89" s="101"/>
      <c r="GH89" s="101"/>
      <c r="GI89" s="101"/>
      <c r="GJ89" s="101"/>
    </row>
    <row r="90" spans="1:192" ht="50.1" customHeight="1" x14ac:dyDescent="0.25">
      <c r="A90" s="148" t="s">
        <v>2</v>
      </c>
      <c r="B90" s="168" t="s">
        <v>342</v>
      </c>
      <c r="C90" s="142" t="s">
        <v>493</v>
      </c>
      <c r="D90" s="168" t="s">
        <v>22</v>
      </c>
      <c r="E90" s="142" t="s">
        <v>692</v>
      </c>
      <c r="F90" s="21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L90" s="74"/>
      <c r="AM90" s="74"/>
      <c r="AN90" s="74"/>
      <c r="AO90" s="74"/>
      <c r="AP90" s="74"/>
      <c r="AQ90" s="74"/>
      <c r="AR90" s="74"/>
      <c r="AS90" s="74"/>
      <c r="AT90" s="74"/>
      <c r="AU90" s="74"/>
      <c r="AV90" s="74"/>
      <c r="AW90" s="74"/>
      <c r="AX90" s="74"/>
      <c r="AY90" s="101"/>
      <c r="AZ90" s="101"/>
      <c r="BA90" s="101"/>
      <c r="BB90" s="101"/>
      <c r="BC90" s="101"/>
      <c r="BD90" s="101"/>
      <c r="BE90" s="101"/>
      <c r="BF90" s="101"/>
      <c r="BG90" s="101"/>
      <c r="BH90" s="101"/>
      <c r="BI90" s="101"/>
      <c r="BJ90" s="101"/>
      <c r="BK90" s="101"/>
      <c r="BL90" s="101"/>
      <c r="BM90" s="101"/>
      <c r="BN90" s="101"/>
      <c r="BO90" s="101"/>
      <c r="BP90" s="101"/>
      <c r="BQ90" s="101"/>
      <c r="BR90" s="101"/>
      <c r="BS90" s="101"/>
      <c r="BT90" s="101"/>
      <c r="BU90" s="101"/>
      <c r="BV90" s="101"/>
      <c r="BW90" s="101"/>
      <c r="BX90" s="101"/>
      <c r="BY90" s="101"/>
      <c r="BZ90" s="101"/>
      <c r="CA90" s="101"/>
      <c r="CB90" s="101"/>
      <c r="CC90" s="101"/>
      <c r="CD90" s="101"/>
      <c r="CE90" s="101"/>
      <c r="CF90" s="101"/>
      <c r="CG90" s="101"/>
      <c r="CH90" s="101"/>
      <c r="CI90" s="101"/>
      <c r="CJ90" s="101"/>
      <c r="CK90" s="101"/>
      <c r="CL90" s="101"/>
      <c r="CM90" s="101"/>
      <c r="CN90" s="101"/>
      <c r="CO90" s="101"/>
      <c r="CP90" s="101"/>
      <c r="CQ90" s="101"/>
      <c r="CR90" s="101"/>
      <c r="CS90" s="101"/>
      <c r="CT90" s="101"/>
      <c r="CU90" s="101"/>
      <c r="CV90" s="101"/>
      <c r="CW90" s="101"/>
      <c r="CX90" s="101"/>
      <c r="CY90" s="101"/>
      <c r="CZ90" s="101"/>
      <c r="DA90" s="101"/>
      <c r="DB90" s="101"/>
      <c r="DC90" s="101"/>
      <c r="DD90" s="101"/>
      <c r="DE90" s="101"/>
      <c r="DF90" s="101"/>
      <c r="DG90" s="101"/>
      <c r="DH90" s="101"/>
      <c r="DI90" s="101"/>
      <c r="DJ90" s="101"/>
      <c r="DK90" s="101"/>
      <c r="DL90" s="101"/>
      <c r="DM90" s="101"/>
      <c r="DN90" s="101"/>
      <c r="DO90" s="101"/>
      <c r="DP90" s="101"/>
      <c r="DQ90" s="101"/>
      <c r="DR90" s="101"/>
      <c r="DS90" s="101"/>
      <c r="DT90" s="101"/>
      <c r="DU90" s="101"/>
      <c r="DV90" s="101"/>
      <c r="DW90" s="101"/>
      <c r="DX90" s="101"/>
      <c r="DY90" s="101"/>
      <c r="DZ90" s="101"/>
      <c r="EA90" s="101"/>
      <c r="EB90" s="101"/>
      <c r="EC90" s="101"/>
      <c r="ED90" s="101"/>
      <c r="EE90" s="101"/>
      <c r="EF90" s="101"/>
      <c r="EG90" s="101"/>
      <c r="EH90" s="101"/>
      <c r="EI90" s="101"/>
      <c r="EJ90" s="101"/>
      <c r="EK90" s="101"/>
      <c r="EL90" s="101"/>
      <c r="EM90" s="101"/>
      <c r="EN90" s="101"/>
      <c r="EO90" s="101"/>
      <c r="EP90" s="101"/>
      <c r="EQ90" s="101"/>
      <c r="ER90" s="101"/>
      <c r="ES90" s="101"/>
      <c r="ET90" s="101"/>
      <c r="EU90" s="101"/>
      <c r="EV90" s="101"/>
      <c r="EW90" s="101"/>
      <c r="EX90" s="101"/>
      <c r="EY90" s="101"/>
      <c r="EZ90" s="101"/>
      <c r="FA90" s="101"/>
      <c r="FB90" s="101"/>
      <c r="FC90" s="101"/>
      <c r="FD90" s="101"/>
      <c r="FE90" s="101"/>
      <c r="FF90" s="101"/>
      <c r="FG90" s="101"/>
      <c r="FH90" s="101"/>
      <c r="FI90" s="101"/>
      <c r="FJ90" s="101"/>
      <c r="FK90" s="101"/>
      <c r="FL90" s="101"/>
      <c r="FM90" s="101"/>
      <c r="FN90" s="101"/>
      <c r="FO90" s="101"/>
      <c r="FP90" s="101"/>
      <c r="FQ90" s="101"/>
      <c r="FR90" s="101"/>
      <c r="FS90" s="101"/>
      <c r="FT90" s="101"/>
      <c r="FU90" s="101"/>
      <c r="FV90" s="101"/>
      <c r="FW90" s="101"/>
      <c r="FX90" s="101"/>
      <c r="FY90" s="101"/>
      <c r="FZ90" s="101"/>
      <c r="GA90" s="101"/>
      <c r="GB90" s="101"/>
      <c r="GC90" s="101"/>
      <c r="GD90" s="101"/>
      <c r="GE90" s="101"/>
      <c r="GF90" s="101"/>
      <c r="GG90" s="101"/>
      <c r="GH90" s="101"/>
      <c r="GI90" s="101"/>
      <c r="GJ90" s="101"/>
    </row>
    <row r="91" spans="1:192" ht="50.1" customHeight="1" outlineLevel="1" x14ac:dyDescent="0.25">
      <c r="A91" s="148" t="s">
        <v>2</v>
      </c>
      <c r="B91" s="167" t="s">
        <v>343</v>
      </c>
      <c r="C91" s="144" t="s">
        <v>494</v>
      </c>
      <c r="D91" s="167" t="s">
        <v>23</v>
      </c>
      <c r="E91" s="147" t="s">
        <v>585</v>
      </c>
      <c r="F91" s="211"/>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101"/>
      <c r="AZ91" s="101"/>
      <c r="BA91" s="101"/>
      <c r="BB91" s="101"/>
      <c r="BC91" s="101"/>
      <c r="BD91" s="101"/>
      <c r="BE91" s="101"/>
      <c r="BF91" s="101"/>
      <c r="BG91" s="101"/>
      <c r="BH91" s="101"/>
      <c r="BI91" s="101"/>
      <c r="BJ91" s="101"/>
      <c r="BK91" s="101"/>
      <c r="BL91" s="101"/>
      <c r="BM91" s="101"/>
      <c r="BN91" s="101"/>
      <c r="BO91" s="101"/>
      <c r="BP91" s="101"/>
      <c r="BQ91" s="101"/>
      <c r="BR91" s="101"/>
      <c r="BS91" s="101"/>
      <c r="BT91" s="101"/>
      <c r="BU91" s="101"/>
      <c r="BV91" s="101"/>
      <c r="BW91" s="101"/>
      <c r="BX91" s="101"/>
      <c r="BY91" s="101"/>
      <c r="BZ91" s="101"/>
      <c r="CA91" s="101"/>
      <c r="CB91" s="101"/>
      <c r="CC91" s="101"/>
      <c r="CD91" s="101"/>
      <c r="CE91" s="101"/>
      <c r="CF91" s="101"/>
      <c r="CG91" s="101"/>
      <c r="CH91" s="101"/>
      <c r="CI91" s="101"/>
      <c r="CJ91" s="101"/>
      <c r="CK91" s="101"/>
      <c r="CL91" s="101"/>
      <c r="CM91" s="101"/>
      <c r="CN91" s="101"/>
      <c r="CO91" s="101"/>
      <c r="CP91" s="101"/>
      <c r="CQ91" s="101"/>
      <c r="CR91" s="101"/>
      <c r="CS91" s="101"/>
      <c r="CT91" s="101"/>
      <c r="CU91" s="101"/>
      <c r="CV91" s="101"/>
      <c r="CW91" s="101"/>
      <c r="CX91" s="101"/>
      <c r="CY91" s="101"/>
      <c r="CZ91" s="101"/>
      <c r="DA91" s="101"/>
      <c r="DB91" s="101"/>
      <c r="DC91" s="101"/>
      <c r="DD91" s="101"/>
      <c r="DE91" s="101"/>
      <c r="DF91" s="101"/>
      <c r="DG91" s="101"/>
      <c r="DH91" s="101"/>
      <c r="DI91" s="101"/>
      <c r="DJ91" s="101"/>
      <c r="DK91" s="101"/>
      <c r="DL91" s="101"/>
      <c r="DM91" s="101"/>
      <c r="DN91" s="101"/>
      <c r="DO91" s="101"/>
      <c r="DP91" s="101"/>
      <c r="DQ91" s="101"/>
      <c r="DR91" s="101"/>
      <c r="DS91" s="101"/>
      <c r="DT91" s="101"/>
      <c r="DU91" s="101"/>
      <c r="DV91" s="101"/>
      <c r="DW91" s="101"/>
      <c r="DX91" s="101"/>
      <c r="DY91" s="101"/>
      <c r="DZ91" s="101"/>
      <c r="EA91" s="101"/>
      <c r="EB91" s="101"/>
      <c r="EC91" s="101"/>
      <c r="ED91" s="101"/>
      <c r="EE91" s="101"/>
      <c r="EF91" s="101"/>
      <c r="EG91" s="101"/>
      <c r="EH91" s="101"/>
      <c r="EI91" s="101"/>
      <c r="EJ91" s="101"/>
      <c r="EK91" s="101"/>
      <c r="EL91" s="101"/>
      <c r="EM91" s="101"/>
      <c r="EN91" s="101"/>
      <c r="EO91" s="101"/>
      <c r="EP91" s="101"/>
      <c r="EQ91" s="101"/>
      <c r="ER91" s="101"/>
      <c r="ES91" s="101"/>
      <c r="ET91" s="101"/>
      <c r="EU91" s="101"/>
      <c r="EV91" s="101"/>
      <c r="EW91" s="101"/>
      <c r="EX91" s="101"/>
      <c r="EY91" s="101"/>
      <c r="EZ91" s="101"/>
      <c r="FA91" s="101"/>
      <c r="FB91" s="101"/>
      <c r="FC91" s="101"/>
      <c r="FD91" s="101"/>
      <c r="FE91" s="101"/>
      <c r="FF91" s="101"/>
      <c r="FG91" s="101"/>
      <c r="FH91" s="101"/>
      <c r="FI91" s="101"/>
      <c r="FJ91" s="101"/>
      <c r="FK91" s="101"/>
      <c r="FL91" s="101"/>
      <c r="FM91" s="101"/>
      <c r="FN91" s="101"/>
      <c r="FO91" s="101"/>
      <c r="FP91" s="101"/>
      <c r="FQ91" s="101"/>
      <c r="FR91" s="101"/>
      <c r="FS91" s="101"/>
      <c r="FT91" s="101"/>
      <c r="FU91" s="101"/>
      <c r="FV91" s="101"/>
      <c r="FW91" s="101"/>
      <c r="FX91" s="101"/>
      <c r="FY91" s="101"/>
      <c r="FZ91" s="101"/>
      <c r="GA91" s="101"/>
      <c r="GB91" s="101"/>
      <c r="GC91" s="101"/>
      <c r="GD91" s="101"/>
      <c r="GE91" s="101"/>
      <c r="GF91" s="101"/>
      <c r="GG91" s="101"/>
      <c r="GH91" s="101"/>
      <c r="GI91" s="101"/>
      <c r="GJ91" s="101"/>
    </row>
    <row r="92" spans="1:192" ht="50.1" customHeight="1" outlineLevel="1" x14ac:dyDescent="0.25">
      <c r="A92" s="148" t="s">
        <v>2</v>
      </c>
      <c r="B92" s="168" t="s">
        <v>344</v>
      </c>
      <c r="C92" s="240" t="s">
        <v>676</v>
      </c>
      <c r="D92" s="169" t="s">
        <v>23</v>
      </c>
      <c r="E92" s="141" t="s">
        <v>586</v>
      </c>
      <c r="F92" s="209"/>
      <c r="G92" s="74"/>
      <c r="H92" s="74"/>
      <c r="I92" s="74"/>
      <c r="J92" s="74"/>
      <c r="K92" s="74"/>
      <c r="L92" s="74"/>
      <c r="M92" s="74"/>
      <c r="N92" s="74"/>
      <c r="O92" s="74"/>
      <c r="P92" s="74"/>
      <c r="Q92" s="74"/>
      <c r="R92" s="74"/>
      <c r="S92" s="74"/>
      <c r="T92" s="74"/>
      <c r="U92" s="74"/>
      <c r="V92" s="74"/>
      <c r="W92" s="74"/>
      <c r="X92" s="74"/>
      <c r="Y92" s="74"/>
      <c r="Z92" s="74"/>
      <c r="AA92" s="74"/>
      <c r="AB92" s="74"/>
      <c r="AC92" s="74"/>
      <c r="AD92" s="74"/>
      <c r="AE92" s="74"/>
      <c r="AF92" s="74"/>
      <c r="AG92" s="74"/>
      <c r="AH92" s="74"/>
      <c r="AI92" s="74"/>
      <c r="AJ92" s="74"/>
      <c r="AK92" s="74"/>
      <c r="AL92" s="74"/>
      <c r="AM92" s="74"/>
      <c r="AN92" s="74"/>
      <c r="AO92" s="74"/>
      <c r="AP92" s="74"/>
      <c r="AQ92" s="74"/>
      <c r="AR92" s="74"/>
      <c r="AS92" s="74"/>
      <c r="AT92" s="74"/>
      <c r="AU92" s="74"/>
      <c r="AV92" s="74"/>
      <c r="AW92" s="74"/>
      <c r="AX92" s="74"/>
      <c r="AY92" s="101"/>
      <c r="AZ92" s="101"/>
      <c r="BA92" s="101"/>
      <c r="BB92" s="101"/>
      <c r="BC92" s="101"/>
      <c r="BD92" s="101"/>
      <c r="BE92" s="101"/>
      <c r="BF92" s="101"/>
      <c r="BG92" s="101"/>
      <c r="BH92" s="101"/>
      <c r="BI92" s="101"/>
      <c r="BJ92" s="101"/>
      <c r="BK92" s="101"/>
      <c r="BL92" s="101"/>
      <c r="BM92" s="101"/>
      <c r="BN92" s="101"/>
      <c r="BO92" s="101"/>
      <c r="BP92" s="101"/>
      <c r="BQ92" s="101"/>
      <c r="BR92" s="101"/>
      <c r="BS92" s="101"/>
      <c r="BT92" s="101"/>
      <c r="BU92" s="101"/>
      <c r="BV92" s="101"/>
      <c r="BW92" s="101"/>
      <c r="BX92" s="101"/>
      <c r="BY92" s="101"/>
      <c r="BZ92" s="101"/>
      <c r="CA92" s="101"/>
      <c r="CB92" s="101"/>
      <c r="CC92" s="101"/>
      <c r="CD92" s="101"/>
      <c r="CE92" s="101"/>
      <c r="CF92" s="101"/>
      <c r="CG92" s="101"/>
      <c r="CH92" s="101"/>
      <c r="CI92" s="101"/>
      <c r="CJ92" s="101"/>
      <c r="CK92" s="101"/>
      <c r="CL92" s="101"/>
      <c r="CM92" s="101"/>
      <c r="CN92" s="101"/>
      <c r="CO92" s="101"/>
      <c r="CP92" s="101"/>
      <c r="CQ92" s="101"/>
      <c r="CR92" s="101"/>
      <c r="CS92" s="101"/>
      <c r="CT92" s="101"/>
      <c r="CU92" s="101"/>
      <c r="CV92" s="101"/>
      <c r="CW92" s="101"/>
      <c r="CX92" s="101"/>
      <c r="CY92" s="101"/>
      <c r="CZ92" s="101"/>
      <c r="DA92" s="101"/>
      <c r="DB92" s="101"/>
      <c r="DC92" s="101"/>
      <c r="DD92" s="101"/>
      <c r="DE92" s="101"/>
      <c r="DF92" s="101"/>
      <c r="DG92" s="101"/>
      <c r="DH92" s="101"/>
      <c r="DI92" s="101"/>
      <c r="DJ92" s="101"/>
      <c r="DK92" s="101"/>
      <c r="DL92" s="101"/>
      <c r="DM92" s="101"/>
      <c r="DN92" s="101"/>
      <c r="DO92" s="101"/>
      <c r="DP92" s="101"/>
      <c r="DQ92" s="101"/>
      <c r="DR92" s="101"/>
      <c r="DS92" s="101"/>
      <c r="DT92" s="101"/>
      <c r="DU92" s="101"/>
      <c r="DV92" s="101"/>
      <c r="DW92" s="101"/>
      <c r="DX92" s="101"/>
      <c r="DY92" s="101"/>
      <c r="DZ92" s="101"/>
      <c r="EA92" s="101"/>
      <c r="EB92" s="101"/>
      <c r="EC92" s="101"/>
      <c r="ED92" s="101"/>
      <c r="EE92" s="101"/>
      <c r="EF92" s="101"/>
      <c r="EG92" s="101"/>
      <c r="EH92" s="101"/>
      <c r="EI92" s="101"/>
      <c r="EJ92" s="101"/>
      <c r="EK92" s="101"/>
      <c r="EL92" s="101"/>
      <c r="EM92" s="101"/>
      <c r="EN92" s="101"/>
      <c r="EO92" s="101"/>
      <c r="EP92" s="101"/>
      <c r="EQ92" s="101"/>
      <c r="ER92" s="101"/>
      <c r="ES92" s="101"/>
      <c r="ET92" s="101"/>
      <c r="EU92" s="101"/>
      <c r="EV92" s="101"/>
      <c r="EW92" s="101"/>
      <c r="EX92" s="101"/>
      <c r="EY92" s="101"/>
      <c r="EZ92" s="101"/>
      <c r="FA92" s="101"/>
      <c r="FB92" s="101"/>
      <c r="FC92" s="101"/>
      <c r="FD92" s="101"/>
      <c r="FE92" s="101"/>
      <c r="FF92" s="101"/>
      <c r="FG92" s="101"/>
      <c r="FH92" s="101"/>
      <c r="FI92" s="101"/>
      <c r="FJ92" s="101"/>
      <c r="FK92" s="101"/>
      <c r="FL92" s="101"/>
      <c r="FM92" s="101"/>
      <c r="FN92" s="101"/>
      <c r="FO92" s="101"/>
      <c r="FP92" s="101"/>
      <c r="FQ92" s="101"/>
      <c r="FR92" s="101"/>
      <c r="FS92" s="101"/>
      <c r="FT92" s="101"/>
      <c r="FU92" s="101"/>
      <c r="FV92" s="101"/>
      <c r="FW92" s="101"/>
      <c r="FX92" s="101"/>
      <c r="FY92" s="101"/>
      <c r="FZ92" s="101"/>
      <c r="GA92" s="101"/>
      <c r="GB92" s="101"/>
      <c r="GC92" s="101"/>
      <c r="GD92" s="101"/>
      <c r="GE92" s="101"/>
      <c r="GF92" s="101"/>
      <c r="GG92" s="101"/>
      <c r="GH92" s="101"/>
      <c r="GI92" s="101"/>
      <c r="GJ92" s="101"/>
    </row>
    <row r="93" spans="1:192" ht="50.1" customHeight="1" outlineLevel="1" x14ac:dyDescent="0.25">
      <c r="A93" s="148" t="s">
        <v>2</v>
      </c>
      <c r="B93" s="167" t="s">
        <v>345</v>
      </c>
      <c r="C93" s="144" t="s">
        <v>495</v>
      </c>
      <c r="D93" s="167" t="s">
        <v>23</v>
      </c>
      <c r="E93" s="147" t="s">
        <v>587</v>
      </c>
      <c r="F93" s="211"/>
      <c r="G93" s="74"/>
      <c r="H93" s="74"/>
      <c r="I93" s="74"/>
      <c r="J93" s="74"/>
      <c r="K93" s="74"/>
      <c r="L93" s="74"/>
      <c r="M93" s="74"/>
      <c r="N93" s="74"/>
      <c r="O93" s="74"/>
      <c r="P93" s="74"/>
      <c r="Q93" s="74"/>
      <c r="R93" s="74"/>
      <c r="S93" s="74"/>
      <c r="T93" s="74"/>
      <c r="U93" s="74"/>
      <c r="V93" s="74"/>
      <c r="W93" s="74"/>
      <c r="X93" s="74"/>
      <c r="Y93" s="74"/>
      <c r="Z93" s="74"/>
      <c r="AA93" s="74"/>
      <c r="AB93" s="74"/>
      <c r="AC93" s="74"/>
      <c r="AD93" s="74"/>
      <c r="AE93" s="74"/>
      <c r="AF93" s="74"/>
      <c r="AG93" s="74"/>
      <c r="AH93" s="74"/>
      <c r="AI93" s="74"/>
      <c r="AJ93" s="74"/>
      <c r="AK93" s="74"/>
      <c r="AL93" s="74"/>
      <c r="AM93" s="74"/>
      <c r="AN93" s="74"/>
      <c r="AO93" s="74"/>
      <c r="AP93" s="74"/>
      <c r="AQ93" s="74"/>
      <c r="AR93" s="74"/>
      <c r="AS93" s="74"/>
      <c r="AT93" s="74"/>
      <c r="AU93" s="74"/>
      <c r="AV93" s="74"/>
      <c r="AW93" s="74"/>
      <c r="AX93" s="74"/>
      <c r="AY93" s="101"/>
      <c r="AZ93" s="101"/>
      <c r="BA93" s="101"/>
      <c r="BB93" s="101"/>
      <c r="BC93" s="101"/>
      <c r="BD93" s="101"/>
      <c r="BE93" s="101"/>
      <c r="BF93" s="101"/>
      <c r="BG93" s="101"/>
      <c r="BH93" s="101"/>
      <c r="BI93" s="101"/>
      <c r="BJ93" s="101"/>
      <c r="BK93" s="101"/>
      <c r="BL93" s="101"/>
      <c r="BM93" s="101"/>
      <c r="BN93" s="101"/>
      <c r="BO93" s="101"/>
      <c r="BP93" s="101"/>
      <c r="BQ93" s="101"/>
      <c r="BR93" s="101"/>
      <c r="BS93" s="101"/>
      <c r="BT93" s="101"/>
      <c r="BU93" s="101"/>
      <c r="BV93" s="101"/>
      <c r="BW93" s="101"/>
      <c r="BX93" s="101"/>
      <c r="BY93" s="101"/>
      <c r="BZ93" s="101"/>
      <c r="CA93" s="101"/>
      <c r="CB93" s="101"/>
      <c r="CC93" s="101"/>
      <c r="CD93" s="101"/>
      <c r="CE93" s="101"/>
      <c r="CF93" s="101"/>
      <c r="CG93" s="101"/>
      <c r="CH93" s="101"/>
      <c r="CI93" s="101"/>
      <c r="CJ93" s="101"/>
      <c r="CK93" s="101"/>
      <c r="CL93" s="101"/>
      <c r="CM93" s="101"/>
      <c r="CN93" s="101"/>
      <c r="CO93" s="101"/>
      <c r="CP93" s="101"/>
      <c r="CQ93" s="101"/>
      <c r="CR93" s="101"/>
      <c r="CS93" s="101"/>
      <c r="CT93" s="101"/>
      <c r="CU93" s="101"/>
      <c r="CV93" s="101"/>
      <c r="CW93" s="101"/>
      <c r="CX93" s="101"/>
      <c r="CY93" s="101"/>
      <c r="CZ93" s="101"/>
      <c r="DA93" s="101"/>
      <c r="DB93" s="101"/>
      <c r="DC93" s="101"/>
      <c r="DD93" s="101"/>
      <c r="DE93" s="101"/>
      <c r="DF93" s="101"/>
      <c r="DG93" s="101"/>
      <c r="DH93" s="101"/>
      <c r="DI93" s="101"/>
      <c r="DJ93" s="101"/>
      <c r="DK93" s="101"/>
      <c r="DL93" s="101"/>
      <c r="DM93" s="101"/>
      <c r="DN93" s="101"/>
      <c r="DO93" s="101"/>
      <c r="DP93" s="101"/>
      <c r="DQ93" s="101"/>
      <c r="DR93" s="101"/>
      <c r="DS93" s="101"/>
      <c r="DT93" s="101"/>
      <c r="DU93" s="101"/>
      <c r="DV93" s="101"/>
      <c r="DW93" s="101"/>
      <c r="DX93" s="101"/>
      <c r="DY93" s="101"/>
      <c r="DZ93" s="101"/>
      <c r="EA93" s="101"/>
      <c r="EB93" s="101"/>
      <c r="EC93" s="101"/>
      <c r="ED93" s="101"/>
      <c r="EE93" s="101"/>
      <c r="EF93" s="101"/>
      <c r="EG93" s="101"/>
      <c r="EH93" s="101"/>
      <c r="EI93" s="101"/>
      <c r="EJ93" s="101"/>
      <c r="EK93" s="101"/>
      <c r="EL93" s="101"/>
      <c r="EM93" s="101"/>
      <c r="EN93" s="101"/>
      <c r="EO93" s="101"/>
      <c r="EP93" s="101"/>
      <c r="EQ93" s="101"/>
      <c r="ER93" s="101"/>
      <c r="ES93" s="101"/>
      <c r="ET93" s="101"/>
      <c r="EU93" s="101"/>
      <c r="EV93" s="101"/>
      <c r="EW93" s="101"/>
      <c r="EX93" s="101"/>
      <c r="EY93" s="101"/>
      <c r="EZ93" s="101"/>
      <c r="FA93" s="101"/>
      <c r="FB93" s="101"/>
      <c r="FC93" s="101"/>
      <c r="FD93" s="101"/>
      <c r="FE93" s="101"/>
      <c r="FF93" s="101"/>
      <c r="FG93" s="101"/>
      <c r="FH93" s="101"/>
      <c r="FI93" s="101"/>
      <c r="FJ93" s="101"/>
      <c r="FK93" s="101"/>
      <c r="FL93" s="101"/>
      <c r="FM93" s="101"/>
      <c r="FN93" s="101"/>
      <c r="FO93" s="101"/>
      <c r="FP93" s="101"/>
      <c r="FQ93" s="101"/>
      <c r="FR93" s="101"/>
      <c r="FS93" s="101"/>
      <c r="FT93" s="101"/>
      <c r="FU93" s="101"/>
      <c r="FV93" s="101"/>
      <c r="FW93" s="101"/>
      <c r="FX93" s="101"/>
      <c r="FY93" s="101"/>
      <c r="FZ93" s="101"/>
      <c r="GA93" s="101"/>
      <c r="GB93" s="101"/>
      <c r="GC93" s="101"/>
      <c r="GD93" s="101"/>
      <c r="GE93" s="101"/>
      <c r="GF93" s="101"/>
      <c r="GG93" s="101"/>
      <c r="GH93" s="101"/>
      <c r="GI93" s="101"/>
      <c r="GJ93" s="101"/>
    </row>
    <row r="94" spans="1:192" ht="50.1" customHeight="1" outlineLevel="1" x14ac:dyDescent="0.25">
      <c r="A94" s="149" t="s">
        <v>5</v>
      </c>
      <c r="B94" s="168" t="s">
        <v>346</v>
      </c>
      <c r="C94" s="142" t="s">
        <v>238</v>
      </c>
      <c r="D94" s="168" t="s">
        <v>23</v>
      </c>
      <c r="E94" s="142" t="s">
        <v>588</v>
      </c>
      <c r="F94" s="214"/>
      <c r="G94" s="74"/>
      <c r="H94" s="74"/>
      <c r="I94" s="74"/>
      <c r="J94" s="74"/>
      <c r="K94" s="74"/>
      <c r="L94" s="74"/>
      <c r="M94" s="74"/>
      <c r="N94" s="74"/>
      <c r="O94" s="74"/>
      <c r="P94" s="74"/>
      <c r="Q94" s="74"/>
      <c r="R94" s="74"/>
      <c r="S94" s="74"/>
      <c r="T94" s="74"/>
      <c r="U94" s="74"/>
      <c r="V94" s="74"/>
      <c r="W94" s="74"/>
      <c r="X94" s="74"/>
      <c r="Y94" s="74"/>
      <c r="Z94" s="74"/>
      <c r="AA94" s="74"/>
      <c r="AB94" s="74"/>
      <c r="AC94" s="74"/>
      <c r="AD94" s="74"/>
      <c r="AE94" s="74"/>
      <c r="AF94" s="74"/>
      <c r="AG94" s="74"/>
      <c r="AH94" s="74"/>
      <c r="AI94" s="74"/>
      <c r="AJ94" s="74"/>
      <c r="AK94" s="74"/>
      <c r="AL94" s="74"/>
      <c r="AM94" s="74"/>
      <c r="AN94" s="74"/>
      <c r="AO94" s="74"/>
      <c r="AP94" s="74"/>
      <c r="AQ94" s="74"/>
      <c r="AR94" s="74"/>
      <c r="AS94" s="74"/>
      <c r="AT94" s="74"/>
      <c r="AU94" s="74"/>
      <c r="AV94" s="74"/>
      <c r="AW94" s="74"/>
      <c r="AX94" s="74"/>
      <c r="AY94" s="101"/>
      <c r="AZ94" s="101"/>
      <c r="BA94" s="101"/>
      <c r="BB94" s="101"/>
      <c r="BC94" s="101"/>
      <c r="BD94" s="101"/>
      <c r="BE94" s="101"/>
      <c r="BF94" s="101"/>
      <c r="BG94" s="101"/>
      <c r="BH94" s="101"/>
      <c r="BI94" s="101"/>
      <c r="BJ94" s="101"/>
      <c r="BK94" s="101"/>
      <c r="BL94" s="101"/>
      <c r="BM94" s="101"/>
      <c r="BN94" s="101"/>
      <c r="BO94" s="101"/>
      <c r="BP94" s="101"/>
      <c r="BQ94" s="101"/>
      <c r="BR94" s="101"/>
      <c r="BS94" s="101"/>
      <c r="BT94" s="101"/>
      <c r="BU94" s="101"/>
      <c r="BV94" s="101"/>
      <c r="BW94" s="101"/>
      <c r="BX94" s="101"/>
      <c r="BY94" s="101"/>
      <c r="BZ94" s="101"/>
      <c r="CA94" s="101"/>
      <c r="CB94" s="101"/>
      <c r="CC94" s="101"/>
      <c r="CD94" s="101"/>
      <c r="CE94" s="101"/>
      <c r="CF94" s="101"/>
      <c r="CG94" s="101"/>
      <c r="CH94" s="101"/>
      <c r="CI94" s="101"/>
      <c r="CJ94" s="101"/>
      <c r="CK94" s="101"/>
      <c r="CL94" s="101"/>
      <c r="CM94" s="101"/>
      <c r="CN94" s="101"/>
      <c r="CO94" s="101"/>
      <c r="CP94" s="101"/>
      <c r="CQ94" s="101"/>
      <c r="CR94" s="101"/>
      <c r="CS94" s="101"/>
      <c r="CT94" s="101"/>
      <c r="CU94" s="101"/>
      <c r="CV94" s="101"/>
      <c r="CW94" s="101"/>
      <c r="CX94" s="101"/>
      <c r="CY94" s="101"/>
      <c r="CZ94" s="101"/>
      <c r="DA94" s="101"/>
      <c r="DB94" s="101"/>
      <c r="DC94" s="101"/>
      <c r="DD94" s="101"/>
      <c r="DE94" s="101"/>
      <c r="DF94" s="101"/>
      <c r="DG94" s="101"/>
      <c r="DH94" s="101"/>
      <c r="DI94" s="101"/>
      <c r="DJ94" s="101"/>
      <c r="DK94" s="101"/>
      <c r="DL94" s="101"/>
      <c r="DM94" s="101"/>
      <c r="DN94" s="101"/>
      <c r="DO94" s="101"/>
      <c r="DP94" s="101"/>
      <c r="DQ94" s="101"/>
      <c r="DR94" s="101"/>
      <c r="DS94" s="101"/>
      <c r="DT94" s="101"/>
      <c r="DU94" s="101"/>
      <c r="DV94" s="101"/>
      <c r="DW94" s="101"/>
      <c r="DX94" s="101"/>
      <c r="DY94" s="101"/>
      <c r="DZ94" s="101"/>
      <c r="EA94" s="101"/>
      <c r="EB94" s="101"/>
      <c r="EC94" s="101"/>
      <c r="ED94" s="101"/>
      <c r="EE94" s="101"/>
      <c r="EF94" s="101"/>
      <c r="EG94" s="101"/>
      <c r="EH94" s="101"/>
      <c r="EI94" s="101"/>
      <c r="EJ94" s="101"/>
      <c r="EK94" s="101"/>
      <c r="EL94" s="101"/>
      <c r="EM94" s="101"/>
      <c r="EN94" s="101"/>
      <c r="EO94" s="101"/>
      <c r="EP94" s="101"/>
      <c r="EQ94" s="101"/>
      <c r="ER94" s="101"/>
      <c r="ES94" s="101"/>
      <c r="ET94" s="101"/>
      <c r="EU94" s="101"/>
      <c r="EV94" s="101"/>
      <c r="EW94" s="101"/>
      <c r="EX94" s="101"/>
      <c r="EY94" s="101"/>
      <c r="EZ94" s="101"/>
      <c r="FA94" s="101"/>
      <c r="FB94" s="101"/>
      <c r="FC94" s="101"/>
      <c r="FD94" s="101"/>
      <c r="FE94" s="101"/>
      <c r="FF94" s="101"/>
      <c r="FG94" s="101"/>
      <c r="FH94" s="101"/>
      <c r="FI94" s="101"/>
      <c r="FJ94" s="101"/>
      <c r="FK94" s="101"/>
      <c r="FL94" s="101"/>
      <c r="FM94" s="101"/>
      <c r="FN94" s="101"/>
      <c r="FO94" s="101"/>
      <c r="FP94" s="101"/>
      <c r="FQ94" s="101"/>
      <c r="FR94" s="101"/>
      <c r="FS94" s="101"/>
      <c r="FT94" s="101"/>
      <c r="FU94" s="101"/>
      <c r="FV94" s="101"/>
      <c r="FW94" s="101"/>
      <c r="FX94" s="101"/>
      <c r="FY94" s="101"/>
      <c r="FZ94" s="101"/>
      <c r="GA94" s="101"/>
      <c r="GB94" s="101"/>
      <c r="GC94" s="101"/>
      <c r="GD94" s="101"/>
      <c r="GE94" s="101"/>
      <c r="GF94" s="101"/>
      <c r="GG94" s="101"/>
      <c r="GH94" s="101"/>
      <c r="GI94" s="101"/>
      <c r="GJ94" s="101"/>
    </row>
    <row r="95" spans="1:192" ht="50.1" customHeight="1" outlineLevel="1" x14ac:dyDescent="0.25">
      <c r="A95" s="149" t="s">
        <v>5</v>
      </c>
      <c r="B95" s="167" t="s">
        <v>347</v>
      </c>
      <c r="C95" s="144" t="s">
        <v>496</v>
      </c>
      <c r="D95" s="167" t="s">
        <v>23</v>
      </c>
      <c r="E95" s="147" t="s">
        <v>589</v>
      </c>
      <c r="F95" s="211"/>
      <c r="G95" s="74"/>
      <c r="H95" s="74"/>
      <c r="I95" s="74"/>
      <c r="J95" s="74"/>
      <c r="K95" s="74"/>
      <c r="L95" s="74"/>
      <c r="M95" s="74"/>
      <c r="N95" s="74"/>
      <c r="O95" s="74"/>
      <c r="P95" s="74"/>
      <c r="Q95" s="74"/>
      <c r="R95" s="74"/>
      <c r="S95" s="74"/>
      <c r="T95" s="74"/>
      <c r="U95" s="74"/>
      <c r="V95" s="74"/>
      <c r="W95" s="74"/>
      <c r="X95" s="74"/>
      <c r="Y95" s="74"/>
      <c r="Z95" s="74"/>
      <c r="AA95" s="74"/>
      <c r="AB95" s="74"/>
      <c r="AC95" s="74"/>
      <c r="AD95" s="74"/>
      <c r="AE95" s="74"/>
      <c r="AF95" s="74"/>
      <c r="AG95" s="74"/>
      <c r="AH95" s="74"/>
      <c r="AI95" s="74"/>
      <c r="AJ95" s="74"/>
      <c r="AK95" s="74"/>
      <c r="AL95" s="74"/>
      <c r="AM95" s="74"/>
      <c r="AN95" s="74"/>
      <c r="AO95" s="74"/>
      <c r="AP95" s="74"/>
      <c r="AQ95" s="74"/>
      <c r="AR95" s="74"/>
      <c r="AS95" s="74"/>
      <c r="AT95" s="74"/>
      <c r="AU95" s="74"/>
      <c r="AV95" s="74"/>
      <c r="AW95" s="74"/>
      <c r="AX95" s="74"/>
      <c r="AY95" s="101"/>
      <c r="AZ95" s="101"/>
      <c r="BA95" s="101"/>
      <c r="BB95" s="101"/>
      <c r="BC95" s="101"/>
      <c r="BD95" s="101"/>
      <c r="BE95" s="101"/>
      <c r="BF95" s="101"/>
      <c r="BG95" s="101"/>
      <c r="BH95" s="101"/>
      <c r="BI95" s="101"/>
      <c r="BJ95" s="101"/>
      <c r="BK95" s="101"/>
      <c r="BL95" s="101"/>
      <c r="BM95" s="101"/>
      <c r="BN95" s="101"/>
      <c r="BO95" s="101"/>
      <c r="BP95" s="101"/>
      <c r="BQ95" s="101"/>
      <c r="BR95" s="101"/>
      <c r="BS95" s="101"/>
      <c r="BT95" s="101"/>
      <c r="BU95" s="101"/>
      <c r="BV95" s="101"/>
      <c r="BW95" s="101"/>
      <c r="BX95" s="101"/>
      <c r="BY95" s="101"/>
      <c r="BZ95" s="101"/>
      <c r="CA95" s="101"/>
      <c r="CB95" s="101"/>
      <c r="CC95" s="101"/>
      <c r="CD95" s="101"/>
      <c r="CE95" s="101"/>
      <c r="CF95" s="101"/>
      <c r="CG95" s="101"/>
      <c r="CH95" s="101"/>
      <c r="CI95" s="101"/>
      <c r="CJ95" s="101"/>
      <c r="CK95" s="101"/>
      <c r="CL95" s="101"/>
      <c r="CM95" s="101"/>
      <c r="CN95" s="101"/>
      <c r="CO95" s="101"/>
      <c r="CP95" s="101"/>
      <c r="CQ95" s="101"/>
      <c r="CR95" s="101"/>
      <c r="CS95" s="101"/>
      <c r="CT95" s="101"/>
      <c r="CU95" s="101"/>
      <c r="CV95" s="101"/>
      <c r="CW95" s="101"/>
      <c r="CX95" s="101"/>
      <c r="CY95" s="101"/>
      <c r="CZ95" s="101"/>
      <c r="DA95" s="101"/>
      <c r="DB95" s="101"/>
      <c r="DC95" s="101"/>
      <c r="DD95" s="101"/>
      <c r="DE95" s="101"/>
      <c r="DF95" s="101"/>
      <c r="DG95" s="101"/>
      <c r="DH95" s="101"/>
      <c r="DI95" s="101"/>
      <c r="DJ95" s="101"/>
      <c r="DK95" s="101"/>
      <c r="DL95" s="101"/>
      <c r="DM95" s="101"/>
      <c r="DN95" s="101"/>
      <c r="DO95" s="101"/>
      <c r="DP95" s="101"/>
      <c r="DQ95" s="101"/>
      <c r="DR95" s="101"/>
      <c r="DS95" s="101"/>
      <c r="DT95" s="101"/>
      <c r="DU95" s="101"/>
      <c r="DV95" s="101"/>
      <c r="DW95" s="101"/>
      <c r="DX95" s="101"/>
      <c r="DY95" s="101"/>
      <c r="DZ95" s="101"/>
      <c r="EA95" s="101"/>
      <c r="EB95" s="101"/>
      <c r="EC95" s="101"/>
      <c r="ED95" s="101"/>
      <c r="EE95" s="101"/>
      <c r="EF95" s="101"/>
      <c r="EG95" s="101"/>
      <c r="EH95" s="101"/>
      <c r="EI95" s="101"/>
      <c r="EJ95" s="101"/>
      <c r="EK95" s="101"/>
      <c r="EL95" s="101"/>
      <c r="EM95" s="101"/>
      <c r="EN95" s="101"/>
      <c r="EO95" s="101"/>
      <c r="EP95" s="101"/>
      <c r="EQ95" s="101"/>
      <c r="ER95" s="101"/>
      <c r="ES95" s="101"/>
      <c r="ET95" s="101"/>
      <c r="EU95" s="101"/>
      <c r="EV95" s="101"/>
      <c r="EW95" s="101"/>
      <c r="EX95" s="101"/>
      <c r="EY95" s="101"/>
      <c r="EZ95" s="101"/>
      <c r="FA95" s="101"/>
      <c r="FB95" s="101"/>
      <c r="FC95" s="101"/>
      <c r="FD95" s="101"/>
      <c r="FE95" s="101"/>
      <c r="FF95" s="101"/>
      <c r="FG95" s="101"/>
      <c r="FH95" s="101"/>
      <c r="FI95" s="101"/>
      <c r="FJ95" s="101"/>
      <c r="FK95" s="101"/>
      <c r="FL95" s="101"/>
      <c r="FM95" s="101"/>
      <c r="FN95" s="101"/>
      <c r="FO95" s="101"/>
      <c r="FP95" s="101"/>
      <c r="FQ95" s="101"/>
      <c r="FR95" s="101"/>
      <c r="FS95" s="101"/>
      <c r="FT95" s="101"/>
      <c r="FU95" s="101"/>
      <c r="FV95" s="101"/>
      <c r="FW95" s="101"/>
      <c r="FX95" s="101"/>
      <c r="FY95" s="101"/>
      <c r="FZ95" s="101"/>
      <c r="GA95" s="101"/>
      <c r="GB95" s="101"/>
      <c r="GC95" s="101"/>
      <c r="GD95" s="101"/>
      <c r="GE95" s="101"/>
      <c r="GF95" s="101"/>
      <c r="GG95" s="101"/>
      <c r="GH95" s="101"/>
      <c r="GI95" s="101"/>
      <c r="GJ95" s="101"/>
    </row>
    <row r="96" spans="1:192" ht="50.1" customHeight="1" outlineLevel="1" x14ac:dyDescent="0.25">
      <c r="A96" s="149" t="s">
        <v>5</v>
      </c>
      <c r="B96" s="168" t="s">
        <v>348</v>
      </c>
      <c r="C96" s="141" t="s">
        <v>497</v>
      </c>
      <c r="D96" s="169" t="s">
        <v>23</v>
      </c>
      <c r="E96" s="198" t="s">
        <v>590</v>
      </c>
      <c r="F96" s="209"/>
      <c r="G96" s="74"/>
      <c r="H96" s="74"/>
      <c r="I96" s="74"/>
      <c r="J96" s="74"/>
      <c r="K96" s="74"/>
      <c r="L96" s="74"/>
      <c r="M96" s="74"/>
      <c r="N96" s="74"/>
      <c r="O96" s="74"/>
      <c r="P96" s="74"/>
      <c r="Q96" s="74"/>
      <c r="R96" s="74"/>
      <c r="S96" s="74"/>
      <c r="T96" s="74"/>
      <c r="U96" s="74"/>
      <c r="V96" s="74"/>
      <c r="W96" s="74"/>
      <c r="X96" s="74"/>
      <c r="Y96" s="74"/>
      <c r="Z96" s="74"/>
      <c r="AA96" s="74"/>
      <c r="AB96" s="74"/>
      <c r="AC96" s="74"/>
      <c r="AD96" s="74"/>
      <c r="AE96" s="74"/>
      <c r="AF96" s="74"/>
      <c r="AG96" s="74"/>
      <c r="AH96" s="74"/>
      <c r="AI96" s="74"/>
      <c r="AJ96" s="74"/>
      <c r="AK96" s="74"/>
      <c r="AL96" s="74"/>
      <c r="AM96" s="74"/>
      <c r="AN96" s="74"/>
      <c r="AO96" s="74"/>
      <c r="AP96" s="74"/>
      <c r="AQ96" s="74"/>
      <c r="AR96" s="74"/>
      <c r="AS96" s="74"/>
      <c r="AT96" s="74"/>
      <c r="AU96" s="74"/>
      <c r="AV96" s="74"/>
      <c r="AW96" s="74"/>
      <c r="AX96" s="74"/>
      <c r="AY96" s="101"/>
      <c r="AZ96" s="101"/>
      <c r="BA96" s="101"/>
      <c r="BB96" s="101"/>
      <c r="BC96" s="101"/>
      <c r="BD96" s="101"/>
      <c r="BE96" s="101"/>
      <c r="BF96" s="101"/>
      <c r="BG96" s="101"/>
      <c r="BH96" s="101"/>
      <c r="BI96" s="101"/>
      <c r="BJ96" s="101"/>
      <c r="BK96" s="101"/>
      <c r="BL96" s="101"/>
      <c r="BM96" s="101"/>
      <c r="BN96" s="101"/>
      <c r="BO96" s="101"/>
      <c r="BP96" s="101"/>
      <c r="BQ96" s="101"/>
      <c r="BR96" s="101"/>
      <c r="BS96" s="101"/>
      <c r="BT96" s="101"/>
      <c r="BU96" s="101"/>
      <c r="BV96" s="101"/>
      <c r="BW96" s="101"/>
      <c r="BX96" s="101"/>
      <c r="BY96" s="101"/>
      <c r="BZ96" s="101"/>
      <c r="CA96" s="101"/>
      <c r="CB96" s="101"/>
      <c r="CC96" s="101"/>
      <c r="CD96" s="101"/>
      <c r="CE96" s="101"/>
      <c r="CF96" s="101"/>
      <c r="CG96" s="101"/>
      <c r="CH96" s="101"/>
      <c r="CI96" s="101"/>
      <c r="CJ96" s="101"/>
      <c r="CK96" s="101"/>
      <c r="CL96" s="101"/>
      <c r="CM96" s="101"/>
      <c r="CN96" s="101"/>
      <c r="CO96" s="101"/>
      <c r="CP96" s="101"/>
      <c r="CQ96" s="101"/>
      <c r="CR96" s="101"/>
      <c r="CS96" s="101"/>
      <c r="CT96" s="101"/>
      <c r="CU96" s="101"/>
      <c r="CV96" s="101"/>
      <c r="CW96" s="101"/>
      <c r="CX96" s="101"/>
      <c r="CY96" s="101"/>
      <c r="CZ96" s="101"/>
      <c r="DA96" s="101"/>
      <c r="DB96" s="101"/>
      <c r="DC96" s="101"/>
      <c r="DD96" s="101"/>
      <c r="DE96" s="101"/>
      <c r="DF96" s="101"/>
      <c r="DG96" s="101"/>
      <c r="DH96" s="101"/>
      <c r="DI96" s="101"/>
      <c r="DJ96" s="101"/>
      <c r="DK96" s="101"/>
      <c r="DL96" s="101"/>
      <c r="DM96" s="101"/>
      <c r="DN96" s="101"/>
      <c r="DO96" s="101"/>
      <c r="DP96" s="101"/>
      <c r="DQ96" s="101"/>
      <c r="DR96" s="101"/>
      <c r="DS96" s="101"/>
      <c r="DT96" s="101"/>
      <c r="DU96" s="101"/>
      <c r="DV96" s="101"/>
      <c r="DW96" s="101"/>
      <c r="DX96" s="101"/>
      <c r="DY96" s="101"/>
      <c r="DZ96" s="101"/>
      <c r="EA96" s="101"/>
      <c r="EB96" s="101"/>
      <c r="EC96" s="101"/>
      <c r="ED96" s="101"/>
      <c r="EE96" s="101"/>
      <c r="EF96" s="101"/>
      <c r="EG96" s="101"/>
      <c r="EH96" s="101"/>
      <c r="EI96" s="101"/>
      <c r="EJ96" s="101"/>
      <c r="EK96" s="101"/>
      <c r="EL96" s="101"/>
      <c r="EM96" s="101"/>
      <c r="EN96" s="101"/>
      <c r="EO96" s="101"/>
      <c r="EP96" s="101"/>
      <c r="EQ96" s="101"/>
      <c r="ER96" s="101"/>
      <c r="ES96" s="101"/>
      <c r="ET96" s="101"/>
      <c r="EU96" s="101"/>
      <c r="EV96" s="101"/>
      <c r="EW96" s="101"/>
      <c r="EX96" s="101"/>
      <c r="EY96" s="101"/>
      <c r="EZ96" s="101"/>
      <c r="FA96" s="101"/>
      <c r="FB96" s="101"/>
      <c r="FC96" s="101"/>
      <c r="FD96" s="101"/>
      <c r="FE96" s="101"/>
      <c r="FF96" s="101"/>
      <c r="FG96" s="101"/>
      <c r="FH96" s="101"/>
      <c r="FI96" s="101"/>
      <c r="FJ96" s="101"/>
      <c r="FK96" s="101"/>
      <c r="FL96" s="101"/>
      <c r="FM96" s="101"/>
      <c r="FN96" s="101"/>
      <c r="FO96" s="101"/>
      <c r="FP96" s="101"/>
      <c r="FQ96" s="101"/>
      <c r="FR96" s="101"/>
      <c r="FS96" s="101"/>
      <c r="FT96" s="101"/>
      <c r="FU96" s="101"/>
      <c r="FV96" s="101"/>
      <c r="FW96" s="101"/>
      <c r="FX96" s="101"/>
      <c r="FY96" s="101"/>
      <c r="FZ96" s="101"/>
      <c r="GA96" s="101"/>
      <c r="GB96" s="101"/>
      <c r="GC96" s="101"/>
      <c r="GD96" s="101"/>
      <c r="GE96" s="101"/>
      <c r="GF96" s="101"/>
      <c r="GG96" s="101"/>
      <c r="GH96" s="101"/>
      <c r="GI96" s="101"/>
      <c r="GJ96" s="101"/>
    </row>
    <row r="97" spans="1:192" ht="50.1" customHeight="1" outlineLevel="1" x14ac:dyDescent="0.25">
      <c r="A97" s="149" t="s">
        <v>5</v>
      </c>
      <c r="B97" s="167" t="s">
        <v>349</v>
      </c>
      <c r="C97" s="144" t="s">
        <v>498</v>
      </c>
      <c r="D97" s="167" t="s">
        <v>23</v>
      </c>
      <c r="E97" s="147" t="s">
        <v>591</v>
      </c>
      <c r="F97" s="211"/>
      <c r="G97" s="74"/>
      <c r="H97" s="74"/>
      <c r="I97" s="74"/>
      <c r="J97" s="74"/>
      <c r="K97" s="74"/>
      <c r="L97" s="74"/>
      <c r="M97" s="74"/>
      <c r="N97" s="74"/>
      <c r="O97" s="74"/>
      <c r="P97" s="74"/>
      <c r="Q97" s="74"/>
      <c r="R97" s="74"/>
      <c r="S97" s="74"/>
      <c r="T97" s="74"/>
      <c r="U97" s="74"/>
      <c r="V97" s="74"/>
      <c r="W97" s="74"/>
      <c r="X97" s="74"/>
      <c r="Y97" s="74"/>
      <c r="Z97" s="74"/>
      <c r="AA97" s="74"/>
      <c r="AB97" s="74"/>
      <c r="AC97" s="74"/>
      <c r="AD97" s="74"/>
      <c r="AE97" s="74"/>
      <c r="AF97" s="74"/>
      <c r="AG97" s="74"/>
      <c r="AH97" s="74"/>
      <c r="AI97" s="74"/>
      <c r="AJ97" s="74"/>
      <c r="AK97" s="74"/>
      <c r="AL97" s="74"/>
      <c r="AM97" s="74"/>
      <c r="AN97" s="74"/>
      <c r="AO97" s="74"/>
      <c r="AP97" s="74"/>
      <c r="AQ97" s="74"/>
      <c r="AR97" s="74"/>
      <c r="AS97" s="74"/>
      <c r="AT97" s="74"/>
      <c r="AU97" s="74"/>
      <c r="AV97" s="74"/>
      <c r="AW97" s="74"/>
      <c r="AX97" s="74"/>
      <c r="AY97" s="101"/>
      <c r="AZ97" s="101"/>
      <c r="BA97" s="101"/>
      <c r="BB97" s="101"/>
      <c r="BC97" s="101"/>
      <c r="BD97" s="101"/>
      <c r="BE97" s="101"/>
      <c r="BF97" s="101"/>
      <c r="BG97" s="101"/>
      <c r="BH97" s="101"/>
      <c r="BI97" s="101"/>
      <c r="BJ97" s="101"/>
      <c r="BK97" s="101"/>
      <c r="BL97" s="101"/>
      <c r="BM97" s="101"/>
      <c r="BN97" s="101"/>
      <c r="BO97" s="101"/>
      <c r="BP97" s="101"/>
      <c r="BQ97" s="101"/>
      <c r="BR97" s="101"/>
      <c r="BS97" s="101"/>
      <c r="BT97" s="101"/>
      <c r="BU97" s="101"/>
      <c r="BV97" s="101"/>
      <c r="BW97" s="101"/>
      <c r="BX97" s="101"/>
      <c r="BY97" s="101"/>
      <c r="BZ97" s="101"/>
      <c r="CA97" s="101"/>
      <c r="CB97" s="101"/>
      <c r="CC97" s="101"/>
      <c r="CD97" s="101"/>
      <c r="CE97" s="101"/>
      <c r="CF97" s="101"/>
      <c r="CG97" s="101"/>
      <c r="CH97" s="101"/>
      <c r="CI97" s="101"/>
      <c r="CJ97" s="101"/>
      <c r="CK97" s="101"/>
      <c r="CL97" s="101"/>
      <c r="CM97" s="101"/>
      <c r="CN97" s="101"/>
      <c r="CO97" s="101"/>
      <c r="CP97" s="101"/>
      <c r="CQ97" s="101"/>
      <c r="CR97" s="101"/>
      <c r="CS97" s="101"/>
      <c r="CT97" s="101"/>
      <c r="CU97" s="101"/>
      <c r="CV97" s="101"/>
      <c r="CW97" s="101"/>
      <c r="CX97" s="101"/>
      <c r="CY97" s="101"/>
      <c r="CZ97" s="101"/>
      <c r="DA97" s="101"/>
      <c r="DB97" s="101"/>
      <c r="DC97" s="101"/>
      <c r="DD97" s="101"/>
      <c r="DE97" s="101"/>
      <c r="DF97" s="101"/>
      <c r="DG97" s="101"/>
      <c r="DH97" s="101"/>
      <c r="DI97" s="101"/>
      <c r="DJ97" s="101"/>
      <c r="DK97" s="101"/>
      <c r="DL97" s="101"/>
      <c r="DM97" s="101"/>
      <c r="DN97" s="101"/>
      <c r="DO97" s="101"/>
      <c r="DP97" s="101"/>
      <c r="DQ97" s="101"/>
      <c r="DR97" s="101"/>
      <c r="DS97" s="101"/>
      <c r="DT97" s="101"/>
      <c r="DU97" s="101"/>
      <c r="DV97" s="101"/>
      <c r="DW97" s="101"/>
      <c r="DX97" s="101"/>
      <c r="DY97" s="101"/>
      <c r="DZ97" s="101"/>
      <c r="EA97" s="101"/>
      <c r="EB97" s="101"/>
      <c r="EC97" s="101"/>
      <c r="ED97" s="101"/>
      <c r="EE97" s="101"/>
      <c r="EF97" s="101"/>
      <c r="EG97" s="101"/>
      <c r="EH97" s="101"/>
      <c r="EI97" s="101"/>
      <c r="EJ97" s="101"/>
      <c r="EK97" s="101"/>
      <c r="EL97" s="101"/>
      <c r="EM97" s="101"/>
      <c r="EN97" s="101"/>
      <c r="EO97" s="101"/>
      <c r="EP97" s="101"/>
      <c r="EQ97" s="101"/>
      <c r="ER97" s="101"/>
      <c r="ES97" s="101"/>
      <c r="ET97" s="101"/>
      <c r="EU97" s="101"/>
      <c r="EV97" s="101"/>
      <c r="EW97" s="101"/>
      <c r="EX97" s="101"/>
      <c r="EY97" s="101"/>
      <c r="EZ97" s="101"/>
      <c r="FA97" s="101"/>
      <c r="FB97" s="101"/>
      <c r="FC97" s="101"/>
      <c r="FD97" s="101"/>
      <c r="FE97" s="101"/>
      <c r="FF97" s="101"/>
      <c r="FG97" s="101"/>
      <c r="FH97" s="101"/>
      <c r="FI97" s="101"/>
      <c r="FJ97" s="101"/>
      <c r="FK97" s="101"/>
      <c r="FL97" s="101"/>
      <c r="FM97" s="101"/>
      <c r="FN97" s="101"/>
      <c r="FO97" s="101"/>
      <c r="FP97" s="101"/>
      <c r="FQ97" s="101"/>
      <c r="FR97" s="101"/>
      <c r="FS97" s="101"/>
      <c r="FT97" s="101"/>
      <c r="FU97" s="101"/>
      <c r="FV97" s="101"/>
      <c r="FW97" s="101"/>
      <c r="FX97" s="101"/>
      <c r="FY97" s="101"/>
      <c r="FZ97" s="101"/>
      <c r="GA97" s="101"/>
      <c r="GB97" s="101"/>
      <c r="GC97" s="101"/>
      <c r="GD97" s="101"/>
      <c r="GE97" s="101"/>
      <c r="GF97" s="101"/>
      <c r="GG97" s="101"/>
      <c r="GH97" s="101"/>
      <c r="GI97" s="101"/>
      <c r="GJ97" s="101"/>
    </row>
    <row r="98" spans="1:192" ht="50.1" customHeight="1" outlineLevel="1" x14ac:dyDescent="0.25">
      <c r="A98" s="149" t="s">
        <v>5</v>
      </c>
      <c r="B98" s="168" t="s">
        <v>350</v>
      </c>
      <c r="C98" s="142" t="s">
        <v>239</v>
      </c>
      <c r="D98" s="168" t="s">
        <v>23</v>
      </c>
      <c r="E98" s="146" t="s">
        <v>592</v>
      </c>
      <c r="F98" s="21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74"/>
      <c r="AI98" s="74"/>
      <c r="AJ98" s="74"/>
      <c r="AK98" s="74"/>
      <c r="AL98" s="74"/>
      <c r="AM98" s="74"/>
      <c r="AN98" s="74"/>
      <c r="AO98" s="74"/>
      <c r="AP98" s="74"/>
      <c r="AQ98" s="74"/>
      <c r="AR98" s="74"/>
      <c r="AS98" s="74"/>
      <c r="AT98" s="74"/>
      <c r="AU98" s="74"/>
      <c r="AV98" s="74"/>
      <c r="AW98" s="74"/>
      <c r="AX98" s="74"/>
      <c r="AY98" s="101"/>
      <c r="AZ98" s="101"/>
      <c r="BA98" s="101"/>
      <c r="BB98" s="101"/>
      <c r="BC98" s="101"/>
      <c r="BD98" s="101"/>
      <c r="BE98" s="101"/>
      <c r="BF98" s="101"/>
      <c r="BG98" s="101"/>
      <c r="BH98" s="101"/>
      <c r="BI98" s="101"/>
      <c r="BJ98" s="101"/>
      <c r="BK98" s="101"/>
      <c r="BL98" s="101"/>
      <c r="BM98" s="101"/>
      <c r="BN98" s="101"/>
      <c r="BO98" s="101"/>
      <c r="BP98" s="101"/>
      <c r="BQ98" s="101"/>
      <c r="BR98" s="101"/>
      <c r="BS98" s="101"/>
      <c r="BT98" s="101"/>
      <c r="BU98" s="101"/>
      <c r="BV98" s="101"/>
      <c r="BW98" s="101"/>
      <c r="BX98" s="101"/>
      <c r="BY98" s="101"/>
      <c r="BZ98" s="101"/>
      <c r="CA98" s="101"/>
      <c r="CB98" s="101"/>
      <c r="CC98" s="101"/>
      <c r="CD98" s="101"/>
      <c r="CE98" s="101"/>
      <c r="CF98" s="101"/>
      <c r="CG98" s="101"/>
      <c r="CH98" s="101"/>
      <c r="CI98" s="101"/>
      <c r="CJ98" s="101"/>
      <c r="CK98" s="101"/>
      <c r="CL98" s="101"/>
      <c r="CM98" s="101"/>
      <c r="CN98" s="101"/>
      <c r="CO98" s="101"/>
      <c r="CP98" s="101"/>
      <c r="CQ98" s="101"/>
      <c r="CR98" s="101"/>
      <c r="CS98" s="101"/>
      <c r="CT98" s="101"/>
      <c r="CU98" s="101"/>
      <c r="CV98" s="101"/>
      <c r="CW98" s="101"/>
      <c r="CX98" s="101"/>
      <c r="CY98" s="101"/>
      <c r="CZ98" s="101"/>
      <c r="DA98" s="101"/>
      <c r="DB98" s="101"/>
      <c r="DC98" s="101"/>
      <c r="DD98" s="101"/>
      <c r="DE98" s="101"/>
      <c r="DF98" s="101"/>
      <c r="DG98" s="101"/>
      <c r="DH98" s="101"/>
      <c r="DI98" s="101"/>
      <c r="DJ98" s="101"/>
      <c r="DK98" s="101"/>
      <c r="DL98" s="101"/>
      <c r="DM98" s="101"/>
      <c r="DN98" s="101"/>
      <c r="DO98" s="101"/>
      <c r="DP98" s="101"/>
      <c r="DQ98" s="101"/>
      <c r="DR98" s="101"/>
      <c r="DS98" s="101"/>
      <c r="DT98" s="101"/>
      <c r="DU98" s="101"/>
      <c r="DV98" s="101"/>
      <c r="DW98" s="101"/>
      <c r="DX98" s="101"/>
      <c r="DY98" s="101"/>
      <c r="DZ98" s="101"/>
      <c r="EA98" s="101"/>
      <c r="EB98" s="101"/>
      <c r="EC98" s="101"/>
      <c r="ED98" s="101"/>
      <c r="EE98" s="101"/>
      <c r="EF98" s="101"/>
      <c r="EG98" s="101"/>
      <c r="EH98" s="101"/>
      <c r="EI98" s="101"/>
      <c r="EJ98" s="101"/>
      <c r="EK98" s="101"/>
      <c r="EL98" s="101"/>
      <c r="EM98" s="101"/>
      <c r="EN98" s="101"/>
      <c r="EO98" s="101"/>
      <c r="EP98" s="101"/>
      <c r="EQ98" s="101"/>
      <c r="ER98" s="101"/>
      <c r="ES98" s="101"/>
      <c r="ET98" s="101"/>
      <c r="EU98" s="101"/>
      <c r="EV98" s="101"/>
      <c r="EW98" s="101"/>
      <c r="EX98" s="101"/>
      <c r="EY98" s="101"/>
      <c r="EZ98" s="101"/>
      <c r="FA98" s="101"/>
      <c r="FB98" s="101"/>
      <c r="FC98" s="101"/>
      <c r="FD98" s="101"/>
      <c r="FE98" s="101"/>
      <c r="FF98" s="101"/>
      <c r="FG98" s="101"/>
      <c r="FH98" s="101"/>
      <c r="FI98" s="101"/>
      <c r="FJ98" s="101"/>
      <c r="FK98" s="101"/>
      <c r="FL98" s="101"/>
      <c r="FM98" s="101"/>
      <c r="FN98" s="101"/>
      <c r="FO98" s="101"/>
      <c r="FP98" s="101"/>
      <c r="FQ98" s="101"/>
      <c r="FR98" s="101"/>
      <c r="FS98" s="101"/>
      <c r="FT98" s="101"/>
      <c r="FU98" s="101"/>
      <c r="FV98" s="101"/>
      <c r="FW98" s="101"/>
      <c r="FX98" s="101"/>
      <c r="FY98" s="101"/>
      <c r="FZ98" s="101"/>
      <c r="GA98" s="101"/>
      <c r="GB98" s="101"/>
      <c r="GC98" s="101"/>
      <c r="GD98" s="101"/>
      <c r="GE98" s="101"/>
      <c r="GF98" s="101"/>
      <c r="GG98" s="101"/>
      <c r="GH98" s="101"/>
      <c r="GI98" s="101"/>
      <c r="GJ98" s="101"/>
    </row>
    <row r="99" spans="1:192" ht="50.1" customHeight="1" outlineLevel="1" x14ac:dyDescent="0.25">
      <c r="A99" s="149" t="s">
        <v>5</v>
      </c>
      <c r="B99" s="167" t="s">
        <v>351</v>
      </c>
      <c r="C99" s="144" t="s">
        <v>499</v>
      </c>
      <c r="D99" s="167" t="s">
        <v>22</v>
      </c>
      <c r="E99" s="144" t="s">
        <v>693</v>
      </c>
      <c r="F99" s="211"/>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101"/>
      <c r="AZ99" s="101"/>
      <c r="BA99" s="101"/>
      <c r="BB99" s="101"/>
      <c r="BC99" s="101"/>
      <c r="BD99" s="101"/>
      <c r="BE99" s="101"/>
      <c r="BF99" s="101"/>
      <c r="BG99" s="101"/>
      <c r="BH99" s="101"/>
      <c r="BI99" s="101"/>
      <c r="BJ99" s="101"/>
      <c r="BK99" s="101"/>
      <c r="BL99" s="101"/>
      <c r="BM99" s="101"/>
      <c r="BN99" s="101"/>
      <c r="BO99" s="101"/>
      <c r="BP99" s="101"/>
      <c r="BQ99" s="101"/>
      <c r="BR99" s="101"/>
      <c r="BS99" s="101"/>
      <c r="BT99" s="101"/>
      <c r="BU99" s="101"/>
      <c r="BV99" s="101"/>
      <c r="BW99" s="101"/>
      <c r="BX99" s="101"/>
      <c r="BY99" s="101"/>
      <c r="BZ99" s="101"/>
      <c r="CA99" s="101"/>
      <c r="CB99" s="101"/>
      <c r="CC99" s="101"/>
      <c r="CD99" s="101"/>
      <c r="CE99" s="101"/>
      <c r="CF99" s="101"/>
      <c r="CG99" s="101"/>
      <c r="CH99" s="101"/>
      <c r="CI99" s="101"/>
      <c r="CJ99" s="101"/>
      <c r="CK99" s="101"/>
      <c r="CL99" s="101"/>
      <c r="CM99" s="101"/>
      <c r="CN99" s="101"/>
      <c r="CO99" s="101"/>
      <c r="CP99" s="101"/>
      <c r="CQ99" s="101"/>
      <c r="CR99" s="101"/>
      <c r="CS99" s="101"/>
      <c r="CT99" s="101"/>
      <c r="CU99" s="101"/>
      <c r="CV99" s="101"/>
      <c r="CW99" s="101"/>
      <c r="CX99" s="101"/>
      <c r="CY99" s="101"/>
      <c r="CZ99" s="101"/>
      <c r="DA99" s="101"/>
      <c r="DB99" s="101"/>
      <c r="DC99" s="101"/>
      <c r="DD99" s="101"/>
      <c r="DE99" s="101"/>
      <c r="DF99" s="101"/>
      <c r="DG99" s="101"/>
      <c r="DH99" s="101"/>
      <c r="DI99" s="101"/>
      <c r="DJ99" s="101"/>
      <c r="DK99" s="101"/>
      <c r="DL99" s="101"/>
      <c r="DM99" s="101"/>
      <c r="DN99" s="101"/>
      <c r="DO99" s="101"/>
      <c r="DP99" s="101"/>
      <c r="DQ99" s="101"/>
      <c r="DR99" s="101"/>
      <c r="DS99" s="101"/>
      <c r="DT99" s="101"/>
      <c r="DU99" s="101"/>
      <c r="DV99" s="101"/>
      <c r="DW99" s="101"/>
      <c r="DX99" s="101"/>
      <c r="DY99" s="101"/>
      <c r="DZ99" s="101"/>
      <c r="EA99" s="101"/>
      <c r="EB99" s="101"/>
      <c r="EC99" s="101"/>
      <c r="ED99" s="101"/>
      <c r="EE99" s="101"/>
      <c r="EF99" s="101"/>
      <c r="EG99" s="101"/>
      <c r="EH99" s="101"/>
      <c r="EI99" s="101"/>
      <c r="EJ99" s="101"/>
      <c r="EK99" s="101"/>
      <c r="EL99" s="101"/>
      <c r="EM99" s="101"/>
      <c r="EN99" s="101"/>
      <c r="EO99" s="101"/>
      <c r="EP99" s="101"/>
      <c r="EQ99" s="101"/>
      <c r="ER99" s="101"/>
      <c r="ES99" s="101"/>
      <c r="ET99" s="101"/>
      <c r="EU99" s="101"/>
      <c r="EV99" s="101"/>
      <c r="EW99" s="101"/>
      <c r="EX99" s="101"/>
      <c r="EY99" s="101"/>
      <c r="EZ99" s="101"/>
      <c r="FA99" s="101"/>
      <c r="FB99" s="101"/>
      <c r="FC99" s="101"/>
      <c r="FD99" s="101"/>
      <c r="FE99" s="101"/>
      <c r="FF99" s="101"/>
      <c r="FG99" s="101"/>
      <c r="FH99" s="101"/>
      <c r="FI99" s="101"/>
      <c r="FJ99" s="101"/>
      <c r="FK99" s="101"/>
      <c r="FL99" s="101"/>
      <c r="FM99" s="101"/>
      <c r="FN99" s="101"/>
      <c r="FO99" s="101"/>
      <c r="FP99" s="101"/>
      <c r="FQ99" s="101"/>
      <c r="FR99" s="101"/>
      <c r="FS99" s="101"/>
      <c r="FT99" s="101"/>
      <c r="FU99" s="101"/>
      <c r="FV99" s="101"/>
      <c r="FW99" s="101"/>
      <c r="FX99" s="101"/>
      <c r="FY99" s="101"/>
      <c r="FZ99" s="101"/>
      <c r="GA99" s="101"/>
      <c r="GB99" s="101"/>
      <c r="GC99" s="101"/>
      <c r="GD99" s="101"/>
      <c r="GE99" s="101"/>
      <c r="GF99" s="101"/>
      <c r="GG99" s="101"/>
      <c r="GH99" s="101"/>
      <c r="GI99" s="101"/>
      <c r="GJ99" s="101"/>
    </row>
    <row r="100" spans="1:192" ht="50.1" customHeight="1" outlineLevel="1" x14ac:dyDescent="0.25">
      <c r="A100" s="149" t="s">
        <v>5</v>
      </c>
      <c r="B100" s="168" t="s">
        <v>352</v>
      </c>
      <c r="C100" s="142" t="s">
        <v>500</v>
      </c>
      <c r="D100" s="168" t="s">
        <v>22</v>
      </c>
      <c r="E100" s="146" t="s">
        <v>694</v>
      </c>
      <c r="F100" s="214"/>
      <c r="G100" s="74"/>
      <c r="H100" s="74"/>
      <c r="I100" s="74"/>
      <c r="J100" s="74"/>
      <c r="K100" s="74"/>
      <c r="L100" s="74"/>
      <c r="M100" s="74"/>
      <c r="N100" s="74"/>
      <c r="O100" s="74"/>
      <c r="P100" s="74"/>
      <c r="Q100" s="74"/>
      <c r="R100" s="74"/>
      <c r="S100" s="74"/>
      <c r="T100" s="74"/>
      <c r="U100" s="74"/>
      <c r="V100" s="74"/>
      <c r="W100" s="74"/>
      <c r="X100" s="74"/>
      <c r="Y100" s="74"/>
      <c r="Z100" s="74"/>
      <c r="AA100" s="74"/>
      <c r="AB100" s="74"/>
      <c r="AC100" s="74"/>
      <c r="AD100" s="74"/>
      <c r="AE100" s="74"/>
      <c r="AF100" s="74"/>
      <c r="AG100" s="74"/>
      <c r="AH100" s="74"/>
      <c r="AI100" s="74"/>
      <c r="AJ100" s="74"/>
      <c r="AK100" s="74"/>
      <c r="AL100" s="74"/>
      <c r="AM100" s="74"/>
      <c r="AN100" s="74"/>
      <c r="AO100" s="74"/>
      <c r="AP100" s="74"/>
      <c r="AQ100" s="74"/>
      <c r="AR100" s="74"/>
      <c r="AS100" s="74"/>
      <c r="AT100" s="74"/>
      <c r="AU100" s="74"/>
      <c r="AV100" s="74"/>
      <c r="AW100" s="74"/>
      <c r="AX100" s="74"/>
      <c r="AY100" s="101"/>
      <c r="AZ100" s="101"/>
      <c r="BA100" s="101"/>
      <c r="BB100" s="101"/>
      <c r="BC100" s="101"/>
      <c r="BD100" s="101"/>
      <c r="BE100" s="101"/>
      <c r="BF100" s="101"/>
      <c r="BG100" s="101"/>
      <c r="BH100" s="101"/>
      <c r="BI100" s="101"/>
      <c r="BJ100" s="101"/>
      <c r="BK100" s="101"/>
      <c r="BL100" s="101"/>
      <c r="BM100" s="101"/>
      <c r="BN100" s="101"/>
      <c r="BO100" s="101"/>
      <c r="BP100" s="101"/>
      <c r="BQ100" s="101"/>
      <c r="BR100" s="101"/>
      <c r="BS100" s="101"/>
      <c r="BT100" s="101"/>
      <c r="BU100" s="101"/>
      <c r="BV100" s="101"/>
      <c r="BW100" s="101"/>
      <c r="BX100" s="101"/>
      <c r="BY100" s="101"/>
      <c r="BZ100" s="101"/>
      <c r="CA100" s="101"/>
      <c r="CB100" s="101"/>
      <c r="CC100" s="101"/>
      <c r="CD100" s="101"/>
      <c r="CE100" s="101"/>
      <c r="CF100" s="101"/>
      <c r="CG100" s="101"/>
      <c r="CH100" s="101"/>
      <c r="CI100" s="101"/>
      <c r="CJ100" s="101"/>
      <c r="CK100" s="101"/>
      <c r="CL100" s="101"/>
      <c r="CM100" s="101"/>
      <c r="CN100" s="101"/>
      <c r="CO100" s="101"/>
      <c r="CP100" s="101"/>
      <c r="CQ100" s="101"/>
      <c r="CR100" s="101"/>
      <c r="CS100" s="101"/>
      <c r="CT100" s="101"/>
      <c r="CU100" s="101"/>
      <c r="CV100" s="101"/>
      <c r="CW100" s="101"/>
      <c r="CX100" s="101"/>
      <c r="CY100" s="101"/>
      <c r="CZ100" s="101"/>
      <c r="DA100" s="101"/>
      <c r="DB100" s="101"/>
      <c r="DC100" s="101"/>
      <c r="DD100" s="101"/>
      <c r="DE100" s="101"/>
      <c r="DF100" s="101"/>
      <c r="DG100" s="101"/>
      <c r="DH100" s="101"/>
      <c r="DI100" s="101"/>
      <c r="DJ100" s="101"/>
      <c r="DK100" s="101"/>
      <c r="DL100" s="101"/>
      <c r="DM100" s="101"/>
      <c r="DN100" s="101"/>
      <c r="DO100" s="101"/>
      <c r="DP100" s="101"/>
      <c r="DQ100" s="101"/>
      <c r="DR100" s="101"/>
      <c r="DS100" s="101"/>
      <c r="DT100" s="101"/>
      <c r="DU100" s="101"/>
      <c r="DV100" s="101"/>
      <c r="DW100" s="101"/>
      <c r="DX100" s="101"/>
      <c r="DY100" s="101"/>
      <c r="DZ100" s="101"/>
      <c r="EA100" s="101"/>
      <c r="EB100" s="101"/>
      <c r="EC100" s="101"/>
      <c r="ED100" s="101"/>
      <c r="EE100" s="101"/>
      <c r="EF100" s="101"/>
      <c r="EG100" s="101"/>
      <c r="EH100" s="101"/>
      <c r="EI100" s="101"/>
      <c r="EJ100" s="101"/>
      <c r="EK100" s="101"/>
      <c r="EL100" s="101"/>
      <c r="EM100" s="101"/>
      <c r="EN100" s="101"/>
      <c r="EO100" s="101"/>
      <c r="EP100" s="101"/>
      <c r="EQ100" s="101"/>
      <c r="ER100" s="101"/>
      <c r="ES100" s="101"/>
      <c r="ET100" s="101"/>
      <c r="EU100" s="101"/>
      <c r="EV100" s="101"/>
      <c r="EW100" s="101"/>
      <c r="EX100" s="101"/>
      <c r="EY100" s="101"/>
      <c r="EZ100" s="101"/>
      <c r="FA100" s="101"/>
      <c r="FB100" s="101"/>
      <c r="FC100" s="101"/>
      <c r="FD100" s="101"/>
      <c r="FE100" s="101"/>
      <c r="FF100" s="101"/>
      <c r="FG100" s="101"/>
      <c r="FH100" s="101"/>
      <c r="FI100" s="101"/>
      <c r="FJ100" s="101"/>
      <c r="FK100" s="101"/>
      <c r="FL100" s="101"/>
      <c r="FM100" s="101"/>
      <c r="FN100" s="101"/>
      <c r="FO100" s="101"/>
      <c r="FP100" s="101"/>
      <c r="FQ100" s="101"/>
      <c r="FR100" s="101"/>
      <c r="FS100" s="101"/>
      <c r="FT100" s="101"/>
      <c r="FU100" s="101"/>
      <c r="FV100" s="101"/>
      <c r="FW100" s="101"/>
      <c r="FX100" s="101"/>
      <c r="FY100" s="101"/>
      <c r="FZ100" s="101"/>
      <c r="GA100" s="101"/>
      <c r="GB100" s="101"/>
      <c r="GC100" s="101"/>
      <c r="GD100" s="101"/>
      <c r="GE100" s="101"/>
      <c r="GF100" s="101"/>
      <c r="GG100" s="101"/>
      <c r="GH100" s="101"/>
      <c r="GI100" s="101"/>
      <c r="GJ100" s="101"/>
    </row>
    <row r="101" spans="1:192" ht="50.1" customHeight="1" outlineLevel="1" x14ac:dyDescent="0.25">
      <c r="A101" s="149" t="s">
        <v>5</v>
      </c>
      <c r="B101" s="167" t="s">
        <v>353</v>
      </c>
      <c r="C101" s="144" t="s">
        <v>501</v>
      </c>
      <c r="D101" s="167" t="s">
        <v>22</v>
      </c>
      <c r="E101" s="147" t="s">
        <v>593</v>
      </c>
      <c r="F101" s="211"/>
      <c r="G101" s="74"/>
      <c r="H101" s="74"/>
      <c r="I101" s="74"/>
      <c r="J101" s="74"/>
      <c r="K101" s="74"/>
      <c r="L101" s="74"/>
      <c r="M101" s="74"/>
      <c r="N101" s="74"/>
      <c r="O101" s="74"/>
      <c r="P101" s="74"/>
      <c r="Q101" s="74"/>
      <c r="R101" s="74"/>
      <c r="S101" s="74"/>
      <c r="T101" s="74"/>
      <c r="U101" s="74"/>
      <c r="V101" s="74"/>
      <c r="W101" s="74"/>
      <c r="X101" s="74"/>
      <c r="Y101" s="74"/>
      <c r="Z101" s="74"/>
      <c r="AA101" s="74"/>
      <c r="AB101" s="74"/>
      <c r="AC101" s="74"/>
      <c r="AD101" s="74"/>
      <c r="AE101" s="74"/>
      <c r="AF101" s="74"/>
      <c r="AG101" s="74"/>
      <c r="AH101" s="74"/>
      <c r="AI101" s="74"/>
      <c r="AJ101" s="74"/>
      <c r="AK101" s="74"/>
      <c r="AL101" s="74"/>
      <c r="AM101" s="74"/>
      <c r="AN101" s="74"/>
      <c r="AO101" s="74"/>
      <c r="AP101" s="74"/>
      <c r="AQ101" s="74"/>
      <c r="AR101" s="74"/>
      <c r="AS101" s="74"/>
      <c r="AT101" s="74"/>
      <c r="AU101" s="74"/>
      <c r="AV101" s="74"/>
      <c r="AW101" s="74"/>
      <c r="AX101" s="74"/>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c r="BS101" s="101"/>
      <c r="BT101" s="101"/>
      <c r="BU101" s="101"/>
      <c r="BV101" s="101"/>
      <c r="BW101" s="101"/>
      <c r="BX101" s="101"/>
      <c r="BY101" s="101"/>
      <c r="BZ101" s="101"/>
      <c r="CA101" s="101"/>
      <c r="CB101" s="101"/>
      <c r="CC101" s="101"/>
      <c r="CD101" s="101"/>
      <c r="CE101" s="101"/>
      <c r="CF101" s="101"/>
      <c r="CG101" s="101"/>
      <c r="CH101" s="101"/>
      <c r="CI101" s="101"/>
      <c r="CJ101" s="101"/>
      <c r="CK101" s="101"/>
      <c r="CL101" s="101"/>
      <c r="CM101" s="101"/>
      <c r="CN101" s="101"/>
      <c r="CO101" s="101"/>
      <c r="CP101" s="101"/>
      <c r="CQ101" s="101"/>
      <c r="CR101" s="101"/>
      <c r="CS101" s="101"/>
      <c r="CT101" s="101"/>
      <c r="CU101" s="101"/>
      <c r="CV101" s="101"/>
      <c r="CW101" s="101"/>
      <c r="CX101" s="101"/>
      <c r="CY101" s="101"/>
      <c r="CZ101" s="101"/>
      <c r="DA101" s="101"/>
      <c r="DB101" s="101"/>
      <c r="DC101" s="101"/>
      <c r="DD101" s="101"/>
      <c r="DE101" s="101"/>
      <c r="DF101" s="101"/>
      <c r="DG101" s="101"/>
      <c r="DH101" s="101"/>
      <c r="DI101" s="101"/>
      <c r="DJ101" s="101"/>
      <c r="DK101" s="101"/>
      <c r="DL101" s="101"/>
      <c r="DM101" s="101"/>
      <c r="DN101" s="101"/>
      <c r="DO101" s="101"/>
      <c r="DP101" s="101"/>
      <c r="DQ101" s="101"/>
      <c r="DR101" s="101"/>
      <c r="DS101" s="101"/>
      <c r="DT101" s="101"/>
      <c r="DU101" s="101"/>
      <c r="DV101" s="101"/>
      <c r="DW101" s="101"/>
      <c r="DX101" s="101"/>
      <c r="DY101" s="101"/>
      <c r="DZ101" s="101"/>
      <c r="EA101" s="101"/>
      <c r="EB101" s="101"/>
      <c r="EC101" s="101"/>
      <c r="ED101" s="101"/>
      <c r="EE101" s="101"/>
      <c r="EF101" s="101"/>
      <c r="EG101" s="101"/>
      <c r="EH101" s="101"/>
      <c r="EI101" s="101"/>
      <c r="EJ101" s="101"/>
      <c r="EK101" s="101"/>
      <c r="EL101" s="101"/>
      <c r="EM101" s="101"/>
      <c r="EN101" s="101"/>
      <c r="EO101" s="101"/>
      <c r="EP101" s="101"/>
      <c r="EQ101" s="101"/>
      <c r="ER101" s="101"/>
      <c r="ES101" s="101"/>
      <c r="ET101" s="101"/>
      <c r="EU101" s="101"/>
      <c r="EV101" s="101"/>
      <c r="EW101" s="101"/>
      <c r="EX101" s="101"/>
      <c r="EY101" s="101"/>
      <c r="EZ101" s="101"/>
      <c r="FA101" s="101"/>
      <c r="FB101" s="101"/>
      <c r="FC101" s="101"/>
      <c r="FD101" s="101"/>
      <c r="FE101" s="101"/>
      <c r="FF101" s="101"/>
      <c r="FG101" s="101"/>
      <c r="FH101" s="101"/>
      <c r="FI101" s="101"/>
      <c r="FJ101" s="101"/>
      <c r="FK101" s="101"/>
      <c r="FL101" s="101"/>
      <c r="FM101" s="101"/>
      <c r="FN101" s="101"/>
      <c r="FO101" s="101"/>
      <c r="FP101" s="101"/>
      <c r="FQ101" s="101"/>
      <c r="FR101" s="101"/>
      <c r="FS101" s="101"/>
      <c r="FT101" s="101"/>
      <c r="FU101" s="101"/>
      <c r="FV101" s="101"/>
      <c r="FW101" s="101"/>
      <c r="FX101" s="101"/>
      <c r="FY101" s="101"/>
      <c r="FZ101" s="101"/>
      <c r="GA101" s="101"/>
      <c r="GB101" s="101"/>
      <c r="GC101" s="101"/>
      <c r="GD101" s="101"/>
      <c r="GE101" s="101"/>
      <c r="GF101" s="101"/>
      <c r="GG101" s="101"/>
      <c r="GH101" s="101"/>
      <c r="GI101" s="101"/>
      <c r="GJ101" s="101"/>
    </row>
    <row r="102" spans="1:192" ht="50.1" customHeight="1" outlineLevel="1" x14ac:dyDescent="0.25">
      <c r="A102" s="149" t="s">
        <v>5</v>
      </c>
      <c r="B102" s="168" t="s">
        <v>354</v>
      </c>
      <c r="C102" s="141" t="s">
        <v>502</v>
      </c>
      <c r="D102" s="169" t="s">
        <v>22</v>
      </c>
      <c r="E102" s="141" t="s">
        <v>594</v>
      </c>
      <c r="F102" s="209"/>
      <c r="G102" s="74"/>
      <c r="H102" s="74"/>
      <c r="I102" s="74"/>
      <c r="J102" s="74"/>
      <c r="K102" s="74"/>
      <c r="L102" s="74"/>
      <c r="M102" s="74"/>
      <c r="N102" s="74"/>
      <c r="O102" s="74"/>
      <c r="P102" s="74"/>
      <c r="Q102" s="74"/>
      <c r="R102" s="74"/>
      <c r="S102" s="74"/>
      <c r="T102" s="74"/>
      <c r="U102" s="74"/>
      <c r="V102" s="74"/>
      <c r="W102" s="74"/>
      <c r="X102" s="74"/>
      <c r="Y102" s="74"/>
      <c r="Z102" s="74"/>
      <c r="AA102" s="74"/>
      <c r="AB102" s="74"/>
      <c r="AC102" s="74"/>
      <c r="AD102" s="74"/>
      <c r="AE102" s="74"/>
      <c r="AF102" s="74"/>
      <c r="AG102" s="74"/>
      <c r="AH102" s="74"/>
      <c r="AI102" s="74"/>
      <c r="AJ102" s="74"/>
      <c r="AK102" s="74"/>
      <c r="AL102" s="74"/>
      <c r="AM102" s="74"/>
      <c r="AN102" s="74"/>
      <c r="AO102" s="74"/>
      <c r="AP102" s="74"/>
      <c r="AQ102" s="74"/>
      <c r="AR102" s="74"/>
      <c r="AS102" s="74"/>
      <c r="AT102" s="74"/>
      <c r="AU102" s="74"/>
      <c r="AV102" s="74"/>
      <c r="AW102" s="74"/>
      <c r="AX102" s="74"/>
      <c r="AY102" s="101"/>
      <c r="AZ102" s="101"/>
      <c r="BA102" s="101"/>
      <c r="BB102" s="101"/>
      <c r="BC102" s="101"/>
      <c r="BD102" s="101"/>
      <c r="BE102" s="101"/>
      <c r="BF102" s="101"/>
      <c r="BG102" s="101"/>
      <c r="BH102" s="101"/>
      <c r="BI102" s="101"/>
      <c r="BJ102" s="101"/>
      <c r="BK102" s="101"/>
      <c r="BL102" s="101"/>
      <c r="BM102" s="101"/>
      <c r="BN102" s="101"/>
      <c r="BO102" s="101"/>
      <c r="BP102" s="101"/>
      <c r="BQ102" s="101"/>
      <c r="BR102" s="101"/>
      <c r="BS102" s="101"/>
      <c r="BT102" s="101"/>
      <c r="BU102" s="101"/>
      <c r="BV102" s="101"/>
      <c r="BW102" s="101"/>
      <c r="BX102" s="101"/>
      <c r="BY102" s="101"/>
      <c r="BZ102" s="101"/>
      <c r="CA102" s="101"/>
      <c r="CB102" s="101"/>
      <c r="CC102" s="101"/>
      <c r="CD102" s="101"/>
      <c r="CE102" s="101"/>
      <c r="CF102" s="101"/>
      <c r="CG102" s="101"/>
      <c r="CH102" s="101"/>
      <c r="CI102" s="101"/>
      <c r="CJ102" s="101"/>
      <c r="CK102" s="101"/>
      <c r="CL102" s="101"/>
      <c r="CM102" s="101"/>
      <c r="CN102" s="101"/>
      <c r="CO102" s="101"/>
      <c r="CP102" s="101"/>
      <c r="CQ102" s="101"/>
      <c r="CR102" s="101"/>
      <c r="CS102" s="101"/>
      <c r="CT102" s="101"/>
      <c r="CU102" s="101"/>
      <c r="CV102" s="101"/>
      <c r="CW102" s="101"/>
      <c r="CX102" s="101"/>
      <c r="CY102" s="101"/>
      <c r="CZ102" s="101"/>
      <c r="DA102" s="101"/>
      <c r="DB102" s="101"/>
      <c r="DC102" s="101"/>
      <c r="DD102" s="101"/>
      <c r="DE102" s="101"/>
      <c r="DF102" s="101"/>
      <c r="DG102" s="101"/>
      <c r="DH102" s="101"/>
      <c r="DI102" s="101"/>
      <c r="DJ102" s="101"/>
      <c r="DK102" s="101"/>
      <c r="DL102" s="101"/>
      <c r="DM102" s="101"/>
      <c r="DN102" s="101"/>
      <c r="DO102" s="101"/>
      <c r="DP102" s="101"/>
      <c r="DQ102" s="101"/>
      <c r="DR102" s="101"/>
      <c r="DS102" s="101"/>
      <c r="DT102" s="101"/>
      <c r="DU102" s="101"/>
      <c r="DV102" s="101"/>
      <c r="DW102" s="101"/>
      <c r="DX102" s="101"/>
      <c r="DY102" s="101"/>
      <c r="DZ102" s="101"/>
      <c r="EA102" s="101"/>
      <c r="EB102" s="101"/>
      <c r="EC102" s="101"/>
      <c r="ED102" s="101"/>
      <c r="EE102" s="101"/>
      <c r="EF102" s="101"/>
      <c r="EG102" s="101"/>
      <c r="EH102" s="101"/>
      <c r="EI102" s="101"/>
      <c r="EJ102" s="101"/>
      <c r="EK102" s="101"/>
      <c r="EL102" s="101"/>
      <c r="EM102" s="101"/>
      <c r="EN102" s="101"/>
      <c r="EO102" s="101"/>
      <c r="EP102" s="101"/>
      <c r="EQ102" s="101"/>
      <c r="ER102" s="101"/>
      <c r="ES102" s="101"/>
      <c r="ET102" s="101"/>
      <c r="EU102" s="101"/>
      <c r="EV102" s="101"/>
      <c r="EW102" s="101"/>
      <c r="EX102" s="101"/>
      <c r="EY102" s="101"/>
      <c r="EZ102" s="101"/>
      <c r="FA102" s="101"/>
      <c r="FB102" s="101"/>
      <c r="FC102" s="101"/>
      <c r="FD102" s="101"/>
      <c r="FE102" s="101"/>
      <c r="FF102" s="101"/>
      <c r="FG102" s="101"/>
      <c r="FH102" s="101"/>
      <c r="FI102" s="101"/>
      <c r="FJ102" s="101"/>
      <c r="FK102" s="101"/>
      <c r="FL102" s="101"/>
      <c r="FM102" s="101"/>
      <c r="FN102" s="101"/>
      <c r="FO102" s="101"/>
      <c r="FP102" s="101"/>
      <c r="FQ102" s="101"/>
      <c r="FR102" s="101"/>
      <c r="FS102" s="101"/>
      <c r="FT102" s="101"/>
      <c r="FU102" s="101"/>
      <c r="FV102" s="101"/>
      <c r="FW102" s="101"/>
      <c r="FX102" s="101"/>
      <c r="FY102" s="101"/>
      <c r="FZ102" s="101"/>
      <c r="GA102" s="101"/>
      <c r="GB102" s="101"/>
      <c r="GC102" s="101"/>
      <c r="GD102" s="101"/>
      <c r="GE102" s="101"/>
      <c r="GF102" s="101"/>
      <c r="GG102" s="101"/>
      <c r="GH102" s="101"/>
      <c r="GI102" s="101"/>
      <c r="GJ102" s="101"/>
    </row>
    <row r="103" spans="1:192" ht="50.1" customHeight="1" outlineLevel="1" x14ac:dyDescent="0.25">
      <c r="A103" s="149" t="s">
        <v>5</v>
      </c>
      <c r="B103" s="167" t="s">
        <v>355</v>
      </c>
      <c r="C103" s="144" t="s">
        <v>503</v>
      </c>
      <c r="D103" s="167" t="s">
        <v>22</v>
      </c>
      <c r="E103" s="144" t="s">
        <v>595</v>
      </c>
      <c r="F103" s="211"/>
      <c r="G103" s="74"/>
      <c r="H103" s="74"/>
      <c r="I103" s="74"/>
      <c r="J103" s="74"/>
      <c r="K103" s="74"/>
      <c r="L103" s="74"/>
      <c r="M103" s="74"/>
      <c r="N103" s="74"/>
      <c r="O103" s="74"/>
      <c r="P103" s="74"/>
      <c r="Q103" s="74"/>
      <c r="R103" s="74"/>
      <c r="S103" s="74"/>
      <c r="T103" s="74"/>
      <c r="U103" s="74"/>
      <c r="V103" s="74"/>
      <c r="W103" s="74"/>
      <c r="X103" s="74"/>
      <c r="Y103" s="74"/>
      <c r="Z103" s="74"/>
      <c r="AA103" s="74"/>
      <c r="AB103" s="74"/>
      <c r="AC103" s="74"/>
      <c r="AD103" s="74"/>
      <c r="AE103" s="74"/>
      <c r="AF103" s="74"/>
      <c r="AG103" s="74"/>
      <c r="AH103" s="74"/>
      <c r="AI103" s="74"/>
      <c r="AJ103" s="74"/>
      <c r="AK103" s="74"/>
      <c r="AL103" s="74"/>
      <c r="AM103" s="74"/>
      <c r="AN103" s="74"/>
      <c r="AO103" s="74"/>
      <c r="AP103" s="74"/>
      <c r="AQ103" s="74"/>
      <c r="AR103" s="74"/>
      <c r="AS103" s="74"/>
      <c r="AT103" s="74"/>
      <c r="AU103" s="74"/>
      <c r="AV103" s="74"/>
      <c r="AW103" s="74"/>
      <c r="AX103" s="74"/>
      <c r="AY103" s="101"/>
      <c r="AZ103" s="101"/>
      <c r="BA103" s="101"/>
      <c r="BB103" s="101"/>
      <c r="BC103" s="101"/>
      <c r="BD103" s="101"/>
      <c r="BE103" s="101"/>
      <c r="BF103" s="101"/>
      <c r="BG103" s="101"/>
      <c r="BH103" s="101"/>
      <c r="BI103" s="101"/>
      <c r="BJ103" s="101"/>
      <c r="BK103" s="101"/>
      <c r="BL103" s="101"/>
      <c r="BM103" s="101"/>
      <c r="BN103" s="101"/>
      <c r="BO103" s="101"/>
      <c r="BP103" s="101"/>
      <c r="BQ103" s="101"/>
      <c r="BR103" s="101"/>
      <c r="BS103" s="101"/>
      <c r="BT103" s="101"/>
      <c r="BU103" s="101"/>
      <c r="BV103" s="101"/>
      <c r="BW103" s="101"/>
      <c r="BX103" s="101"/>
      <c r="BY103" s="101"/>
      <c r="BZ103" s="101"/>
      <c r="CA103" s="101"/>
      <c r="CB103" s="101"/>
      <c r="CC103" s="101"/>
      <c r="CD103" s="101"/>
      <c r="CE103" s="101"/>
      <c r="CF103" s="101"/>
      <c r="CG103" s="101"/>
      <c r="CH103" s="101"/>
      <c r="CI103" s="101"/>
      <c r="CJ103" s="101"/>
      <c r="CK103" s="101"/>
      <c r="CL103" s="101"/>
      <c r="CM103" s="101"/>
      <c r="CN103" s="101"/>
      <c r="CO103" s="101"/>
      <c r="CP103" s="101"/>
      <c r="CQ103" s="101"/>
      <c r="CR103" s="101"/>
      <c r="CS103" s="101"/>
      <c r="CT103" s="101"/>
      <c r="CU103" s="101"/>
      <c r="CV103" s="101"/>
      <c r="CW103" s="101"/>
      <c r="CX103" s="101"/>
      <c r="CY103" s="101"/>
      <c r="CZ103" s="101"/>
      <c r="DA103" s="101"/>
      <c r="DB103" s="101"/>
      <c r="DC103" s="101"/>
      <c r="DD103" s="101"/>
      <c r="DE103" s="101"/>
      <c r="DF103" s="101"/>
      <c r="DG103" s="101"/>
      <c r="DH103" s="101"/>
      <c r="DI103" s="101"/>
      <c r="DJ103" s="101"/>
      <c r="DK103" s="101"/>
      <c r="DL103" s="101"/>
      <c r="DM103" s="101"/>
      <c r="DN103" s="101"/>
      <c r="DO103" s="101"/>
      <c r="DP103" s="101"/>
      <c r="DQ103" s="101"/>
      <c r="DR103" s="101"/>
      <c r="DS103" s="101"/>
      <c r="DT103" s="101"/>
      <c r="DU103" s="101"/>
      <c r="DV103" s="101"/>
      <c r="DW103" s="101"/>
      <c r="DX103" s="101"/>
      <c r="DY103" s="101"/>
      <c r="DZ103" s="101"/>
      <c r="EA103" s="101"/>
      <c r="EB103" s="101"/>
      <c r="EC103" s="101"/>
      <c r="ED103" s="101"/>
      <c r="EE103" s="101"/>
      <c r="EF103" s="101"/>
      <c r="EG103" s="101"/>
      <c r="EH103" s="101"/>
      <c r="EI103" s="101"/>
      <c r="EJ103" s="101"/>
      <c r="EK103" s="101"/>
      <c r="EL103" s="101"/>
      <c r="EM103" s="101"/>
      <c r="EN103" s="101"/>
      <c r="EO103" s="101"/>
      <c r="EP103" s="101"/>
      <c r="EQ103" s="101"/>
      <c r="ER103" s="101"/>
      <c r="ES103" s="101"/>
      <c r="ET103" s="101"/>
      <c r="EU103" s="101"/>
      <c r="EV103" s="101"/>
      <c r="EW103" s="101"/>
      <c r="EX103" s="101"/>
      <c r="EY103" s="101"/>
      <c r="EZ103" s="101"/>
      <c r="FA103" s="101"/>
      <c r="FB103" s="101"/>
      <c r="FC103" s="101"/>
      <c r="FD103" s="101"/>
      <c r="FE103" s="101"/>
      <c r="FF103" s="101"/>
      <c r="FG103" s="101"/>
      <c r="FH103" s="101"/>
      <c r="FI103" s="101"/>
      <c r="FJ103" s="101"/>
      <c r="FK103" s="101"/>
      <c r="FL103" s="101"/>
      <c r="FM103" s="101"/>
      <c r="FN103" s="101"/>
      <c r="FO103" s="101"/>
      <c r="FP103" s="101"/>
      <c r="FQ103" s="101"/>
      <c r="FR103" s="101"/>
      <c r="FS103" s="101"/>
      <c r="FT103" s="101"/>
      <c r="FU103" s="101"/>
      <c r="FV103" s="101"/>
      <c r="FW103" s="101"/>
      <c r="FX103" s="101"/>
      <c r="FY103" s="101"/>
      <c r="FZ103" s="101"/>
      <c r="GA103" s="101"/>
      <c r="GB103" s="101"/>
      <c r="GC103" s="101"/>
      <c r="GD103" s="101"/>
      <c r="GE103" s="101"/>
      <c r="GF103" s="101"/>
      <c r="GG103" s="101"/>
      <c r="GH103" s="101"/>
      <c r="GI103" s="101"/>
      <c r="GJ103" s="101"/>
    </row>
    <row r="104" spans="1:192" ht="50.1" customHeight="1" outlineLevel="1" x14ac:dyDescent="0.25">
      <c r="A104" s="149" t="s">
        <v>5</v>
      </c>
      <c r="B104" s="168" t="s">
        <v>356</v>
      </c>
      <c r="C104" s="141" t="s">
        <v>504</v>
      </c>
      <c r="D104" s="169" t="s">
        <v>22</v>
      </c>
      <c r="E104" s="198" t="s">
        <v>596</v>
      </c>
      <c r="F104" s="209"/>
      <c r="G104" s="74"/>
      <c r="H104" s="74"/>
      <c r="I104" s="74"/>
      <c r="J104" s="74"/>
      <c r="K104" s="74"/>
      <c r="L104" s="74"/>
      <c r="M104" s="74"/>
      <c r="N104" s="74"/>
      <c r="O104" s="74"/>
      <c r="P104" s="74"/>
      <c r="Q104" s="74"/>
      <c r="R104" s="74"/>
      <c r="S104" s="74"/>
      <c r="T104" s="74"/>
      <c r="U104" s="74"/>
      <c r="V104" s="74"/>
      <c r="W104" s="74"/>
      <c r="X104" s="74"/>
      <c r="Y104" s="74"/>
      <c r="Z104" s="74"/>
      <c r="AA104" s="74"/>
      <c r="AB104" s="74"/>
      <c r="AC104" s="74"/>
      <c r="AD104" s="74"/>
      <c r="AE104" s="74"/>
      <c r="AF104" s="74"/>
      <c r="AG104" s="74"/>
      <c r="AH104" s="74"/>
      <c r="AI104" s="74"/>
      <c r="AJ104" s="74"/>
      <c r="AK104" s="74"/>
      <c r="AL104" s="74"/>
      <c r="AM104" s="74"/>
      <c r="AN104" s="74"/>
      <c r="AO104" s="74"/>
      <c r="AP104" s="74"/>
      <c r="AQ104" s="74"/>
      <c r="AR104" s="74"/>
      <c r="AS104" s="74"/>
      <c r="AT104" s="74"/>
      <c r="AU104" s="74"/>
      <c r="AV104" s="74"/>
      <c r="AW104" s="74"/>
      <c r="AX104" s="74"/>
      <c r="AY104" s="101"/>
      <c r="AZ104" s="101"/>
      <c r="BA104" s="101"/>
      <c r="BB104" s="101"/>
      <c r="BC104" s="101"/>
      <c r="BD104" s="101"/>
      <c r="BE104" s="101"/>
      <c r="BF104" s="101"/>
      <c r="BG104" s="101"/>
      <c r="BH104" s="101"/>
      <c r="BI104" s="101"/>
      <c r="BJ104" s="101"/>
      <c r="BK104" s="101"/>
      <c r="BL104" s="101"/>
      <c r="BM104" s="101"/>
      <c r="BN104" s="101"/>
      <c r="BO104" s="101"/>
      <c r="BP104" s="101"/>
      <c r="BQ104" s="101"/>
      <c r="BR104" s="101"/>
      <c r="BS104" s="101"/>
      <c r="BT104" s="101"/>
      <c r="BU104" s="101"/>
      <c r="BV104" s="101"/>
      <c r="BW104" s="101"/>
      <c r="BX104" s="101"/>
      <c r="BY104" s="101"/>
      <c r="BZ104" s="101"/>
      <c r="CA104" s="101"/>
      <c r="CB104" s="101"/>
      <c r="CC104" s="101"/>
      <c r="CD104" s="101"/>
      <c r="CE104" s="101"/>
      <c r="CF104" s="101"/>
      <c r="CG104" s="101"/>
      <c r="CH104" s="101"/>
      <c r="CI104" s="101"/>
      <c r="CJ104" s="101"/>
      <c r="CK104" s="101"/>
      <c r="CL104" s="101"/>
      <c r="CM104" s="101"/>
      <c r="CN104" s="101"/>
      <c r="CO104" s="101"/>
      <c r="CP104" s="101"/>
      <c r="CQ104" s="101"/>
      <c r="CR104" s="101"/>
      <c r="CS104" s="101"/>
      <c r="CT104" s="101"/>
      <c r="CU104" s="101"/>
      <c r="CV104" s="101"/>
      <c r="CW104" s="101"/>
      <c r="CX104" s="101"/>
      <c r="CY104" s="101"/>
      <c r="CZ104" s="101"/>
      <c r="DA104" s="101"/>
      <c r="DB104" s="101"/>
      <c r="DC104" s="101"/>
      <c r="DD104" s="101"/>
      <c r="DE104" s="101"/>
      <c r="DF104" s="101"/>
      <c r="DG104" s="101"/>
      <c r="DH104" s="101"/>
      <c r="DI104" s="101"/>
      <c r="DJ104" s="101"/>
      <c r="DK104" s="101"/>
      <c r="DL104" s="101"/>
      <c r="DM104" s="101"/>
      <c r="DN104" s="101"/>
      <c r="DO104" s="101"/>
      <c r="DP104" s="101"/>
      <c r="DQ104" s="101"/>
      <c r="DR104" s="101"/>
      <c r="DS104" s="101"/>
      <c r="DT104" s="101"/>
      <c r="DU104" s="101"/>
      <c r="DV104" s="101"/>
      <c r="DW104" s="101"/>
      <c r="DX104" s="101"/>
      <c r="DY104" s="101"/>
      <c r="DZ104" s="101"/>
      <c r="EA104" s="101"/>
      <c r="EB104" s="101"/>
      <c r="EC104" s="101"/>
      <c r="ED104" s="101"/>
      <c r="EE104" s="101"/>
      <c r="EF104" s="101"/>
      <c r="EG104" s="101"/>
      <c r="EH104" s="101"/>
      <c r="EI104" s="101"/>
      <c r="EJ104" s="101"/>
      <c r="EK104" s="101"/>
      <c r="EL104" s="101"/>
      <c r="EM104" s="101"/>
      <c r="EN104" s="101"/>
      <c r="EO104" s="101"/>
      <c r="EP104" s="101"/>
      <c r="EQ104" s="101"/>
      <c r="ER104" s="101"/>
      <c r="ES104" s="101"/>
      <c r="ET104" s="101"/>
      <c r="EU104" s="101"/>
      <c r="EV104" s="101"/>
      <c r="EW104" s="101"/>
      <c r="EX104" s="101"/>
      <c r="EY104" s="101"/>
      <c r="EZ104" s="101"/>
      <c r="FA104" s="101"/>
      <c r="FB104" s="101"/>
      <c r="FC104" s="101"/>
      <c r="FD104" s="101"/>
      <c r="FE104" s="101"/>
      <c r="FF104" s="101"/>
      <c r="FG104" s="101"/>
      <c r="FH104" s="101"/>
      <c r="FI104" s="101"/>
      <c r="FJ104" s="101"/>
      <c r="FK104" s="101"/>
      <c r="FL104" s="101"/>
      <c r="FM104" s="101"/>
      <c r="FN104" s="101"/>
      <c r="FO104" s="101"/>
      <c r="FP104" s="101"/>
      <c r="FQ104" s="101"/>
      <c r="FR104" s="101"/>
      <c r="FS104" s="101"/>
      <c r="FT104" s="101"/>
      <c r="FU104" s="101"/>
      <c r="FV104" s="101"/>
      <c r="FW104" s="101"/>
      <c r="FX104" s="101"/>
      <c r="FY104" s="101"/>
      <c r="FZ104" s="101"/>
      <c r="GA104" s="101"/>
      <c r="GB104" s="101"/>
      <c r="GC104" s="101"/>
      <c r="GD104" s="101"/>
      <c r="GE104" s="101"/>
      <c r="GF104" s="101"/>
      <c r="GG104" s="101"/>
      <c r="GH104" s="101"/>
      <c r="GI104" s="101"/>
      <c r="GJ104" s="101"/>
    </row>
    <row r="105" spans="1:192" ht="50.1" customHeight="1" outlineLevel="1" x14ac:dyDescent="0.25">
      <c r="A105" s="148" t="s">
        <v>240</v>
      </c>
      <c r="B105" s="167" t="s">
        <v>357</v>
      </c>
      <c r="C105" s="144" t="s">
        <v>505</v>
      </c>
      <c r="D105" s="167" t="s">
        <v>22</v>
      </c>
      <c r="E105" s="144" t="s">
        <v>597</v>
      </c>
      <c r="F105" s="211"/>
      <c r="G105" s="74"/>
      <c r="H105" s="74"/>
      <c r="I105" s="74"/>
      <c r="J105" s="74"/>
      <c r="K105" s="74"/>
      <c r="L105" s="74"/>
      <c r="M105" s="74"/>
      <c r="N105" s="74"/>
      <c r="O105" s="74"/>
      <c r="P105" s="74"/>
      <c r="Q105" s="74"/>
      <c r="R105" s="74"/>
      <c r="S105" s="74"/>
      <c r="T105" s="74"/>
      <c r="U105" s="74"/>
      <c r="V105" s="74"/>
      <c r="W105" s="74"/>
      <c r="X105" s="74"/>
      <c r="Y105" s="74"/>
      <c r="Z105" s="74"/>
      <c r="AA105" s="74"/>
      <c r="AB105" s="74"/>
      <c r="AC105" s="74"/>
      <c r="AD105" s="74"/>
      <c r="AE105" s="74"/>
      <c r="AF105" s="74"/>
      <c r="AG105" s="74"/>
      <c r="AH105" s="74"/>
      <c r="AI105" s="74"/>
      <c r="AJ105" s="74"/>
      <c r="AK105" s="74"/>
      <c r="AL105" s="74"/>
      <c r="AM105" s="74"/>
      <c r="AN105" s="74"/>
      <c r="AO105" s="74"/>
      <c r="AP105" s="74"/>
      <c r="AQ105" s="74"/>
      <c r="AR105" s="74"/>
      <c r="AS105" s="74"/>
      <c r="AT105" s="74"/>
      <c r="AU105" s="74"/>
      <c r="AV105" s="74"/>
      <c r="AW105" s="74"/>
      <c r="AX105" s="74"/>
      <c r="AY105" s="101"/>
      <c r="AZ105" s="101"/>
      <c r="BA105" s="101"/>
      <c r="BB105" s="101"/>
      <c r="BC105" s="101"/>
      <c r="BD105" s="101"/>
      <c r="BE105" s="101"/>
      <c r="BF105" s="101"/>
      <c r="BG105" s="101"/>
      <c r="BH105" s="101"/>
      <c r="BI105" s="101"/>
      <c r="BJ105" s="101"/>
      <c r="BK105" s="101"/>
      <c r="BL105" s="101"/>
      <c r="BM105" s="101"/>
      <c r="BN105" s="101"/>
      <c r="BO105" s="101"/>
      <c r="BP105" s="101"/>
      <c r="BQ105" s="101"/>
      <c r="BR105" s="101"/>
      <c r="BS105" s="101"/>
      <c r="BT105" s="101"/>
      <c r="BU105" s="101"/>
      <c r="BV105" s="101"/>
      <c r="BW105" s="101"/>
      <c r="BX105" s="101"/>
      <c r="BY105" s="101"/>
      <c r="BZ105" s="101"/>
      <c r="CA105" s="101"/>
      <c r="CB105" s="101"/>
      <c r="CC105" s="101"/>
      <c r="CD105" s="101"/>
      <c r="CE105" s="101"/>
      <c r="CF105" s="101"/>
      <c r="CG105" s="101"/>
      <c r="CH105" s="101"/>
      <c r="CI105" s="101"/>
      <c r="CJ105" s="101"/>
      <c r="CK105" s="101"/>
      <c r="CL105" s="101"/>
      <c r="CM105" s="101"/>
      <c r="CN105" s="101"/>
      <c r="CO105" s="101"/>
      <c r="CP105" s="101"/>
      <c r="CQ105" s="101"/>
      <c r="CR105" s="101"/>
      <c r="CS105" s="101"/>
      <c r="CT105" s="101"/>
      <c r="CU105" s="101"/>
      <c r="CV105" s="101"/>
      <c r="CW105" s="101"/>
      <c r="CX105" s="101"/>
      <c r="CY105" s="101"/>
      <c r="CZ105" s="101"/>
      <c r="DA105" s="101"/>
      <c r="DB105" s="101"/>
      <c r="DC105" s="101"/>
      <c r="DD105" s="101"/>
      <c r="DE105" s="101"/>
      <c r="DF105" s="101"/>
      <c r="DG105" s="101"/>
      <c r="DH105" s="101"/>
      <c r="DI105" s="101"/>
      <c r="DJ105" s="101"/>
      <c r="DK105" s="101"/>
      <c r="DL105" s="101"/>
      <c r="DM105" s="101"/>
      <c r="DN105" s="101"/>
      <c r="DO105" s="101"/>
      <c r="DP105" s="101"/>
      <c r="DQ105" s="101"/>
      <c r="DR105" s="101"/>
      <c r="DS105" s="101"/>
      <c r="DT105" s="101"/>
      <c r="DU105" s="101"/>
      <c r="DV105" s="101"/>
      <c r="DW105" s="101"/>
      <c r="DX105" s="101"/>
      <c r="DY105" s="101"/>
      <c r="DZ105" s="101"/>
      <c r="EA105" s="101"/>
      <c r="EB105" s="101"/>
      <c r="EC105" s="101"/>
      <c r="ED105" s="101"/>
      <c r="EE105" s="101"/>
      <c r="EF105" s="101"/>
      <c r="EG105" s="101"/>
      <c r="EH105" s="101"/>
      <c r="EI105" s="101"/>
      <c r="EJ105" s="101"/>
      <c r="EK105" s="101"/>
      <c r="EL105" s="101"/>
      <c r="EM105" s="101"/>
      <c r="EN105" s="101"/>
      <c r="EO105" s="101"/>
      <c r="EP105" s="101"/>
      <c r="EQ105" s="101"/>
      <c r="ER105" s="101"/>
      <c r="ES105" s="101"/>
      <c r="ET105" s="101"/>
      <c r="EU105" s="101"/>
      <c r="EV105" s="101"/>
      <c r="EW105" s="101"/>
      <c r="EX105" s="101"/>
      <c r="EY105" s="101"/>
      <c r="EZ105" s="101"/>
      <c r="FA105" s="101"/>
      <c r="FB105" s="101"/>
      <c r="FC105" s="101"/>
      <c r="FD105" s="101"/>
      <c r="FE105" s="101"/>
      <c r="FF105" s="101"/>
      <c r="FG105" s="101"/>
      <c r="FH105" s="101"/>
      <c r="FI105" s="101"/>
      <c r="FJ105" s="101"/>
      <c r="FK105" s="101"/>
      <c r="FL105" s="101"/>
      <c r="FM105" s="101"/>
      <c r="FN105" s="101"/>
      <c r="FO105" s="101"/>
      <c r="FP105" s="101"/>
      <c r="FQ105" s="101"/>
      <c r="FR105" s="101"/>
      <c r="FS105" s="101"/>
      <c r="FT105" s="101"/>
      <c r="FU105" s="101"/>
      <c r="FV105" s="101"/>
      <c r="FW105" s="101"/>
      <c r="FX105" s="101"/>
      <c r="FY105" s="101"/>
      <c r="FZ105" s="101"/>
      <c r="GA105" s="101"/>
      <c r="GB105" s="101"/>
      <c r="GC105" s="101"/>
      <c r="GD105" s="101"/>
      <c r="GE105" s="101"/>
      <c r="GF105" s="101"/>
      <c r="GG105" s="101"/>
      <c r="GH105" s="101"/>
      <c r="GI105" s="101"/>
      <c r="GJ105" s="101"/>
    </row>
    <row r="106" spans="1:192" ht="50.1" customHeight="1" outlineLevel="1" x14ac:dyDescent="0.25">
      <c r="A106" s="148" t="s">
        <v>240</v>
      </c>
      <c r="B106" s="168" t="s">
        <v>358</v>
      </c>
      <c r="C106" s="141" t="s">
        <v>506</v>
      </c>
      <c r="D106" s="169" t="s">
        <v>22</v>
      </c>
      <c r="E106" s="198" t="s">
        <v>598</v>
      </c>
      <c r="F106" s="209"/>
      <c r="G106" s="74"/>
      <c r="H106" s="74"/>
      <c r="I106" s="74"/>
      <c r="J106" s="74"/>
      <c r="K106" s="74"/>
      <c r="L106" s="74"/>
      <c r="M106" s="74"/>
      <c r="N106" s="74"/>
      <c r="O106" s="74"/>
      <c r="P106" s="74"/>
      <c r="Q106" s="74"/>
      <c r="R106" s="74"/>
      <c r="S106" s="74"/>
      <c r="T106" s="74"/>
      <c r="U106" s="74"/>
      <c r="V106" s="74"/>
      <c r="W106" s="74"/>
      <c r="X106" s="74"/>
      <c r="Y106" s="74"/>
      <c r="Z106" s="74"/>
      <c r="AA106" s="74"/>
      <c r="AB106" s="74"/>
      <c r="AC106" s="74"/>
      <c r="AD106" s="74"/>
      <c r="AE106" s="74"/>
      <c r="AF106" s="74"/>
      <c r="AG106" s="74"/>
      <c r="AH106" s="74"/>
      <c r="AI106" s="74"/>
      <c r="AJ106" s="74"/>
      <c r="AK106" s="74"/>
      <c r="AL106" s="74"/>
      <c r="AM106" s="74"/>
      <c r="AN106" s="74"/>
      <c r="AO106" s="74"/>
      <c r="AP106" s="74"/>
      <c r="AQ106" s="74"/>
      <c r="AR106" s="74"/>
      <c r="AS106" s="74"/>
      <c r="AT106" s="74"/>
      <c r="AU106" s="74"/>
      <c r="AV106" s="74"/>
      <c r="AW106" s="74"/>
      <c r="AX106" s="74"/>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c r="BS106" s="101"/>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c r="CW106" s="101"/>
      <c r="CX106" s="101"/>
      <c r="CY106" s="101"/>
      <c r="CZ106" s="101"/>
      <c r="DA106" s="101"/>
      <c r="DB106" s="101"/>
      <c r="DC106" s="101"/>
      <c r="DD106" s="101"/>
      <c r="DE106" s="101"/>
      <c r="DF106" s="101"/>
      <c r="DG106" s="101"/>
      <c r="DH106" s="101"/>
      <c r="DI106" s="101"/>
      <c r="DJ106" s="101"/>
      <c r="DK106" s="101"/>
      <c r="DL106" s="101"/>
      <c r="DM106" s="101"/>
      <c r="DN106" s="101"/>
      <c r="DO106" s="101"/>
      <c r="DP106" s="101"/>
      <c r="DQ106" s="101"/>
      <c r="DR106" s="101"/>
      <c r="DS106" s="101"/>
      <c r="DT106" s="101"/>
      <c r="DU106" s="101"/>
      <c r="DV106" s="101"/>
      <c r="DW106" s="101"/>
      <c r="DX106" s="101"/>
      <c r="DY106" s="101"/>
      <c r="DZ106" s="101"/>
      <c r="EA106" s="101"/>
      <c r="EB106" s="101"/>
      <c r="EC106" s="101"/>
      <c r="ED106" s="101"/>
      <c r="EE106" s="101"/>
      <c r="EF106" s="101"/>
      <c r="EG106" s="101"/>
      <c r="EH106" s="101"/>
      <c r="EI106" s="101"/>
      <c r="EJ106" s="101"/>
      <c r="EK106" s="101"/>
      <c r="EL106" s="101"/>
      <c r="EM106" s="101"/>
      <c r="EN106" s="101"/>
      <c r="EO106" s="101"/>
      <c r="EP106" s="101"/>
      <c r="EQ106" s="101"/>
      <c r="ER106" s="101"/>
      <c r="ES106" s="101"/>
      <c r="ET106" s="101"/>
      <c r="EU106" s="101"/>
      <c r="EV106" s="101"/>
      <c r="EW106" s="101"/>
      <c r="EX106" s="101"/>
      <c r="EY106" s="101"/>
      <c r="EZ106" s="101"/>
      <c r="FA106" s="101"/>
      <c r="FB106" s="101"/>
      <c r="FC106" s="101"/>
      <c r="FD106" s="101"/>
      <c r="FE106" s="101"/>
      <c r="FF106" s="101"/>
      <c r="FG106" s="101"/>
      <c r="FH106" s="101"/>
      <c r="FI106" s="101"/>
      <c r="FJ106" s="101"/>
      <c r="FK106" s="101"/>
      <c r="FL106" s="101"/>
      <c r="FM106" s="101"/>
      <c r="FN106" s="101"/>
      <c r="FO106" s="101"/>
      <c r="FP106" s="101"/>
      <c r="FQ106" s="101"/>
      <c r="FR106" s="101"/>
      <c r="FS106" s="101"/>
      <c r="FT106" s="101"/>
      <c r="FU106" s="101"/>
      <c r="FV106" s="101"/>
      <c r="FW106" s="101"/>
      <c r="FX106" s="101"/>
      <c r="FY106" s="101"/>
      <c r="FZ106" s="101"/>
      <c r="GA106" s="101"/>
      <c r="GB106" s="101"/>
      <c r="GC106" s="101"/>
      <c r="GD106" s="101"/>
      <c r="GE106" s="101"/>
      <c r="GF106" s="101"/>
      <c r="GG106" s="101"/>
      <c r="GH106" s="101"/>
      <c r="GI106" s="101"/>
      <c r="GJ106" s="101"/>
    </row>
    <row r="107" spans="1:192" ht="50.1" customHeight="1" outlineLevel="1" x14ac:dyDescent="0.25">
      <c r="A107" s="148" t="s">
        <v>240</v>
      </c>
      <c r="B107" s="167" t="s">
        <v>359</v>
      </c>
      <c r="C107" s="144" t="s">
        <v>507</v>
      </c>
      <c r="D107" s="167" t="s">
        <v>22</v>
      </c>
      <c r="E107" s="144" t="s">
        <v>599</v>
      </c>
      <c r="F107" s="211"/>
      <c r="G107" s="74"/>
      <c r="H107" s="74"/>
      <c r="I107" s="74"/>
      <c r="J107" s="74"/>
      <c r="K107" s="74"/>
      <c r="L107" s="74"/>
      <c r="M107" s="74"/>
      <c r="N107" s="74"/>
      <c r="O107" s="74"/>
      <c r="P107" s="74"/>
      <c r="Q107" s="74"/>
      <c r="R107" s="74"/>
      <c r="S107" s="74"/>
      <c r="T107" s="74"/>
      <c r="U107" s="74"/>
      <c r="V107" s="74"/>
      <c r="W107" s="74"/>
      <c r="X107" s="74"/>
      <c r="Y107" s="74"/>
      <c r="Z107" s="74"/>
      <c r="AA107" s="74"/>
      <c r="AB107" s="74"/>
      <c r="AC107" s="74"/>
      <c r="AD107" s="74"/>
      <c r="AE107" s="74"/>
      <c r="AF107" s="74"/>
      <c r="AG107" s="74"/>
      <c r="AH107" s="74"/>
      <c r="AI107" s="74"/>
      <c r="AJ107" s="74"/>
      <c r="AK107" s="74"/>
      <c r="AL107" s="74"/>
      <c r="AM107" s="74"/>
      <c r="AN107" s="74"/>
      <c r="AO107" s="74"/>
      <c r="AP107" s="74"/>
      <c r="AQ107" s="74"/>
      <c r="AR107" s="74"/>
      <c r="AS107" s="74"/>
      <c r="AT107" s="74"/>
      <c r="AU107" s="74"/>
      <c r="AV107" s="74"/>
      <c r="AW107" s="74"/>
      <c r="AX107" s="74"/>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c r="BS107" s="101"/>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c r="CW107" s="101"/>
      <c r="CX107" s="101"/>
      <c r="CY107" s="101"/>
      <c r="CZ107" s="101"/>
      <c r="DA107" s="101"/>
      <c r="DB107" s="101"/>
      <c r="DC107" s="101"/>
      <c r="DD107" s="101"/>
      <c r="DE107" s="101"/>
      <c r="DF107" s="101"/>
      <c r="DG107" s="101"/>
      <c r="DH107" s="101"/>
      <c r="DI107" s="101"/>
      <c r="DJ107" s="101"/>
      <c r="DK107" s="101"/>
      <c r="DL107" s="101"/>
      <c r="DM107" s="101"/>
      <c r="DN107" s="101"/>
      <c r="DO107" s="101"/>
      <c r="DP107" s="101"/>
      <c r="DQ107" s="101"/>
      <c r="DR107" s="101"/>
      <c r="DS107" s="101"/>
      <c r="DT107" s="101"/>
      <c r="DU107" s="101"/>
      <c r="DV107" s="101"/>
      <c r="DW107" s="101"/>
      <c r="DX107" s="101"/>
      <c r="DY107" s="101"/>
      <c r="DZ107" s="101"/>
      <c r="EA107" s="101"/>
      <c r="EB107" s="101"/>
      <c r="EC107" s="101"/>
      <c r="ED107" s="101"/>
      <c r="EE107" s="101"/>
      <c r="EF107" s="101"/>
      <c r="EG107" s="101"/>
      <c r="EH107" s="101"/>
      <c r="EI107" s="101"/>
      <c r="EJ107" s="101"/>
      <c r="EK107" s="101"/>
      <c r="EL107" s="101"/>
      <c r="EM107" s="101"/>
      <c r="EN107" s="101"/>
      <c r="EO107" s="101"/>
      <c r="EP107" s="101"/>
      <c r="EQ107" s="101"/>
      <c r="ER107" s="101"/>
      <c r="ES107" s="101"/>
      <c r="ET107" s="101"/>
      <c r="EU107" s="101"/>
      <c r="EV107" s="101"/>
      <c r="EW107" s="101"/>
      <c r="EX107" s="101"/>
      <c r="EY107" s="101"/>
      <c r="EZ107" s="101"/>
      <c r="FA107" s="101"/>
      <c r="FB107" s="101"/>
      <c r="FC107" s="101"/>
      <c r="FD107" s="101"/>
      <c r="FE107" s="101"/>
      <c r="FF107" s="101"/>
      <c r="FG107" s="101"/>
      <c r="FH107" s="101"/>
      <c r="FI107" s="101"/>
      <c r="FJ107" s="101"/>
      <c r="FK107" s="101"/>
      <c r="FL107" s="101"/>
      <c r="FM107" s="101"/>
      <c r="FN107" s="101"/>
      <c r="FO107" s="101"/>
      <c r="FP107" s="101"/>
      <c r="FQ107" s="101"/>
      <c r="FR107" s="101"/>
      <c r="FS107" s="101"/>
      <c r="FT107" s="101"/>
      <c r="FU107" s="101"/>
      <c r="FV107" s="101"/>
      <c r="FW107" s="101"/>
      <c r="FX107" s="101"/>
      <c r="FY107" s="101"/>
      <c r="FZ107" s="101"/>
      <c r="GA107" s="101"/>
      <c r="GB107" s="101"/>
      <c r="GC107" s="101"/>
      <c r="GD107" s="101"/>
      <c r="GE107" s="101"/>
      <c r="GF107" s="101"/>
      <c r="GG107" s="101"/>
      <c r="GH107" s="101"/>
      <c r="GI107" s="101"/>
      <c r="GJ107" s="101"/>
    </row>
    <row r="108" spans="1:192" ht="50.1" customHeight="1" outlineLevel="1" x14ac:dyDescent="0.25">
      <c r="A108" s="148" t="s">
        <v>240</v>
      </c>
      <c r="B108" s="168" t="s">
        <v>360</v>
      </c>
      <c r="C108" s="142" t="s">
        <v>241</v>
      </c>
      <c r="D108" s="168" t="s">
        <v>22</v>
      </c>
      <c r="E108" s="142" t="s">
        <v>600</v>
      </c>
      <c r="F108" s="214"/>
      <c r="G108" s="74"/>
      <c r="H108" s="74"/>
      <c r="I108" s="74"/>
      <c r="J108" s="74"/>
      <c r="K108" s="74"/>
      <c r="L108" s="74"/>
      <c r="M108" s="74"/>
      <c r="N108" s="74"/>
      <c r="O108" s="74"/>
      <c r="P108" s="74"/>
      <c r="Q108" s="74"/>
      <c r="R108" s="74"/>
      <c r="S108" s="74"/>
      <c r="T108" s="74"/>
      <c r="U108" s="74"/>
      <c r="V108" s="74"/>
      <c r="W108" s="74"/>
      <c r="X108" s="74"/>
      <c r="Y108" s="74"/>
      <c r="Z108" s="74"/>
      <c r="AA108" s="74"/>
      <c r="AB108" s="74"/>
      <c r="AC108" s="74"/>
      <c r="AD108" s="74"/>
      <c r="AE108" s="74"/>
      <c r="AF108" s="74"/>
      <c r="AG108" s="74"/>
      <c r="AH108" s="74"/>
      <c r="AI108" s="74"/>
      <c r="AJ108" s="74"/>
      <c r="AK108" s="74"/>
      <c r="AL108" s="74"/>
      <c r="AM108" s="74"/>
      <c r="AN108" s="74"/>
      <c r="AO108" s="74"/>
      <c r="AP108" s="74"/>
      <c r="AQ108" s="74"/>
      <c r="AR108" s="74"/>
      <c r="AS108" s="74"/>
      <c r="AT108" s="74"/>
      <c r="AU108" s="74"/>
      <c r="AV108" s="74"/>
      <c r="AW108" s="74"/>
      <c r="AX108" s="74"/>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c r="BS108" s="101"/>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c r="CW108" s="101"/>
      <c r="CX108" s="101"/>
      <c r="CY108" s="101"/>
      <c r="CZ108" s="101"/>
      <c r="DA108" s="101"/>
      <c r="DB108" s="101"/>
      <c r="DC108" s="101"/>
      <c r="DD108" s="101"/>
      <c r="DE108" s="101"/>
      <c r="DF108" s="101"/>
      <c r="DG108" s="101"/>
      <c r="DH108" s="101"/>
      <c r="DI108" s="101"/>
      <c r="DJ108" s="101"/>
      <c r="DK108" s="101"/>
      <c r="DL108" s="101"/>
      <c r="DM108" s="101"/>
      <c r="DN108" s="101"/>
      <c r="DO108" s="101"/>
      <c r="DP108" s="101"/>
      <c r="DQ108" s="101"/>
      <c r="DR108" s="101"/>
      <c r="DS108" s="101"/>
      <c r="DT108" s="101"/>
      <c r="DU108" s="101"/>
      <c r="DV108" s="101"/>
      <c r="DW108" s="101"/>
      <c r="DX108" s="101"/>
      <c r="DY108" s="101"/>
      <c r="DZ108" s="101"/>
      <c r="EA108" s="101"/>
      <c r="EB108" s="101"/>
      <c r="EC108" s="101"/>
      <c r="ED108" s="101"/>
      <c r="EE108" s="101"/>
      <c r="EF108" s="101"/>
      <c r="EG108" s="101"/>
      <c r="EH108" s="101"/>
      <c r="EI108" s="101"/>
      <c r="EJ108" s="101"/>
      <c r="EK108" s="101"/>
      <c r="EL108" s="101"/>
      <c r="EM108" s="101"/>
      <c r="EN108" s="101"/>
      <c r="EO108" s="101"/>
      <c r="EP108" s="101"/>
      <c r="EQ108" s="101"/>
      <c r="ER108" s="101"/>
      <c r="ES108" s="101"/>
      <c r="ET108" s="101"/>
      <c r="EU108" s="101"/>
      <c r="EV108" s="101"/>
      <c r="EW108" s="101"/>
      <c r="EX108" s="101"/>
      <c r="EY108" s="101"/>
      <c r="EZ108" s="101"/>
      <c r="FA108" s="101"/>
      <c r="FB108" s="101"/>
      <c r="FC108" s="101"/>
      <c r="FD108" s="101"/>
      <c r="FE108" s="101"/>
      <c r="FF108" s="101"/>
      <c r="FG108" s="101"/>
      <c r="FH108" s="101"/>
      <c r="FI108" s="101"/>
      <c r="FJ108" s="101"/>
      <c r="FK108" s="101"/>
      <c r="FL108" s="101"/>
      <c r="FM108" s="101"/>
      <c r="FN108" s="101"/>
      <c r="FO108" s="101"/>
      <c r="FP108" s="101"/>
      <c r="FQ108" s="101"/>
      <c r="FR108" s="101"/>
      <c r="FS108" s="101"/>
      <c r="FT108" s="101"/>
      <c r="FU108" s="101"/>
      <c r="FV108" s="101"/>
      <c r="FW108" s="101"/>
      <c r="FX108" s="101"/>
      <c r="FY108" s="101"/>
      <c r="FZ108" s="101"/>
      <c r="GA108" s="101"/>
      <c r="GB108" s="101"/>
      <c r="GC108" s="101"/>
      <c r="GD108" s="101"/>
      <c r="GE108" s="101"/>
      <c r="GF108" s="101"/>
      <c r="GG108" s="101"/>
      <c r="GH108" s="101"/>
      <c r="GI108" s="101"/>
      <c r="GJ108" s="101"/>
    </row>
    <row r="109" spans="1:192" ht="50.1" customHeight="1" outlineLevel="1" x14ac:dyDescent="0.25">
      <c r="A109" s="148" t="s">
        <v>240</v>
      </c>
      <c r="B109" s="167" t="s">
        <v>361</v>
      </c>
      <c r="C109" s="144" t="s">
        <v>508</v>
      </c>
      <c r="D109" s="167" t="s">
        <v>22</v>
      </c>
      <c r="E109" s="144" t="s">
        <v>601</v>
      </c>
      <c r="F109" s="211"/>
      <c r="G109" s="74"/>
      <c r="H109" s="74"/>
      <c r="I109" s="74"/>
      <c r="J109" s="74"/>
      <c r="K109" s="74"/>
      <c r="L109" s="74"/>
      <c r="M109" s="74"/>
      <c r="N109" s="74"/>
      <c r="O109" s="74"/>
      <c r="P109" s="74"/>
      <c r="Q109" s="74"/>
      <c r="R109" s="74"/>
      <c r="S109" s="74"/>
      <c r="T109" s="74"/>
      <c r="U109" s="74"/>
      <c r="V109" s="74"/>
      <c r="W109" s="74"/>
      <c r="X109" s="74"/>
      <c r="Y109" s="74"/>
      <c r="Z109" s="74"/>
      <c r="AA109" s="74"/>
      <c r="AB109" s="74"/>
      <c r="AC109" s="74"/>
      <c r="AD109" s="74"/>
      <c r="AE109" s="74"/>
      <c r="AF109" s="74"/>
      <c r="AG109" s="74"/>
      <c r="AH109" s="74"/>
      <c r="AI109" s="74"/>
      <c r="AJ109" s="74"/>
      <c r="AK109" s="74"/>
      <c r="AL109" s="74"/>
      <c r="AM109" s="74"/>
      <c r="AN109" s="74"/>
      <c r="AO109" s="74"/>
      <c r="AP109" s="74"/>
      <c r="AQ109" s="74"/>
      <c r="AR109" s="74"/>
      <c r="AS109" s="74"/>
      <c r="AT109" s="74"/>
      <c r="AU109" s="74"/>
      <c r="AV109" s="74"/>
      <c r="AW109" s="74"/>
      <c r="AX109" s="74"/>
      <c r="AY109" s="101"/>
      <c r="AZ109" s="101"/>
      <c r="BA109" s="101"/>
      <c r="BB109" s="101"/>
      <c r="BC109" s="101"/>
      <c r="BD109" s="101"/>
      <c r="BE109" s="101"/>
      <c r="BF109" s="101"/>
      <c r="BG109" s="101"/>
      <c r="BH109" s="101"/>
      <c r="BI109" s="101"/>
      <c r="BJ109" s="101"/>
      <c r="BK109" s="101"/>
      <c r="BL109" s="101"/>
      <c r="BM109" s="101"/>
      <c r="BN109" s="101"/>
      <c r="BO109" s="101"/>
      <c r="BP109" s="101"/>
      <c r="BQ109" s="101"/>
      <c r="BR109" s="101"/>
      <c r="BS109" s="101"/>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c r="CW109" s="101"/>
      <c r="CX109" s="101"/>
      <c r="CY109" s="101"/>
      <c r="CZ109" s="101"/>
      <c r="DA109" s="101"/>
      <c r="DB109" s="101"/>
      <c r="DC109" s="101"/>
      <c r="DD109" s="101"/>
      <c r="DE109" s="101"/>
      <c r="DF109" s="101"/>
      <c r="DG109" s="101"/>
      <c r="DH109" s="101"/>
      <c r="DI109" s="101"/>
      <c r="DJ109" s="101"/>
      <c r="DK109" s="101"/>
      <c r="DL109" s="101"/>
      <c r="DM109" s="101"/>
      <c r="DN109" s="101"/>
      <c r="DO109" s="101"/>
      <c r="DP109" s="101"/>
      <c r="DQ109" s="101"/>
      <c r="DR109" s="101"/>
      <c r="DS109" s="101"/>
      <c r="DT109" s="101"/>
      <c r="DU109" s="101"/>
      <c r="DV109" s="101"/>
      <c r="DW109" s="101"/>
      <c r="DX109" s="101"/>
      <c r="DY109" s="101"/>
      <c r="DZ109" s="101"/>
      <c r="EA109" s="101"/>
      <c r="EB109" s="101"/>
      <c r="EC109" s="101"/>
      <c r="ED109" s="101"/>
      <c r="EE109" s="101"/>
      <c r="EF109" s="101"/>
      <c r="EG109" s="101"/>
      <c r="EH109" s="101"/>
      <c r="EI109" s="101"/>
      <c r="EJ109" s="101"/>
      <c r="EK109" s="101"/>
      <c r="EL109" s="101"/>
      <c r="EM109" s="101"/>
      <c r="EN109" s="101"/>
      <c r="EO109" s="101"/>
      <c r="EP109" s="101"/>
      <c r="EQ109" s="101"/>
      <c r="ER109" s="101"/>
      <c r="ES109" s="101"/>
      <c r="ET109" s="101"/>
      <c r="EU109" s="101"/>
      <c r="EV109" s="101"/>
      <c r="EW109" s="101"/>
      <c r="EX109" s="101"/>
      <c r="EY109" s="101"/>
      <c r="EZ109" s="101"/>
      <c r="FA109" s="101"/>
      <c r="FB109" s="101"/>
      <c r="FC109" s="101"/>
      <c r="FD109" s="101"/>
      <c r="FE109" s="101"/>
      <c r="FF109" s="101"/>
      <c r="FG109" s="101"/>
      <c r="FH109" s="101"/>
      <c r="FI109" s="101"/>
      <c r="FJ109" s="101"/>
      <c r="FK109" s="101"/>
      <c r="FL109" s="101"/>
      <c r="FM109" s="101"/>
      <c r="FN109" s="101"/>
      <c r="FO109" s="101"/>
      <c r="FP109" s="101"/>
      <c r="FQ109" s="101"/>
      <c r="FR109" s="101"/>
      <c r="FS109" s="101"/>
      <c r="FT109" s="101"/>
      <c r="FU109" s="101"/>
      <c r="FV109" s="101"/>
      <c r="FW109" s="101"/>
      <c r="FX109" s="101"/>
      <c r="FY109" s="101"/>
      <c r="FZ109" s="101"/>
      <c r="GA109" s="101"/>
      <c r="GB109" s="101"/>
      <c r="GC109" s="101"/>
      <c r="GD109" s="101"/>
      <c r="GE109" s="101"/>
      <c r="GF109" s="101"/>
      <c r="GG109" s="101"/>
      <c r="GH109" s="101"/>
      <c r="GI109" s="101"/>
      <c r="GJ109" s="101"/>
    </row>
    <row r="110" spans="1:192" ht="50.1" customHeight="1" outlineLevel="1" x14ac:dyDescent="0.25">
      <c r="A110" s="148" t="s">
        <v>240</v>
      </c>
      <c r="B110" s="168" t="s">
        <v>362</v>
      </c>
      <c r="C110" s="141" t="s">
        <v>509</v>
      </c>
      <c r="D110" s="169" t="s">
        <v>22</v>
      </c>
      <c r="E110" s="141" t="s">
        <v>602</v>
      </c>
      <c r="F110" s="209"/>
      <c r="G110" s="74"/>
      <c r="H110" s="74"/>
      <c r="I110" s="74"/>
      <c r="J110" s="74"/>
      <c r="K110" s="74"/>
      <c r="L110" s="74"/>
      <c r="M110" s="74"/>
      <c r="N110" s="74"/>
      <c r="O110" s="74"/>
      <c r="P110" s="74"/>
      <c r="Q110" s="74"/>
      <c r="R110" s="74"/>
      <c r="S110" s="74"/>
      <c r="T110" s="74"/>
      <c r="U110" s="74"/>
      <c r="V110" s="74"/>
      <c r="W110" s="74"/>
      <c r="X110" s="74"/>
      <c r="Y110" s="74"/>
      <c r="Z110" s="74"/>
      <c r="AA110" s="74"/>
      <c r="AB110" s="74"/>
      <c r="AC110" s="74"/>
      <c r="AD110" s="74"/>
      <c r="AE110" s="74"/>
      <c r="AF110" s="74"/>
      <c r="AG110" s="74"/>
      <c r="AH110" s="74"/>
      <c r="AI110" s="74"/>
      <c r="AJ110" s="74"/>
      <c r="AK110" s="74"/>
      <c r="AL110" s="74"/>
      <c r="AM110" s="74"/>
      <c r="AN110" s="74"/>
      <c r="AO110" s="74"/>
      <c r="AP110" s="74"/>
      <c r="AQ110" s="74"/>
      <c r="AR110" s="74"/>
      <c r="AS110" s="74"/>
      <c r="AT110" s="74"/>
      <c r="AU110" s="74"/>
      <c r="AV110" s="74"/>
      <c r="AW110" s="74"/>
      <c r="AX110" s="74"/>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c r="DC110" s="101"/>
      <c r="DD110" s="101"/>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1"/>
      <c r="EF110" s="101"/>
      <c r="EG110" s="101"/>
      <c r="EH110" s="101"/>
      <c r="EI110" s="101"/>
      <c r="EJ110" s="101"/>
      <c r="EK110" s="101"/>
      <c r="EL110" s="101"/>
      <c r="EM110" s="101"/>
      <c r="EN110" s="101"/>
      <c r="EO110" s="101"/>
      <c r="EP110" s="101"/>
      <c r="EQ110" s="101"/>
      <c r="ER110" s="101"/>
      <c r="ES110" s="101"/>
      <c r="ET110" s="101"/>
      <c r="EU110" s="101"/>
      <c r="EV110" s="101"/>
      <c r="EW110" s="101"/>
      <c r="EX110" s="101"/>
      <c r="EY110" s="101"/>
      <c r="EZ110" s="101"/>
      <c r="FA110" s="101"/>
      <c r="FB110" s="101"/>
      <c r="FC110" s="101"/>
      <c r="FD110" s="101"/>
      <c r="FE110" s="101"/>
      <c r="FF110" s="101"/>
      <c r="FG110" s="101"/>
      <c r="FH110" s="101"/>
      <c r="FI110" s="101"/>
      <c r="FJ110" s="101"/>
      <c r="FK110" s="101"/>
      <c r="FL110" s="101"/>
      <c r="FM110" s="101"/>
      <c r="FN110" s="101"/>
      <c r="FO110" s="101"/>
      <c r="FP110" s="101"/>
      <c r="FQ110" s="101"/>
      <c r="FR110" s="101"/>
      <c r="FS110" s="101"/>
      <c r="FT110" s="101"/>
      <c r="FU110" s="101"/>
      <c r="FV110" s="101"/>
      <c r="FW110" s="101"/>
      <c r="FX110" s="101"/>
      <c r="FY110" s="101"/>
      <c r="FZ110" s="101"/>
      <c r="GA110" s="101"/>
      <c r="GB110" s="101"/>
      <c r="GC110" s="101"/>
      <c r="GD110" s="101"/>
      <c r="GE110" s="101"/>
      <c r="GF110" s="101"/>
      <c r="GG110" s="101"/>
      <c r="GH110" s="101"/>
      <c r="GI110" s="101"/>
      <c r="GJ110" s="101"/>
    </row>
    <row r="111" spans="1:192" ht="50.1" customHeight="1" outlineLevel="1" x14ac:dyDescent="0.25">
      <c r="A111" s="148" t="s">
        <v>240</v>
      </c>
      <c r="B111" s="167" t="s">
        <v>363</v>
      </c>
      <c r="C111" s="144" t="s">
        <v>510</v>
      </c>
      <c r="D111" s="167" t="s">
        <v>22</v>
      </c>
      <c r="E111" s="147" t="s">
        <v>695</v>
      </c>
      <c r="F111" s="211"/>
      <c r="G111" s="74"/>
      <c r="H111" s="74"/>
      <c r="I111" s="74"/>
      <c r="J111" s="74"/>
      <c r="K111" s="74"/>
      <c r="L111" s="74"/>
      <c r="M111" s="74"/>
      <c r="N111" s="74"/>
      <c r="O111" s="74"/>
      <c r="P111" s="74"/>
      <c r="Q111" s="74"/>
      <c r="R111" s="74"/>
      <c r="S111" s="74"/>
      <c r="T111" s="74"/>
      <c r="U111" s="74"/>
      <c r="V111" s="74"/>
      <c r="W111" s="74"/>
      <c r="X111" s="74"/>
      <c r="Y111" s="74"/>
      <c r="Z111" s="74"/>
      <c r="AA111" s="74"/>
      <c r="AB111" s="74"/>
      <c r="AC111" s="74"/>
      <c r="AD111" s="74"/>
      <c r="AE111" s="74"/>
      <c r="AF111" s="74"/>
      <c r="AG111" s="74"/>
      <c r="AH111" s="74"/>
      <c r="AI111" s="74"/>
      <c r="AJ111" s="74"/>
      <c r="AK111" s="74"/>
      <c r="AL111" s="74"/>
      <c r="AM111" s="74"/>
      <c r="AN111" s="74"/>
      <c r="AO111" s="74"/>
      <c r="AP111" s="74"/>
      <c r="AQ111" s="74"/>
      <c r="AR111" s="74"/>
      <c r="AS111" s="74"/>
      <c r="AT111" s="74"/>
      <c r="AU111" s="74"/>
      <c r="AV111" s="74"/>
      <c r="AW111" s="74"/>
      <c r="AX111" s="74"/>
      <c r="AY111" s="101"/>
      <c r="AZ111" s="101"/>
      <c r="BA111" s="101"/>
      <c r="BB111" s="101"/>
      <c r="BC111" s="101"/>
      <c r="BD111" s="101"/>
      <c r="BE111" s="101"/>
      <c r="BF111" s="101"/>
      <c r="BG111" s="101"/>
      <c r="BH111" s="101"/>
      <c r="BI111" s="101"/>
      <c r="BJ111" s="101"/>
      <c r="BK111" s="101"/>
      <c r="BL111" s="101"/>
      <c r="BM111" s="101"/>
      <c r="BN111" s="101"/>
      <c r="BO111" s="101"/>
      <c r="BP111" s="101"/>
      <c r="BQ111" s="101"/>
      <c r="BR111" s="101"/>
      <c r="BS111" s="101"/>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c r="CW111" s="101"/>
      <c r="CX111" s="101"/>
      <c r="CY111" s="101"/>
      <c r="CZ111" s="101"/>
      <c r="DA111" s="101"/>
      <c r="DB111" s="101"/>
      <c r="DC111" s="101"/>
      <c r="DD111" s="101"/>
      <c r="DE111" s="101"/>
      <c r="DF111" s="101"/>
      <c r="DG111" s="101"/>
      <c r="DH111" s="101"/>
      <c r="DI111" s="101"/>
      <c r="DJ111" s="101"/>
      <c r="DK111" s="101"/>
      <c r="DL111" s="101"/>
      <c r="DM111" s="101"/>
      <c r="DN111" s="101"/>
      <c r="DO111" s="101"/>
      <c r="DP111" s="101"/>
      <c r="DQ111" s="101"/>
      <c r="DR111" s="101"/>
      <c r="DS111" s="101"/>
      <c r="DT111" s="101"/>
      <c r="DU111" s="101"/>
      <c r="DV111" s="101"/>
      <c r="DW111" s="101"/>
      <c r="DX111" s="101"/>
      <c r="DY111" s="101"/>
      <c r="DZ111" s="101"/>
      <c r="EA111" s="101"/>
      <c r="EB111" s="101"/>
      <c r="EC111" s="101"/>
      <c r="ED111" s="101"/>
      <c r="EE111" s="101"/>
      <c r="EF111" s="101"/>
      <c r="EG111" s="101"/>
      <c r="EH111" s="101"/>
      <c r="EI111" s="101"/>
      <c r="EJ111" s="101"/>
      <c r="EK111" s="101"/>
      <c r="EL111" s="101"/>
      <c r="EM111" s="101"/>
      <c r="EN111" s="101"/>
      <c r="EO111" s="101"/>
      <c r="EP111" s="101"/>
      <c r="EQ111" s="101"/>
      <c r="ER111" s="101"/>
      <c r="ES111" s="101"/>
      <c r="ET111" s="101"/>
      <c r="EU111" s="101"/>
      <c r="EV111" s="101"/>
      <c r="EW111" s="101"/>
      <c r="EX111" s="101"/>
      <c r="EY111" s="101"/>
      <c r="EZ111" s="101"/>
      <c r="FA111" s="101"/>
      <c r="FB111" s="101"/>
      <c r="FC111" s="101"/>
      <c r="FD111" s="101"/>
      <c r="FE111" s="101"/>
      <c r="FF111" s="101"/>
      <c r="FG111" s="101"/>
      <c r="FH111" s="101"/>
      <c r="FI111" s="101"/>
      <c r="FJ111" s="101"/>
      <c r="FK111" s="101"/>
      <c r="FL111" s="101"/>
      <c r="FM111" s="101"/>
      <c r="FN111" s="101"/>
      <c r="FO111" s="101"/>
      <c r="FP111" s="101"/>
      <c r="FQ111" s="101"/>
      <c r="FR111" s="101"/>
      <c r="FS111" s="101"/>
      <c r="FT111" s="101"/>
      <c r="FU111" s="101"/>
      <c r="FV111" s="101"/>
      <c r="FW111" s="101"/>
      <c r="FX111" s="101"/>
      <c r="FY111" s="101"/>
      <c r="FZ111" s="101"/>
      <c r="GA111" s="101"/>
      <c r="GB111" s="101"/>
      <c r="GC111" s="101"/>
      <c r="GD111" s="101"/>
      <c r="GE111" s="101"/>
      <c r="GF111" s="101"/>
      <c r="GG111" s="101"/>
      <c r="GH111" s="101"/>
      <c r="GI111" s="101"/>
      <c r="GJ111" s="101"/>
    </row>
    <row r="112" spans="1:192" ht="50.1" customHeight="1" outlineLevel="1" x14ac:dyDescent="0.25">
      <c r="A112" s="148" t="s">
        <v>240</v>
      </c>
      <c r="B112" s="168" t="s">
        <v>364</v>
      </c>
      <c r="C112" s="141" t="s">
        <v>511</v>
      </c>
      <c r="D112" s="169" t="s">
        <v>22</v>
      </c>
      <c r="E112" s="141" t="s">
        <v>603</v>
      </c>
      <c r="F112" s="209"/>
      <c r="G112" s="74"/>
      <c r="H112" s="74"/>
      <c r="I112" s="74"/>
      <c r="J112" s="74"/>
      <c r="K112" s="74"/>
      <c r="L112" s="74"/>
      <c r="M112" s="74"/>
      <c r="N112" s="74"/>
      <c r="O112" s="74"/>
      <c r="P112" s="74"/>
      <c r="Q112" s="74"/>
      <c r="R112" s="74"/>
      <c r="S112" s="74"/>
      <c r="T112" s="74"/>
      <c r="U112" s="74"/>
      <c r="V112" s="74"/>
      <c r="W112" s="74"/>
      <c r="X112" s="74"/>
      <c r="Y112" s="74"/>
      <c r="Z112" s="74"/>
      <c r="AA112" s="74"/>
      <c r="AB112" s="74"/>
      <c r="AC112" s="74"/>
      <c r="AD112" s="74"/>
      <c r="AE112" s="74"/>
      <c r="AF112" s="74"/>
      <c r="AG112" s="74"/>
      <c r="AH112" s="74"/>
      <c r="AI112" s="74"/>
      <c r="AJ112" s="74"/>
      <c r="AK112" s="74"/>
      <c r="AL112" s="74"/>
      <c r="AM112" s="74"/>
      <c r="AN112" s="74"/>
      <c r="AO112" s="74"/>
      <c r="AP112" s="74"/>
      <c r="AQ112" s="74"/>
      <c r="AR112" s="74"/>
      <c r="AS112" s="74"/>
      <c r="AT112" s="74"/>
      <c r="AU112" s="74"/>
      <c r="AV112" s="74"/>
      <c r="AW112" s="74"/>
      <c r="AX112" s="74"/>
      <c r="AY112" s="101"/>
      <c r="AZ112" s="101"/>
      <c r="BA112" s="101"/>
      <c r="BB112" s="101"/>
      <c r="BC112" s="101"/>
      <c r="BD112" s="101"/>
      <c r="BE112" s="101"/>
      <c r="BF112" s="101"/>
      <c r="BG112" s="101"/>
      <c r="BH112" s="101"/>
      <c r="BI112" s="101"/>
      <c r="BJ112" s="101"/>
      <c r="BK112" s="101"/>
      <c r="BL112" s="101"/>
      <c r="BM112" s="101"/>
      <c r="BN112" s="101"/>
      <c r="BO112" s="101"/>
      <c r="BP112" s="101"/>
      <c r="BQ112" s="101"/>
      <c r="BR112" s="101"/>
      <c r="BS112" s="101"/>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c r="CW112" s="101"/>
      <c r="CX112" s="101"/>
      <c r="CY112" s="101"/>
      <c r="CZ112" s="101"/>
      <c r="DA112" s="101"/>
      <c r="DB112" s="101"/>
      <c r="DC112" s="101"/>
      <c r="DD112" s="101"/>
      <c r="DE112" s="101"/>
      <c r="DF112" s="101"/>
      <c r="DG112" s="101"/>
      <c r="DH112" s="101"/>
      <c r="DI112" s="101"/>
      <c r="DJ112" s="101"/>
      <c r="DK112" s="101"/>
      <c r="DL112" s="101"/>
      <c r="DM112" s="101"/>
      <c r="DN112" s="101"/>
      <c r="DO112" s="101"/>
      <c r="DP112" s="101"/>
      <c r="DQ112" s="101"/>
      <c r="DR112" s="101"/>
      <c r="DS112" s="101"/>
      <c r="DT112" s="101"/>
      <c r="DU112" s="101"/>
      <c r="DV112" s="101"/>
      <c r="DW112" s="101"/>
      <c r="DX112" s="101"/>
      <c r="DY112" s="101"/>
      <c r="DZ112" s="101"/>
      <c r="EA112" s="101"/>
      <c r="EB112" s="101"/>
      <c r="EC112" s="101"/>
      <c r="ED112" s="101"/>
      <c r="EE112" s="101"/>
      <c r="EF112" s="101"/>
      <c r="EG112" s="101"/>
      <c r="EH112" s="101"/>
      <c r="EI112" s="101"/>
      <c r="EJ112" s="101"/>
      <c r="EK112" s="101"/>
      <c r="EL112" s="101"/>
      <c r="EM112" s="101"/>
      <c r="EN112" s="101"/>
      <c r="EO112" s="101"/>
      <c r="EP112" s="101"/>
      <c r="EQ112" s="101"/>
      <c r="ER112" s="101"/>
      <c r="ES112" s="101"/>
      <c r="ET112" s="101"/>
      <c r="EU112" s="101"/>
      <c r="EV112" s="101"/>
      <c r="EW112" s="101"/>
      <c r="EX112" s="101"/>
      <c r="EY112" s="101"/>
      <c r="EZ112" s="101"/>
      <c r="FA112" s="101"/>
      <c r="FB112" s="101"/>
      <c r="FC112" s="101"/>
      <c r="FD112" s="101"/>
      <c r="FE112" s="101"/>
      <c r="FF112" s="101"/>
      <c r="FG112" s="101"/>
      <c r="FH112" s="101"/>
      <c r="FI112" s="101"/>
      <c r="FJ112" s="101"/>
      <c r="FK112" s="101"/>
      <c r="FL112" s="101"/>
      <c r="FM112" s="101"/>
      <c r="FN112" s="101"/>
      <c r="FO112" s="101"/>
      <c r="FP112" s="101"/>
      <c r="FQ112" s="101"/>
      <c r="FR112" s="101"/>
      <c r="FS112" s="101"/>
      <c r="FT112" s="101"/>
      <c r="FU112" s="101"/>
      <c r="FV112" s="101"/>
      <c r="FW112" s="101"/>
      <c r="FX112" s="101"/>
      <c r="FY112" s="101"/>
      <c r="FZ112" s="101"/>
      <c r="GA112" s="101"/>
      <c r="GB112" s="101"/>
      <c r="GC112" s="101"/>
      <c r="GD112" s="101"/>
      <c r="GE112" s="101"/>
      <c r="GF112" s="101"/>
      <c r="GG112" s="101"/>
      <c r="GH112" s="101"/>
      <c r="GI112" s="101"/>
      <c r="GJ112" s="101"/>
    </row>
    <row r="113" spans="1:192" ht="50.1" customHeight="1" outlineLevel="1" x14ac:dyDescent="0.25">
      <c r="A113" s="148" t="s">
        <v>240</v>
      </c>
      <c r="B113" s="167" t="s">
        <v>365</v>
      </c>
      <c r="C113" s="144" t="s">
        <v>515</v>
      </c>
      <c r="D113" s="167" t="s">
        <v>23</v>
      </c>
      <c r="E113" s="147" t="s">
        <v>604</v>
      </c>
      <c r="F113" s="211"/>
      <c r="G113" s="74"/>
      <c r="H113" s="74"/>
      <c r="I113" s="74"/>
      <c r="J113" s="74"/>
      <c r="K113" s="74"/>
      <c r="L113" s="74"/>
      <c r="M113" s="74"/>
      <c r="N113" s="74"/>
      <c r="O113" s="74"/>
      <c r="P113" s="74"/>
      <c r="Q113" s="74"/>
      <c r="R113" s="74"/>
      <c r="S113" s="74"/>
      <c r="T113" s="74"/>
      <c r="U113" s="74"/>
      <c r="V113" s="74"/>
      <c r="W113" s="74"/>
      <c r="X113" s="74"/>
      <c r="Y113" s="74"/>
      <c r="Z113" s="74"/>
      <c r="AA113" s="74"/>
      <c r="AB113" s="74"/>
      <c r="AC113" s="74"/>
      <c r="AD113" s="74"/>
      <c r="AE113" s="74"/>
      <c r="AF113" s="74"/>
      <c r="AG113" s="74"/>
      <c r="AH113" s="74"/>
      <c r="AI113" s="74"/>
      <c r="AJ113" s="74"/>
      <c r="AK113" s="74"/>
      <c r="AL113" s="74"/>
      <c r="AM113" s="74"/>
      <c r="AN113" s="74"/>
      <c r="AO113" s="74"/>
      <c r="AP113" s="74"/>
      <c r="AQ113" s="74"/>
      <c r="AR113" s="74"/>
      <c r="AS113" s="74"/>
      <c r="AT113" s="74"/>
      <c r="AU113" s="74"/>
      <c r="AV113" s="74"/>
      <c r="AW113" s="74"/>
      <c r="AX113" s="74"/>
      <c r="AY113" s="101"/>
      <c r="AZ113" s="101"/>
      <c r="BA113" s="101"/>
      <c r="BB113" s="101"/>
      <c r="BC113" s="101"/>
      <c r="BD113" s="101"/>
      <c r="BE113" s="101"/>
      <c r="BF113" s="101"/>
      <c r="BG113" s="101"/>
      <c r="BH113" s="101"/>
      <c r="BI113" s="101"/>
      <c r="BJ113" s="101"/>
      <c r="BK113" s="101"/>
      <c r="BL113" s="101"/>
      <c r="BM113" s="101"/>
      <c r="BN113" s="101"/>
      <c r="BO113" s="101"/>
      <c r="BP113" s="101"/>
      <c r="BQ113" s="101"/>
      <c r="BR113" s="101"/>
      <c r="BS113" s="101"/>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c r="CW113" s="101"/>
      <c r="CX113" s="101"/>
      <c r="CY113" s="101"/>
      <c r="CZ113" s="101"/>
      <c r="DA113" s="101"/>
      <c r="DB113" s="101"/>
      <c r="DC113" s="101"/>
      <c r="DD113" s="101"/>
      <c r="DE113" s="101"/>
      <c r="DF113" s="101"/>
      <c r="DG113" s="101"/>
      <c r="DH113" s="101"/>
      <c r="DI113" s="101"/>
      <c r="DJ113" s="101"/>
      <c r="DK113" s="101"/>
      <c r="DL113" s="101"/>
      <c r="DM113" s="101"/>
      <c r="DN113" s="101"/>
      <c r="DO113" s="101"/>
      <c r="DP113" s="101"/>
      <c r="DQ113" s="101"/>
      <c r="DR113" s="101"/>
      <c r="DS113" s="101"/>
      <c r="DT113" s="101"/>
      <c r="DU113" s="101"/>
      <c r="DV113" s="101"/>
      <c r="DW113" s="101"/>
      <c r="DX113" s="101"/>
      <c r="DY113" s="101"/>
      <c r="DZ113" s="101"/>
      <c r="EA113" s="101"/>
      <c r="EB113" s="101"/>
      <c r="EC113" s="101"/>
      <c r="ED113" s="101"/>
      <c r="EE113" s="101"/>
      <c r="EF113" s="101"/>
      <c r="EG113" s="101"/>
      <c r="EH113" s="101"/>
      <c r="EI113" s="101"/>
      <c r="EJ113" s="101"/>
      <c r="EK113" s="101"/>
      <c r="EL113" s="101"/>
      <c r="EM113" s="101"/>
      <c r="EN113" s="101"/>
      <c r="EO113" s="101"/>
      <c r="EP113" s="101"/>
      <c r="EQ113" s="101"/>
      <c r="ER113" s="101"/>
      <c r="ES113" s="101"/>
      <c r="ET113" s="101"/>
      <c r="EU113" s="101"/>
      <c r="EV113" s="101"/>
      <c r="EW113" s="101"/>
      <c r="EX113" s="101"/>
      <c r="EY113" s="101"/>
      <c r="EZ113" s="101"/>
      <c r="FA113" s="101"/>
      <c r="FB113" s="101"/>
      <c r="FC113" s="101"/>
      <c r="FD113" s="101"/>
      <c r="FE113" s="101"/>
      <c r="FF113" s="101"/>
      <c r="FG113" s="101"/>
      <c r="FH113" s="101"/>
      <c r="FI113" s="101"/>
      <c r="FJ113" s="101"/>
      <c r="FK113" s="101"/>
      <c r="FL113" s="101"/>
      <c r="FM113" s="101"/>
      <c r="FN113" s="101"/>
      <c r="FO113" s="101"/>
      <c r="FP113" s="101"/>
      <c r="FQ113" s="101"/>
      <c r="FR113" s="101"/>
      <c r="FS113" s="101"/>
      <c r="FT113" s="101"/>
      <c r="FU113" s="101"/>
      <c r="FV113" s="101"/>
      <c r="FW113" s="101"/>
      <c r="FX113" s="101"/>
      <c r="FY113" s="101"/>
      <c r="FZ113" s="101"/>
      <c r="GA113" s="101"/>
      <c r="GB113" s="101"/>
      <c r="GC113" s="101"/>
      <c r="GD113" s="101"/>
      <c r="GE113" s="101"/>
      <c r="GF113" s="101"/>
      <c r="GG113" s="101"/>
      <c r="GH113" s="101"/>
      <c r="GI113" s="101"/>
      <c r="GJ113" s="101"/>
    </row>
    <row r="114" spans="1:192" ht="50.1" customHeight="1" outlineLevel="1" x14ac:dyDescent="0.25">
      <c r="A114" s="148" t="s">
        <v>240</v>
      </c>
      <c r="B114" s="168" t="s">
        <v>366</v>
      </c>
      <c r="C114" s="141" t="s">
        <v>512</v>
      </c>
      <c r="D114" s="169" t="s">
        <v>22</v>
      </c>
      <c r="E114" s="198" t="s">
        <v>605</v>
      </c>
      <c r="F114" s="209"/>
      <c r="G114" s="74"/>
      <c r="H114" s="74"/>
      <c r="I114" s="74"/>
      <c r="J114" s="74"/>
      <c r="K114" s="74"/>
      <c r="L114" s="74"/>
      <c r="M114" s="74"/>
      <c r="N114" s="74"/>
      <c r="O114" s="74"/>
      <c r="P114" s="74"/>
      <c r="Q114" s="74"/>
      <c r="R114" s="74"/>
      <c r="S114" s="74"/>
      <c r="T114" s="74"/>
      <c r="U114" s="74"/>
      <c r="V114" s="74"/>
      <c r="W114" s="74"/>
      <c r="X114" s="74"/>
      <c r="Y114" s="74"/>
      <c r="Z114" s="74"/>
      <c r="AA114" s="74"/>
      <c r="AB114" s="74"/>
      <c r="AC114" s="74"/>
      <c r="AD114" s="74"/>
      <c r="AE114" s="74"/>
      <c r="AF114" s="74"/>
      <c r="AG114" s="74"/>
      <c r="AH114" s="74"/>
      <c r="AI114" s="74"/>
      <c r="AJ114" s="74"/>
      <c r="AK114" s="74"/>
      <c r="AL114" s="74"/>
      <c r="AM114" s="74"/>
      <c r="AN114" s="74"/>
      <c r="AO114" s="74"/>
      <c r="AP114" s="74"/>
      <c r="AQ114" s="74"/>
      <c r="AR114" s="74"/>
      <c r="AS114" s="74"/>
      <c r="AT114" s="74"/>
      <c r="AU114" s="74"/>
      <c r="AV114" s="74"/>
      <c r="AW114" s="74"/>
      <c r="AX114" s="74"/>
      <c r="AY114" s="101"/>
      <c r="AZ114" s="101"/>
      <c r="BA114" s="101"/>
      <c r="BB114" s="101"/>
      <c r="BC114" s="101"/>
      <c r="BD114" s="101"/>
      <c r="BE114" s="101"/>
      <c r="BF114" s="101"/>
      <c r="BG114" s="101"/>
      <c r="BH114" s="101"/>
      <c r="BI114" s="101"/>
      <c r="BJ114" s="101"/>
      <c r="BK114" s="101"/>
      <c r="BL114" s="101"/>
      <c r="BM114" s="101"/>
      <c r="BN114" s="101"/>
      <c r="BO114" s="101"/>
      <c r="BP114" s="101"/>
      <c r="BQ114" s="101"/>
      <c r="BR114" s="101"/>
      <c r="BS114" s="101"/>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c r="CW114" s="101"/>
      <c r="CX114" s="101"/>
      <c r="CY114" s="101"/>
      <c r="CZ114" s="101"/>
      <c r="DA114" s="101"/>
      <c r="DB114" s="101"/>
      <c r="DC114" s="101"/>
      <c r="DD114" s="101"/>
      <c r="DE114" s="101"/>
      <c r="DF114" s="101"/>
      <c r="DG114" s="101"/>
      <c r="DH114" s="101"/>
      <c r="DI114" s="101"/>
      <c r="DJ114" s="101"/>
      <c r="DK114" s="101"/>
      <c r="DL114" s="101"/>
      <c r="DM114" s="101"/>
      <c r="DN114" s="101"/>
      <c r="DO114" s="101"/>
      <c r="DP114" s="101"/>
      <c r="DQ114" s="101"/>
      <c r="DR114" s="101"/>
      <c r="DS114" s="101"/>
      <c r="DT114" s="101"/>
      <c r="DU114" s="101"/>
      <c r="DV114" s="101"/>
      <c r="DW114" s="101"/>
      <c r="DX114" s="101"/>
      <c r="DY114" s="101"/>
      <c r="DZ114" s="101"/>
      <c r="EA114" s="101"/>
      <c r="EB114" s="101"/>
      <c r="EC114" s="101"/>
      <c r="ED114" s="101"/>
      <c r="EE114" s="101"/>
      <c r="EF114" s="101"/>
      <c r="EG114" s="101"/>
      <c r="EH114" s="101"/>
      <c r="EI114" s="101"/>
      <c r="EJ114" s="101"/>
      <c r="EK114" s="101"/>
      <c r="EL114" s="101"/>
      <c r="EM114" s="101"/>
      <c r="EN114" s="101"/>
      <c r="EO114" s="101"/>
      <c r="EP114" s="101"/>
      <c r="EQ114" s="101"/>
      <c r="ER114" s="101"/>
      <c r="ES114" s="101"/>
      <c r="ET114" s="101"/>
      <c r="EU114" s="101"/>
      <c r="EV114" s="101"/>
      <c r="EW114" s="101"/>
      <c r="EX114" s="101"/>
      <c r="EY114" s="101"/>
      <c r="EZ114" s="101"/>
      <c r="FA114" s="101"/>
      <c r="FB114" s="101"/>
      <c r="FC114" s="101"/>
      <c r="FD114" s="101"/>
      <c r="FE114" s="101"/>
      <c r="FF114" s="101"/>
      <c r="FG114" s="101"/>
      <c r="FH114" s="101"/>
      <c r="FI114" s="101"/>
      <c r="FJ114" s="101"/>
      <c r="FK114" s="101"/>
      <c r="FL114" s="101"/>
      <c r="FM114" s="101"/>
      <c r="FN114" s="101"/>
      <c r="FO114" s="101"/>
      <c r="FP114" s="101"/>
      <c r="FQ114" s="101"/>
      <c r="FR114" s="101"/>
      <c r="FS114" s="101"/>
      <c r="FT114" s="101"/>
      <c r="FU114" s="101"/>
      <c r="FV114" s="101"/>
      <c r="FW114" s="101"/>
      <c r="FX114" s="101"/>
      <c r="FY114" s="101"/>
      <c r="FZ114" s="101"/>
      <c r="GA114" s="101"/>
      <c r="GB114" s="101"/>
      <c r="GC114" s="101"/>
      <c r="GD114" s="101"/>
      <c r="GE114" s="101"/>
      <c r="GF114" s="101"/>
      <c r="GG114" s="101"/>
      <c r="GH114" s="101"/>
      <c r="GI114" s="101"/>
      <c r="GJ114" s="101"/>
    </row>
    <row r="115" spans="1:192" ht="50.1" customHeight="1" outlineLevel="1" x14ac:dyDescent="0.25">
      <c r="A115" s="148" t="s">
        <v>240</v>
      </c>
      <c r="B115" s="167" t="s">
        <v>367</v>
      </c>
      <c r="C115" s="144" t="s">
        <v>513</v>
      </c>
      <c r="D115" s="167" t="s">
        <v>22</v>
      </c>
      <c r="E115" s="147" t="s">
        <v>606</v>
      </c>
      <c r="F115" s="211"/>
      <c r="G115" s="74"/>
      <c r="H115" s="74"/>
      <c r="I115" s="74"/>
      <c r="J115" s="74"/>
      <c r="K115" s="74"/>
      <c r="L115" s="74"/>
      <c r="M115" s="74"/>
      <c r="N115" s="74"/>
      <c r="O115" s="74"/>
      <c r="P115" s="74"/>
      <c r="Q115" s="74"/>
      <c r="R115" s="74"/>
      <c r="S115" s="74"/>
      <c r="T115" s="74"/>
      <c r="U115" s="74"/>
      <c r="V115" s="74"/>
      <c r="W115" s="74"/>
      <c r="X115" s="74"/>
      <c r="Y115" s="74"/>
      <c r="Z115" s="74"/>
      <c r="AA115" s="74"/>
      <c r="AB115" s="74"/>
      <c r="AC115" s="74"/>
      <c r="AD115" s="74"/>
      <c r="AE115" s="74"/>
      <c r="AF115" s="74"/>
      <c r="AG115" s="74"/>
      <c r="AH115" s="74"/>
      <c r="AI115" s="74"/>
      <c r="AJ115" s="74"/>
      <c r="AK115" s="74"/>
      <c r="AL115" s="74"/>
      <c r="AM115" s="74"/>
      <c r="AN115" s="74"/>
      <c r="AO115" s="74"/>
      <c r="AP115" s="74"/>
      <c r="AQ115" s="74"/>
      <c r="AR115" s="74"/>
      <c r="AS115" s="74"/>
      <c r="AT115" s="74"/>
      <c r="AU115" s="74"/>
      <c r="AV115" s="74"/>
      <c r="AW115" s="74"/>
      <c r="AX115" s="74"/>
      <c r="AY115" s="101"/>
      <c r="AZ115" s="101"/>
      <c r="BA115" s="101"/>
      <c r="BB115" s="101"/>
      <c r="BC115" s="101"/>
      <c r="BD115" s="101"/>
      <c r="BE115" s="101"/>
      <c r="BF115" s="101"/>
      <c r="BG115" s="101"/>
      <c r="BH115" s="101"/>
      <c r="BI115" s="101"/>
      <c r="BJ115" s="101"/>
      <c r="BK115" s="101"/>
      <c r="BL115" s="101"/>
      <c r="BM115" s="101"/>
      <c r="BN115" s="101"/>
      <c r="BO115" s="101"/>
      <c r="BP115" s="101"/>
      <c r="BQ115" s="101"/>
      <c r="BR115" s="101"/>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c r="CW115" s="101"/>
      <c r="CX115" s="101"/>
      <c r="CY115" s="101"/>
      <c r="CZ115" s="101"/>
      <c r="DA115" s="101"/>
      <c r="DB115" s="101"/>
      <c r="DC115" s="101"/>
      <c r="DD115" s="101"/>
      <c r="DE115" s="101"/>
      <c r="DF115" s="101"/>
      <c r="DG115" s="101"/>
      <c r="DH115" s="101"/>
      <c r="DI115" s="101"/>
      <c r="DJ115" s="101"/>
      <c r="DK115" s="101"/>
      <c r="DL115" s="101"/>
      <c r="DM115" s="101"/>
      <c r="DN115" s="101"/>
      <c r="DO115" s="101"/>
      <c r="DP115" s="101"/>
      <c r="DQ115" s="101"/>
      <c r="DR115" s="101"/>
      <c r="DS115" s="101"/>
      <c r="DT115" s="101"/>
      <c r="DU115" s="101"/>
      <c r="DV115" s="101"/>
      <c r="DW115" s="101"/>
      <c r="DX115" s="101"/>
      <c r="DY115" s="101"/>
      <c r="DZ115" s="101"/>
      <c r="EA115" s="101"/>
      <c r="EB115" s="101"/>
      <c r="EC115" s="101"/>
      <c r="ED115" s="101"/>
      <c r="EE115" s="101"/>
      <c r="EF115" s="101"/>
      <c r="EG115" s="101"/>
      <c r="EH115" s="101"/>
      <c r="EI115" s="101"/>
      <c r="EJ115" s="101"/>
      <c r="EK115" s="101"/>
      <c r="EL115" s="101"/>
      <c r="EM115" s="101"/>
      <c r="EN115" s="101"/>
      <c r="EO115" s="101"/>
      <c r="EP115" s="101"/>
      <c r="EQ115" s="101"/>
      <c r="ER115" s="101"/>
      <c r="ES115" s="101"/>
      <c r="ET115" s="101"/>
      <c r="EU115" s="101"/>
      <c r="EV115" s="101"/>
      <c r="EW115" s="101"/>
      <c r="EX115" s="101"/>
      <c r="EY115" s="101"/>
      <c r="EZ115" s="101"/>
      <c r="FA115" s="101"/>
      <c r="FB115" s="101"/>
      <c r="FC115" s="101"/>
      <c r="FD115" s="101"/>
      <c r="FE115" s="101"/>
      <c r="FF115" s="101"/>
      <c r="FG115" s="101"/>
      <c r="FH115" s="101"/>
      <c r="FI115" s="101"/>
      <c r="FJ115" s="101"/>
      <c r="FK115" s="101"/>
      <c r="FL115" s="101"/>
      <c r="FM115" s="101"/>
      <c r="FN115" s="101"/>
      <c r="FO115" s="101"/>
      <c r="FP115" s="101"/>
      <c r="FQ115" s="101"/>
      <c r="FR115" s="101"/>
      <c r="FS115" s="101"/>
      <c r="FT115" s="101"/>
      <c r="FU115" s="101"/>
      <c r="FV115" s="101"/>
      <c r="FW115" s="101"/>
      <c r="FX115" s="101"/>
      <c r="FY115" s="101"/>
      <c r="FZ115" s="101"/>
      <c r="GA115" s="101"/>
      <c r="GB115" s="101"/>
      <c r="GC115" s="101"/>
      <c r="GD115" s="101"/>
      <c r="GE115" s="101"/>
      <c r="GF115" s="101"/>
      <c r="GG115" s="101"/>
      <c r="GH115" s="101"/>
      <c r="GI115" s="101"/>
      <c r="GJ115" s="101"/>
    </row>
    <row r="116" spans="1:192" ht="50.1" customHeight="1" outlineLevel="1" x14ac:dyDescent="0.25">
      <c r="A116" s="148" t="s">
        <v>240</v>
      </c>
      <c r="B116" s="168" t="s">
        <v>368</v>
      </c>
      <c r="C116" s="219" t="s">
        <v>514</v>
      </c>
      <c r="D116" s="218" t="s">
        <v>22</v>
      </c>
      <c r="E116" s="220" t="s">
        <v>607</v>
      </c>
      <c r="F116" s="209"/>
      <c r="G116" s="74"/>
      <c r="H116" s="74"/>
      <c r="I116" s="74"/>
      <c r="J116" s="74"/>
      <c r="K116" s="74"/>
      <c r="L116" s="74"/>
      <c r="M116" s="74"/>
      <c r="N116" s="74"/>
      <c r="O116" s="74"/>
      <c r="P116" s="74"/>
      <c r="Q116" s="74"/>
      <c r="R116" s="74"/>
      <c r="S116" s="74"/>
      <c r="T116" s="74"/>
      <c r="U116" s="74"/>
      <c r="V116" s="74"/>
      <c r="W116" s="74"/>
      <c r="X116" s="74"/>
      <c r="Y116" s="74"/>
      <c r="Z116" s="74"/>
      <c r="AA116" s="74"/>
      <c r="AB116" s="74"/>
      <c r="AC116" s="74"/>
      <c r="AD116" s="74"/>
      <c r="AE116" s="74"/>
      <c r="AF116" s="74"/>
      <c r="AG116" s="74"/>
      <c r="AH116" s="74"/>
      <c r="AI116" s="74"/>
      <c r="AJ116" s="74"/>
      <c r="AK116" s="74"/>
      <c r="AL116" s="74"/>
      <c r="AM116" s="74"/>
      <c r="AN116" s="74"/>
      <c r="AO116" s="74"/>
      <c r="AP116" s="74"/>
      <c r="AQ116" s="74"/>
      <c r="AR116" s="74"/>
      <c r="AS116" s="74"/>
      <c r="AT116" s="74"/>
      <c r="AU116" s="74"/>
      <c r="AV116" s="74"/>
      <c r="AW116" s="74"/>
      <c r="AX116" s="74"/>
      <c r="AY116" s="101"/>
      <c r="AZ116" s="101"/>
      <c r="BA116" s="101"/>
      <c r="BB116" s="101"/>
      <c r="BC116" s="101"/>
      <c r="BD116" s="101"/>
      <c r="BE116" s="101"/>
      <c r="BF116" s="101"/>
      <c r="BG116" s="101"/>
      <c r="BH116" s="101"/>
      <c r="BI116" s="101"/>
      <c r="BJ116" s="101"/>
      <c r="BK116" s="101"/>
      <c r="BL116" s="101"/>
      <c r="BM116" s="101"/>
      <c r="BN116" s="101"/>
      <c r="BO116" s="101"/>
      <c r="BP116" s="101"/>
      <c r="BQ116" s="101"/>
      <c r="BR116" s="101"/>
      <c r="BS116" s="101"/>
      <c r="BT116" s="101"/>
      <c r="BU116" s="101"/>
      <c r="BV116" s="101"/>
      <c r="BW116" s="101"/>
      <c r="BX116" s="101"/>
      <c r="BY116" s="101"/>
      <c r="BZ116" s="101"/>
      <c r="CA116" s="101"/>
      <c r="CB116" s="101"/>
      <c r="CC116" s="101"/>
      <c r="CD116" s="101"/>
      <c r="CE116" s="101"/>
      <c r="CF116" s="101"/>
      <c r="CG116" s="101"/>
      <c r="CH116" s="101"/>
      <c r="CI116" s="101"/>
      <c r="CJ116" s="101"/>
      <c r="CK116" s="101"/>
      <c r="CL116" s="101"/>
      <c r="CM116" s="101"/>
      <c r="CN116" s="101"/>
      <c r="CO116" s="101"/>
      <c r="CP116" s="101"/>
      <c r="CQ116" s="101"/>
      <c r="CR116" s="101"/>
      <c r="CS116" s="101"/>
      <c r="CT116" s="101"/>
      <c r="CU116" s="101"/>
      <c r="CV116" s="101"/>
      <c r="CW116" s="101"/>
      <c r="CX116" s="101"/>
      <c r="CY116" s="101"/>
      <c r="CZ116" s="101"/>
      <c r="DA116" s="101"/>
      <c r="DB116" s="101"/>
      <c r="DC116" s="101"/>
      <c r="DD116" s="101"/>
      <c r="DE116" s="101"/>
      <c r="DF116" s="101"/>
      <c r="DG116" s="101"/>
      <c r="DH116" s="101"/>
      <c r="DI116" s="101"/>
      <c r="DJ116" s="101"/>
      <c r="DK116" s="101"/>
      <c r="DL116" s="101"/>
      <c r="DM116" s="101"/>
      <c r="DN116" s="101"/>
      <c r="DO116" s="101"/>
      <c r="DP116" s="101"/>
      <c r="DQ116" s="101"/>
      <c r="DR116" s="101"/>
      <c r="DS116" s="101"/>
      <c r="DT116" s="101"/>
      <c r="DU116" s="101"/>
      <c r="DV116" s="101"/>
      <c r="DW116" s="101"/>
      <c r="DX116" s="101"/>
      <c r="DY116" s="101"/>
      <c r="DZ116" s="101"/>
      <c r="EA116" s="101"/>
      <c r="EB116" s="101"/>
      <c r="EC116" s="101"/>
      <c r="ED116" s="101"/>
      <c r="EE116" s="101"/>
      <c r="EF116" s="101"/>
      <c r="EG116" s="101"/>
      <c r="EH116" s="101"/>
      <c r="EI116" s="101"/>
      <c r="EJ116" s="101"/>
      <c r="EK116" s="101"/>
      <c r="EL116" s="101"/>
      <c r="EM116" s="101"/>
      <c r="EN116" s="101"/>
      <c r="EO116" s="101"/>
      <c r="EP116" s="101"/>
      <c r="EQ116" s="101"/>
      <c r="ER116" s="101"/>
      <c r="ES116" s="101"/>
      <c r="ET116" s="101"/>
      <c r="EU116" s="101"/>
      <c r="EV116" s="101"/>
      <c r="EW116" s="101"/>
      <c r="EX116" s="101"/>
      <c r="EY116" s="101"/>
      <c r="EZ116" s="101"/>
      <c r="FA116" s="101"/>
      <c r="FB116" s="101"/>
      <c r="FC116" s="101"/>
      <c r="FD116" s="101"/>
      <c r="FE116" s="101"/>
      <c r="FF116" s="101"/>
      <c r="FG116" s="101"/>
      <c r="FH116" s="101"/>
      <c r="FI116" s="101"/>
      <c r="FJ116" s="101"/>
      <c r="FK116" s="101"/>
      <c r="FL116" s="101"/>
      <c r="FM116" s="101"/>
      <c r="FN116" s="101"/>
      <c r="FO116" s="101"/>
      <c r="FP116" s="101"/>
      <c r="FQ116" s="101"/>
      <c r="FR116" s="101"/>
      <c r="FS116" s="101"/>
      <c r="FT116" s="101"/>
      <c r="FU116" s="101"/>
      <c r="FV116" s="101"/>
      <c r="FW116" s="101"/>
      <c r="FX116" s="101"/>
      <c r="FY116" s="101"/>
      <c r="FZ116" s="101"/>
      <c r="GA116" s="101"/>
      <c r="GB116" s="101"/>
      <c r="GC116" s="101"/>
      <c r="GD116" s="101"/>
      <c r="GE116" s="101"/>
      <c r="GF116" s="101"/>
      <c r="GG116" s="101"/>
      <c r="GH116" s="101"/>
      <c r="GI116" s="101"/>
      <c r="GJ116" s="101"/>
    </row>
    <row r="117" spans="1:192" x14ac:dyDescent="0.25">
      <c r="G117" s="6">
        <f t="shared" ref="G117:P117" si="0">COUNTIF(G11:G116,"=Validé")</f>
        <v>0</v>
      </c>
      <c r="H117" s="6">
        <f t="shared" si="0"/>
        <v>0</v>
      </c>
      <c r="I117" s="6">
        <f t="shared" si="0"/>
        <v>0</v>
      </c>
      <c r="J117" s="6">
        <f t="shared" si="0"/>
        <v>0</v>
      </c>
      <c r="K117" s="6">
        <f t="shared" si="0"/>
        <v>0</v>
      </c>
      <c r="L117" s="6">
        <f t="shared" si="0"/>
        <v>0</v>
      </c>
      <c r="M117" s="6">
        <f t="shared" si="0"/>
        <v>0</v>
      </c>
      <c r="N117" s="6">
        <f t="shared" si="0"/>
        <v>0</v>
      </c>
      <c r="O117" s="6">
        <f t="shared" si="0"/>
        <v>0</v>
      </c>
      <c r="P117" s="6">
        <f t="shared" si="0"/>
        <v>0</v>
      </c>
    </row>
  </sheetData>
  <sheetProtection sort="0"/>
  <mergeCells count="2">
    <mergeCell ref="A2:D2"/>
    <mergeCell ref="A5:D9"/>
  </mergeCells>
  <phoneticPr fontId="11" type="noConversion"/>
  <conditionalFormatting sqref="N11:GJ116">
    <cfRule type="cellIs" dxfId="285" priority="1872" operator="equal">
      <formula>"Indéterminé"</formula>
    </cfRule>
    <cfRule type="cellIs" dxfId="284" priority="1873" operator="equal">
      <formula>"NA"</formula>
    </cfRule>
    <cfRule type="cellIs" dxfId="283" priority="1874" operator="equal">
      <formula>"Invalidé"</formula>
    </cfRule>
    <cfRule type="cellIs" dxfId="282" priority="1875" operator="equal">
      <formula>"Validé"</formula>
    </cfRule>
    <cfRule type="cellIs" dxfId="281" priority="1876" operator="equal">
      <formula>"NA"</formula>
    </cfRule>
    <cfRule type="cellIs" dxfId="280" priority="1877" operator="equal">
      <formula>"Invalidé"</formula>
    </cfRule>
    <cfRule type="cellIs" dxfId="279" priority="1878" operator="equal">
      <formula>"Validé"</formula>
    </cfRule>
    <cfRule type="cellIs" dxfId="278" priority="1990" operator="equal">
      <formula>"Indéterminé"</formula>
    </cfRule>
    <cfRule type="cellIs" dxfId="277" priority="1997" operator="equal">
      <formula>"Invalidé"</formula>
    </cfRule>
    <cfRule type="cellIs" dxfId="276" priority="1998" operator="equal">
      <formula>"Validé"</formula>
    </cfRule>
    <cfRule type="cellIs" dxfId="275" priority="1999" stopIfTrue="1" operator="equal">
      <formula>"NA"</formula>
    </cfRule>
  </conditionalFormatting>
  <conditionalFormatting sqref="M11:M116">
    <cfRule type="cellIs" dxfId="274" priority="1062" operator="equal">
      <formula>"Indéterminé"</formula>
    </cfRule>
    <cfRule type="cellIs" dxfId="273" priority="1063" operator="equal">
      <formula>"NA"</formula>
    </cfRule>
    <cfRule type="cellIs" dxfId="272" priority="1064" operator="equal">
      <formula>"Invalidé"</formula>
    </cfRule>
    <cfRule type="cellIs" dxfId="271" priority="1065" operator="equal">
      <formula>"Validé"</formula>
    </cfRule>
    <cfRule type="cellIs" dxfId="270" priority="1066" operator="equal">
      <formula>"NA"</formula>
    </cfRule>
    <cfRule type="cellIs" dxfId="269" priority="1067" operator="equal">
      <formula>"Invalidé"</formula>
    </cfRule>
    <cfRule type="cellIs" dxfId="268" priority="1068" operator="equal">
      <formula>"Validé"</formula>
    </cfRule>
    <cfRule type="cellIs" dxfId="267" priority="1072" operator="equal">
      <formula>"Indéterminé"</formula>
    </cfRule>
    <cfRule type="cellIs" dxfId="266" priority="1073" operator="equal">
      <formula>"Invalidé"</formula>
    </cfRule>
    <cfRule type="cellIs" dxfId="265" priority="1074" operator="equal">
      <formula>"Validé"</formula>
    </cfRule>
    <cfRule type="cellIs" dxfId="264" priority="1075" stopIfTrue="1" operator="equal">
      <formula>"NA"</formula>
    </cfRule>
  </conditionalFormatting>
  <conditionalFormatting sqref="G11:J116">
    <cfRule type="cellIs" dxfId="263" priority="1104" operator="equal">
      <formula>"Indéterminé"</formula>
    </cfRule>
    <cfRule type="cellIs" dxfId="262" priority="1105" operator="equal">
      <formula>"NA"</formula>
    </cfRule>
    <cfRule type="cellIs" dxfId="261" priority="1106" operator="equal">
      <formula>"Invalidé"</formula>
    </cfRule>
    <cfRule type="cellIs" dxfId="260" priority="1107" operator="equal">
      <formula>"Validé"</formula>
    </cfRule>
    <cfRule type="cellIs" dxfId="259" priority="1108" operator="equal">
      <formula>"NA"</formula>
    </cfRule>
    <cfRule type="cellIs" dxfId="258" priority="1109" operator="equal">
      <formula>"Invalidé"</formula>
    </cfRule>
    <cfRule type="cellIs" dxfId="257" priority="1110" operator="equal">
      <formula>"Validé"</formula>
    </cfRule>
    <cfRule type="cellIs" dxfId="256" priority="1114" operator="equal">
      <formula>"Indéterminé"</formula>
    </cfRule>
    <cfRule type="cellIs" dxfId="255" priority="1115" operator="equal">
      <formula>"Invalidé"</formula>
    </cfRule>
    <cfRule type="cellIs" dxfId="254" priority="1116" operator="equal">
      <formula>"Validé"</formula>
    </cfRule>
    <cfRule type="cellIs" dxfId="253" priority="1117" stopIfTrue="1" operator="equal">
      <formula>"NA"</formula>
    </cfRule>
  </conditionalFormatting>
  <conditionalFormatting sqref="K11:K116">
    <cfRule type="cellIs" dxfId="252" priority="1090" operator="equal">
      <formula>"Indéterminé"</formula>
    </cfRule>
    <cfRule type="cellIs" dxfId="251" priority="1091" operator="equal">
      <formula>"NA"</formula>
    </cfRule>
    <cfRule type="cellIs" dxfId="250" priority="1092" operator="equal">
      <formula>"Invalidé"</formula>
    </cfRule>
    <cfRule type="cellIs" dxfId="249" priority="1093" operator="equal">
      <formula>"Validé"</formula>
    </cfRule>
    <cfRule type="cellIs" dxfId="248" priority="1094" operator="equal">
      <formula>"NA"</formula>
    </cfRule>
    <cfRule type="cellIs" dxfId="247" priority="1095" operator="equal">
      <formula>"Invalidé"</formula>
    </cfRule>
    <cfRule type="cellIs" dxfId="246" priority="1096" operator="equal">
      <formula>"Validé"</formula>
    </cfRule>
    <cfRule type="cellIs" dxfId="245" priority="1100" operator="equal">
      <formula>"Indéterminé"</formula>
    </cfRule>
    <cfRule type="cellIs" dxfId="244" priority="1101" operator="equal">
      <formula>"Invalidé"</formula>
    </cfRule>
    <cfRule type="cellIs" dxfId="243" priority="1102" operator="equal">
      <formula>"Validé"</formula>
    </cfRule>
    <cfRule type="cellIs" dxfId="242" priority="1103" stopIfTrue="1" operator="equal">
      <formula>"NA"</formula>
    </cfRule>
  </conditionalFormatting>
  <conditionalFormatting sqref="L11:L116">
    <cfRule type="cellIs" dxfId="241" priority="1076" operator="equal">
      <formula>"Indéterminé"</formula>
    </cfRule>
    <cfRule type="cellIs" dxfId="240" priority="1077" operator="equal">
      <formula>"NA"</formula>
    </cfRule>
    <cfRule type="cellIs" dxfId="239" priority="1078" operator="equal">
      <formula>"Invalidé"</formula>
    </cfRule>
    <cfRule type="cellIs" dxfId="238" priority="1079" operator="equal">
      <formula>"Validé"</formula>
    </cfRule>
    <cfRule type="cellIs" dxfId="237" priority="1080" operator="equal">
      <formula>"NA"</formula>
    </cfRule>
    <cfRule type="cellIs" dxfId="236" priority="1081" operator="equal">
      <formula>"Invalidé"</formula>
    </cfRule>
    <cfRule type="cellIs" dxfId="235" priority="1082" operator="equal">
      <formula>"Validé"</formula>
    </cfRule>
    <cfRule type="cellIs" dxfId="234" priority="1086" operator="equal">
      <formula>"Indéterminé"</formula>
    </cfRule>
    <cfRule type="cellIs" dxfId="233" priority="1087" operator="equal">
      <formula>"Invalidé"</formula>
    </cfRule>
    <cfRule type="cellIs" dxfId="232" priority="1088" operator="equal">
      <formula>"Validé"</formula>
    </cfRule>
    <cfRule type="cellIs" dxfId="231"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62" t="s">
        <v>249</v>
      </c>
      <c r="G2" s="233" t="str">
        <f ca="1">Value!O141</f>
        <v/>
      </c>
      <c r="H2" s="64" t="s">
        <v>250</v>
      </c>
    </row>
    <row r="3" spans="6:8" ht="76.5" x14ac:dyDescent="0.25">
      <c r="F3" s="89" t="s">
        <v>402</v>
      </c>
      <c r="G3" s="89"/>
      <c r="H3" s="89"/>
    </row>
    <row r="7" spans="6:8" x14ac:dyDescent="0.25">
      <c r="F7" s="65"/>
      <c r="G7" s="63"/>
      <c r="H7" s="64"/>
    </row>
    <row r="8" spans="6:8" ht="114.6" customHeight="1" x14ac:dyDescent="0.25">
      <c r="F8" s="89"/>
      <c r="G8" s="89"/>
      <c r="H8" s="89"/>
    </row>
    <row r="10" spans="6:8" x14ac:dyDescent="0.25">
      <c r="F10" s="88"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activeCell="I2" sqref="I2"/>
    </sheetView>
  </sheetViews>
  <sheetFormatPr baseColWidth="10" defaultColWidth="11.42578125" defaultRowHeight="12.75" x14ac:dyDescent="0.25"/>
  <cols>
    <col min="1" max="1" width="11.42578125" style="110"/>
    <col min="2" max="2" width="7.7109375" style="197" customWidth="1"/>
    <col min="3" max="3" width="32.7109375" style="113" customWidth="1"/>
    <col min="4" max="4" width="8.5703125" style="114" customWidth="1"/>
    <col min="5" max="5" width="12.42578125" style="114" customWidth="1"/>
    <col min="6" max="6" width="8.5703125" style="114" customWidth="1"/>
    <col min="7" max="7" width="10.5703125" style="113" customWidth="1"/>
    <col min="8" max="8" width="42.28515625" style="113" customWidth="1"/>
    <col min="9" max="9" width="39.42578125" style="113" customWidth="1"/>
    <col min="10" max="11" width="19.5703125" style="113" customWidth="1"/>
    <col min="12" max="13" width="11.42578125" style="115"/>
    <col min="14" max="16384" width="11.42578125" style="110"/>
  </cols>
  <sheetData>
    <row r="1" spans="1:13" ht="39.950000000000003" customHeight="1" x14ac:dyDescent="0.25">
      <c r="A1" s="128" t="s">
        <v>0</v>
      </c>
      <c r="B1" s="196" t="s">
        <v>258</v>
      </c>
      <c r="C1" s="129" t="s">
        <v>232</v>
      </c>
      <c r="D1" s="129" t="s">
        <v>21</v>
      </c>
      <c r="E1" s="129" t="s">
        <v>247</v>
      </c>
      <c r="F1" s="129" t="s">
        <v>19</v>
      </c>
      <c r="G1" s="129" t="s">
        <v>44</v>
      </c>
      <c r="H1" s="129" t="s">
        <v>404</v>
      </c>
      <c r="I1" s="129" t="s">
        <v>669</v>
      </c>
      <c r="J1" s="129" t="s">
        <v>381</v>
      </c>
      <c r="K1" s="130" t="s">
        <v>517</v>
      </c>
      <c r="L1" s="129" t="s">
        <v>25</v>
      </c>
      <c r="M1" s="130" t="s">
        <v>248</v>
      </c>
    </row>
    <row r="2" spans="1:13" x14ac:dyDescent="0.25">
      <c r="H2" s="127"/>
      <c r="I2" s="127"/>
      <c r="J2" s="127"/>
      <c r="K2" s="127"/>
    </row>
    <row r="3" spans="1:13" x14ac:dyDescent="0.25">
      <c r="H3" s="124"/>
      <c r="I3" s="124"/>
      <c r="J3" s="124"/>
      <c r="K3" s="124"/>
    </row>
    <row r="4" spans="1:13" x14ac:dyDescent="0.25">
      <c r="H4" s="124"/>
      <c r="I4" s="124"/>
      <c r="J4" s="124"/>
      <c r="K4" s="124"/>
    </row>
    <row r="5" spans="1:13" x14ac:dyDescent="0.25">
      <c r="H5" s="124"/>
      <c r="I5" s="124"/>
      <c r="J5" s="124"/>
      <c r="K5" s="124"/>
    </row>
    <row r="6" spans="1:13" x14ac:dyDescent="0.25">
      <c r="H6" s="124"/>
      <c r="I6" s="124"/>
      <c r="J6" s="124"/>
      <c r="K6" s="124"/>
    </row>
    <row r="7" spans="1:13" x14ac:dyDescent="0.25">
      <c r="H7" s="124"/>
      <c r="I7" s="124"/>
      <c r="J7" s="124"/>
      <c r="K7" s="124"/>
    </row>
    <row r="8" spans="1:13" x14ac:dyDescent="0.25">
      <c r="H8" s="124"/>
      <c r="I8" s="124"/>
      <c r="J8" s="124"/>
      <c r="K8" s="124"/>
    </row>
    <row r="9" spans="1:13" x14ac:dyDescent="0.25">
      <c r="H9" s="116"/>
      <c r="I9" s="116"/>
      <c r="J9" s="117"/>
      <c r="K9" s="117"/>
    </row>
    <row r="10" spans="1:13" x14ac:dyDescent="0.25">
      <c r="H10" s="116"/>
      <c r="I10" s="116"/>
      <c r="J10" s="116"/>
      <c r="K10" s="116"/>
    </row>
    <row r="11" spans="1:13" x14ac:dyDescent="0.25">
      <c r="H11" s="116"/>
      <c r="I11" s="116"/>
      <c r="J11" s="116"/>
      <c r="K11" s="116"/>
    </row>
    <row r="12" spans="1:13" x14ac:dyDescent="0.25">
      <c r="H12" s="118"/>
      <c r="I12" s="118"/>
      <c r="J12" s="118"/>
      <c r="K12" s="118"/>
    </row>
    <row r="13" spans="1:13" x14ac:dyDescent="0.25">
      <c r="H13" s="118"/>
      <c r="I13" s="118"/>
      <c r="J13" s="118"/>
      <c r="K13" s="118"/>
    </row>
    <row r="14" spans="1:13" x14ac:dyDescent="0.25">
      <c r="H14" s="118"/>
      <c r="I14" s="118"/>
      <c r="J14" s="118"/>
      <c r="K14" s="118"/>
    </row>
    <row r="15" spans="1:13" x14ac:dyDescent="0.25">
      <c r="H15" s="118"/>
      <c r="I15" s="118"/>
      <c r="J15" s="118"/>
      <c r="K15" s="118"/>
    </row>
    <row r="16" spans="1:13" x14ac:dyDescent="0.25">
      <c r="H16" s="118"/>
      <c r="I16" s="118"/>
      <c r="J16" s="118"/>
      <c r="K16" s="118"/>
    </row>
    <row r="17" spans="8:11" x14ac:dyDescent="0.25">
      <c r="H17" s="118"/>
      <c r="I17" s="118"/>
      <c r="J17" s="118"/>
      <c r="K17" s="118"/>
    </row>
    <row r="18" spans="8:11" x14ac:dyDescent="0.25">
      <c r="H18" s="118"/>
      <c r="I18" s="118"/>
      <c r="J18" s="118"/>
      <c r="K18" s="118"/>
    </row>
    <row r="19" spans="8:11" x14ac:dyDescent="0.25">
      <c r="H19" s="118"/>
      <c r="I19" s="118"/>
      <c r="J19" s="118"/>
      <c r="K19" s="118"/>
    </row>
    <row r="20" spans="8:11" x14ac:dyDescent="0.25">
      <c r="H20" s="118"/>
      <c r="I20" s="118"/>
      <c r="J20" s="118"/>
      <c r="K20" s="118"/>
    </row>
    <row r="21" spans="8:11" x14ac:dyDescent="0.25">
      <c r="H21" s="118"/>
      <c r="I21" s="118"/>
      <c r="J21" s="118"/>
      <c r="K21" s="118"/>
    </row>
    <row r="22" spans="8:11" x14ac:dyDescent="0.25">
      <c r="H22" s="116"/>
      <c r="I22" s="116"/>
      <c r="J22" s="116"/>
      <c r="K22" s="116"/>
    </row>
    <row r="23" spans="8:11" x14ac:dyDescent="0.25">
      <c r="H23" s="116"/>
      <c r="I23" s="116"/>
      <c r="J23" s="116"/>
      <c r="K23" s="116"/>
    </row>
    <row r="24" spans="8:11" x14ac:dyDescent="0.25">
      <c r="H24" s="118"/>
      <c r="I24" s="118"/>
      <c r="J24" s="118"/>
      <c r="K24" s="118"/>
    </row>
    <row r="25" spans="8:11" x14ac:dyDescent="0.25">
      <c r="H25" s="118"/>
      <c r="I25" s="118"/>
      <c r="J25" s="118"/>
      <c r="K25" s="118"/>
    </row>
    <row r="26" spans="8:11" x14ac:dyDescent="0.25">
      <c r="H26" s="118"/>
      <c r="I26" s="118"/>
      <c r="J26" s="118"/>
      <c r="K26" s="118"/>
    </row>
    <row r="27" spans="8:11" x14ac:dyDescent="0.25">
      <c r="H27" s="118"/>
      <c r="I27" s="118"/>
      <c r="J27" s="118"/>
      <c r="K27" s="118"/>
    </row>
    <row r="28" spans="8:11" x14ac:dyDescent="0.25">
      <c r="H28" s="118"/>
      <c r="I28" s="118"/>
      <c r="J28" s="118"/>
      <c r="K28" s="118"/>
    </row>
    <row r="29" spans="8:11" x14ac:dyDescent="0.25">
      <c r="H29" s="118"/>
      <c r="I29" s="118"/>
      <c r="J29" s="118"/>
      <c r="K29" s="118"/>
    </row>
    <row r="30" spans="8:11" x14ac:dyDescent="0.25">
      <c r="H30" s="118"/>
      <c r="I30" s="118"/>
      <c r="J30" s="118"/>
      <c r="K30" s="118"/>
    </row>
    <row r="31" spans="8:11" x14ac:dyDescent="0.25">
      <c r="H31" s="118"/>
      <c r="I31" s="118"/>
      <c r="J31" s="118"/>
      <c r="K31" s="118"/>
    </row>
    <row r="32" spans="8:11" x14ac:dyDescent="0.25">
      <c r="H32" s="118"/>
      <c r="I32" s="118"/>
      <c r="J32" s="118"/>
      <c r="K32" s="118"/>
    </row>
    <row r="33" spans="8:11" x14ac:dyDescent="0.25">
      <c r="H33" s="118"/>
      <c r="I33" s="118"/>
      <c r="J33" s="118"/>
      <c r="K33" s="118"/>
    </row>
  </sheetData>
  <autoFilter ref="A1:M1" xr:uid="{F0391674-2F4E-4065-91C8-E5D61332FBC7}"/>
  <conditionalFormatting sqref="F1:F1048576">
    <cfRule type="cellIs" dxfId="34" priority="1" operator="equal">
      <formula>"NA"</formula>
    </cfRule>
    <cfRule type="cellIs" dxfId="33" priority="2" operator="equal">
      <formula>"Indéterminé"</formula>
    </cfRule>
    <cfRule type="cellIs" dxfId="32" priority="3" operator="equal">
      <formula>"Validé"</formula>
    </cfRule>
    <cfRule type="cellIs" dxfId="31"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workbookViewId="0">
      <selection activeCell="E11" sqref="E11"/>
    </sheetView>
  </sheetViews>
  <sheetFormatPr baseColWidth="10" defaultColWidth="11.42578125" defaultRowHeight="15" x14ac:dyDescent="0.25"/>
  <cols>
    <col min="1" max="1" width="5.7109375" style="6" customWidth="1"/>
    <col min="2" max="2" width="110.7109375" style="6" customWidth="1"/>
    <col min="3" max="3" width="5.7109375" style="6" customWidth="1"/>
    <col min="4" max="16384" width="11.42578125" style="6"/>
  </cols>
  <sheetData>
    <row r="1" spans="1:3" ht="24.95" customHeight="1" x14ac:dyDescent="0.25">
      <c r="A1" s="131"/>
      <c r="B1" s="131"/>
      <c r="C1" s="21"/>
    </row>
    <row r="2" spans="1:3" ht="60" customHeight="1" x14ac:dyDescent="0.25">
      <c r="A2" s="131"/>
      <c r="B2" s="133" t="s">
        <v>398</v>
      </c>
      <c r="C2" s="131"/>
    </row>
    <row r="3" spans="1:3" ht="39.950000000000003" customHeight="1" x14ac:dyDescent="0.25">
      <c r="A3" s="131"/>
      <c r="B3" s="134" t="s">
        <v>399</v>
      </c>
      <c r="C3" s="131"/>
    </row>
    <row r="4" spans="1:3" ht="30" customHeight="1" x14ac:dyDescent="0.25">
      <c r="A4" s="131"/>
      <c r="B4" s="135" t="s">
        <v>637</v>
      </c>
      <c r="C4" s="131"/>
    </row>
    <row r="5" spans="1:3" ht="17.100000000000001" customHeight="1" x14ac:dyDescent="0.25">
      <c r="A5" s="131"/>
      <c r="B5" s="136" t="s">
        <v>400</v>
      </c>
      <c r="C5" s="131"/>
    </row>
    <row r="6" spans="1:3" ht="17.100000000000001" customHeight="1" x14ac:dyDescent="0.25">
      <c r="A6" s="131"/>
      <c r="B6" s="137" t="s">
        <v>631</v>
      </c>
      <c r="C6" s="131"/>
    </row>
    <row r="7" spans="1:3" ht="17.100000000000001" customHeight="1" x14ac:dyDescent="0.25">
      <c r="A7" s="131"/>
      <c r="B7" s="137" t="s">
        <v>632</v>
      </c>
      <c r="C7" s="131"/>
    </row>
    <row r="8" spans="1:3" ht="17.100000000000001" customHeight="1" x14ac:dyDescent="0.25">
      <c r="A8" s="131"/>
      <c r="B8" s="136"/>
      <c r="C8" s="131"/>
    </row>
    <row r="9" spans="1:3" ht="17.100000000000001" customHeight="1" x14ac:dyDescent="0.25">
      <c r="A9" s="131"/>
      <c r="B9" s="136" t="s">
        <v>401</v>
      </c>
      <c r="C9" s="131"/>
    </row>
    <row r="10" spans="1:3" ht="17.100000000000001" customHeight="1" x14ac:dyDescent="0.25">
      <c r="A10" s="131"/>
      <c r="B10" s="137" t="s">
        <v>633</v>
      </c>
      <c r="C10" s="131"/>
    </row>
    <row r="11" spans="1:3" ht="17.100000000000001" customHeight="1" x14ac:dyDescent="0.25">
      <c r="A11" s="131"/>
      <c r="B11" s="137" t="s">
        <v>634</v>
      </c>
      <c r="C11" s="131"/>
    </row>
    <row r="12" spans="1:3" ht="17.100000000000001" customHeight="1" x14ac:dyDescent="0.25">
      <c r="A12" s="131"/>
      <c r="B12" s="137" t="s">
        <v>648</v>
      </c>
      <c r="C12" s="131"/>
    </row>
    <row r="13" spans="1:3" ht="17.100000000000001" customHeight="1" x14ac:dyDescent="0.25">
      <c r="A13" s="131"/>
      <c r="B13" s="137" t="s">
        <v>635</v>
      </c>
      <c r="C13" s="131"/>
    </row>
    <row r="14" spans="1:3" ht="17.100000000000001" customHeight="1" x14ac:dyDescent="0.25">
      <c r="A14" s="131"/>
      <c r="B14" s="137"/>
      <c r="C14" s="131"/>
    </row>
    <row r="15" spans="1:3" ht="30" x14ac:dyDescent="0.25">
      <c r="A15" s="131"/>
      <c r="B15" s="150" t="s">
        <v>638</v>
      </c>
      <c r="C15" s="131"/>
    </row>
    <row r="16" spans="1:3" ht="17.100000000000001" customHeight="1" x14ac:dyDescent="0.25">
      <c r="A16" s="131"/>
      <c r="B16" s="136"/>
      <c r="C16" s="131"/>
    </row>
    <row r="17" spans="1:9" ht="39.950000000000003" customHeight="1" x14ac:dyDescent="0.25">
      <c r="A17" s="131"/>
      <c r="B17" s="138" t="s">
        <v>639</v>
      </c>
      <c r="C17" s="132"/>
      <c r="D17" s="90"/>
      <c r="E17" s="90"/>
      <c r="F17" s="90"/>
      <c r="G17" s="90"/>
      <c r="H17" s="90"/>
      <c r="I17" s="90"/>
    </row>
    <row r="18" spans="1:9" ht="30" customHeight="1" x14ac:dyDescent="0.25">
      <c r="A18" s="131"/>
      <c r="B18" s="135" t="s">
        <v>640</v>
      </c>
      <c r="C18" s="131"/>
    </row>
    <row r="19" spans="1:9" ht="90" x14ac:dyDescent="0.25">
      <c r="A19" s="131"/>
      <c r="B19" s="138" t="s">
        <v>651</v>
      </c>
      <c r="C19" s="132"/>
      <c r="D19" s="90"/>
      <c r="E19" s="90"/>
      <c r="F19" s="90"/>
      <c r="G19" s="90"/>
      <c r="H19" s="90"/>
      <c r="I19" s="90"/>
    </row>
    <row r="20" spans="1:9" ht="45" x14ac:dyDescent="0.25">
      <c r="A20" s="131"/>
      <c r="B20" s="138" t="s">
        <v>650</v>
      </c>
      <c r="C20" s="132"/>
      <c r="D20" s="90"/>
      <c r="E20" s="90"/>
      <c r="F20" s="90"/>
      <c r="G20" s="90"/>
      <c r="H20" s="90"/>
      <c r="I20" s="90"/>
    </row>
    <row r="21" spans="1:9" ht="30" customHeight="1" x14ac:dyDescent="0.25">
      <c r="A21" s="131"/>
      <c r="B21" s="135" t="s">
        <v>641</v>
      </c>
      <c r="C21" s="131"/>
    </row>
    <row r="22" spans="1:9" ht="60" customHeight="1" x14ac:dyDescent="0.25">
      <c r="A22" s="131"/>
      <c r="B22" s="138" t="s">
        <v>647</v>
      </c>
      <c r="C22" s="132"/>
      <c r="D22" s="90"/>
      <c r="E22" s="90"/>
      <c r="F22" s="90"/>
      <c r="G22" s="90"/>
      <c r="H22" s="90"/>
      <c r="I22" s="90"/>
    </row>
    <row r="23" spans="1:9" ht="30" customHeight="1" x14ac:dyDescent="0.25">
      <c r="A23" s="131"/>
      <c r="B23" s="135" t="s">
        <v>642</v>
      </c>
      <c r="C23" s="131"/>
    </row>
    <row r="24" spans="1:9" ht="45" x14ac:dyDescent="0.25">
      <c r="A24" s="131"/>
      <c r="B24" s="138" t="s">
        <v>652</v>
      </c>
      <c r="C24" s="132"/>
      <c r="D24" s="90"/>
      <c r="E24" s="90"/>
      <c r="F24" s="90"/>
      <c r="G24" s="90"/>
      <c r="H24" s="90"/>
      <c r="I24" s="90"/>
    </row>
    <row r="25" spans="1:9" ht="135" x14ac:dyDescent="0.25">
      <c r="A25" s="131"/>
      <c r="B25" s="138" t="s">
        <v>649</v>
      </c>
      <c r="C25" s="132"/>
      <c r="D25" s="90"/>
      <c r="E25" s="90"/>
      <c r="F25" s="90"/>
      <c r="G25" s="90"/>
      <c r="H25" s="90"/>
      <c r="I25" s="90"/>
    </row>
    <row r="26" spans="1:9" ht="135" x14ac:dyDescent="0.25">
      <c r="A26" s="131"/>
      <c r="B26" s="138" t="s">
        <v>670</v>
      </c>
      <c r="C26" s="132"/>
      <c r="D26" s="90"/>
      <c r="E26" s="90"/>
      <c r="F26" s="90"/>
      <c r="G26" s="90"/>
      <c r="H26" s="90"/>
      <c r="I26" s="90"/>
    </row>
    <row r="27" spans="1:9" ht="60" x14ac:dyDescent="0.25">
      <c r="A27" s="131"/>
      <c r="B27" s="138" t="s">
        <v>659</v>
      </c>
      <c r="C27" s="132"/>
      <c r="D27" s="90"/>
      <c r="E27" s="90"/>
      <c r="F27" s="90"/>
      <c r="G27" s="90"/>
      <c r="H27" s="90"/>
      <c r="I27" s="90"/>
    </row>
    <row r="28" spans="1:9" ht="60" x14ac:dyDescent="0.25">
      <c r="A28" s="131"/>
      <c r="B28" s="138" t="s">
        <v>661</v>
      </c>
      <c r="C28" s="132"/>
      <c r="D28" s="90"/>
      <c r="E28" s="90"/>
      <c r="F28" s="90"/>
      <c r="G28" s="90"/>
      <c r="H28" s="90"/>
      <c r="I28" s="90"/>
    </row>
    <row r="29" spans="1:9" ht="30" x14ac:dyDescent="0.25">
      <c r="A29" s="131"/>
      <c r="B29" s="232" t="s">
        <v>660</v>
      </c>
      <c r="C29" s="132"/>
      <c r="D29" s="90"/>
      <c r="E29" s="90"/>
      <c r="F29" s="90"/>
      <c r="G29" s="90"/>
      <c r="H29" s="90"/>
      <c r="I29" s="90"/>
    </row>
    <row r="30" spans="1:9" ht="30.95" customHeight="1" x14ac:dyDescent="0.25">
      <c r="A30" s="131"/>
      <c r="B30" s="135" t="s">
        <v>643</v>
      </c>
      <c r="C30" s="132"/>
      <c r="D30" s="90"/>
      <c r="E30" s="90"/>
      <c r="F30" s="90"/>
      <c r="G30" s="90"/>
      <c r="H30" s="90"/>
      <c r="I30" s="90"/>
    </row>
    <row r="31" spans="1:9" ht="90" x14ac:dyDescent="0.25">
      <c r="A31" s="131"/>
      <c r="B31" s="138" t="s">
        <v>655</v>
      </c>
      <c r="C31" s="132"/>
      <c r="D31" s="90"/>
      <c r="E31" s="90"/>
      <c r="F31" s="90"/>
      <c r="G31" s="90"/>
      <c r="H31" s="90"/>
      <c r="I31" s="90"/>
    </row>
    <row r="32" spans="1:9" ht="30" x14ac:dyDescent="0.25">
      <c r="A32" s="131"/>
      <c r="B32" s="231" t="s">
        <v>664</v>
      </c>
      <c r="C32" s="132"/>
      <c r="D32" s="90"/>
      <c r="E32" s="90"/>
      <c r="F32" s="90"/>
      <c r="G32" s="90"/>
      <c r="H32" s="90"/>
      <c r="I32" s="90"/>
    </row>
    <row r="33" spans="1:9" ht="60" x14ac:dyDescent="0.25">
      <c r="A33" s="131"/>
      <c r="B33" s="138" t="s">
        <v>654</v>
      </c>
      <c r="C33" s="132"/>
      <c r="D33" s="90"/>
      <c r="E33" s="90"/>
      <c r="F33" s="90"/>
      <c r="G33" s="90"/>
      <c r="H33" s="90"/>
      <c r="I33" s="90"/>
    </row>
    <row r="34" spans="1:9" ht="30" x14ac:dyDescent="0.25">
      <c r="A34" s="131"/>
      <c r="B34" s="237" t="s">
        <v>667</v>
      </c>
      <c r="C34" s="132"/>
      <c r="D34" s="90"/>
      <c r="E34" s="90"/>
      <c r="F34" s="90"/>
      <c r="G34" s="90"/>
      <c r="H34" s="90"/>
      <c r="I34" s="90"/>
    </row>
    <row r="35" spans="1:9" ht="60" x14ac:dyDescent="0.25">
      <c r="A35" s="131"/>
      <c r="B35" s="138" t="s">
        <v>663</v>
      </c>
      <c r="C35" s="132"/>
      <c r="D35" s="90"/>
      <c r="E35" s="90"/>
      <c r="F35" s="90"/>
      <c r="G35" s="90"/>
      <c r="H35" s="90"/>
      <c r="I35" s="90"/>
    </row>
    <row r="36" spans="1:9" ht="75" x14ac:dyDescent="0.25">
      <c r="A36" s="131"/>
      <c r="B36" s="138" t="s">
        <v>662</v>
      </c>
      <c r="C36" s="132"/>
      <c r="D36" s="90"/>
      <c r="E36" s="90"/>
      <c r="F36" s="90"/>
      <c r="G36" s="90"/>
      <c r="H36" s="90"/>
      <c r="I36" s="90"/>
    </row>
    <row r="37" spans="1:9" ht="45" x14ac:dyDescent="0.25">
      <c r="A37" s="131"/>
      <c r="B37" s="138" t="s">
        <v>653</v>
      </c>
      <c r="C37" s="132"/>
      <c r="D37" s="90"/>
      <c r="E37" s="90"/>
      <c r="F37" s="90"/>
      <c r="G37" s="90"/>
      <c r="H37" s="90"/>
      <c r="I37" s="90"/>
    </row>
    <row r="38" spans="1:9" ht="30" customHeight="1" x14ac:dyDescent="0.25">
      <c r="A38" s="131"/>
      <c r="B38" s="135" t="s">
        <v>644</v>
      </c>
      <c r="C38" s="131"/>
    </row>
    <row r="39" spans="1:9" ht="75" x14ac:dyDescent="0.25">
      <c r="A39" s="131"/>
      <c r="B39" s="138" t="s">
        <v>665</v>
      </c>
      <c r="C39" s="132"/>
      <c r="D39" s="90"/>
      <c r="E39" s="90"/>
      <c r="F39" s="90"/>
      <c r="G39" s="90"/>
      <c r="H39" s="90"/>
      <c r="I39" s="90"/>
    </row>
    <row r="40" spans="1:9" ht="45" x14ac:dyDescent="0.25">
      <c r="A40" s="131"/>
      <c r="B40" s="138" t="s">
        <v>658</v>
      </c>
      <c r="C40" s="132"/>
      <c r="D40" s="90"/>
      <c r="E40" s="90"/>
      <c r="F40" s="90"/>
      <c r="G40" s="90"/>
      <c r="H40" s="90"/>
      <c r="I40" s="90"/>
    </row>
    <row r="41" spans="1:9" ht="30" customHeight="1" x14ac:dyDescent="0.25">
      <c r="A41" s="131"/>
      <c r="B41" s="135" t="s">
        <v>645</v>
      </c>
      <c r="C41" s="131"/>
    </row>
    <row r="42" spans="1:9" ht="60" x14ac:dyDescent="0.25">
      <c r="A42" s="131"/>
      <c r="B42" s="138" t="s">
        <v>666</v>
      </c>
      <c r="C42" s="132"/>
      <c r="D42" s="90"/>
      <c r="E42" s="90"/>
      <c r="F42" s="90"/>
      <c r="G42" s="90"/>
      <c r="H42" s="90"/>
      <c r="I42" s="90"/>
    </row>
    <row r="43" spans="1:9" ht="30" customHeight="1" x14ac:dyDescent="0.25">
      <c r="A43" s="131"/>
      <c r="B43" s="135" t="s">
        <v>646</v>
      </c>
      <c r="C43" s="131"/>
    </row>
    <row r="44" spans="1:9" ht="60" x14ac:dyDescent="0.25">
      <c r="A44" s="131"/>
      <c r="B44" s="138" t="s">
        <v>656</v>
      </c>
      <c r="C44" s="132"/>
      <c r="D44" s="90"/>
      <c r="E44" s="90"/>
      <c r="F44" s="90"/>
      <c r="G44" s="90"/>
      <c r="H44" s="90"/>
      <c r="I44" s="90"/>
    </row>
    <row r="45" spans="1:9" ht="30" x14ac:dyDescent="0.25">
      <c r="A45" s="131"/>
      <c r="B45" s="138" t="s">
        <v>657</v>
      </c>
      <c r="C45" s="132"/>
      <c r="D45" s="90"/>
      <c r="E45" s="90"/>
      <c r="F45" s="90"/>
      <c r="G45" s="90"/>
      <c r="H45" s="90"/>
      <c r="I45" s="90"/>
    </row>
    <row r="46" spans="1:9" x14ac:dyDescent="0.25">
      <c r="A46" s="131"/>
      <c r="B46" s="131"/>
      <c r="C46" s="131"/>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0" sqref="C20"/>
    </sheetView>
  </sheetViews>
  <sheetFormatPr baseColWidth="10" defaultRowHeight="15" x14ac:dyDescent="0.25"/>
  <cols>
    <col min="2" max="2" width="12.5703125" customWidth="1"/>
    <col min="3" max="3" width="100.7109375" customWidth="1"/>
  </cols>
  <sheetData>
    <row r="2" spans="2:3" ht="26.25" x14ac:dyDescent="0.4">
      <c r="B2" s="83" t="s">
        <v>395</v>
      </c>
    </row>
    <row r="3" spans="2:3" x14ac:dyDescent="0.25">
      <c r="B3" s="82" t="s">
        <v>383</v>
      </c>
    </row>
    <row r="5" spans="2:3" ht="18" x14ac:dyDescent="0.25">
      <c r="B5" s="84" t="s">
        <v>384</v>
      </c>
    </row>
    <row r="6" spans="2:3" x14ac:dyDescent="0.25">
      <c r="B6" s="85" t="s">
        <v>385</v>
      </c>
    </row>
    <row r="7" spans="2:3" x14ac:dyDescent="0.25">
      <c r="B7" s="85" t="s">
        <v>387</v>
      </c>
    </row>
    <row r="8" spans="2:3" x14ac:dyDescent="0.25">
      <c r="B8" s="86"/>
    </row>
    <row r="9" spans="2:3" x14ac:dyDescent="0.25">
      <c r="B9" s="86" t="s">
        <v>386</v>
      </c>
    </row>
    <row r="10" spans="2:3" x14ac:dyDescent="0.25">
      <c r="B10" s="86"/>
    </row>
    <row r="11" spans="2:3" ht="18" x14ac:dyDescent="0.25">
      <c r="B11" s="84" t="s">
        <v>388</v>
      </c>
    </row>
    <row r="12" spans="2:3" ht="45" x14ac:dyDescent="0.25">
      <c r="C12" s="87" t="s">
        <v>389</v>
      </c>
    </row>
    <row r="14" spans="2:3" ht="45" x14ac:dyDescent="0.25">
      <c r="C14" s="87" t="s">
        <v>390</v>
      </c>
    </row>
    <row r="16" spans="2:3" ht="45" x14ac:dyDescent="0.25">
      <c r="C16" s="87" t="s">
        <v>391</v>
      </c>
    </row>
    <row r="19" spans="2:3" ht="26.25" x14ac:dyDescent="0.4">
      <c r="B19" s="83" t="s">
        <v>392</v>
      </c>
    </row>
    <row r="20" spans="2:3" ht="18" x14ac:dyDescent="0.25">
      <c r="B20" s="84" t="s">
        <v>393</v>
      </c>
    </row>
    <row r="21" spans="2:3" ht="51.6" customHeight="1" x14ac:dyDescent="0.25">
      <c r="C21" s="6" t="s">
        <v>630</v>
      </c>
    </row>
    <row r="23" spans="2:3" ht="18" x14ac:dyDescent="0.25">
      <c r="B23" s="84" t="s">
        <v>396</v>
      </c>
    </row>
    <row r="24" spans="2:3" x14ac:dyDescent="0.25">
      <c r="B24" s="261" t="s">
        <v>397</v>
      </c>
      <c r="C24" s="261"/>
    </row>
    <row r="27" spans="2:3" ht="26.25" x14ac:dyDescent="0.4">
      <c r="B27" s="83"/>
    </row>
    <row r="28" spans="2:3" ht="72" customHeight="1" x14ac:dyDescent="0.25">
      <c r="B28" s="262"/>
      <c r="C28" s="262"/>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A4" sqref="A4:XFD4"/>
    </sheetView>
  </sheetViews>
  <sheetFormatPr baseColWidth="10" defaultColWidth="11.5703125" defaultRowHeight="11.25" x14ac:dyDescent="0.25"/>
  <cols>
    <col min="1" max="1" width="3.28515625" style="91" customWidth="1"/>
    <col min="2" max="2" width="11.28515625" style="100" customWidth="1"/>
    <col min="3" max="3" width="9" style="100" customWidth="1"/>
    <col min="4" max="4" width="32.7109375" style="98" customWidth="1"/>
    <col min="5" max="5" width="5.85546875" style="91" customWidth="1"/>
    <col min="6" max="6" width="37.42578125" style="100" customWidth="1"/>
    <col min="7" max="7" width="9" style="98" customWidth="1"/>
    <col min="8" max="8" width="9.42578125" style="98" bestFit="1" customWidth="1"/>
    <col min="9" max="9" width="9.42578125" style="98" customWidth="1"/>
    <col min="10" max="10" width="10.7109375" style="91" customWidth="1"/>
    <col min="11" max="13" width="36.28515625" style="91" customWidth="1"/>
    <col min="14" max="14" width="21" style="91" customWidth="1"/>
    <col min="15" max="15" width="11.5703125" style="91" customWidth="1"/>
    <col min="16" max="16384" width="11.5703125" style="91"/>
  </cols>
  <sheetData>
    <row r="1" spans="2:17" ht="21" x14ac:dyDescent="0.25">
      <c r="B1" s="92"/>
      <c r="C1" s="93"/>
      <c r="D1" s="94"/>
      <c r="E1" s="95"/>
      <c r="F1" s="95"/>
      <c r="G1" s="94"/>
      <c r="H1" s="95"/>
      <c r="I1" s="95"/>
      <c r="J1" s="95"/>
      <c r="K1" s="95"/>
      <c r="L1" s="95"/>
      <c r="M1" s="95"/>
      <c r="N1" s="95"/>
      <c r="O1" s="95"/>
      <c r="P1" s="45" t="s">
        <v>18</v>
      </c>
      <c r="Q1" s="96"/>
    </row>
    <row r="2" spans="2:17" x14ac:dyDescent="0.25">
      <c r="B2" s="91"/>
      <c r="C2" s="97"/>
      <c r="F2" s="91"/>
      <c r="H2" s="99"/>
      <c r="I2" s="99"/>
    </row>
    <row r="3" spans="2:17" ht="22.5" x14ac:dyDescent="0.25">
      <c r="B3" s="200" t="s">
        <v>0</v>
      </c>
      <c r="C3" s="201" t="s">
        <v>258</v>
      </c>
      <c r="D3" s="201" t="s">
        <v>232</v>
      </c>
      <c r="E3" s="202" t="s">
        <v>21</v>
      </c>
      <c r="F3" s="201" t="s">
        <v>609</v>
      </c>
      <c r="G3" s="201" t="s">
        <v>30</v>
      </c>
      <c r="H3" s="201" t="s">
        <v>19</v>
      </c>
      <c r="I3" s="201" t="s">
        <v>247</v>
      </c>
      <c r="J3" s="201" t="s">
        <v>20</v>
      </c>
      <c r="K3" s="201" t="s">
        <v>404</v>
      </c>
      <c r="L3" s="201" t="s">
        <v>669</v>
      </c>
      <c r="M3" s="201" t="s">
        <v>381</v>
      </c>
      <c r="N3" s="201" t="s">
        <v>517</v>
      </c>
      <c r="O3" s="201" t="s">
        <v>403</v>
      </c>
      <c r="P3" s="201" t="s">
        <v>25</v>
      </c>
      <c r="Q3" s="226" t="s">
        <v>248</v>
      </c>
    </row>
    <row r="4" spans="2:17" ht="50.1" customHeight="1" x14ac:dyDescent="0.25">
      <c r="B4" s="204" t="s">
        <v>3</v>
      </c>
      <c r="C4" s="167" t="s">
        <v>260</v>
      </c>
      <c r="D4" s="139" t="s">
        <v>431</v>
      </c>
      <c r="E4" s="170" t="s">
        <v>22</v>
      </c>
      <c r="F4" s="147" t="s">
        <v>679</v>
      </c>
      <c r="G4" s="170" t="s">
        <v>31</v>
      </c>
      <c r="H4" s="205" t="s">
        <v>40</v>
      </c>
      <c r="I4" s="206"/>
      <c r="J4" s="170"/>
      <c r="K4" s="165"/>
      <c r="L4" s="165"/>
      <c r="M4" s="165"/>
      <c r="N4" s="165"/>
      <c r="O4" s="165"/>
      <c r="P4" s="170"/>
      <c r="Q4" s="207"/>
    </row>
    <row r="5" spans="2:17" ht="50.1" customHeight="1" x14ac:dyDescent="0.25">
      <c r="B5" s="204" t="s">
        <v>3</v>
      </c>
      <c r="C5" s="169" t="s">
        <v>262</v>
      </c>
      <c r="D5" s="143" t="s">
        <v>432</v>
      </c>
      <c r="E5" s="172" t="s">
        <v>22</v>
      </c>
      <c r="F5" s="198" t="s">
        <v>518</v>
      </c>
      <c r="G5" s="172" t="s">
        <v>31</v>
      </c>
      <c r="H5" s="208" t="s">
        <v>40</v>
      </c>
      <c r="I5" s="209"/>
      <c r="J5" s="172"/>
      <c r="K5" s="199"/>
      <c r="L5" s="199"/>
      <c r="M5" s="199"/>
      <c r="N5" s="199"/>
      <c r="O5" s="199"/>
      <c r="P5" s="172"/>
      <c r="Q5" s="210"/>
    </row>
    <row r="6" spans="2:17" ht="50.1" customHeight="1" x14ac:dyDescent="0.25">
      <c r="B6" s="204" t="s">
        <v>3</v>
      </c>
      <c r="C6" s="167" t="s">
        <v>263</v>
      </c>
      <c r="D6" s="139" t="s">
        <v>433</v>
      </c>
      <c r="E6" s="170" t="s">
        <v>22</v>
      </c>
      <c r="F6" s="144" t="s">
        <v>680</v>
      </c>
      <c r="G6" s="170" t="s">
        <v>31</v>
      </c>
      <c r="H6" s="205" t="s">
        <v>40</v>
      </c>
      <c r="I6" s="211"/>
      <c r="J6" s="170"/>
      <c r="K6" s="165"/>
      <c r="L6" s="165"/>
      <c r="M6" s="165"/>
      <c r="N6" s="165"/>
      <c r="O6" s="165"/>
      <c r="P6" s="170"/>
      <c r="Q6" s="207"/>
    </row>
    <row r="7" spans="2:17" ht="50.1" customHeight="1" x14ac:dyDescent="0.25">
      <c r="B7" s="204" t="s">
        <v>3</v>
      </c>
      <c r="C7" s="169" t="s">
        <v>264</v>
      </c>
      <c r="D7" s="143" t="s">
        <v>231</v>
      </c>
      <c r="E7" s="172" t="s">
        <v>22</v>
      </c>
      <c r="F7" s="141" t="s">
        <v>519</v>
      </c>
      <c r="G7" s="172" t="s">
        <v>31</v>
      </c>
      <c r="H7" s="208" t="s">
        <v>40</v>
      </c>
      <c r="I7" s="209"/>
      <c r="J7" s="172"/>
      <c r="K7" s="199"/>
      <c r="L7" s="199"/>
      <c r="M7" s="199"/>
      <c r="N7" s="199"/>
      <c r="O7" s="199"/>
      <c r="P7" s="172"/>
      <c r="Q7" s="210"/>
    </row>
    <row r="8" spans="2:17" ht="50.1" customHeight="1" x14ac:dyDescent="0.25">
      <c r="B8" s="204" t="s">
        <v>3</v>
      </c>
      <c r="C8" s="167" t="s">
        <v>265</v>
      </c>
      <c r="D8" s="139" t="s">
        <v>434</v>
      </c>
      <c r="E8" s="170" t="s">
        <v>22</v>
      </c>
      <c r="F8" s="144" t="s">
        <v>520</v>
      </c>
      <c r="G8" s="170" t="s">
        <v>31</v>
      </c>
      <c r="H8" s="205" t="s">
        <v>40</v>
      </c>
      <c r="I8" s="211"/>
      <c r="J8" s="170"/>
      <c r="K8" s="165"/>
      <c r="L8" s="165"/>
      <c r="M8" s="165"/>
      <c r="N8" s="165"/>
      <c r="O8" s="165"/>
      <c r="P8" s="170"/>
      <c r="Q8" s="207"/>
    </row>
    <row r="9" spans="2:17" ht="50.1" customHeight="1" x14ac:dyDescent="0.25">
      <c r="B9" s="204" t="s">
        <v>3</v>
      </c>
      <c r="C9" s="169" t="s">
        <v>266</v>
      </c>
      <c r="D9" s="143" t="s">
        <v>435</v>
      </c>
      <c r="E9" s="172" t="s">
        <v>22</v>
      </c>
      <c r="F9" s="198" t="s">
        <v>521</v>
      </c>
      <c r="G9" s="172" t="s">
        <v>31</v>
      </c>
      <c r="H9" s="208" t="s">
        <v>40</v>
      </c>
      <c r="I9" s="209"/>
      <c r="J9" s="172"/>
      <c r="K9" s="199"/>
      <c r="L9" s="199"/>
      <c r="M9" s="199"/>
      <c r="N9" s="199"/>
      <c r="O9" s="199"/>
      <c r="P9" s="172"/>
      <c r="Q9" s="210"/>
    </row>
    <row r="10" spans="2:17" ht="50.1" customHeight="1" x14ac:dyDescent="0.25">
      <c r="B10" s="204" t="s">
        <v>3</v>
      </c>
      <c r="C10" s="167" t="s">
        <v>267</v>
      </c>
      <c r="D10" s="139" t="s">
        <v>436</v>
      </c>
      <c r="E10" s="170" t="s">
        <v>22</v>
      </c>
      <c r="F10" s="144" t="s">
        <v>522</v>
      </c>
      <c r="G10" s="170" t="s">
        <v>31</v>
      </c>
      <c r="H10" s="205" t="s">
        <v>40</v>
      </c>
      <c r="I10" s="211"/>
      <c r="J10" s="170"/>
      <c r="K10" s="165"/>
      <c r="L10" s="165"/>
      <c r="M10" s="165"/>
      <c r="N10" s="165"/>
      <c r="O10" s="165"/>
      <c r="P10" s="170"/>
      <c r="Q10" s="207"/>
    </row>
    <row r="11" spans="2:17" ht="50.1" customHeight="1" x14ac:dyDescent="0.25">
      <c r="B11" s="204" t="s">
        <v>3</v>
      </c>
      <c r="C11" s="169" t="s">
        <v>269</v>
      </c>
      <c r="D11" s="143" t="s">
        <v>437</v>
      </c>
      <c r="E11" s="172" t="s">
        <v>23</v>
      </c>
      <c r="F11" s="198" t="s">
        <v>681</v>
      </c>
      <c r="G11" s="172" t="s">
        <v>31</v>
      </c>
      <c r="H11" s="208" t="s">
        <v>40</v>
      </c>
      <c r="I11" s="209"/>
      <c r="J11" s="172"/>
      <c r="K11" s="199"/>
      <c r="L11" s="199"/>
      <c r="M11" s="199"/>
      <c r="N11" s="199"/>
      <c r="O11" s="199"/>
      <c r="P11" s="172"/>
      <c r="Q11" s="210"/>
    </row>
    <row r="12" spans="2:17" ht="50.1" customHeight="1" x14ac:dyDescent="0.25">
      <c r="B12" s="204" t="s">
        <v>3</v>
      </c>
      <c r="C12" s="167" t="s">
        <v>271</v>
      </c>
      <c r="D12" s="139" t="s">
        <v>438</v>
      </c>
      <c r="E12" s="170" t="s">
        <v>22</v>
      </c>
      <c r="F12" s="147" t="s">
        <v>523</v>
      </c>
      <c r="G12" s="170" t="s">
        <v>31</v>
      </c>
      <c r="H12" s="205" t="s">
        <v>40</v>
      </c>
      <c r="I12" s="211"/>
      <c r="J12" s="170"/>
      <c r="K12" s="165"/>
      <c r="L12" s="165"/>
      <c r="M12" s="165"/>
      <c r="N12" s="165"/>
      <c r="O12" s="165"/>
      <c r="P12" s="170"/>
      <c r="Q12" s="207"/>
    </row>
    <row r="13" spans="2:17" ht="50.1" customHeight="1" x14ac:dyDescent="0.25">
      <c r="B13" s="212" t="s">
        <v>37</v>
      </c>
      <c r="C13" s="168" t="s">
        <v>272</v>
      </c>
      <c r="D13" s="140" t="s">
        <v>421</v>
      </c>
      <c r="E13" s="171" t="s">
        <v>22</v>
      </c>
      <c r="F13" s="146" t="s">
        <v>524</v>
      </c>
      <c r="G13" s="171" t="s">
        <v>31</v>
      </c>
      <c r="H13" s="213" t="s">
        <v>40</v>
      </c>
      <c r="I13" s="214"/>
      <c r="J13" s="171"/>
      <c r="K13" s="166"/>
      <c r="L13" s="166"/>
      <c r="M13" s="166"/>
      <c r="N13" s="166"/>
      <c r="O13" s="166"/>
      <c r="P13" s="171"/>
      <c r="Q13" s="215"/>
    </row>
    <row r="14" spans="2:17" ht="50.1" customHeight="1" x14ac:dyDescent="0.25">
      <c r="B14" s="212" t="s">
        <v>37</v>
      </c>
      <c r="C14" s="167" t="s">
        <v>273</v>
      </c>
      <c r="D14" s="139" t="s">
        <v>422</v>
      </c>
      <c r="E14" s="170" t="s">
        <v>22</v>
      </c>
      <c r="F14" s="147" t="s">
        <v>525</v>
      </c>
      <c r="G14" s="170" t="s">
        <v>31</v>
      </c>
      <c r="H14" s="205" t="s">
        <v>40</v>
      </c>
      <c r="I14" s="211"/>
      <c r="J14" s="170"/>
      <c r="K14" s="165"/>
      <c r="L14" s="165"/>
      <c r="M14" s="165"/>
      <c r="N14" s="165"/>
      <c r="O14" s="165"/>
      <c r="P14" s="170"/>
      <c r="Q14" s="207"/>
    </row>
    <row r="15" spans="2:17" ht="50.1" customHeight="1" x14ac:dyDescent="0.25">
      <c r="B15" s="204" t="s">
        <v>1</v>
      </c>
      <c r="C15" s="168" t="s">
        <v>274</v>
      </c>
      <c r="D15" s="140" t="s">
        <v>439</v>
      </c>
      <c r="E15" s="171" t="s">
        <v>22</v>
      </c>
      <c r="F15" s="146" t="s">
        <v>526</v>
      </c>
      <c r="G15" s="171" t="s">
        <v>31</v>
      </c>
      <c r="H15" s="213" t="s">
        <v>40</v>
      </c>
      <c r="I15" s="214"/>
      <c r="J15" s="171"/>
      <c r="K15" s="166"/>
      <c r="L15" s="166"/>
      <c r="M15" s="166"/>
      <c r="N15" s="166"/>
      <c r="O15" s="166"/>
      <c r="P15" s="171"/>
      <c r="Q15" s="215"/>
    </row>
    <row r="16" spans="2:17" ht="50.1" customHeight="1" x14ac:dyDescent="0.25">
      <c r="B16" s="204" t="s">
        <v>1</v>
      </c>
      <c r="C16" s="167" t="s">
        <v>275</v>
      </c>
      <c r="D16" s="139" t="s">
        <v>440</v>
      </c>
      <c r="E16" s="170" t="s">
        <v>23</v>
      </c>
      <c r="F16" s="144" t="s">
        <v>527</v>
      </c>
      <c r="G16" s="170" t="s">
        <v>31</v>
      </c>
      <c r="H16" s="205" t="s">
        <v>40</v>
      </c>
      <c r="I16" s="211"/>
      <c r="J16" s="170"/>
      <c r="K16" s="165"/>
      <c r="L16" s="165"/>
      <c r="M16" s="165"/>
      <c r="N16" s="165"/>
      <c r="O16" s="165"/>
      <c r="P16" s="170"/>
      <c r="Q16" s="207"/>
    </row>
    <row r="17" spans="2:17" ht="50.1" customHeight="1" x14ac:dyDescent="0.25">
      <c r="B17" s="204" t="s">
        <v>1</v>
      </c>
      <c r="C17" s="168" t="s">
        <v>276</v>
      </c>
      <c r="D17" s="140" t="s">
        <v>441</v>
      </c>
      <c r="E17" s="171" t="s">
        <v>23</v>
      </c>
      <c r="F17" s="146" t="s">
        <v>528</v>
      </c>
      <c r="G17" s="171" t="s">
        <v>31</v>
      </c>
      <c r="H17" s="213" t="s">
        <v>40</v>
      </c>
      <c r="I17" s="214"/>
      <c r="J17" s="171"/>
      <c r="K17" s="166"/>
      <c r="L17" s="166"/>
      <c r="M17" s="166"/>
      <c r="N17" s="166"/>
      <c r="O17" s="166"/>
      <c r="P17" s="171"/>
      <c r="Q17" s="215"/>
    </row>
    <row r="18" spans="2:17" ht="50.1" customHeight="1" x14ac:dyDescent="0.25">
      <c r="B18" s="212" t="s">
        <v>4</v>
      </c>
      <c r="C18" s="167" t="s">
        <v>277</v>
      </c>
      <c r="D18" s="139" t="s">
        <v>442</v>
      </c>
      <c r="E18" s="170" t="s">
        <v>22</v>
      </c>
      <c r="F18" s="144" t="s">
        <v>529</v>
      </c>
      <c r="G18" s="170" t="s">
        <v>31</v>
      </c>
      <c r="H18" s="205" t="s">
        <v>40</v>
      </c>
      <c r="I18" s="211"/>
      <c r="J18" s="170"/>
      <c r="K18" s="165"/>
      <c r="L18" s="165"/>
      <c r="M18" s="165"/>
      <c r="N18" s="165"/>
      <c r="O18" s="165"/>
      <c r="P18" s="170"/>
      <c r="Q18" s="207"/>
    </row>
    <row r="19" spans="2:17" ht="50.1" customHeight="1" x14ac:dyDescent="0.25">
      <c r="B19" s="212" t="s">
        <v>4</v>
      </c>
      <c r="C19" s="169" t="s">
        <v>278</v>
      </c>
      <c r="D19" s="143" t="s">
        <v>443</v>
      </c>
      <c r="E19" s="172" t="s">
        <v>22</v>
      </c>
      <c r="F19" s="198" t="s">
        <v>530</v>
      </c>
      <c r="G19" s="172" t="s">
        <v>31</v>
      </c>
      <c r="H19" s="208" t="s">
        <v>40</v>
      </c>
      <c r="I19" s="209"/>
      <c r="J19" s="172"/>
      <c r="K19" s="199"/>
      <c r="L19" s="199"/>
      <c r="M19" s="199"/>
      <c r="N19" s="199"/>
      <c r="O19" s="199"/>
      <c r="P19" s="172"/>
      <c r="Q19" s="210"/>
    </row>
    <row r="20" spans="2:17" ht="50.1" customHeight="1" x14ac:dyDescent="0.25">
      <c r="B20" s="212" t="s">
        <v>4</v>
      </c>
      <c r="C20" s="167" t="s">
        <v>279</v>
      </c>
      <c r="D20" s="139" t="s">
        <v>444</v>
      </c>
      <c r="E20" s="170" t="s">
        <v>22</v>
      </c>
      <c r="F20" s="144" t="s">
        <v>531</v>
      </c>
      <c r="G20" s="170" t="s">
        <v>31</v>
      </c>
      <c r="H20" s="205" t="s">
        <v>40</v>
      </c>
      <c r="I20" s="211"/>
      <c r="J20" s="170"/>
      <c r="K20" s="165"/>
      <c r="L20" s="165"/>
      <c r="M20" s="165"/>
      <c r="N20" s="165"/>
      <c r="O20" s="165"/>
      <c r="P20" s="170"/>
      <c r="Q20" s="207"/>
    </row>
    <row r="21" spans="2:17" ht="50.1" customHeight="1" x14ac:dyDescent="0.25">
      <c r="B21" s="212" t="s">
        <v>4</v>
      </c>
      <c r="C21" s="169" t="s">
        <v>280</v>
      </c>
      <c r="D21" s="143" t="s">
        <v>445</v>
      </c>
      <c r="E21" s="172" t="s">
        <v>22</v>
      </c>
      <c r="F21" s="198" t="s">
        <v>532</v>
      </c>
      <c r="G21" s="172" t="s">
        <v>31</v>
      </c>
      <c r="H21" s="208" t="s">
        <v>40</v>
      </c>
      <c r="I21" s="209"/>
      <c r="J21" s="172"/>
      <c r="K21" s="199"/>
      <c r="L21" s="199"/>
      <c r="M21" s="199"/>
      <c r="N21" s="199"/>
      <c r="O21" s="199"/>
      <c r="P21" s="172"/>
      <c r="Q21" s="210"/>
    </row>
    <row r="22" spans="2:17" ht="50.1" customHeight="1" x14ac:dyDescent="0.25">
      <c r="B22" s="212" t="s">
        <v>4</v>
      </c>
      <c r="C22" s="167" t="s">
        <v>281</v>
      </c>
      <c r="D22" s="139" t="s">
        <v>446</v>
      </c>
      <c r="E22" s="170" t="s">
        <v>23</v>
      </c>
      <c r="F22" s="144" t="s">
        <v>533</v>
      </c>
      <c r="G22" s="170" t="s">
        <v>31</v>
      </c>
      <c r="H22" s="205" t="s">
        <v>40</v>
      </c>
      <c r="I22" s="211"/>
      <c r="J22" s="170"/>
      <c r="K22" s="165"/>
      <c r="L22" s="165"/>
      <c r="M22" s="165"/>
      <c r="N22" s="165"/>
      <c r="O22" s="165"/>
      <c r="P22" s="170"/>
      <c r="Q22" s="207"/>
    </row>
    <row r="23" spans="2:17" ht="50.1" customHeight="1" x14ac:dyDescent="0.25">
      <c r="B23" s="212" t="s">
        <v>4</v>
      </c>
      <c r="C23" s="169" t="s">
        <v>282</v>
      </c>
      <c r="D23" s="143" t="s">
        <v>447</v>
      </c>
      <c r="E23" s="172" t="s">
        <v>23</v>
      </c>
      <c r="F23" s="198" t="s">
        <v>534</v>
      </c>
      <c r="G23" s="172" t="s">
        <v>31</v>
      </c>
      <c r="H23" s="208" t="s">
        <v>40</v>
      </c>
      <c r="I23" s="209"/>
      <c r="J23" s="172"/>
      <c r="K23" s="199"/>
      <c r="L23" s="199"/>
      <c r="M23" s="199"/>
      <c r="N23" s="199"/>
      <c r="O23" s="199"/>
      <c r="P23" s="172"/>
      <c r="Q23" s="210"/>
    </row>
    <row r="24" spans="2:17" ht="50.1" customHeight="1" x14ac:dyDescent="0.25">
      <c r="B24" s="212" t="s">
        <v>4</v>
      </c>
      <c r="C24" s="169" t="s">
        <v>283</v>
      </c>
      <c r="D24" s="143" t="s">
        <v>448</v>
      </c>
      <c r="E24" s="172" t="s">
        <v>22</v>
      </c>
      <c r="F24" s="198" t="s">
        <v>535</v>
      </c>
      <c r="G24" s="170" t="s">
        <v>31</v>
      </c>
      <c r="H24" s="205" t="s">
        <v>40</v>
      </c>
      <c r="I24" s="211"/>
      <c r="J24" s="170"/>
      <c r="K24" s="165"/>
      <c r="L24" s="165"/>
      <c r="M24" s="165"/>
      <c r="N24" s="165"/>
      <c r="O24" s="165"/>
      <c r="P24" s="170"/>
      <c r="Q24" s="207"/>
    </row>
    <row r="25" spans="2:17" ht="50.1" customHeight="1" x14ac:dyDescent="0.25">
      <c r="B25" s="212" t="s">
        <v>4</v>
      </c>
      <c r="C25" s="169" t="s">
        <v>284</v>
      </c>
      <c r="D25" s="143" t="s">
        <v>449</v>
      </c>
      <c r="E25" s="172" t="s">
        <v>22</v>
      </c>
      <c r="F25" s="141" t="s">
        <v>682</v>
      </c>
      <c r="G25" s="172" t="s">
        <v>31</v>
      </c>
      <c r="H25" s="208" t="s">
        <v>40</v>
      </c>
      <c r="I25" s="209"/>
      <c r="J25" s="172"/>
      <c r="K25" s="199"/>
      <c r="L25" s="199"/>
      <c r="M25" s="199"/>
      <c r="N25" s="199"/>
      <c r="O25" s="199"/>
      <c r="P25" s="172"/>
      <c r="Q25" s="210"/>
    </row>
    <row r="26" spans="2:17" ht="50.1" customHeight="1" x14ac:dyDescent="0.25">
      <c r="B26" s="212" t="s">
        <v>4</v>
      </c>
      <c r="C26" s="167" t="s">
        <v>285</v>
      </c>
      <c r="D26" s="139" t="s">
        <v>450</v>
      </c>
      <c r="E26" s="170" t="s">
        <v>22</v>
      </c>
      <c r="F26" s="147" t="s">
        <v>536</v>
      </c>
      <c r="G26" s="170" t="s">
        <v>31</v>
      </c>
      <c r="H26" s="205" t="s">
        <v>40</v>
      </c>
      <c r="I26" s="211"/>
      <c r="J26" s="170"/>
      <c r="K26" s="165"/>
      <c r="L26" s="165"/>
      <c r="M26" s="165"/>
      <c r="N26" s="165"/>
      <c r="O26" s="165"/>
      <c r="P26" s="170"/>
      <c r="Q26" s="207"/>
    </row>
    <row r="27" spans="2:17" ht="50.1" customHeight="1" x14ac:dyDescent="0.25">
      <c r="B27" s="212" t="s">
        <v>4</v>
      </c>
      <c r="C27" s="168" t="s">
        <v>286</v>
      </c>
      <c r="D27" s="140" t="s">
        <v>451</v>
      </c>
      <c r="E27" s="171" t="s">
        <v>22</v>
      </c>
      <c r="F27" s="142" t="s">
        <v>537</v>
      </c>
      <c r="G27" s="171" t="s">
        <v>31</v>
      </c>
      <c r="H27" s="205" t="s">
        <v>40</v>
      </c>
      <c r="I27" s="214"/>
      <c r="J27" s="171"/>
      <c r="K27" s="166"/>
      <c r="L27" s="166"/>
      <c r="M27" s="166"/>
      <c r="N27" s="166"/>
      <c r="O27" s="166"/>
      <c r="P27" s="171"/>
      <c r="Q27" s="215"/>
    </row>
    <row r="28" spans="2:17" ht="50.1" customHeight="1" x14ac:dyDescent="0.25">
      <c r="B28" s="212" t="s">
        <v>4</v>
      </c>
      <c r="C28" s="167" t="s">
        <v>287</v>
      </c>
      <c r="D28" s="139" t="s">
        <v>452</v>
      </c>
      <c r="E28" s="170" t="s">
        <v>22</v>
      </c>
      <c r="F28" s="147" t="s">
        <v>538</v>
      </c>
      <c r="G28" s="170" t="s">
        <v>31</v>
      </c>
      <c r="H28" s="205" t="s">
        <v>40</v>
      </c>
      <c r="I28" s="211"/>
      <c r="J28" s="170"/>
      <c r="K28" s="165"/>
      <c r="L28" s="165"/>
      <c r="M28" s="165"/>
      <c r="N28" s="165"/>
      <c r="O28" s="165"/>
      <c r="P28" s="170"/>
      <c r="Q28" s="207"/>
    </row>
    <row r="29" spans="2:17" ht="50.1" customHeight="1" x14ac:dyDescent="0.25">
      <c r="B29" s="212" t="s">
        <v>4</v>
      </c>
      <c r="C29" s="168" t="s">
        <v>288</v>
      </c>
      <c r="D29" s="140" t="s">
        <v>453</v>
      </c>
      <c r="E29" s="171" t="s">
        <v>22</v>
      </c>
      <c r="F29" s="146" t="s">
        <v>539</v>
      </c>
      <c r="G29" s="171" t="s">
        <v>31</v>
      </c>
      <c r="H29" s="205" t="s">
        <v>40</v>
      </c>
      <c r="I29" s="214"/>
      <c r="J29" s="171"/>
      <c r="K29" s="166"/>
      <c r="L29" s="166"/>
      <c r="M29" s="166"/>
      <c r="N29" s="166"/>
      <c r="O29" s="166"/>
      <c r="P29" s="171"/>
      <c r="Q29" s="215"/>
    </row>
    <row r="30" spans="2:17" ht="50.1" customHeight="1" x14ac:dyDescent="0.25">
      <c r="B30" s="212" t="s">
        <v>4</v>
      </c>
      <c r="C30" s="167" t="s">
        <v>289</v>
      </c>
      <c r="D30" s="139" t="s">
        <v>454</v>
      </c>
      <c r="E30" s="170" t="s">
        <v>22</v>
      </c>
      <c r="F30" s="144" t="s">
        <v>540</v>
      </c>
      <c r="G30" s="170" t="s">
        <v>31</v>
      </c>
      <c r="H30" s="205" t="s">
        <v>40</v>
      </c>
      <c r="I30" s="211"/>
      <c r="J30" s="170"/>
      <c r="K30" s="165"/>
      <c r="L30" s="165"/>
      <c r="M30" s="165"/>
      <c r="N30" s="165"/>
      <c r="O30" s="165"/>
      <c r="P30" s="170"/>
      <c r="Q30" s="207"/>
    </row>
    <row r="31" spans="2:17" ht="50.1" customHeight="1" x14ac:dyDescent="0.25">
      <c r="B31" s="204" t="s">
        <v>7</v>
      </c>
      <c r="C31" s="168" t="s">
        <v>290</v>
      </c>
      <c r="D31" s="140" t="s">
        <v>455</v>
      </c>
      <c r="E31" s="171" t="s">
        <v>22</v>
      </c>
      <c r="F31" s="146" t="s">
        <v>541</v>
      </c>
      <c r="G31" s="171" t="s">
        <v>31</v>
      </c>
      <c r="H31" s="205" t="s">
        <v>40</v>
      </c>
      <c r="I31" s="214"/>
      <c r="J31" s="171"/>
      <c r="K31" s="166"/>
      <c r="L31" s="166"/>
      <c r="M31" s="166"/>
      <c r="N31" s="166"/>
      <c r="O31" s="166"/>
      <c r="P31" s="171"/>
      <c r="Q31" s="215"/>
    </row>
    <row r="32" spans="2:17" ht="50.1" customHeight="1" x14ac:dyDescent="0.25">
      <c r="B32" s="204" t="s">
        <v>7</v>
      </c>
      <c r="C32" s="167" t="s">
        <v>291</v>
      </c>
      <c r="D32" s="139" t="s">
        <v>456</v>
      </c>
      <c r="E32" s="170" t="s">
        <v>22</v>
      </c>
      <c r="F32" s="147" t="s">
        <v>542</v>
      </c>
      <c r="G32" s="170" t="s">
        <v>31</v>
      </c>
      <c r="H32" s="205" t="s">
        <v>40</v>
      </c>
      <c r="I32" s="211"/>
      <c r="J32" s="170"/>
      <c r="K32" s="165"/>
      <c r="L32" s="165"/>
      <c r="M32" s="165"/>
      <c r="N32" s="165"/>
      <c r="O32" s="165"/>
      <c r="P32" s="170"/>
      <c r="Q32" s="207"/>
    </row>
    <row r="33" spans="2:17" ht="50.1" customHeight="1" x14ac:dyDescent="0.25">
      <c r="B33" s="204" t="s">
        <v>7</v>
      </c>
      <c r="C33" s="168" t="s">
        <v>292</v>
      </c>
      <c r="D33" s="238" t="s">
        <v>671</v>
      </c>
      <c r="E33" s="171" t="s">
        <v>22</v>
      </c>
      <c r="F33" s="142" t="s">
        <v>683</v>
      </c>
      <c r="G33" s="171" t="s">
        <v>31</v>
      </c>
      <c r="H33" s="205" t="s">
        <v>40</v>
      </c>
      <c r="I33" s="214"/>
      <c r="J33" s="171"/>
      <c r="K33" s="166"/>
      <c r="L33" s="166"/>
      <c r="M33" s="166"/>
      <c r="N33" s="166"/>
      <c r="O33" s="166"/>
      <c r="P33" s="171"/>
      <c r="Q33" s="215"/>
    </row>
    <row r="34" spans="2:17" ht="50.1" customHeight="1" x14ac:dyDescent="0.25">
      <c r="B34" s="204" t="s">
        <v>7</v>
      </c>
      <c r="C34" s="167" t="s">
        <v>293</v>
      </c>
      <c r="D34" s="139" t="s">
        <v>457</v>
      </c>
      <c r="E34" s="170" t="s">
        <v>22</v>
      </c>
      <c r="F34" s="147" t="s">
        <v>543</v>
      </c>
      <c r="G34" s="170" t="s">
        <v>31</v>
      </c>
      <c r="H34" s="205" t="s">
        <v>40</v>
      </c>
      <c r="I34" s="211"/>
      <c r="J34" s="170"/>
      <c r="K34" s="165"/>
      <c r="L34" s="165"/>
      <c r="M34" s="165"/>
      <c r="N34" s="165"/>
      <c r="O34" s="165"/>
      <c r="P34" s="170"/>
      <c r="Q34" s="207"/>
    </row>
    <row r="35" spans="2:17" ht="50.1" customHeight="1" x14ac:dyDescent="0.25">
      <c r="B35" s="204" t="s">
        <v>7</v>
      </c>
      <c r="C35" s="169" t="s">
        <v>294</v>
      </c>
      <c r="D35" s="140" t="s">
        <v>458</v>
      </c>
      <c r="E35" s="171" t="s">
        <v>22</v>
      </c>
      <c r="F35" s="146" t="s">
        <v>544</v>
      </c>
      <c r="G35" s="172" t="s">
        <v>31</v>
      </c>
      <c r="H35" s="208" t="s">
        <v>40</v>
      </c>
      <c r="I35" s="209"/>
      <c r="J35" s="172"/>
      <c r="K35" s="199"/>
      <c r="L35" s="199"/>
      <c r="M35" s="199"/>
      <c r="N35" s="199"/>
      <c r="O35" s="199"/>
      <c r="P35" s="172"/>
      <c r="Q35" s="210"/>
    </row>
    <row r="36" spans="2:17" ht="50.1" customHeight="1" x14ac:dyDescent="0.25">
      <c r="B36" s="204" t="s">
        <v>7</v>
      </c>
      <c r="C36" s="167" t="s">
        <v>295</v>
      </c>
      <c r="D36" s="139" t="s">
        <v>233</v>
      </c>
      <c r="E36" s="170" t="s">
        <v>22</v>
      </c>
      <c r="F36" s="147" t="s">
        <v>684</v>
      </c>
      <c r="G36" s="170" t="s">
        <v>31</v>
      </c>
      <c r="H36" s="205" t="s">
        <v>40</v>
      </c>
      <c r="I36" s="211"/>
      <c r="J36" s="170"/>
      <c r="K36" s="165"/>
      <c r="L36" s="165"/>
      <c r="M36" s="165"/>
      <c r="N36" s="165"/>
      <c r="O36" s="165"/>
      <c r="P36" s="170"/>
      <c r="Q36" s="207"/>
    </row>
    <row r="37" spans="2:17" ht="50.1" customHeight="1" x14ac:dyDescent="0.25">
      <c r="B37" s="204" t="s">
        <v>7</v>
      </c>
      <c r="C37" s="168" t="s">
        <v>296</v>
      </c>
      <c r="D37" s="140" t="s">
        <v>459</v>
      </c>
      <c r="E37" s="171" t="s">
        <v>22</v>
      </c>
      <c r="F37" s="146" t="s">
        <v>545</v>
      </c>
      <c r="G37" s="171" t="s">
        <v>31</v>
      </c>
      <c r="H37" s="213" t="s">
        <v>40</v>
      </c>
      <c r="I37" s="214"/>
      <c r="J37" s="171"/>
      <c r="K37" s="166"/>
      <c r="L37" s="166"/>
      <c r="M37" s="166"/>
      <c r="N37" s="166"/>
      <c r="O37" s="166"/>
      <c r="P37" s="171"/>
      <c r="Q37" s="215"/>
    </row>
    <row r="38" spans="2:17" ht="50.1" customHeight="1" x14ac:dyDescent="0.25">
      <c r="B38" s="204" t="s">
        <v>7</v>
      </c>
      <c r="C38" s="167" t="s">
        <v>297</v>
      </c>
      <c r="D38" s="139" t="s">
        <v>460</v>
      </c>
      <c r="E38" s="170" t="s">
        <v>22</v>
      </c>
      <c r="F38" s="144" t="s">
        <v>685</v>
      </c>
      <c r="G38" s="170" t="s">
        <v>31</v>
      </c>
      <c r="H38" s="205" t="s">
        <v>40</v>
      </c>
      <c r="I38" s="211"/>
      <c r="J38" s="170"/>
      <c r="K38" s="165"/>
      <c r="L38" s="165"/>
      <c r="M38" s="165"/>
      <c r="N38" s="165"/>
      <c r="O38" s="165"/>
      <c r="P38" s="170"/>
      <c r="Q38" s="207"/>
    </row>
    <row r="39" spans="2:17" ht="50.1" customHeight="1" x14ac:dyDescent="0.25">
      <c r="B39" s="212" t="s">
        <v>234</v>
      </c>
      <c r="C39" s="168" t="s">
        <v>298</v>
      </c>
      <c r="D39" s="140" t="s">
        <v>626</v>
      </c>
      <c r="E39" s="171" t="s">
        <v>22</v>
      </c>
      <c r="F39" s="146" t="s">
        <v>546</v>
      </c>
      <c r="G39" s="171" t="s">
        <v>31</v>
      </c>
      <c r="H39" s="213" t="s">
        <v>40</v>
      </c>
      <c r="I39" s="214"/>
      <c r="J39" s="171"/>
      <c r="K39" s="166"/>
      <c r="L39" s="166"/>
      <c r="M39" s="166"/>
      <c r="N39" s="166"/>
      <c r="O39" s="166"/>
      <c r="P39" s="171"/>
      <c r="Q39" s="215"/>
    </row>
    <row r="40" spans="2:17" ht="50.1" customHeight="1" x14ac:dyDescent="0.25">
      <c r="B40" s="212" t="s">
        <v>234</v>
      </c>
      <c r="C40" s="167" t="s">
        <v>299</v>
      </c>
      <c r="D40" s="239" t="s">
        <v>672</v>
      </c>
      <c r="E40" s="170" t="s">
        <v>22</v>
      </c>
      <c r="F40" s="147" t="s">
        <v>686</v>
      </c>
      <c r="G40" s="170" t="s">
        <v>31</v>
      </c>
      <c r="H40" s="205" t="s">
        <v>40</v>
      </c>
      <c r="I40" s="211"/>
      <c r="J40" s="170"/>
      <c r="K40" s="165"/>
      <c r="L40" s="165"/>
      <c r="M40" s="165"/>
      <c r="N40" s="165"/>
      <c r="O40" s="165"/>
      <c r="P40" s="170"/>
      <c r="Q40" s="207"/>
    </row>
    <row r="41" spans="2:17" ht="50.1" customHeight="1" x14ac:dyDescent="0.25">
      <c r="B41" s="204" t="s">
        <v>6</v>
      </c>
      <c r="C41" s="168" t="s">
        <v>300</v>
      </c>
      <c r="D41" s="140" t="s">
        <v>461</v>
      </c>
      <c r="E41" s="171" t="s">
        <v>22</v>
      </c>
      <c r="F41" s="142" t="s">
        <v>547</v>
      </c>
      <c r="G41" s="171" t="s">
        <v>31</v>
      </c>
      <c r="H41" s="213" t="s">
        <v>40</v>
      </c>
      <c r="I41" s="216"/>
      <c r="J41" s="171"/>
      <c r="K41" s="166"/>
      <c r="L41" s="166"/>
      <c r="M41" s="166"/>
      <c r="N41" s="166"/>
      <c r="O41" s="166"/>
      <c r="P41" s="171"/>
      <c r="Q41" s="215"/>
    </row>
    <row r="42" spans="2:17" ht="50.1" customHeight="1" x14ac:dyDescent="0.25">
      <c r="B42" s="204" t="s">
        <v>6</v>
      </c>
      <c r="C42" s="167" t="s">
        <v>301</v>
      </c>
      <c r="D42" s="139" t="s">
        <v>462</v>
      </c>
      <c r="E42" s="170" t="s">
        <v>22</v>
      </c>
      <c r="F42" s="144" t="s">
        <v>548</v>
      </c>
      <c r="G42" s="170" t="s">
        <v>31</v>
      </c>
      <c r="H42" s="205" t="s">
        <v>40</v>
      </c>
      <c r="I42" s="211"/>
      <c r="J42" s="170"/>
      <c r="K42" s="165"/>
      <c r="L42" s="165"/>
      <c r="M42" s="165"/>
      <c r="N42" s="165"/>
      <c r="O42" s="165"/>
      <c r="P42" s="170"/>
      <c r="Q42" s="207"/>
    </row>
    <row r="43" spans="2:17" ht="50.1" customHeight="1" x14ac:dyDescent="0.25">
      <c r="B43" s="204" t="s">
        <v>6</v>
      </c>
      <c r="C43" s="168" t="s">
        <v>302</v>
      </c>
      <c r="D43" s="140" t="s">
        <v>463</v>
      </c>
      <c r="E43" s="171" t="s">
        <v>22</v>
      </c>
      <c r="F43" s="141" t="s">
        <v>549</v>
      </c>
      <c r="G43" s="171" t="s">
        <v>31</v>
      </c>
      <c r="H43" s="213" t="s">
        <v>40</v>
      </c>
      <c r="I43" s="214"/>
      <c r="J43" s="171"/>
      <c r="K43" s="166"/>
      <c r="L43" s="166"/>
      <c r="M43" s="166"/>
      <c r="N43" s="166"/>
      <c r="O43" s="166"/>
      <c r="P43" s="171"/>
      <c r="Q43" s="215"/>
    </row>
    <row r="44" spans="2:17" ht="50.1" customHeight="1" x14ac:dyDescent="0.25">
      <c r="B44" s="204" t="s">
        <v>6</v>
      </c>
      <c r="C44" s="167" t="s">
        <v>303</v>
      </c>
      <c r="D44" s="139" t="s">
        <v>464</v>
      </c>
      <c r="E44" s="170" t="s">
        <v>22</v>
      </c>
      <c r="F44" s="144" t="s">
        <v>550</v>
      </c>
      <c r="G44" s="170" t="s">
        <v>31</v>
      </c>
      <c r="H44" s="205" t="s">
        <v>40</v>
      </c>
      <c r="I44" s="211"/>
      <c r="J44" s="170"/>
      <c r="K44" s="165"/>
      <c r="L44" s="165"/>
      <c r="M44" s="165"/>
      <c r="N44" s="165"/>
      <c r="O44" s="165"/>
      <c r="P44" s="170"/>
      <c r="Q44" s="207"/>
    </row>
    <row r="45" spans="2:17" ht="50.1" customHeight="1" x14ac:dyDescent="0.25">
      <c r="B45" s="204" t="s">
        <v>6</v>
      </c>
      <c r="C45" s="168" t="s">
        <v>304</v>
      </c>
      <c r="D45" s="140" t="s">
        <v>465</v>
      </c>
      <c r="E45" s="171" t="s">
        <v>23</v>
      </c>
      <c r="F45" s="146" t="s">
        <v>551</v>
      </c>
      <c r="G45" s="171" t="s">
        <v>31</v>
      </c>
      <c r="H45" s="213" t="s">
        <v>40</v>
      </c>
      <c r="I45" s="214"/>
      <c r="J45" s="171"/>
      <c r="K45" s="166"/>
      <c r="L45" s="166"/>
      <c r="M45" s="166"/>
      <c r="N45" s="166"/>
      <c r="O45" s="166"/>
      <c r="P45" s="171"/>
      <c r="Q45" s="215"/>
    </row>
    <row r="46" spans="2:17" ht="50.1" customHeight="1" x14ac:dyDescent="0.25">
      <c r="B46" s="212" t="s">
        <v>235</v>
      </c>
      <c r="C46" s="167" t="s">
        <v>305</v>
      </c>
      <c r="D46" s="139" t="s">
        <v>466</v>
      </c>
      <c r="E46" s="167" t="s">
        <v>22</v>
      </c>
      <c r="F46" s="147" t="s">
        <v>552</v>
      </c>
      <c r="G46" s="170" t="s">
        <v>31</v>
      </c>
      <c r="H46" s="205" t="s">
        <v>40</v>
      </c>
      <c r="I46" s="211"/>
      <c r="J46" s="170"/>
      <c r="K46" s="165"/>
      <c r="L46" s="165"/>
      <c r="M46" s="165"/>
      <c r="N46" s="165"/>
      <c r="O46" s="165"/>
      <c r="P46" s="170"/>
      <c r="Q46" s="207"/>
    </row>
    <row r="47" spans="2:17" ht="50.1" customHeight="1" x14ac:dyDescent="0.25">
      <c r="B47" s="212" t="s">
        <v>235</v>
      </c>
      <c r="C47" s="169" t="s">
        <v>306</v>
      </c>
      <c r="D47" s="238" t="s">
        <v>687</v>
      </c>
      <c r="E47" s="168" t="s">
        <v>22</v>
      </c>
      <c r="F47" s="146" t="s">
        <v>688</v>
      </c>
      <c r="G47" s="172" t="s">
        <v>31</v>
      </c>
      <c r="H47" s="208" t="s">
        <v>40</v>
      </c>
      <c r="I47" s="209"/>
      <c r="J47" s="172"/>
      <c r="K47" s="199"/>
      <c r="L47" s="199"/>
      <c r="M47" s="199"/>
      <c r="N47" s="199"/>
      <c r="O47" s="199"/>
      <c r="P47" s="172"/>
      <c r="Q47" s="210"/>
    </row>
    <row r="48" spans="2:17" ht="50.1" customHeight="1" x14ac:dyDescent="0.25">
      <c r="B48" s="212" t="s">
        <v>235</v>
      </c>
      <c r="C48" s="167" t="s">
        <v>307</v>
      </c>
      <c r="D48" s="139" t="s">
        <v>467</v>
      </c>
      <c r="E48" s="167" t="s">
        <v>22</v>
      </c>
      <c r="F48" s="144" t="s">
        <v>553</v>
      </c>
      <c r="G48" s="170" t="s">
        <v>31</v>
      </c>
      <c r="H48" s="205" t="s">
        <v>40</v>
      </c>
      <c r="I48" s="211"/>
      <c r="J48" s="170"/>
      <c r="K48" s="165"/>
      <c r="L48" s="165"/>
      <c r="M48" s="165"/>
      <c r="N48" s="165"/>
      <c r="O48" s="165"/>
      <c r="P48" s="170"/>
      <c r="Q48" s="207"/>
    </row>
    <row r="49" spans="2:17" ht="50.1" customHeight="1" x14ac:dyDescent="0.25">
      <c r="B49" s="212" t="s">
        <v>235</v>
      </c>
      <c r="C49" s="169" t="s">
        <v>308</v>
      </c>
      <c r="D49" s="140" t="s">
        <v>468</v>
      </c>
      <c r="E49" s="168" t="s">
        <v>22</v>
      </c>
      <c r="F49" s="142" t="s">
        <v>554</v>
      </c>
      <c r="G49" s="172" t="s">
        <v>31</v>
      </c>
      <c r="H49" s="208" t="s">
        <v>40</v>
      </c>
      <c r="I49" s="209"/>
      <c r="J49" s="172"/>
      <c r="K49" s="199"/>
      <c r="L49" s="199"/>
      <c r="M49" s="199"/>
      <c r="N49" s="199"/>
      <c r="O49" s="199"/>
      <c r="P49" s="172"/>
      <c r="Q49" s="210"/>
    </row>
    <row r="50" spans="2:17" ht="50.1" customHeight="1" x14ac:dyDescent="0.25">
      <c r="B50" s="212" t="s">
        <v>235</v>
      </c>
      <c r="C50" s="167" t="s">
        <v>309</v>
      </c>
      <c r="D50" s="139" t="s">
        <v>469</v>
      </c>
      <c r="E50" s="167" t="s">
        <v>22</v>
      </c>
      <c r="F50" s="147" t="s">
        <v>555</v>
      </c>
      <c r="G50" s="170" t="s">
        <v>31</v>
      </c>
      <c r="H50" s="205" t="s">
        <v>40</v>
      </c>
      <c r="I50" s="211"/>
      <c r="J50" s="170"/>
      <c r="K50" s="165"/>
      <c r="L50" s="165"/>
      <c r="M50" s="165"/>
      <c r="N50" s="165"/>
      <c r="O50" s="165"/>
      <c r="P50" s="170"/>
      <c r="Q50" s="207"/>
    </row>
    <row r="51" spans="2:17" ht="50.1" customHeight="1" x14ac:dyDescent="0.25">
      <c r="B51" s="212" t="s">
        <v>235</v>
      </c>
      <c r="C51" s="169" t="s">
        <v>310</v>
      </c>
      <c r="D51" s="140" t="s">
        <v>470</v>
      </c>
      <c r="E51" s="168" t="s">
        <v>22</v>
      </c>
      <c r="F51" s="146" t="s">
        <v>556</v>
      </c>
      <c r="G51" s="172" t="s">
        <v>31</v>
      </c>
      <c r="H51" s="208" t="s">
        <v>40</v>
      </c>
      <c r="I51" s="209"/>
      <c r="J51" s="172"/>
      <c r="K51" s="199"/>
      <c r="L51" s="199"/>
      <c r="M51" s="199"/>
      <c r="N51" s="199"/>
      <c r="O51" s="199"/>
      <c r="P51" s="172"/>
      <c r="Q51" s="210"/>
    </row>
    <row r="52" spans="2:17" ht="50.1" customHeight="1" x14ac:dyDescent="0.25">
      <c r="B52" s="212" t="s">
        <v>235</v>
      </c>
      <c r="C52" s="167" t="s">
        <v>311</v>
      </c>
      <c r="D52" s="144" t="s">
        <v>471</v>
      </c>
      <c r="E52" s="167" t="s">
        <v>23</v>
      </c>
      <c r="F52" s="144" t="s">
        <v>557</v>
      </c>
      <c r="G52" s="170" t="s">
        <v>31</v>
      </c>
      <c r="H52" s="205" t="s">
        <v>40</v>
      </c>
      <c r="I52" s="211"/>
      <c r="J52" s="170"/>
      <c r="K52" s="165"/>
      <c r="L52" s="165"/>
      <c r="M52" s="165"/>
      <c r="N52" s="165"/>
      <c r="O52" s="165"/>
      <c r="P52" s="170"/>
      <c r="Q52" s="207"/>
    </row>
    <row r="53" spans="2:17" ht="50.1" customHeight="1" x14ac:dyDescent="0.25">
      <c r="B53" s="212" t="s">
        <v>235</v>
      </c>
      <c r="C53" s="168" t="s">
        <v>312</v>
      </c>
      <c r="D53" s="142" t="s">
        <v>423</v>
      </c>
      <c r="E53" s="168" t="s">
        <v>23</v>
      </c>
      <c r="F53" s="146" t="s">
        <v>558</v>
      </c>
      <c r="G53" s="171" t="s">
        <v>31</v>
      </c>
      <c r="H53" s="213" t="s">
        <v>40</v>
      </c>
      <c r="I53" s="214"/>
      <c r="J53" s="171"/>
      <c r="K53" s="166"/>
      <c r="L53" s="166"/>
      <c r="M53" s="166"/>
      <c r="N53" s="166"/>
      <c r="O53" s="166"/>
      <c r="P53" s="171"/>
      <c r="Q53" s="215"/>
    </row>
    <row r="54" spans="2:17" ht="50.1" customHeight="1" x14ac:dyDescent="0.25">
      <c r="B54" s="212" t="s">
        <v>235</v>
      </c>
      <c r="C54" s="167" t="s">
        <v>313</v>
      </c>
      <c r="D54" s="144" t="s">
        <v>472</v>
      </c>
      <c r="E54" s="167" t="s">
        <v>22</v>
      </c>
      <c r="F54" s="147" t="s">
        <v>559</v>
      </c>
      <c r="G54" s="170" t="s">
        <v>31</v>
      </c>
      <c r="H54" s="205" t="s">
        <v>40</v>
      </c>
      <c r="I54" s="211"/>
      <c r="J54" s="170"/>
      <c r="K54" s="165"/>
      <c r="L54" s="165"/>
      <c r="M54" s="165"/>
      <c r="N54" s="165"/>
      <c r="O54" s="165"/>
      <c r="P54" s="170"/>
      <c r="Q54" s="207"/>
    </row>
    <row r="55" spans="2:17" ht="50.1" customHeight="1" x14ac:dyDescent="0.25">
      <c r="B55" s="212" t="s">
        <v>235</v>
      </c>
      <c r="C55" s="168" t="s">
        <v>314</v>
      </c>
      <c r="D55" s="142" t="s">
        <v>473</v>
      </c>
      <c r="E55" s="168" t="s">
        <v>22</v>
      </c>
      <c r="F55" s="146" t="s">
        <v>560</v>
      </c>
      <c r="G55" s="171" t="s">
        <v>31</v>
      </c>
      <c r="H55" s="213" t="s">
        <v>40</v>
      </c>
      <c r="I55" s="214"/>
      <c r="J55" s="171"/>
      <c r="K55" s="166"/>
      <c r="L55" s="166"/>
      <c r="M55" s="166"/>
      <c r="N55" s="166"/>
      <c r="O55" s="166"/>
      <c r="P55" s="171"/>
      <c r="Q55" s="215"/>
    </row>
    <row r="56" spans="2:17" ht="50.1" customHeight="1" x14ac:dyDescent="0.25">
      <c r="B56" s="204" t="s">
        <v>236</v>
      </c>
      <c r="C56" s="167" t="s">
        <v>315</v>
      </c>
      <c r="D56" s="144" t="s">
        <v>474</v>
      </c>
      <c r="E56" s="167" t="s">
        <v>22</v>
      </c>
      <c r="F56" s="147" t="s">
        <v>561</v>
      </c>
      <c r="G56" s="170" t="s">
        <v>31</v>
      </c>
      <c r="H56" s="205" t="s">
        <v>40</v>
      </c>
      <c r="I56" s="211"/>
      <c r="J56" s="170"/>
      <c r="K56" s="165"/>
      <c r="L56" s="165"/>
      <c r="M56" s="165"/>
      <c r="N56" s="165"/>
      <c r="O56" s="165"/>
      <c r="P56" s="170"/>
      <c r="Q56" s="207"/>
    </row>
    <row r="57" spans="2:17" ht="50.1" customHeight="1" x14ac:dyDescent="0.25">
      <c r="B57" s="204" t="s">
        <v>236</v>
      </c>
      <c r="C57" s="169" t="s">
        <v>316</v>
      </c>
      <c r="D57" s="141" t="s">
        <v>475</v>
      </c>
      <c r="E57" s="169" t="s">
        <v>22</v>
      </c>
      <c r="F57" s="198" t="s">
        <v>562</v>
      </c>
      <c r="G57" s="172" t="s">
        <v>31</v>
      </c>
      <c r="H57" s="208" t="s">
        <v>40</v>
      </c>
      <c r="I57" s="209"/>
      <c r="J57" s="172"/>
      <c r="K57" s="199"/>
      <c r="L57" s="199"/>
      <c r="M57" s="199"/>
      <c r="N57" s="199"/>
      <c r="O57" s="199"/>
      <c r="P57" s="172"/>
      <c r="Q57" s="210"/>
    </row>
    <row r="58" spans="2:17" ht="50.1" customHeight="1" x14ac:dyDescent="0.25">
      <c r="B58" s="204" t="s">
        <v>236</v>
      </c>
      <c r="C58" s="167" t="s">
        <v>317</v>
      </c>
      <c r="D58" s="144" t="s">
        <v>476</v>
      </c>
      <c r="E58" s="167" t="s">
        <v>22</v>
      </c>
      <c r="F58" s="147" t="s">
        <v>563</v>
      </c>
      <c r="G58" s="170" t="s">
        <v>31</v>
      </c>
      <c r="H58" s="205" t="s">
        <v>40</v>
      </c>
      <c r="I58" s="211"/>
      <c r="J58" s="170"/>
      <c r="K58" s="165"/>
      <c r="L58" s="165"/>
      <c r="M58" s="165"/>
      <c r="N58" s="165"/>
      <c r="O58" s="165"/>
      <c r="P58" s="170"/>
      <c r="Q58" s="207"/>
    </row>
    <row r="59" spans="2:17" ht="50.1" customHeight="1" x14ac:dyDescent="0.25">
      <c r="B59" s="204" t="s">
        <v>236</v>
      </c>
      <c r="C59" s="169" t="s">
        <v>318</v>
      </c>
      <c r="D59" s="141" t="s">
        <v>477</v>
      </c>
      <c r="E59" s="169" t="s">
        <v>22</v>
      </c>
      <c r="F59" s="198" t="s">
        <v>564</v>
      </c>
      <c r="G59" s="172" t="s">
        <v>31</v>
      </c>
      <c r="H59" s="208" t="s">
        <v>40</v>
      </c>
      <c r="I59" s="209"/>
      <c r="J59" s="172"/>
      <c r="K59" s="199"/>
      <c r="L59" s="199"/>
      <c r="M59" s="199"/>
      <c r="N59" s="199"/>
      <c r="O59" s="199"/>
      <c r="P59" s="172"/>
      <c r="Q59" s="210"/>
    </row>
    <row r="60" spans="2:17" ht="50.1" customHeight="1" x14ac:dyDescent="0.25">
      <c r="B60" s="212" t="s">
        <v>237</v>
      </c>
      <c r="C60" s="167" t="s">
        <v>319</v>
      </c>
      <c r="D60" s="144" t="s">
        <v>478</v>
      </c>
      <c r="E60" s="167" t="s">
        <v>22</v>
      </c>
      <c r="F60" s="147" t="s">
        <v>565</v>
      </c>
      <c r="G60" s="170" t="s">
        <v>31</v>
      </c>
      <c r="H60" s="205" t="s">
        <v>40</v>
      </c>
      <c r="I60" s="211"/>
      <c r="J60" s="170"/>
      <c r="K60" s="165"/>
      <c r="L60" s="165"/>
      <c r="M60" s="165"/>
      <c r="N60" s="165"/>
      <c r="O60" s="165"/>
      <c r="P60" s="170"/>
      <c r="Q60" s="207"/>
    </row>
    <row r="61" spans="2:17" ht="50.1" customHeight="1" x14ac:dyDescent="0.25">
      <c r="B61" s="212" t="s">
        <v>237</v>
      </c>
      <c r="C61" s="169" t="s">
        <v>320</v>
      </c>
      <c r="D61" s="240" t="s">
        <v>673</v>
      </c>
      <c r="E61" s="169" t="s">
        <v>22</v>
      </c>
      <c r="F61" s="198" t="s">
        <v>566</v>
      </c>
      <c r="G61" s="172" t="s">
        <v>31</v>
      </c>
      <c r="H61" s="208" t="s">
        <v>40</v>
      </c>
      <c r="I61" s="209"/>
      <c r="J61" s="172"/>
      <c r="K61" s="199"/>
      <c r="L61" s="199"/>
      <c r="M61" s="199"/>
      <c r="N61" s="199"/>
      <c r="O61" s="199"/>
      <c r="P61" s="172"/>
      <c r="Q61" s="210"/>
    </row>
    <row r="62" spans="2:17" ht="50.1" customHeight="1" x14ac:dyDescent="0.25">
      <c r="B62" s="212" t="s">
        <v>237</v>
      </c>
      <c r="C62" s="167" t="s">
        <v>321</v>
      </c>
      <c r="D62" s="144" t="s">
        <v>479</v>
      </c>
      <c r="E62" s="167" t="s">
        <v>22</v>
      </c>
      <c r="F62" s="147" t="s">
        <v>567</v>
      </c>
      <c r="G62" s="170" t="s">
        <v>31</v>
      </c>
      <c r="H62" s="205" t="s">
        <v>40</v>
      </c>
      <c r="I62" s="211"/>
      <c r="J62" s="170"/>
      <c r="K62" s="165"/>
      <c r="L62" s="165"/>
      <c r="M62" s="165"/>
      <c r="N62" s="165"/>
      <c r="O62" s="165"/>
      <c r="P62" s="170"/>
      <c r="Q62" s="207"/>
    </row>
    <row r="63" spans="2:17" ht="50.1" customHeight="1" x14ac:dyDescent="0.25">
      <c r="B63" s="212" t="s">
        <v>237</v>
      </c>
      <c r="C63" s="169" t="s">
        <v>322</v>
      </c>
      <c r="D63" s="141" t="s">
        <v>480</v>
      </c>
      <c r="E63" s="169" t="s">
        <v>23</v>
      </c>
      <c r="F63" s="198" t="s">
        <v>689</v>
      </c>
      <c r="G63" s="172" t="s">
        <v>31</v>
      </c>
      <c r="H63" s="208" t="s">
        <v>40</v>
      </c>
      <c r="I63" s="209"/>
      <c r="J63" s="172"/>
      <c r="K63" s="199"/>
      <c r="L63" s="199"/>
      <c r="M63" s="199"/>
      <c r="N63" s="199"/>
      <c r="O63" s="199"/>
      <c r="P63" s="172"/>
      <c r="Q63" s="210"/>
    </row>
    <row r="64" spans="2:17" ht="50.1" customHeight="1" x14ac:dyDescent="0.25">
      <c r="B64" s="212" t="s">
        <v>237</v>
      </c>
      <c r="C64" s="167" t="s">
        <v>323</v>
      </c>
      <c r="D64" s="144" t="s">
        <v>481</v>
      </c>
      <c r="E64" s="167" t="s">
        <v>23</v>
      </c>
      <c r="F64" s="147" t="s">
        <v>568</v>
      </c>
      <c r="G64" s="170" t="s">
        <v>31</v>
      </c>
      <c r="H64" s="205" t="s">
        <v>40</v>
      </c>
      <c r="I64" s="211"/>
      <c r="J64" s="170"/>
      <c r="K64" s="165"/>
      <c r="L64" s="165"/>
      <c r="M64" s="165"/>
      <c r="N64" s="165"/>
      <c r="O64" s="165"/>
      <c r="P64" s="170"/>
      <c r="Q64" s="207"/>
    </row>
    <row r="65" spans="2:17" ht="50.1" customHeight="1" x14ac:dyDescent="0.25">
      <c r="B65" s="212" t="s">
        <v>237</v>
      </c>
      <c r="C65" s="168" t="s">
        <v>324</v>
      </c>
      <c r="D65" s="142" t="s">
        <v>482</v>
      </c>
      <c r="E65" s="168" t="s">
        <v>22</v>
      </c>
      <c r="F65" s="146" t="s">
        <v>569</v>
      </c>
      <c r="G65" s="171" t="s">
        <v>31</v>
      </c>
      <c r="H65" s="213" t="s">
        <v>40</v>
      </c>
      <c r="I65" s="214"/>
      <c r="J65" s="171"/>
      <c r="K65" s="166"/>
      <c r="L65" s="166"/>
      <c r="M65" s="166"/>
      <c r="N65" s="166"/>
      <c r="O65" s="166"/>
      <c r="P65" s="171"/>
      <c r="Q65" s="215"/>
    </row>
    <row r="66" spans="2:17" ht="50.1" customHeight="1" x14ac:dyDescent="0.25">
      <c r="B66" s="212" t="s">
        <v>237</v>
      </c>
      <c r="C66" s="167" t="s">
        <v>325</v>
      </c>
      <c r="D66" s="144" t="s">
        <v>483</v>
      </c>
      <c r="E66" s="167" t="s">
        <v>22</v>
      </c>
      <c r="F66" s="147" t="s">
        <v>570</v>
      </c>
      <c r="G66" s="170" t="s">
        <v>31</v>
      </c>
      <c r="H66" s="205" t="s">
        <v>40</v>
      </c>
      <c r="I66" s="211"/>
      <c r="J66" s="170"/>
      <c r="K66" s="165"/>
      <c r="L66" s="165"/>
      <c r="M66" s="165"/>
      <c r="N66" s="165"/>
      <c r="O66" s="165"/>
      <c r="P66" s="170"/>
      <c r="Q66" s="207"/>
    </row>
    <row r="67" spans="2:17" ht="50.1" customHeight="1" x14ac:dyDescent="0.25">
      <c r="B67" s="212" t="s">
        <v>237</v>
      </c>
      <c r="C67" s="168" t="s">
        <v>326</v>
      </c>
      <c r="D67" s="142" t="s">
        <v>424</v>
      </c>
      <c r="E67" s="168" t="s">
        <v>22</v>
      </c>
      <c r="F67" s="142" t="s">
        <v>571</v>
      </c>
      <c r="G67" s="171" t="s">
        <v>31</v>
      </c>
      <c r="H67" s="213" t="s">
        <v>40</v>
      </c>
      <c r="I67" s="214"/>
      <c r="J67" s="171"/>
      <c r="K67" s="166"/>
      <c r="L67" s="166"/>
      <c r="M67" s="166"/>
      <c r="N67" s="166"/>
      <c r="O67" s="166"/>
      <c r="P67" s="171"/>
      <c r="Q67" s="215"/>
    </row>
    <row r="68" spans="2:17" ht="50.1" customHeight="1" x14ac:dyDescent="0.25">
      <c r="B68" s="212" t="s">
        <v>237</v>
      </c>
      <c r="C68" s="167" t="s">
        <v>327</v>
      </c>
      <c r="D68" s="144" t="s">
        <v>484</v>
      </c>
      <c r="E68" s="167" t="s">
        <v>22</v>
      </c>
      <c r="F68" s="147" t="s">
        <v>572</v>
      </c>
      <c r="G68" s="170" t="s">
        <v>31</v>
      </c>
      <c r="H68" s="205" t="s">
        <v>40</v>
      </c>
      <c r="I68" s="211"/>
      <c r="J68" s="170"/>
      <c r="K68" s="165"/>
      <c r="L68" s="165"/>
      <c r="M68" s="165"/>
      <c r="N68" s="165"/>
      <c r="O68" s="165"/>
      <c r="P68" s="170"/>
      <c r="Q68" s="207"/>
    </row>
    <row r="69" spans="2:17" ht="50.1" customHeight="1" x14ac:dyDescent="0.25">
      <c r="B69" s="212" t="s">
        <v>237</v>
      </c>
      <c r="C69" s="168" t="s">
        <v>328</v>
      </c>
      <c r="D69" s="142" t="s">
        <v>485</v>
      </c>
      <c r="E69" s="168" t="s">
        <v>22</v>
      </c>
      <c r="F69" s="146" t="s">
        <v>573</v>
      </c>
      <c r="G69" s="171" t="s">
        <v>31</v>
      </c>
      <c r="H69" s="213" t="s">
        <v>40</v>
      </c>
      <c r="I69" s="214"/>
      <c r="J69" s="171"/>
      <c r="K69" s="166"/>
      <c r="L69" s="166"/>
      <c r="M69" s="166"/>
      <c r="N69" s="166"/>
      <c r="O69" s="166"/>
      <c r="P69" s="171"/>
      <c r="Q69" s="215"/>
    </row>
    <row r="70" spans="2:17" ht="50.1" customHeight="1" x14ac:dyDescent="0.25">
      <c r="B70" s="212" t="s">
        <v>237</v>
      </c>
      <c r="C70" s="167" t="s">
        <v>329</v>
      </c>
      <c r="D70" s="241" t="s">
        <v>674</v>
      </c>
      <c r="E70" s="167" t="s">
        <v>23</v>
      </c>
      <c r="F70" s="147" t="s">
        <v>574</v>
      </c>
      <c r="G70" s="170" t="s">
        <v>31</v>
      </c>
      <c r="H70" s="205" t="s">
        <v>40</v>
      </c>
      <c r="I70" s="211"/>
      <c r="J70" s="170"/>
      <c r="K70" s="165"/>
      <c r="L70" s="165"/>
      <c r="M70" s="165"/>
      <c r="N70" s="165"/>
      <c r="O70" s="165"/>
      <c r="P70" s="170"/>
      <c r="Q70" s="207"/>
    </row>
    <row r="71" spans="2:17" ht="50.1" customHeight="1" x14ac:dyDescent="0.25">
      <c r="B71" s="212" t="s">
        <v>237</v>
      </c>
      <c r="C71" s="169" t="s">
        <v>330</v>
      </c>
      <c r="D71" s="142" t="s">
        <v>486</v>
      </c>
      <c r="E71" s="168" t="s">
        <v>23</v>
      </c>
      <c r="F71" s="146" t="s">
        <v>575</v>
      </c>
      <c r="G71" s="172" t="s">
        <v>31</v>
      </c>
      <c r="H71" s="208" t="s">
        <v>40</v>
      </c>
      <c r="I71" s="209"/>
      <c r="J71" s="172"/>
      <c r="K71" s="199"/>
      <c r="L71" s="199"/>
      <c r="M71" s="199"/>
      <c r="N71" s="199"/>
      <c r="O71" s="199"/>
      <c r="P71" s="172"/>
      <c r="Q71" s="210"/>
    </row>
    <row r="72" spans="2:17" ht="50.1" customHeight="1" x14ac:dyDescent="0.25">
      <c r="B72" s="212" t="s">
        <v>237</v>
      </c>
      <c r="C72" s="167" t="s">
        <v>331</v>
      </c>
      <c r="D72" s="144" t="s">
        <v>487</v>
      </c>
      <c r="E72" s="167" t="s">
        <v>23</v>
      </c>
      <c r="F72" s="147" t="s">
        <v>576</v>
      </c>
      <c r="G72" s="170" t="s">
        <v>31</v>
      </c>
      <c r="H72" s="205" t="s">
        <v>40</v>
      </c>
      <c r="I72" s="211"/>
      <c r="J72" s="170"/>
      <c r="K72" s="165"/>
      <c r="L72" s="165"/>
      <c r="M72" s="165"/>
      <c r="N72" s="165"/>
      <c r="O72" s="165"/>
      <c r="P72" s="170"/>
      <c r="Q72" s="207"/>
    </row>
    <row r="73" spans="2:17" ht="50.1" customHeight="1" x14ac:dyDescent="0.25">
      <c r="B73" s="212" t="s">
        <v>237</v>
      </c>
      <c r="C73" s="169" t="s">
        <v>332</v>
      </c>
      <c r="D73" s="142" t="s">
        <v>425</v>
      </c>
      <c r="E73" s="168" t="s">
        <v>22</v>
      </c>
      <c r="F73" s="146" t="s">
        <v>577</v>
      </c>
      <c r="G73" s="172" t="s">
        <v>31</v>
      </c>
      <c r="H73" s="208" t="s">
        <v>40</v>
      </c>
      <c r="I73" s="209"/>
      <c r="J73" s="172"/>
      <c r="K73" s="199"/>
      <c r="L73" s="199"/>
      <c r="M73" s="199"/>
      <c r="N73" s="199"/>
      <c r="O73" s="199"/>
      <c r="P73" s="172"/>
      <c r="Q73" s="210"/>
    </row>
    <row r="74" spans="2:17" ht="50.1" customHeight="1" x14ac:dyDescent="0.25">
      <c r="B74" s="204" t="s">
        <v>2</v>
      </c>
      <c r="C74" s="167" t="s">
        <v>333</v>
      </c>
      <c r="D74" s="144" t="s">
        <v>488</v>
      </c>
      <c r="E74" s="167" t="s">
        <v>22</v>
      </c>
      <c r="F74" s="144" t="s">
        <v>690</v>
      </c>
      <c r="G74" s="170" t="s">
        <v>31</v>
      </c>
      <c r="H74" s="205" t="s">
        <v>40</v>
      </c>
      <c r="I74" s="211"/>
      <c r="J74" s="170"/>
      <c r="K74" s="165"/>
      <c r="L74" s="165"/>
      <c r="M74" s="165"/>
      <c r="N74" s="165"/>
      <c r="O74" s="165"/>
      <c r="P74" s="170"/>
      <c r="Q74" s="207"/>
    </row>
    <row r="75" spans="2:17" ht="50.1" customHeight="1" x14ac:dyDescent="0.25">
      <c r="B75" s="204" t="s">
        <v>2</v>
      </c>
      <c r="C75" s="168" t="s">
        <v>334</v>
      </c>
      <c r="D75" s="142" t="s">
        <v>489</v>
      </c>
      <c r="E75" s="168" t="s">
        <v>22</v>
      </c>
      <c r="F75" s="146" t="s">
        <v>578</v>
      </c>
      <c r="G75" s="171" t="s">
        <v>31</v>
      </c>
      <c r="H75" s="213" t="s">
        <v>40</v>
      </c>
      <c r="I75" s="214"/>
      <c r="J75" s="171"/>
      <c r="K75" s="166"/>
      <c r="L75" s="166"/>
      <c r="M75" s="166"/>
      <c r="N75" s="166"/>
      <c r="O75" s="166"/>
      <c r="P75" s="171"/>
      <c r="Q75" s="215"/>
    </row>
    <row r="76" spans="2:17" ht="50.1" customHeight="1" x14ac:dyDescent="0.25">
      <c r="B76" s="204" t="s">
        <v>2</v>
      </c>
      <c r="C76" s="167" t="s">
        <v>335</v>
      </c>
      <c r="D76" s="144" t="s">
        <v>516</v>
      </c>
      <c r="E76" s="167" t="s">
        <v>23</v>
      </c>
      <c r="F76" s="147" t="s">
        <v>579</v>
      </c>
      <c r="G76" s="170" t="s">
        <v>31</v>
      </c>
      <c r="H76" s="205" t="s">
        <v>40</v>
      </c>
      <c r="I76" s="211"/>
      <c r="J76" s="170"/>
      <c r="K76" s="165"/>
      <c r="L76" s="165"/>
      <c r="M76" s="165"/>
      <c r="N76" s="165"/>
      <c r="O76" s="165"/>
      <c r="P76" s="170"/>
      <c r="Q76" s="207"/>
    </row>
    <row r="77" spans="2:17" ht="50.1" customHeight="1" x14ac:dyDescent="0.25">
      <c r="B77" s="204" t="s">
        <v>2</v>
      </c>
      <c r="C77" s="168" t="s">
        <v>336</v>
      </c>
      <c r="D77" s="142" t="s">
        <v>426</v>
      </c>
      <c r="E77" s="168" t="s">
        <v>23</v>
      </c>
      <c r="F77" s="146" t="s">
        <v>691</v>
      </c>
      <c r="G77" s="171" t="s">
        <v>31</v>
      </c>
      <c r="H77" s="213" t="s">
        <v>40</v>
      </c>
      <c r="I77" s="214"/>
      <c r="J77" s="171"/>
      <c r="K77" s="166"/>
      <c r="L77" s="166"/>
      <c r="M77" s="166"/>
      <c r="N77" s="166"/>
      <c r="O77" s="166"/>
      <c r="P77" s="171"/>
      <c r="Q77" s="215"/>
    </row>
    <row r="78" spans="2:17" ht="50.1" customHeight="1" x14ac:dyDescent="0.25">
      <c r="B78" s="204" t="s">
        <v>2</v>
      </c>
      <c r="C78" s="167" t="s">
        <v>337</v>
      </c>
      <c r="D78" s="144" t="s">
        <v>490</v>
      </c>
      <c r="E78" s="167" t="s">
        <v>22</v>
      </c>
      <c r="F78" s="147" t="s">
        <v>580</v>
      </c>
      <c r="G78" s="170" t="s">
        <v>31</v>
      </c>
      <c r="H78" s="205" t="s">
        <v>40</v>
      </c>
      <c r="I78" s="211"/>
      <c r="J78" s="170"/>
      <c r="K78" s="165"/>
      <c r="L78" s="165"/>
      <c r="M78" s="165"/>
      <c r="N78" s="165"/>
      <c r="O78" s="165"/>
      <c r="P78" s="170"/>
      <c r="Q78" s="207"/>
    </row>
    <row r="79" spans="2:17" ht="50.1" customHeight="1" x14ac:dyDescent="0.25">
      <c r="B79" s="204" t="s">
        <v>2</v>
      </c>
      <c r="C79" s="169" t="s">
        <v>338</v>
      </c>
      <c r="D79" s="240" t="s">
        <v>675</v>
      </c>
      <c r="E79" s="169" t="s">
        <v>22</v>
      </c>
      <c r="F79" s="198" t="s">
        <v>581</v>
      </c>
      <c r="G79" s="172" t="s">
        <v>31</v>
      </c>
      <c r="H79" s="208" t="s">
        <v>40</v>
      </c>
      <c r="I79" s="209"/>
      <c r="J79" s="172"/>
      <c r="K79" s="199"/>
      <c r="L79" s="199"/>
      <c r="M79" s="199"/>
      <c r="N79" s="199"/>
      <c r="O79" s="199"/>
      <c r="P79" s="172"/>
      <c r="Q79" s="210"/>
    </row>
    <row r="80" spans="2:17" ht="50.1" customHeight="1" x14ac:dyDescent="0.25">
      <c r="B80" s="204" t="s">
        <v>2</v>
      </c>
      <c r="C80" s="167" t="s">
        <v>339</v>
      </c>
      <c r="D80" s="144" t="s">
        <v>427</v>
      </c>
      <c r="E80" s="167" t="s">
        <v>22</v>
      </c>
      <c r="F80" s="147" t="s">
        <v>582</v>
      </c>
      <c r="G80" s="170" t="s">
        <v>31</v>
      </c>
      <c r="H80" s="205" t="s">
        <v>40</v>
      </c>
      <c r="I80" s="211"/>
      <c r="J80" s="170"/>
      <c r="K80" s="165"/>
      <c r="L80" s="165"/>
      <c r="M80" s="165"/>
      <c r="N80" s="165"/>
      <c r="O80" s="165"/>
      <c r="P80" s="170"/>
      <c r="Q80" s="207"/>
    </row>
    <row r="81" spans="2:17" ht="50.1" customHeight="1" x14ac:dyDescent="0.25">
      <c r="B81" s="204" t="s">
        <v>2</v>
      </c>
      <c r="C81" s="169" t="s">
        <v>340</v>
      </c>
      <c r="D81" s="141" t="s">
        <v>491</v>
      </c>
      <c r="E81" s="169" t="s">
        <v>22</v>
      </c>
      <c r="F81" s="198" t="s">
        <v>583</v>
      </c>
      <c r="G81" s="172" t="s">
        <v>31</v>
      </c>
      <c r="H81" s="208" t="s">
        <v>40</v>
      </c>
      <c r="I81" s="209"/>
      <c r="J81" s="172"/>
      <c r="K81" s="199"/>
      <c r="L81" s="199"/>
      <c r="M81" s="199"/>
      <c r="N81" s="199"/>
      <c r="O81" s="199"/>
      <c r="P81" s="172"/>
      <c r="Q81" s="210"/>
    </row>
    <row r="82" spans="2:17" ht="50.1" customHeight="1" x14ac:dyDescent="0.25">
      <c r="B82" s="204" t="s">
        <v>2</v>
      </c>
      <c r="C82" s="167" t="s">
        <v>341</v>
      </c>
      <c r="D82" s="144" t="s">
        <v>492</v>
      </c>
      <c r="E82" s="167" t="s">
        <v>22</v>
      </c>
      <c r="F82" s="144" t="s">
        <v>584</v>
      </c>
      <c r="G82" s="170" t="s">
        <v>31</v>
      </c>
      <c r="H82" s="205" t="s">
        <v>40</v>
      </c>
      <c r="I82" s="211"/>
      <c r="J82" s="170"/>
      <c r="K82" s="165"/>
      <c r="L82" s="165"/>
      <c r="M82" s="165"/>
      <c r="N82" s="165"/>
      <c r="O82" s="165"/>
      <c r="P82" s="170"/>
      <c r="Q82" s="207"/>
    </row>
    <row r="83" spans="2:17" ht="50.1" customHeight="1" x14ac:dyDescent="0.25">
      <c r="B83" s="204" t="s">
        <v>2</v>
      </c>
      <c r="C83" s="168" t="s">
        <v>342</v>
      </c>
      <c r="D83" s="142" t="s">
        <v>493</v>
      </c>
      <c r="E83" s="168" t="s">
        <v>22</v>
      </c>
      <c r="F83" s="142" t="s">
        <v>692</v>
      </c>
      <c r="G83" s="171" t="s">
        <v>31</v>
      </c>
      <c r="H83" s="205" t="s">
        <v>40</v>
      </c>
      <c r="I83" s="214"/>
      <c r="J83" s="171"/>
      <c r="K83" s="166"/>
      <c r="L83" s="166"/>
      <c r="M83" s="166"/>
      <c r="N83" s="166"/>
      <c r="O83" s="166"/>
      <c r="P83" s="171"/>
      <c r="Q83" s="215"/>
    </row>
    <row r="84" spans="2:17" ht="50.1" customHeight="1" x14ac:dyDescent="0.25">
      <c r="B84" s="204" t="s">
        <v>2</v>
      </c>
      <c r="C84" s="167" t="s">
        <v>343</v>
      </c>
      <c r="D84" s="144" t="s">
        <v>494</v>
      </c>
      <c r="E84" s="167" t="s">
        <v>23</v>
      </c>
      <c r="F84" s="147" t="s">
        <v>585</v>
      </c>
      <c r="G84" s="170" t="s">
        <v>31</v>
      </c>
      <c r="H84" s="205" t="s">
        <v>40</v>
      </c>
      <c r="I84" s="211"/>
      <c r="J84" s="170"/>
      <c r="K84" s="165"/>
      <c r="L84" s="165"/>
      <c r="M84" s="165"/>
      <c r="N84" s="165"/>
      <c r="O84" s="165"/>
      <c r="P84" s="170"/>
      <c r="Q84" s="207"/>
    </row>
    <row r="85" spans="2:17" ht="50.1" customHeight="1" x14ac:dyDescent="0.25">
      <c r="B85" s="204" t="s">
        <v>2</v>
      </c>
      <c r="C85" s="169" t="s">
        <v>344</v>
      </c>
      <c r="D85" s="240" t="s">
        <v>676</v>
      </c>
      <c r="E85" s="169" t="s">
        <v>23</v>
      </c>
      <c r="F85" s="141" t="s">
        <v>586</v>
      </c>
      <c r="G85" s="172" t="s">
        <v>31</v>
      </c>
      <c r="H85" s="208" t="s">
        <v>40</v>
      </c>
      <c r="I85" s="209"/>
      <c r="J85" s="172"/>
      <c r="K85" s="199"/>
      <c r="L85" s="199"/>
      <c r="M85" s="199"/>
      <c r="N85" s="199"/>
      <c r="O85" s="199"/>
      <c r="P85" s="172"/>
      <c r="Q85" s="210"/>
    </row>
    <row r="86" spans="2:17" ht="50.1" customHeight="1" x14ac:dyDescent="0.25">
      <c r="B86" s="204" t="s">
        <v>2</v>
      </c>
      <c r="C86" s="167" t="s">
        <v>345</v>
      </c>
      <c r="D86" s="144" t="s">
        <v>495</v>
      </c>
      <c r="E86" s="167" t="s">
        <v>23</v>
      </c>
      <c r="F86" s="147" t="s">
        <v>587</v>
      </c>
      <c r="G86" s="170" t="s">
        <v>31</v>
      </c>
      <c r="H86" s="205" t="s">
        <v>40</v>
      </c>
      <c r="I86" s="211"/>
      <c r="J86" s="170"/>
      <c r="K86" s="165"/>
      <c r="L86" s="165"/>
      <c r="M86" s="165"/>
      <c r="N86" s="165"/>
      <c r="O86" s="165"/>
      <c r="P86" s="170"/>
      <c r="Q86" s="207"/>
    </row>
    <row r="87" spans="2:17" ht="50.1" customHeight="1" x14ac:dyDescent="0.25">
      <c r="B87" s="212" t="s">
        <v>5</v>
      </c>
      <c r="C87" s="168" t="s">
        <v>346</v>
      </c>
      <c r="D87" s="142" t="s">
        <v>238</v>
      </c>
      <c r="E87" s="168" t="s">
        <v>23</v>
      </c>
      <c r="F87" s="142" t="s">
        <v>588</v>
      </c>
      <c r="G87" s="171" t="s">
        <v>31</v>
      </c>
      <c r="H87" s="205" t="s">
        <v>40</v>
      </c>
      <c r="I87" s="214"/>
      <c r="J87" s="171"/>
      <c r="K87" s="166"/>
      <c r="L87" s="166"/>
      <c r="M87" s="166"/>
      <c r="N87" s="166"/>
      <c r="O87" s="166"/>
      <c r="P87" s="171"/>
      <c r="Q87" s="215"/>
    </row>
    <row r="88" spans="2:17" ht="50.1" customHeight="1" x14ac:dyDescent="0.25">
      <c r="B88" s="212" t="s">
        <v>5</v>
      </c>
      <c r="C88" s="167" t="s">
        <v>347</v>
      </c>
      <c r="D88" s="144" t="s">
        <v>496</v>
      </c>
      <c r="E88" s="167" t="s">
        <v>23</v>
      </c>
      <c r="F88" s="147" t="s">
        <v>589</v>
      </c>
      <c r="G88" s="170" t="s">
        <v>31</v>
      </c>
      <c r="H88" s="205" t="s">
        <v>40</v>
      </c>
      <c r="I88" s="211"/>
      <c r="J88" s="170"/>
      <c r="K88" s="165"/>
      <c r="L88" s="165"/>
      <c r="M88" s="165"/>
      <c r="N88" s="165"/>
      <c r="O88" s="165"/>
      <c r="P88" s="170"/>
      <c r="Q88" s="207"/>
    </row>
    <row r="89" spans="2:17" ht="50.1" customHeight="1" x14ac:dyDescent="0.25">
      <c r="B89" s="212" t="s">
        <v>5</v>
      </c>
      <c r="C89" s="169" t="s">
        <v>348</v>
      </c>
      <c r="D89" s="141" t="s">
        <v>497</v>
      </c>
      <c r="E89" s="169" t="s">
        <v>23</v>
      </c>
      <c r="F89" s="198" t="s">
        <v>590</v>
      </c>
      <c r="G89" s="172" t="s">
        <v>31</v>
      </c>
      <c r="H89" s="208" t="s">
        <v>40</v>
      </c>
      <c r="I89" s="209"/>
      <c r="J89" s="172"/>
      <c r="K89" s="199"/>
      <c r="L89" s="199"/>
      <c r="M89" s="199"/>
      <c r="N89" s="199"/>
      <c r="O89" s="199"/>
      <c r="P89" s="172"/>
      <c r="Q89" s="210"/>
    </row>
    <row r="90" spans="2:17" ht="50.1" customHeight="1" x14ac:dyDescent="0.25">
      <c r="B90" s="212" t="s">
        <v>5</v>
      </c>
      <c r="C90" s="167" t="s">
        <v>349</v>
      </c>
      <c r="D90" s="144" t="s">
        <v>498</v>
      </c>
      <c r="E90" s="167" t="s">
        <v>23</v>
      </c>
      <c r="F90" s="147" t="s">
        <v>591</v>
      </c>
      <c r="G90" s="170" t="s">
        <v>31</v>
      </c>
      <c r="H90" s="205" t="s">
        <v>40</v>
      </c>
      <c r="I90" s="211"/>
      <c r="J90" s="170"/>
      <c r="K90" s="165"/>
      <c r="L90" s="165"/>
      <c r="M90" s="165"/>
      <c r="N90" s="165"/>
      <c r="O90" s="165"/>
      <c r="P90" s="170"/>
      <c r="Q90" s="207"/>
    </row>
    <row r="91" spans="2:17" ht="50.1" customHeight="1" x14ac:dyDescent="0.25">
      <c r="B91" s="212" t="s">
        <v>5</v>
      </c>
      <c r="C91" s="168" t="s">
        <v>350</v>
      </c>
      <c r="D91" s="142" t="s">
        <v>239</v>
      </c>
      <c r="E91" s="168" t="s">
        <v>23</v>
      </c>
      <c r="F91" s="146" t="s">
        <v>592</v>
      </c>
      <c r="G91" s="171" t="s">
        <v>31</v>
      </c>
      <c r="H91" s="213" t="s">
        <v>40</v>
      </c>
      <c r="I91" s="214"/>
      <c r="J91" s="171"/>
      <c r="K91" s="166"/>
      <c r="L91" s="166"/>
      <c r="M91" s="166"/>
      <c r="N91" s="166"/>
      <c r="O91" s="166"/>
      <c r="P91" s="171"/>
      <c r="Q91" s="215"/>
    </row>
    <row r="92" spans="2:17" ht="50.1" customHeight="1" x14ac:dyDescent="0.25">
      <c r="B92" s="212" t="s">
        <v>5</v>
      </c>
      <c r="C92" s="167" t="s">
        <v>351</v>
      </c>
      <c r="D92" s="144" t="s">
        <v>499</v>
      </c>
      <c r="E92" s="167" t="s">
        <v>22</v>
      </c>
      <c r="F92" s="144" t="s">
        <v>693</v>
      </c>
      <c r="G92" s="170" t="s">
        <v>31</v>
      </c>
      <c r="H92" s="205" t="s">
        <v>40</v>
      </c>
      <c r="I92" s="211"/>
      <c r="J92" s="170"/>
      <c r="K92" s="165"/>
      <c r="L92" s="165"/>
      <c r="M92" s="165"/>
      <c r="N92" s="165"/>
      <c r="O92" s="165"/>
      <c r="P92" s="170"/>
      <c r="Q92" s="207"/>
    </row>
    <row r="93" spans="2:17" ht="50.1" customHeight="1" x14ac:dyDescent="0.25">
      <c r="B93" s="212" t="s">
        <v>5</v>
      </c>
      <c r="C93" s="168" t="s">
        <v>352</v>
      </c>
      <c r="D93" s="142" t="s">
        <v>500</v>
      </c>
      <c r="E93" s="168" t="s">
        <v>22</v>
      </c>
      <c r="F93" s="146" t="s">
        <v>694</v>
      </c>
      <c r="G93" s="171" t="s">
        <v>31</v>
      </c>
      <c r="H93" s="205" t="s">
        <v>40</v>
      </c>
      <c r="I93" s="214"/>
      <c r="J93" s="171"/>
      <c r="K93" s="166"/>
      <c r="L93" s="166"/>
      <c r="M93" s="166"/>
      <c r="N93" s="166"/>
      <c r="O93" s="166"/>
      <c r="P93" s="171"/>
      <c r="Q93" s="215"/>
    </row>
    <row r="94" spans="2:17" ht="50.1" customHeight="1" x14ac:dyDescent="0.25">
      <c r="B94" s="212" t="s">
        <v>5</v>
      </c>
      <c r="C94" s="167" t="s">
        <v>353</v>
      </c>
      <c r="D94" s="144" t="s">
        <v>501</v>
      </c>
      <c r="E94" s="167" t="s">
        <v>22</v>
      </c>
      <c r="F94" s="147" t="s">
        <v>593</v>
      </c>
      <c r="G94" s="170" t="s">
        <v>31</v>
      </c>
      <c r="H94" s="205" t="s">
        <v>40</v>
      </c>
      <c r="I94" s="211"/>
      <c r="J94" s="170"/>
      <c r="K94" s="165"/>
      <c r="L94" s="165"/>
      <c r="M94" s="165"/>
      <c r="N94" s="165"/>
      <c r="O94" s="165"/>
      <c r="P94" s="170"/>
      <c r="Q94" s="207"/>
    </row>
    <row r="95" spans="2:17" ht="50.1" customHeight="1" x14ac:dyDescent="0.25">
      <c r="B95" s="212" t="s">
        <v>5</v>
      </c>
      <c r="C95" s="169" t="s">
        <v>354</v>
      </c>
      <c r="D95" s="141" t="s">
        <v>502</v>
      </c>
      <c r="E95" s="169" t="s">
        <v>22</v>
      </c>
      <c r="F95" s="141" t="s">
        <v>594</v>
      </c>
      <c r="G95" s="172" t="s">
        <v>31</v>
      </c>
      <c r="H95" s="208" t="s">
        <v>40</v>
      </c>
      <c r="I95" s="209"/>
      <c r="J95" s="172"/>
      <c r="K95" s="199"/>
      <c r="L95" s="199"/>
      <c r="M95" s="199"/>
      <c r="N95" s="199"/>
      <c r="O95" s="199"/>
      <c r="P95" s="172"/>
      <c r="Q95" s="210"/>
    </row>
    <row r="96" spans="2:17" ht="50.1" customHeight="1" x14ac:dyDescent="0.25">
      <c r="B96" s="212" t="s">
        <v>5</v>
      </c>
      <c r="C96" s="167" t="s">
        <v>355</v>
      </c>
      <c r="D96" s="144" t="s">
        <v>503</v>
      </c>
      <c r="E96" s="167" t="s">
        <v>22</v>
      </c>
      <c r="F96" s="144" t="s">
        <v>595</v>
      </c>
      <c r="G96" s="170" t="s">
        <v>31</v>
      </c>
      <c r="H96" s="205" t="s">
        <v>40</v>
      </c>
      <c r="I96" s="211"/>
      <c r="J96" s="170"/>
      <c r="K96" s="165"/>
      <c r="L96" s="165"/>
      <c r="M96" s="165"/>
      <c r="N96" s="165"/>
      <c r="O96" s="165"/>
      <c r="P96" s="170"/>
      <c r="Q96" s="207"/>
    </row>
    <row r="97" spans="2:17" ht="50.1" customHeight="1" x14ac:dyDescent="0.25">
      <c r="B97" s="212" t="s">
        <v>5</v>
      </c>
      <c r="C97" s="169" t="s">
        <v>356</v>
      </c>
      <c r="D97" s="141" t="s">
        <v>504</v>
      </c>
      <c r="E97" s="169" t="s">
        <v>22</v>
      </c>
      <c r="F97" s="198" t="s">
        <v>596</v>
      </c>
      <c r="G97" s="172" t="s">
        <v>31</v>
      </c>
      <c r="H97" s="208" t="s">
        <v>40</v>
      </c>
      <c r="I97" s="209"/>
      <c r="J97" s="172"/>
      <c r="K97" s="199"/>
      <c r="L97" s="199"/>
      <c r="M97" s="199"/>
      <c r="N97" s="199"/>
      <c r="O97" s="199"/>
      <c r="P97" s="172"/>
      <c r="Q97" s="210"/>
    </row>
    <row r="98" spans="2:17" ht="50.1" customHeight="1" x14ac:dyDescent="0.25">
      <c r="B98" s="204" t="s">
        <v>240</v>
      </c>
      <c r="C98" s="167" t="s">
        <v>357</v>
      </c>
      <c r="D98" s="144" t="s">
        <v>505</v>
      </c>
      <c r="E98" s="167" t="s">
        <v>22</v>
      </c>
      <c r="F98" s="144" t="s">
        <v>597</v>
      </c>
      <c r="G98" s="170" t="s">
        <v>31</v>
      </c>
      <c r="H98" s="205" t="s">
        <v>40</v>
      </c>
      <c r="I98" s="211"/>
      <c r="J98" s="170"/>
      <c r="K98" s="165"/>
      <c r="L98" s="165"/>
      <c r="M98" s="165"/>
      <c r="N98" s="165"/>
      <c r="O98" s="165"/>
      <c r="P98" s="170"/>
      <c r="Q98" s="207"/>
    </row>
    <row r="99" spans="2:17" ht="50.1" customHeight="1" x14ac:dyDescent="0.25">
      <c r="B99" s="204" t="s">
        <v>240</v>
      </c>
      <c r="C99" s="169" t="s">
        <v>358</v>
      </c>
      <c r="D99" s="141" t="s">
        <v>506</v>
      </c>
      <c r="E99" s="169" t="s">
        <v>22</v>
      </c>
      <c r="F99" s="198" t="s">
        <v>598</v>
      </c>
      <c r="G99" s="172" t="s">
        <v>31</v>
      </c>
      <c r="H99" s="208" t="s">
        <v>40</v>
      </c>
      <c r="I99" s="209"/>
      <c r="J99" s="172"/>
      <c r="K99" s="199"/>
      <c r="L99" s="199"/>
      <c r="M99" s="199"/>
      <c r="N99" s="199"/>
      <c r="O99" s="199"/>
      <c r="P99" s="172"/>
      <c r="Q99" s="210"/>
    </row>
    <row r="100" spans="2:17" ht="50.1" customHeight="1" x14ac:dyDescent="0.25">
      <c r="B100" s="204" t="s">
        <v>240</v>
      </c>
      <c r="C100" s="167" t="s">
        <v>359</v>
      </c>
      <c r="D100" s="144" t="s">
        <v>507</v>
      </c>
      <c r="E100" s="167" t="s">
        <v>22</v>
      </c>
      <c r="F100" s="144" t="s">
        <v>599</v>
      </c>
      <c r="G100" s="170" t="s">
        <v>31</v>
      </c>
      <c r="H100" s="205" t="s">
        <v>40</v>
      </c>
      <c r="I100" s="211"/>
      <c r="J100" s="170"/>
      <c r="K100" s="165"/>
      <c r="L100" s="165"/>
      <c r="M100" s="165"/>
      <c r="N100" s="165"/>
      <c r="O100" s="165"/>
      <c r="P100" s="170"/>
      <c r="Q100" s="207"/>
    </row>
    <row r="101" spans="2:17" ht="50.1" customHeight="1" x14ac:dyDescent="0.25">
      <c r="B101" s="204" t="s">
        <v>240</v>
      </c>
      <c r="C101" s="169" t="s">
        <v>360</v>
      </c>
      <c r="D101" s="142" t="s">
        <v>241</v>
      </c>
      <c r="E101" s="168" t="s">
        <v>22</v>
      </c>
      <c r="F101" s="142" t="s">
        <v>600</v>
      </c>
      <c r="G101" s="172" t="s">
        <v>31</v>
      </c>
      <c r="H101" s="208" t="s">
        <v>40</v>
      </c>
      <c r="I101" s="209"/>
      <c r="J101" s="172"/>
      <c r="K101" s="199"/>
      <c r="L101" s="199"/>
      <c r="M101" s="199"/>
      <c r="N101" s="199"/>
      <c r="O101" s="199"/>
      <c r="P101" s="172"/>
      <c r="Q101" s="210"/>
    </row>
    <row r="102" spans="2:17" ht="50.1" customHeight="1" x14ac:dyDescent="0.25">
      <c r="B102" s="204" t="s">
        <v>240</v>
      </c>
      <c r="C102" s="167" t="s">
        <v>361</v>
      </c>
      <c r="D102" s="144" t="s">
        <v>508</v>
      </c>
      <c r="E102" s="167" t="s">
        <v>22</v>
      </c>
      <c r="F102" s="144" t="s">
        <v>601</v>
      </c>
      <c r="G102" s="170" t="s">
        <v>31</v>
      </c>
      <c r="H102" s="205" t="s">
        <v>40</v>
      </c>
      <c r="I102" s="211"/>
      <c r="J102" s="170"/>
      <c r="K102" s="165"/>
      <c r="L102" s="165"/>
      <c r="M102" s="165"/>
      <c r="N102" s="165"/>
      <c r="O102" s="165"/>
      <c r="P102" s="170"/>
      <c r="Q102" s="207"/>
    </row>
    <row r="103" spans="2:17" ht="50.1" customHeight="1" x14ac:dyDescent="0.25">
      <c r="B103" s="204" t="s">
        <v>240</v>
      </c>
      <c r="C103" s="169" t="s">
        <v>362</v>
      </c>
      <c r="D103" s="141" t="s">
        <v>509</v>
      </c>
      <c r="E103" s="169" t="s">
        <v>22</v>
      </c>
      <c r="F103" s="141" t="s">
        <v>602</v>
      </c>
      <c r="G103" s="172" t="s">
        <v>31</v>
      </c>
      <c r="H103" s="208" t="s">
        <v>40</v>
      </c>
      <c r="I103" s="209"/>
      <c r="J103" s="172"/>
      <c r="K103" s="199"/>
      <c r="L103" s="199"/>
      <c r="M103" s="199"/>
      <c r="N103" s="199"/>
      <c r="O103" s="199"/>
      <c r="P103" s="172"/>
      <c r="Q103" s="210"/>
    </row>
    <row r="104" spans="2:17" ht="50.1" customHeight="1" x14ac:dyDescent="0.25">
      <c r="B104" s="204" t="s">
        <v>240</v>
      </c>
      <c r="C104" s="167" t="s">
        <v>363</v>
      </c>
      <c r="D104" s="144" t="s">
        <v>510</v>
      </c>
      <c r="E104" s="167" t="s">
        <v>22</v>
      </c>
      <c r="F104" s="147" t="s">
        <v>695</v>
      </c>
      <c r="G104" s="170" t="s">
        <v>31</v>
      </c>
      <c r="H104" s="205" t="s">
        <v>40</v>
      </c>
      <c r="I104" s="211"/>
      <c r="J104" s="170"/>
      <c r="K104" s="165"/>
      <c r="L104" s="165"/>
      <c r="M104" s="165"/>
      <c r="N104" s="165"/>
      <c r="O104" s="165"/>
      <c r="P104" s="170"/>
      <c r="Q104" s="207"/>
    </row>
    <row r="105" spans="2:17" ht="50.1" customHeight="1" x14ac:dyDescent="0.25">
      <c r="B105" s="204" t="s">
        <v>240</v>
      </c>
      <c r="C105" s="169" t="s">
        <v>364</v>
      </c>
      <c r="D105" s="141" t="s">
        <v>511</v>
      </c>
      <c r="E105" s="169" t="s">
        <v>22</v>
      </c>
      <c r="F105" s="141" t="s">
        <v>603</v>
      </c>
      <c r="G105" s="172" t="s">
        <v>31</v>
      </c>
      <c r="H105" s="208" t="s">
        <v>40</v>
      </c>
      <c r="I105" s="209"/>
      <c r="J105" s="172"/>
      <c r="K105" s="199"/>
      <c r="L105" s="199"/>
      <c r="M105" s="199"/>
      <c r="N105" s="199"/>
      <c r="O105" s="199"/>
      <c r="P105" s="172"/>
      <c r="Q105" s="210"/>
    </row>
    <row r="106" spans="2:17" ht="50.1" customHeight="1" x14ac:dyDescent="0.25">
      <c r="B106" s="204" t="s">
        <v>240</v>
      </c>
      <c r="C106" s="167" t="s">
        <v>365</v>
      </c>
      <c r="D106" s="144" t="s">
        <v>515</v>
      </c>
      <c r="E106" s="167" t="s">
        <v>23</v>
      </c>
      <c r="F106" s="147" t="s">
        <v>604</v>
      </c>
      <c r="G106" s="170" t="s">
        <v>31</v>
      </c>
      <c r="H106" s="205" t="s">
        <v>40</v>
      </c>
      <c r="I106" s="211"/>
      <c r="J106" s="170"/>
      <c r="K106" s="165"/>
      <c r="L106" s="165"/>
      <c r="M106" s="165"/>
      <c r="N106" s="165"/>
      <c r="O106" s="165"/>
      <c r="P106" s="170"/>
      <c r="Q106" s="207"/>
    </row>
    <row r="107" spans="2:17" ht="50.1" customHeight="1" x14ac:dyDescent="0.25">
      <c r="B107" s="204" t="s">
        <v>240</v>
      </c>
      <c r="C107" s="169" t="s">
        <v>366</v>
      </c>
      <c r="D107" s="141" t="s">
        <v>512</v>
      </c>
      <c r="E107" s="169" t="s">
        <v>22</v>
      </c>
      <c r="F107" s="198" t="s">
        <v>605</v>
      </c>
      <c r="G107" s="172" t="s">
        <v>31</v>
      </c>
      <c r="H107" s="208" t="s">
        <v>40</v>
      </c>
      <c r="I107" s="209"/>
      <c r="J107" s="172"/>
      <c r="K107" s="199"/>
      <c r="L107" s="199"/>
      <c r="M107" s="199"/>
      <c r="N107" s="199"/>
      <c r="O107" s="199"/>
      <c r="P107" s="172"/>
      <c r="Q107" s="210"/>
    </row>
    <row r="108" spans="2:17" ht="50.1" customHeight="1" x14ac:dyDescent="0.25">
      <c r="B108" s="204" t="s">
        <v>240</v>
      </c>
      <c r="C108" s="167" t="s">
        <v>367</v>
      </c>
      <c r="D108" s="144" t="s">
        <v>513</v>
      </c>
      <c r="E108" s="167" t="s">
        <v>22</v>
      </c>
      <c r="F108" s="147" t="s">
        <v>606</v>
      </c>
      <c r="G108" s="170" t="s">
        <v>31</v>
      </c>
      <c r="H108" s="205" t="s">
        <v>40</v>
      </c>
      <c r="I108" s="211"/>
      <c r="J108" s="170"/>
      <c r="K108" s="165"/>
      <c r="L108" s="165"/>
      <c r="M108" s="165"/>
      <c r="N108" s="165"/>
      <c r="O108" s="165"/>
      <c r="P108" s="170"/>
      <c r="Q108" s="207"/>
    </row>
    <row r="109" spans="2:17" ht="50.1" customHeight="1" x14ac:dyDescent="0.25">
      <c r="B109" s="217" t="s">
        <v>240</v>
      </c>
      <c r="C109" s="218" t="s">
        <v>368</v>
      </c>
      <c r="D109" s="219" t="s">
        <v>514</v>
      </c>
      <c r="E109" s="218" t="s">
        <v>22</v>
      </c>
      <c r="F109" s="220" t="s">
        <v>607</v>
      </c>
      <c r="G109" s="221" t="s">
        <v>31</v>
      </c>
      <c r="H109" s="222" t="s">
        <v>40</v>
      </c>
      <c r="I109" s="223"/>
      <c r="J109" s="221"/>
      <c r="K109" s="224"/>
      <c r="L109" s="224"/>
      <c r="M109" s="224"/>
      <c r="N109" s="224"/>
      <c r="O109" s="224"/>
      <c r="P109" s="221"/>
      <c r="Q109" s="225"/>
    </row>
    <row r="110" spans="2:17" x14ac:dyDescent="0.25">
      <c r="H110" s="98">
        <f>COUNTIF(H4:H109,"=Indéterminé")</f>
        <v>106</v>
      </c>
    </row>
    <row r="113" spans="2:9" x14ac:dyDescent="0.25">
      <c r="F113" s="61"/>
    </row>
    <row r="114" spans="2:9" x14ac:dyDescent="0.25">
      <c r="F114" s="61"/>
    </row>
    <row r="115" spans="2:9" x14ac:dyDescent="0.25">
      <c r="F115" s="61"/>
    </row>
    <row r="116" spans="2:9" x14ac:dyDescent="0.25">
      <c r="F116" s="61"/>
    </row>
    <row r="117" spans="2:9" x14ac:dyDescent="0.25">
      <c r="F117" s="61"/>
    </row>
    <row r="118" spans="2:9" x14ac:dyDescent="0.25">
      <c r="F118" s="61"/>
    </row>
    <row r="119" spans="2:9" x14ac:dyDescent="0.25">
      <c r="F119" s="61"/>
    </row>
    <row r="120" spans="2:9" x14ac:dyDescent="0.25">
      <c r="F120" s="61"/>
    </row>
    <row r="121" spans="2:9" x14ac:dyDescent="0.25">
      <c r="F121" s="61"/>
    </row>
    <row r="122" spans="2:9" x14ac:dyDescent="0.25">
      <c r="F122" s="61"/>
    </row>
    <row r="123" spans="2:9" x14ac:dyDescent="0.25">
      <c r="F123" s="61"/>
    </row>
    <row r="124" spans="2:9" x14ac:dyDescent="0.25">
      <c r="B124" s="91"/>
      <c r="C124" s="91"/>
      <c r="D124" s="91"/>
      <c r="F124" s="61"/>
      <c r="G124" s="91"/>
      <c r="H124" s="91"/>
      <c r="I124" s="91"/>
    </row>
    <row r="125" spans="2:9" x14ac:dyDescent="0.25">
      <c r="B125" s="91"/>
      <c r="C125" s="91"/>
      <c r="D125" s="91"/>
      <c r="F125" s="61"/>
      <c r="G125" s="91"/>
      <c r="H125" s="91"/>
      <c r="I125" s="91"/>
    </row>
    <row r="126" spans="2:9" x14ac:dyDescent="0.25">
      <c r="B126" s="91"/>
      <c r="C126" s="91"/>
      <c r="D126" s="91"/>
      <c r="F126" s="61"/>
      <c r="G126" s="91"/>
      <c r="H126" s="91"/>
      <c r="I126" s="91"/>
    </row>
    <row r="127" spans="2:9" x14ac:dyDescent="0.25">
      <c r="B127" s="91"/>
      <c r="C127" s="91"/>
      <c r="D127" s="91"/>
      <c r="F127" s="61"/>
      <c r="G127" s="91"/>
      <c r="H127" s="91"/>
      <c r="I127" s="91"/>
    </row>
    <row r="128" spans="2:9" x14ac:dyDescent="0.25">
      <c r="B128" s="91"/>
      <c r="C128" s="91"/>
      <c r="D128" s="91"/>
      <c r="F128" s="61"/>
      <c r="G128" s="91"/>
      <c r="H128" s="91"/>
      <c r="I128" s="91"/>
    </row>
    <row r="129" spans="6:6" s="91" customFormat="1" x14ac:dyDescent="0.25">
      <c r="F129" s="61"/>
    </row>
    <row r="130" spans="6:6" s="91" customFormat="1" x14ac:dyDescent="0.25">
      <c r="F130" s="61"/>
    </row>
    <row r="131" spans="6:6" s="91" customFormat="1" x14ac:dyDescent="0.25">
      <c r="F131" s="61"/>
    </row>
    <row r="132" spans="6:6" s="91" customFormat="1" x14ac:dyDescent="0.25">
      <c r="F132" s="61"/>
    </row>
    <row r="133" spans="6:6" s="91" customFormat="1" x14ac:dyDescent="0.25">
      <c r="F133" s="61"/>
    </row>
    <row r="134" spans="6:6" s="91" customFormat="1" x14ac:dyDescent="0.25">
      <c r="F134" s="61"/>
    </row>
    <row r="135" spans="6:6" s="91" customFormat="1" x14ac:dyDescent="0.25">
      <c r="F135" s="61"/>
    </row>
    <row r="136" spans="6:6" s="91" customFormat="1" x14ac:dyDescent="0.25">
      <c r="F136" s="61"/>
    </row>
    <row r="137" spans="6:6" s="91" customFormat="1" x14ac:dyDescent="0.25">
      <c r="F137" s="61"/>
    </row>
    <row r="138" spans="6:6" s="91" customFormat="1" x14ac:dyDescent="0.25">
      <c r="F138" s="61"/>
    </row>
    <row r="139" spans="6:6" s="91" customFormat="1" x14ac:dyDescent="0.25">
      <c r="F139" s="61"/>
    </row>
    <row r="140" spans="6:6" s="91" customFormat="1" x14ac:dyDescent="0.25">
      <c r="F140" s="61"/>
    </row>
    <row r="141" spans="6:6" s="91" customFormat="1" x14ac:dyDescent="0.25">
      <c r="F141" s="61"/>
    </row>
    <row r="142" spans="6:6" s="91" customFormat="1" x14ac:dyDescent="0.25">
      <c r="F142" s="61"/>
    </row>
    <row r="143" spans="6:6" s="91" customFormat="1" x14ac:dyDescent="0.25">
      <c r="F143" s="61"/>
    </row>
    <row r="144" spans="6:6" s="91" customFormat="1" x14ac:dyDescent="0.25">
      <c r="F144" s="61"/>
    </row>
    <row r="145" spans="6:6" s="91" customFormat="1" x14ac:dyDescent="0.25">
      <c r="F145" s="61"/>
    </row>
    <row r="146" spans="6:6" s="91" customFormat="1" x14ac:dyDescent="0.25">
      <c r="F146" s="61"/>
    </row>
    <row r="147" spans="6:6" s="91" customFormat="1" x14ac:dyDescent="0.25">
      <c r="F147" s="61"/>
    </row>
    <row r="148" spans="6:6" s="91" customFormat="1" x14ac:dyDescent="0.25">
      <c r="F148" s="61"/>
    </row>
    <row r="149" spans="6:6" s="91" customFormat="1" x14ac:dyDescent="0.25">
      <c r="F149" s="61"/>
    </row>
    <row r="150" spans="6:6" s="91" customFormat="1" x14ac:dyDescent="0.25">
      <c r="F150" s="61"/>
    </row>
    <row r="151" spans="6:6" s="91" customFormat="1" x14ac:dyDescent="0.25">
      <c r="F151" s="61"/>
    </row>
    <row r="152" spans="6:6" s="91" customFormat="1" x14ac:dyDescent="0.25">
      <c r="F152" s="61"/>
    </row>
    <row r="153" spans="6:6" s="91" customFormat="1" x14ac:dyDescent="0.25">
      <c r="F153" s="61"/>
    </row>
    <row r="154" spans="6:6" s="91" customFormat="1" x14ac:dyDescent="0.25">
      <c r="F154" s="61"/>
    </row>
    <row r="155" spans="6:6" s="91" customFormat="1" x14ac:dyDescent="0.25">
      <c r="F155" s="61"/>
    </row>
    <row r="156" spans="6:6" s="91" customFormat="1" x14ac:dyDescent="0.25">
      <c r="F156" s="61"/>
    </row>
    <row r="157" spans="6:6" s="91" customFormat="1" x14ac:dyDescent="0.25">
      <c r="F157" s="61"/>
    </row>
    <row r="158" spans="6:6" s="91" customFormat="1" x14ac:dyDescent="0.25">
      <c r="F158" s="61"/>
    </row>
    <row r="159" spans="6:6" s="91" customFormat="1" x14ac:dyDescent="0.25">
      <c r="F159" s="61"/>
    </row>
    <row r="160" spans="6:6" s="91" customFormat="1" x14ac:dyDescent="0.25">
      <c r="F160" s="61"/>
    </row>
    <row r="161" spans="6:6" s="91" customFormat="1" x14ac:dyDescent="0.25">
      <c r="F161" s="61"/>
    </row>
    <row r="162" spans="6:6" s="91" customFormat="1" x14ac:dyDescent="0.25">
      <c r="F162" s="61"/>
    </row>
    <row r="163" spans="6:6" s="91" customFormat="1" x14ac:dyDescent="0.25">
      <c r="F163" s="61"/>
    </row>
    <row r="164" spans="6:6" s="91" customFormat="1" x14ac:dyDescent="0.25">
      <c r="F164" s="61"/>
    </row>
    <row r="165" spans="6:6" s="91" customFormat="1" x14ac:dyDescent="0.25">
      <c r="F165" s="61"/>
    </row>
    <row r="166" spans="6:6" s="91" customFormat="1" x14ac:dyDescent="0.25">
      <c r="F166" s="61"/>
    </row>
    <row r="167" spans="6:6" s="91" customFormat="1" x14ac:dyDescent="0.25">
      <c r="F167" s="61"/>
    </row>
    <row r="168" spans="6:6" s="91" customFormat="1" x14ac:dyDescent="0.25">
      <c r="F168" s="61"/>
    </row>
    <row r="169" spans="6:6" s="91" customFormat="1" x14ac:dyDescent="0.25">
      <c r="F169" s="61"/>
    </row>
    <row r="170" spans="6:6" s="91" customFormat="1" x14ac:dyDescent="0.25">
      <c r="F170" s="61"/>
    </row>
    <row r="171" spans="6:6" s="91" customFormat="1" x14ac:dyDescent="0.25">
      <c r="F171" s="61"/>
    </row>
    <row r="172" spans="6:6" s="91" customFormat="1" x14ac:dyDescent="0.25">
      <c r="F172" s="61"/>
    </row>
    <row r="173" spans="6:6" s="91" customFormat="1" x14ac:dyDescent="0.25">
      <c r="F173" s="61"/>
    </row>
    <row r="174" spans="6:6" s="91" customFormat="1" x14ac:dyDescent="0.25">
      <c r="F174" s="61"/>
    </row>
    <row r="175" spans="6:6" s="91" customFormat="1" x14ac:dyDescent="0.25">
      <c r="F175" s="61"/>
    </row>
    <row r="176" spans="6:6" s="91" customFormat="1" x14ac:dyDescent="0.25">
      <c r="F176" s="61"/>
    </row>
    <row r="177" spans="6:6" s="91" customFormat="1" x14ac:dyDescent="0.25">
      <c r="F177" s="61"/>
    </row>
    <row r="178" spans="6:6" s="91" customFormat="1" x14ac:dyDescent="0.25">
      <c r="F178" s="61"/>
    </row>
    <row r="179" spans="6:6" s="91" customFormat="1" x14ac:dyDescent="0.25">
      <c r="F179" s="61"/>
    </row>
    <row r="180" spans="6:6" s="91" customFormat="1" x14ac:dyDescent="0.25">
      <c r="F180" s="61"/>
    </row>
    <row r="181" spans="6:6" s="91" customFormat="1" x14ac:dyDescent="0.25">
      <c r="F181" s="61"/>
    </row>
    <row r="182" spans="6:6" s="91" customFormat="1" x14ac:dyDescent="0.25">
      <c r="F182" s="61"/>
    </row>
    <row r="183" spans="6:6" s="91" customFormat="1" x14ac:dyDescent="0.25">
      <c r="F183" s="61"/>
    </row>
    <row r="184" spans="6:6" s="91" customFormat="1" x14ac:dyDescent="0.25">
      <c r="F184" s="61"/>
    </row>
    <row r="185" spans="6:6" s="91" customFormat="1" x14ac:dyDescent="0.25">
      <c r="F185" s="61"/>
    </row>
    <row r="186" spans="6:6" s="91" customFormat="1" x14ac:dyDescent="0.25">
      <c r="F186" s="61"/>
    </row>
    <row r="187" spans="6:6" s="91" customFormat="1" x14ac:dyDescent="0.25">
      <c r="F187" s="61"/>
    </row>
    <row r="188" spans="6:6" s="91" customFormat="1" x14ac:dyDescent="0.25">
      <c r="F188" s="61"/>
    </row>
    <row r="189" spans="6:6" s="91" customFormat="1" x14ac:dyDescent="0.25">
      <c r="F189" s="61"/>
    </row>
    <row r="190" spans="6:6" s="91" customFormat="1" x14ac:dyDescent="0.25">
      <c r="F190" s="61"/>
    </row>
    <row r="191" spans="6:6" s="91" customFormat="1" x14ac:dyDescent="0.25">
      <c r="F191" s="61"/>
    </row>
    <row r="192" spans="6:6" s="91" customFormat="1" x14ac:dyDescent="0.25">
      <c r="F192" s="61"/>
    </row>
    <row r="193" spans="6:6" s="91" customFormat="1" x14ac:dyDescent="0.25">
      <c r="F193" s="61"/>
    </row>
    <row r="194" spans="6:6" s="91" customFormat="1" x14ac:dyDescent="0.25">
      <c r="F194" s="61"/>
    </row>
    <row r="195" spans="6:6" s="91" customFormat="1" x14ac:dyDescent="0.25">
      <c r="F195" s="61"/>
    </row>
    <row r="196" spans="6:6" s="91" customFormat="1" x14ac:dyDescent="0.25">
      <c r="F196" s="61"/>
    </row>
    <row r="197" spans="6:6" s="91" customFormat="1" x14ac:dyDescent="0.25">
      <c r="F197" s="61"/>
    </row>
    <row r="198" spans="6:6" s="91" customFormat="1" x14ac:dyDescent="0.25">
      <c r="F198" s="61"/>
    </row>
    <row r="199" spans="6:6" s="91" customFormat="1" x14ac:dyDescent="0.25">
      <c r="F199" s="61"/>
    </row>
    <row r="200" spans="6:6" s="91" customFormat="1" x14ac:dyDescent="0.25">
      <c r="F200" s="61"/>
    </row>
    <row r="201" spans="6:6" s="91" customFormat="1" x14ac:dyDescent="0.25">
      <c r="F201" s="61"/>
    </row>
    <row r="202" spans="6:6" s="91" customFormat="1" x14ac:dyDescent="0.25">
      <c r="F202" s="61"/>
    </row>
    <row r="203" spans="6:6" s="91" customFormat="1" x14ac:dyDescent="0.25">
      <c r="F203" s="61"/>
    </row>
    <row r="204" spans="6:6" s="91" customFormat="1" x14ac:dyDescent="0.25">
      <c r="F204" s="61"/>
    </row>
    <row r="205" spans="6:6" s="91" customFormat="1" x14ac:dyDescent="0.25">
      <c r="F205" s="61"/>
    </row>
    <row r="206" spans="6:6" s="91" customFormat="1" x14ac:dyDescent="0.25">
      <c r="F206" s="61"/>
    </row>
    <row r="207" spans="6:6" s="91" customFormat="1" x14ac:dyDescent="0.25">
      <c r="F207" s="61"/>
    </row>
    <row r="208" spans="6:6" s="91" customFormat="1" x14ac:dyDescent="0.25">
      <c r="F208" s="61"/>
    </row>
    <row r="209" spans="6:6" s="91" customFormat="1" x14ac:dyDescent="0.25">
      <c r="F209" s="61"/>
    </row>
    <row r="210" spans="6:6" s="91" customFormat="1" x14ac:dyDescent="0.25">
      <c r="F210" s="61"/>
    </row>
    <row r="211" spans="6:6" s="91" customFormat="1" x14ac:dyDescent="0.25">
      <c r="F211" s="61"/>
    </row>
    <row r="212" spans="6:6" s="91" customFormat="1" x14ac:dyDescent="0.25">
      <c r="F212" s="61"/>
    </row>
    <row r="213" spans="6:6" s="91" customFormat="1" x14ac:dyDescent="0.25">
      <c r="F213" s="61"/>
    </row>
    <row r="214" spans="6:6" s="91" customFormat="1" x14ac:dyDescent="0.25">
      <c r="F214" s="61"/>
    </row>
    <row r="215" spans="6:6" s="91" customFormat="1" x14ac:dyDescent="0.25">
      <c r="F215" s="61"/>
    </row>
    <row r="216" spans="6:6" s="91" customFormat="1" x14ac:dyDescent="0.25">
      <c r="F216" s="61"/>
    </row>
    <row r="217" spans="6:6" s="91" customFormat="1" x14ac:dyDescent="0.25">
      <c r="F217" s="61"/>
    </row>
    <row r="218" spans="6:6" s="91" customFormat="1" x14ac:dyDescent="0.25">
      <c r="F218" s="61"/>
    </row>
    <row r="219" spans="6:6" s="91" customFormat="1" x14ac:dyDescent="0.25">
      <c r="F219" s="61"/>
    </row>
    <row r="220" spans="6:6" s="91" customFormat="1" x14ac:dyDescent="0.25">
      <c r="F220" s="61"/>
    </row>
    <row r="221" spans="6:6" s="91" customFormat="1" x14ac:dyDescent="0.25">
      <c r="F221" s="61"/>
    </row>
    <row r="222" spans="6:6" s="91" customFormat="1" x14ac:dyDescent="0.25">
      <c r="F222" s="61"/>
    </row>
    <row r="223" spans="6:6" s="91" customFormat="1" x14ac:dyDescent="0.25">
      <c r="F223" s="61"/>
    </row>
    <row r="224" spans="6:6" s="91" customFormat="1" x14ac:dyDescent="0.25">
      <c r="F224" s="61"/>
    </row>
    <row r="225" spans="6:6" s="91" customFormat="1" x14ac:dyDescent="0.25">
      <c r="F225" s="61"/>
    </row>
    <row r="226" spans="6:6" s="91" customFormat="1" x14ac:dyDescent="0.25">
      <c r="F226" s="61"/>
    </row>
    <row r="227" spans="6:6" s="91" customFormat="1" x14ac:dyDescent="0.25">
      <c r="F227" s="61"/>
    </row>
    <row r="228" spans="6:6" s="91" customFormat="1" x14ac:dyDescent="0.25">
      <c r="F228" s="61"/>
    </row>
    <row r="229" spans="6:6" s="91" customFormat="1" x14ac:dyDescent="0.25">
      <c r="F229" s="61"/>
    </row>
    <row r="230" spans="6:6" s="91" customFormat="1" x14ac:dyDescent="0.25">
      <c r="F230" s="61"/>
    </row>
    <row r="231" spans="6:6" s="91" customFormat="1" x14ac:dyDescent="0.25">
      <c r="F231" s="61"/>
    </row>
    <row r="232" spans="6:6" s="91" customFormat="1" x14ac:dyDescent="0.25">
      <c r="F232" s="61"/>
    </row>
    <row r="233" spans="6:6" s="91" customFormat="1" x14ac:dyDescent="0.25">
      <c r="F233" s="61"/>
    </row>
    <row r="234" spans="6:6" s="91" customFormat="1" x14ac:dyDescent="0.25">
      <c r="F234" s="61"/>
    </row>
    <row r="235" spans="6:6" s="91" customFormat="1" x14ac:dyDescent="0.25">
      <c r="F235" s="61"/>
    </row>
    <row r="236" spans="6:6" s="91" customFormat="1" x14ac:dyDescent="0.25">
      <c r="F236" s="61"/>
    </row>
    <row r="237" spans="6:6" s="91" customFormat="1" x14ac:dyDescent="0.25">
      <c r="F237" s="61"/>
    </row>
    <row r="238" spans="6:6" s="91" customFormat="1" x14ac:dyDescent="0.25">
      <c r="F238" s="61"/>
    </row>
    <row r="239" spans="6:6" s="91" customFormat="1" x14ac:dyDescent="0.25">
      <c r="F239" s="61"/>
    </row>
    <row r="240" spans="6:6" s="91" customFormat="1" x14ac:dyDescent="0.25">
      <c r="F240" s="61"/>
    </row>
    <row r="241" spans="6:6" s="91" customFormat="1" x14ac:dyDescent="0.25">
      <c r="F241" s="61"/>
    </row>
    <row r="242" spans="6:6" s="91" customFormat="1" x14ac:dyDescent="0.25">
      <c r="F242" s="61"/>
    </row>
    <row r="243" spans="6:6" s="91" customFormat="1" x14ac:dyDescent="0.25">
      <c r="F243" s="61"/>
    </row>
    <row r="244" spans="6:6" s="91" customFormat="1" x14ac:dyDescent="0.25">
      <c r="F244" s="61"/>
    </row>
    <row r="245" spans="6:6" s="91" customFormat="1" x14ac:dyDescent="0.25">
      <c r="F245" s="61"/>
    </row>
    <row r="246" spans="6:6" s="91" customFormat="1" x14ac:dyDescent="0.25">
      <c r="F246" s="61"/>
    </row>
    <row r="247" spans="6:6" s="91" customFormat="1" x14ac:dyDescent="0.25">
      <c r="F247" s="61"/>
    </row>
    <row r="248" spans="6:6" s="91" customFormat="1" x14ac:dyDescent="0.25">
      <c r="F248" s="61"/>
    </row>
    <row r="249" spans="6:6" s="91" customFormat="1" x14ac:dyDescent="0.25">
      <c r="F249" s="61"/>
    </row>
    <row r="250" spans="6:6" s="91" customFormat="1" x14ac:dyDescent="0.25">
      <c r="F250" s="61"/>
    </row>
    <row r="251" spans="6:6" s="91" customFormat="1" x14ac:dyDescent="0.25">
      <c r="F251" s="61"/>
    </row>
    <row r="252" spans="6:6" s="91" customFormat="1" x14ac:dyDescent="0.25">
      <c r="F252" s="61"/>
    </row>
    <row r="253" spans="6:6" s="91" customFormat="1" x14ac:dyDescent="0.25">
      <c r="F253" s="61"/>
    </row>
    <row r="254" spans="6:6" s="91" customFormat="1" x14ac:dyDescent="0.25">
      <c r="F254" s="61"/>
    </row>
    <row r="255" spans="6:6" s="91" customFormat="1" x14ac:dyDescent="0.25">
      <c r="F255" s="61"/>
    </row>
    <row r="256" spans="6:6" s="91" customFormat="1" x14ac:dyDescent="0.25">
      <c r="F256" s="61"/>
    </row>
    <row r="257" spans="6:6" s="91" customFormat="1" x14ac:dyDescent="0.25">
      <c r="F257" s="61"/>
    </row>
    <row r="258" spans="6:6" s="91" customFormat="1" x14ac:dyDescent="0.25">
      <c r="F258" s="61"/>
    </row>
    <row r="259" spans="6:6" s="91" customFormat="1" x14ac:dyDescent="0.25">
      <c r="F259" s="61"/>
    </row>
    <row r="260" spans="6:6" s="91" customFormat="1" x14ac:dyDescent="0.25">
      <c r="F260" s="61"/>
    </row>
    <row r="261" spans="6:6" s="91" customFormat="1" x14ac:dyDescent="0.25">
      <c r="F261" s="61"/>
    </row>
    <row r="262" spans="6:6" s="91" customFormat="1" x14ac:dyDescent="0.25">
      <c r="F262" s="61"/>
    </row>
    <row r="263" spans="6:6" s="91" customFormat="1" x14ac:dyDescent="0.25">
      <c r="F263" s="61"/>
    </row>
    <row r="264" spans="6:6" s="91" customFormat="1" x14ac:dyDescent="0.25">
      <c r="F264" s="61"/>
    </row>
    <row r="265" spans="6:6" s="91" customFormat="1" x14ac:dyDescent="0.25">
      <c r="F265" s="61"/>
    </row>
    <row r="266" spans="6:6" s="91" customFormat="1" x14ac:dyDescent="0.25">
      <c r="F266" s="61"/>
    </row>
    <row r="267" spans="6:6" s="91" customFormat="1" x14ac:dyDescent="0.25">
      <c r="F267" s="61"/>
    </row>
    <row r="268" spans="6:6" s="91" customFormat="1" x14ac:dyDescent="0.25">
      <c r="F268" s="61"/>
    </row>
    <row r="269" spans="6:6" s="91" customFormat="1" x14ac:dyDescent="0.25">
      <c r="F269" s="61"/>
    </row>
    <row r="270" spans="6:6" s="91" customFormat="1" x14ac:dyDescent="0.25">
      <c r="F270" s="61"/>
    </row>
    <row r="271" spans="6:6" s="91" customFormat="1" x14ac:dyDescent="0.25">
      <c r="F271" s="61"/>
    </row>
    <row r="272" spans="6:6" s="91" customFormat="1" x14ac:dyDescent="0.25">
      <c r="F272" s="61"/>
    </row>
    <row r="273" spans="6:6" s="91" customFormat="1" x14ac:dyDescent="0.25">
      <c r="F273" s="61"/>
    </row>
    <row r="274" spans="6:6" s="91" customFormat="1" x14ac:dyDescent="0.25">
      <c r="F274" s="61"/>
    </row>
    <row r="275" spans="6:6" s="91" customFormat="1" x14ac:dyDescent="0.25">
      <c r="F275" s="61"/>
    </row>
    <row r="276" spans="6:6" s="91" customFormat="1" x14ac:dyDescent="0.25">
      <c r="F276" s="61"/>
    </row>
    <row r="277" spans="6:6" s="91" customFormat="1" x14ac:dyDescent="0.25">
      <c r="F277" s="61"/>
    </row>
    <row r="278" spans="6:6" s="91" customFormat="1" x14ac:dyDescent="0.25">
      <c r="F278" s="61"/>
    </row>
    <row r="279" spans="6:6" s="91" customFormat="1" x14ac:dyDescent="0.25">
      <c r="F279" s="61"/>
    </row>
    <row r="280" spans="6:6" s="91" customFormat="1" x14ac:dyDescent="0.25">
      <c r="F280" s="61"/>
    </row>
    <row r="281" spans="6:6" s="91" customFormat="1" x14ac:dyDescent="0.25">
      <c r="F281" s="61"/>
    </row>
    <row r="282" spans="6:6" s="91" customFormat="1" x14ac:dyDescent="0.25">
      <c r="F282" s="61"/>
    </row>
    <row r="283" spans="6:6" s="91" customFormat="1" x14ac:dyDescent="0.25">
      <c r="F283" s="61"/>
    </row>
    <row r="284" spans="6:6" s="91" customFormat="1" x14ac:dyDescent="0.25">
      <c r="F284" s="61"/>
    </row>
    <row r="285" spans="6:6" s="91" customFormat="1" x14ac:dyDescent="0.25">
      <c r="F285" s="61"/>
    </row>
    <row r="286" spans="6:6" s="91" customFormat="1" x14ac:dyDescent="0.25">
      <c r="F286" s="61"/>
    </row>
    <row r="287" spans="6:6" s="91" customFormat="1" x14ac:dyDescent="0.25">
      <c r="F287" s="61"/>
    </row>
    <row r="288" spans="6:6" s="91" customFormat="1" x14ac:dyDescent="0.25">
      <c r="F288" s="61"/>
    </row>
    <row r="289" spans="6:6" s="91" customFormat="1" x14ac:dyDescent="0.25">
      <c r="F289" s="61"/>
    </row>
    <row r="290" spans="6:6" s="91" customFormat="1" x14ac:dyDescent="0.25">
      <c r="F290" s="61"/>
    </row>
    <row r="291" spans="6:6" s="91" customFormat="1" x14ac:dyDescent="0.25">
      <c r="F291" s="61"/>
    </row>
    <row r="292" spans="6:6" s="91" customFormat="1" x14ac:dyDescent="0.25">
      <c r="F292" s="61"/>
    </row>
    <row r="293" spans="6:6" s="91" customFormat="1" x14ac:dyDescent="0.25">
      <c r="F293" s="61"/>
    </row>
    <row r="294" spans="6:6" s="91" customFormat="1" x14ac:dyDescent="0.25">
      <c r="F294" s="61"/>
    </row>
    <row r="295" spans="6:6" s="91" customFormat="1" x14ac:dyDescent="0.25">
      <c r="F295" s="61"/>
    </row>
    <row r="296" spans="6:6" s="91" customFormat="1" x14ac:dyDescent="0.25">
      <c r="F296" s="61"/>
    </row>
    <row r="297" spans="6:6" s="91" customFormat="1" x14ac:dyDescent="0.25">
      <c r="F297" s="61"/>
    </row>
    <row r="298" spans="6:6" s="91" customFormat="1" x14ac:dyDescent="0.25">
      <c r="F298" s="61"/>
    </row>
    <row r="299" spans="6:6" s="91" customFormat="1" x14ac:dyDescent="0.25">
      <c r="F299" s="61"/>
    </row>
    <row r="300" spans="6:6" s="91" customFormat="1" x14ac:dyDescent="0.25">
      <c r="F300" s="61"/>
    </row>
    <row r="301" spans="6:6" s="91" customFormat="1" x14ac:dyDescent="0.25">
      <c r="F301" s="61"/>
    </row>
    <row r="302" spans="6:6" s="91" customFormat="1" x14ac:dyDescent="0.25">
      <c r="F302" s="61"/>
    </row>
    <row r="303" spans="6:6" s="91" customFormat="1" x14ac:dyDescent="0.25">
      <c r="F303" s="61"/>
    </row>
    <row r="304" spans="6:6" s="91" customFormat="1" x14ac:dyDescent="0.25">
      <c r="F304" s="61"/>
    </row>
    <row r="305" spans="6:6" s="91" customFormat="1" x14ac:dyDescent="0.25">
      <c r="F305" s="61"/>
    </row>
    <row r="306" spans="6:6" s="91" customFormat="1" x14ac:dyDescent="0.25">
      <c r="F306" s="61"/>
    </row>
    <row r="307" spans="6:6" s="91" customFormat="1" x14ac:dyDescent="0.25">
      <c r="F307" s="61"/>
    </row>
    <row r="308" spans="6:6" s="91" customFormat="1" x14ac:dyDescent="0.25">
      <c r="F308" s="61"/>
    </row>
    <row r="309" spans="6:6" s="91" customFormat="1" x14ac:dyDescent="0.25">
      <c r="F309" s="61"/>
    </row>
    <row r="310" spans="6:6" s="91" customFormat="1" x14ac:dyDescent="0.25">
      <c r="F310" s="61"/>
    </row>
    <row r="311" spans="6:6" s="91" customFormat="1" x14ac:dyDescent="0.25">
      <c r="F311" s="61"/>
    </row>
    <row r="312" spans="6:6" s="91" customFormat="1" x14ac:dyDescent="0.25">
      <c r="F312" s="61"/>
    </row>
    <row r="313" spans="6:6" s="91" customFormat="1" x14ac:dyDescent="0.25">
      <c r="F313" s="61"/>
    </row>
    <row r="314" spans="6:6" s="91" customFormat="1" x14ac:dyDescent="0.25">
      <c r="F314" s="61"/>
    </row>
    <row r="315" spans="6:6" s="91" customFormat="1" x14ac:dyDescent="0.25">
      <c r="F315" s="61"/>
    </row>
    <row r="316" spans="6:6" s="91" customFormat="1" x14ac:dyDescent="0.25">
      <c r="F316" s="61"/>
    </row>
    <row r="317" spans="6:6" s="91" customFormat="1" x14ac:dyDescent="0.25">
      <c r="F317" s="61"/>
    </row>
    <row r="318" spans="6:6" s="91" customFormat="1" x14ac:dyDescent="0.25">
      <c r="F318" s="61"/>
    </row>
    <row r="319" spans="6:6" s="91" customFormat="1" x14ac:dyDescent="0.25">
      <c r="F319" s="61"/>
    </row>
    <row r="320" spans="6:6" s="91" customFormat="1" x14ac:dyDescent="0.25">
      <c r="F320" s="61"/>
    </row>
    <row r="321" spans="6:6" s="91" customFormat="1" x14ac:dyDescent="0.25">
      <c r="F321" s="61"/>
    </row>
    <row r="322" spans="6:6" s="91" customFormat="1" x14ac:dyDescent="0.25">
      <c r="F322" s="61"/>
    </row>
    <row r="323" spans="6:6" s="91" customFormat="1" x14ac:dyDescent="0.25">
      <c r="F323" s="61"/>
    </row>
    <row r="324" spans="6:6" s="91" customFormat="1" x14ac:dyDescent="0.25">
      <c r="F324" s="61"/>
    </row>
    <row r="325" spans="6:6" s="91" customFormat="1" x14ac:dyDescent="0.25">
      <c r="F325" s="61"/>
    </row>
    <row r="326" spans="6:6" s="91" customFormat="1" x14ac:dyDescent="0.25">
      <c r="F326" s="61"/>
    </row>
    <row r="327" spans="6:6" s="91" customFormat="1" x14ac:dyDescent="0.25">
      <c r="F327" s="61"/>
    </row>
    <row r="328" spans="6:6" s="91" customFormat="1" x14ac:dyDescent="0.25">
      <c r="F328" s="61"/>
    </row>
    <row r="329" spans="6:6" s="91" customFormat="1" x14ac:dyDescent="0.25">
      <c r="F329" s="61"/>
    </row>
    <row r="330" spans="6:6" s="91" customFormat="1" x14ac:dyDescent="0.25">
      <c r="F330" s="61"/>
    </row>
    <row r="331" spans="6:6" s="91" customFormat="1" x14ac:dyDescent="0.25">
      <c r="F331" s="61"/>
    </row>
    <row r="332" spans="6:6" s="91" customFormat="1" x14ac:dyDescent="0.25">
      <c r="F332" s="61"/>
    </row>
    <row r="333" spans="6:6" s="91" customFormat="1" x14ac:dyDescent="0.25">
      <c r="F333" s="61"/>
    </row>
    <row r="334" spans="6:6" s="91" customFormat="1" x14ac:dyDescent="0.25">
      <c r="F334" s="61"/>
    </row>
    <row r="335" spans="6:6" s="91" customFormat="1" x14ac:dyDescent="0.25">
      <c r="F335" s="61"/>
    </row>
    <row r="336" spans="6:6" s="91" customFormat="1" x14ac:dyDescent="0.25">
      <c r="F336" s="61"/>
    </row>
    <row r="337" spans="6:6" s="91" customFormat="1" x14ac:dyDescent="0.25">
      <c r="F337" s="61"/>
    </row>
    <row r="338" spans="6:6" s="91" customFormat="1" x14ac:dyDescent="0.25">
      <c r="F338" s="61"/>
    </row>
    <row r="339" spans="6:6" s="91" customFormat="1" x14ac:dyDescent="0.25">
      <c r="F339" s="61"/>
    </row>
    <row r="340" spans="6:6" s="91" customFormat="1" x14ac:dyDescent="0.25">
      <c r="F340" s="61"/>
    </row>
    <row r="341" spans="6:6" s="91" customFormat="1" x14ac:dyDescent="0.25">
      <c r="F341" s="61"/>
    </row>
    <row r="342" spans="6:6" s="91" customFormat="1" x14ac:dyDescent="0.25">
      <c r="F342" s="61"/>
    </row>
    <row r="343" spans="6:6" s="91" customFormat="1" x14ac:dyDescent="0.25">
      <c r="F343" s="61"/>
    </row>
    <row r="344" spans="6:6" s="91" customFormat="1" x14ac:dyDescent="0.25">
      <c r="F344" s="61"/>
    </row>
    <row r="345" spans="6:6" s="91" customFormat="1" x14ac:dyDescent="0.25">
      <c r="F345" s="61"/>
    </row>
    <row r="346" spans="6:6" s="91" customFormat="1" x14ac:dyDescent="0.25">
      <c r="F346" s="61"/>
    </row>
    <row r="347" spans="6:6" s="91" customFormat="1" x14ac:dyDescent="0.25">
      <c r="F347" s="61"/>
    </row>
    <row r="348" spans="6:6" s="91" customFormat="1" x14ac:dyDescent="0.25">
      <c r="F348" s="61"/>
    </row>
    <row r="349" spans="6:6" s="91" customFormat="1" x14ac:dyDescent="0.25">
      <c r="F349" s="61"/>
    </row>
    <row r="350" spans="6:6" s="91" customFormat="1" x14ac:dyDescent="0.25">
      <c r="F350" s="61"/>
    </row>
    <row r="351" spans="6:6" s="91" customFormat="1" x14ac:dyDescent="0.25">
      <c r="F351" s="61"/>
    </row>
    <row r="352" spans="6:6" s="91" customFormat="1" x14ac:dyDescent="0.25">
      <c r="F352" s="61"/>
    </row>
    <row r="353" spans="6:6" s="91" customFormat="1" x14ac:dyDescent="0.25">
      <c r="F353" s="61"/>
    </row>
    <row r="354" spans="6:6" s="91" customFormat="1" x14ac:dyDescent="0.25">
      <c r="F354" s="61"/>
    </row>
    <row r="355" spans="6:6" s="91" customFormat="1" x14ac:dyDescent="0.25">
      <c r="F355" s="61"/>
    </row>
    <row r="356" spans="6:6" s="91" customFormat="1" x14ac:dyDescent="0.25">
      <c r="F356" s="61"/>
    </row>
    <row r="357" spans="6:6" s="91" customFormat="1" x14ac:dyDescent="0.25">
      <c r="F357" s="61"/>
    </row>
    <row r="358" spans="6:6" s="91" customFormat="1" x14ac:dyDescent="0.25">
      <c r="F358" s="61"/>
    </row>
    <row r="359" spans="6:6" s="91" customFormat="1" x14ac:dyDescent="0.25">
      <c r="F359" s="61"/>
    </row>
    <row r="360" spans="6:6" s="91" customFormat="1" x14ac:dyDescent="0.25">
      <c r="F360" s="61"/>
    </row>
    <row r="361" spans="6:6" s="91" customFormat="1" x14ac:dyDescent="0.25">
      <c r="F361" s="61"/>
    </row>
    <row r="362" spans="6:6" s="91" customFormat="1" x14ac:dyDescent="0.25">
      <c r="F362" s="61"/>
    </row>
    <row r="363" spans="6:6" s="91" customFormat="1" x14ac:dyDescent="0.25">
      <c r="F363" s="61"/>
    </row>
    <row r="364" spans="6:6" s="91" customFormat="1" x14ac:dyDescent="0.25">
      <c r="F364" s="61"/>
    </row>
    <row r="365" spans="6:6" s="91" customFormat="1" x14ac:dyDescent="0.25">
      <c r="F365" s="61"/>
    </row>
    <row r="366" spans="6:6" s="91" customFormat="1" x14ac:dyDescent="0.25">
      <c r="F366" s="61"/>
    </row>
    <row r="367" spans="6:6" s="91" customFormat="1" x14ac:dyDescent="0.25">
      <c r="F367" s="61"/>
    </row>
    <row r="368" spans="6:6" s="91" customFormat="1" x14ac:dyDescent="0.25">
      <c r="F368" s="61"/>
    </row>
    <row r="369" spans="6:6" s="91" customFormat="1" x14ac:dyDescent="0.25">
      <c r="F369" s="61"/>
    </row>
    <row r="370" spans="6:6" s="91" customFormat="1" x14ac:dyDescent="0.25">
      <c r="F370" s="61"/>
    </row>
    <row r="371" spans="6:6" s="91" customFormat="1" x14ac:dyDescent="0.25">
      <c r="F371" s="61"/>
    </row>
    <row r="372" spans="6:6" s="91" customFormat="1" x14ac:dyDescent="0.25">
      <c r="F372" s="61"/>
    </row>
    <row r="373" spans="6:6" s="91" customFormat="1" x14ac:dyDescent="0.25">
      <c r="F373" s="61"/>
    </row>
    <row r="374" spans="6:6" s="91" customFormat="1" x14ac:dyDescent="0.25">
      <c r="F374" s="61"/>
    </row>
    <row r="375" spans="6:6" s="91" customFormat="1" x14ac:dyDescent="0.25">
      <c r="F375" s="61"/>
    </row>
    <row r="376" spans="6:6" s="91" customFormat="1" x14ac:dyDescent="0.25">
      <c r="F376" s="61"/>
    </row>
    <row r="377" spans="6:6" s="91" customFormat="1" x14ac:dyDescent="0.25">
      <c r="F377" s="61"/>
    </row>
    <row r="378" spans="6:6" s="91" customFormat="1" x14ac:dyDescent="0.25">
      <c r="F378" s="61"/>
    </row>
    <row r="379" spans="6:6" s="91" customFormat="1" x14ac:dyDescent="0.25">
      <c r="F379" s="61"/>
    </row>
    <row r="380" spans="6:6" s="91" customFormat="1" x14ac:dyDescent="0.25">
      <c r="F380" s="61"/>
    </row>
    <row r="381" spans="6:6" s="91" customFormat="1" x14ac:dyDescent="0.25">
      <c r="F381" s="61"/>
    </row>
    <row r="382" spans="6:6" s="91" customFormat="1" x14ac:dyDescent="0.25">
      <c r="F382" s="61"/>
    </row>
    <row r="383" spans="6:6" s="91" customFormat="1" x14ac:dyDescent="0.25">
      <c r="F383" s="61"/>
    </row>
    <row r="384" spans="6:6" s="91" customFormat="1" x14ac:dyDescent="0.25">
      <c r="F384" s="61"/>
    </row>
    <row r="385" spans="6:6" s="91" customFormat="1" x14ac:dyDescent="0.25">
      <c r="F385" s="61"/>
    </row>
    <row r="386" spans="6:6" s="91" customFormat="1" x14ac:dyDescent="0.25">
      <c r="F386" s="61"/>
    </row>
    <row r="387" spans="6:6" s="91" customFormat="1" x14ac:dyDescent="0.25">
      <c r="F387" s="61"/>
    </row>
    <row r="388" spans="6:6" s="91" customFormat="1" x14ac:dyDescent="0.25">
      <c r="F388" s="61"/>
    </row>
    <row r="389" spans="6:6" s="91" customFormat="1" x14ac:dyDescent="0.25">
      <c r="F389" s="61"/>
    </row>
    <row r="390" spans="6:6" s="91" customFormat="1" x14ac:dyDescent="0.25">
      <c r="F390" s="61"/>
    </row>
    <row r="391" spans="6:6" s="91" customFormat="1" x14ac:dyDescent="0.25">
      <c r="F391" s="61"/>
    </row>
    <row r="392" spans="6:6" s="91" customFormat="1" x14ac:dyDescent="0.25">
      <c r="F392" s="61"/>
    </row>
    <row r="393" spans="6:6" s="91" customFormat="1" x14ac:dyDescent="0.25">
      <c r="F393" s="61"/>
    </row>
    <row r="394" spans="6:6" s="91" customFormat="1" x14ac:dyDescent="0.25">
      <c r="F394" s="61"/>
    </row>
    <row r="395" spans="6:6" s="91" customFormat="1" x14ac:dyDescent="0.25">
      <c r="F395" s="61"/>
    </row>
    <row r="396" spans="6:6" s="91" customFormat="1" x14ac:dyDescent="0.25">
      <c r="F396" s="61"/>
    </row>
    <row r="397" spans="6:6" s="91" customFormat="1" x14ac:dyDescent="0.25">
      <c r="F397" s="61"/>
    </row>
    <row r="398" spans="6:6" s="91" customFormat="1" x14ac:dyDescent="0.25">
      <c r="F398" s="61"/>
    </row>
    <row r="399" spans="6:6" s="91" customFormat="1" x14ac:dyDescent="0.25">
      <c r="F399" s="61"/>
    </row>
    <row r="400" spans="6:6" s="91" customFormat="1" x14ac:dyDescent="0.25">
      <c r="F400" s="61"/>
    </row>
    <row r="401" spans="6:6" s="91" customFormat="1" x14ac:dyDescent="0.25">
      <c r="F401" s="61"/>
    </row>
    <row r="402" spans="6:6" s="91" customFormat="1" x14ac:dyDescent="0.25">
      <c r="F402" s="61"/>
    </row>
    <row r="403" spans="6:6" s="91" customFormat="1" x14ac:dyDescent="0.25">
      <c r="F403" s="61"/>
    </row>
    <row r="404" spans="6:6" s="91" customFormat="1" x14ac:dyDescent="0.25">
      <c r="F404" s="61"/>
    </row>
    <row r="405" spans="6:6" s="91" customFormat="1" x14ac:dyDescent="0.25">
      <c r="F405" s="61"/>
    </row>
    <row r="406" spans="6:6" s="91" customFormat="1" x14ac:dyDescent="0.25">
      <c r="F406" s="61"/>
    </row>
    <row r="407" spans="6:6" s="91" customFormat="1" x14ac:dyDescent="0.25">
      <c r="F407" s="61"/>
    </row>
    <row r="408" spans="6:6" s="91" customFormat="1" x14ac:dyDescent="0.25">
      <c r="F408" s="61"/>
    </row>
    <row r="409" spans="6:6" s="91" customFormat="1" x14ac:dyDescent="0.25">
      <c r="F409" s="61"/>
    </row>
    <row r="410" spans="6:6" s="91" customFormat="1" x14ac:dyDescent="0.25">
      <c r="F410" s="61"/>
    </row>
    <row r="411" spans="6:6" s="91" customFormat="1" x14ac:dyDescent="0.25">
      <c r="F411" s="61"/>
    </row>
    <row r="412" spans="6:6" s="91" customFormat="1" x14ac:dyDescent="0.25">
      <c r="F412" s="61"/>
    </row>
    <row r="413" spans="6:6" s="91" customFormat="1" x14ac:dyDescent="0.25">
      <c r="F413" s="61"/>
    </row>
    <row r="414" spans="6:6" s="91" customFormat="1" x14ac:dyDescent="0.25">
      <c r="F414" s="61"/>
    </row>
    <row r="415" spans="6:6" s="91" customFormat="1" x14ac:dyDescent="0.25">
      <c r="F415" s="61"/>
    </row>
    <row r="416" spans="6:6" s="91" customFormat="1" x14ac:dyDescent="0.25">
      <c r="F416" s="61"/>
    </row>
    <row r="417" spans="6:6" s="91" customFormat="1" x14ac:dyDescent="0.25">
      <c r="F417" s="61"/>
    </row>
    <row r="418" spans="6:6" s="91" customFormat="1" x14ac:dyDescent="0.25">
      <c r="F418" s="61"/>
    </row>
    <row r="419" spans="6:6" s="91" customFormat="1" x14ac:dyDescent="0.25">
      <c r="F419" s="61"/>
    </row>
    <row r="420" spans="6:6" s="91" customFormat="1" x14ac:dyDescent="0.25">
      <c r="F420" s="61"/>
    </row>
    <row r="421" spans="6:6" s="91" customFormat="1" x14ac:dyDescent="0.25">
      <c r="F421" s="61"/>
    </row>
    <row r="422" spans="6:6" s="91" customFormat="1" x14ac:dyDescent="0.25">
      <c r="F422" s="61"/>
    </row>
    <row r="423" spans="6:6" s="91" customFormat="1" x14ac:dyDescent="0.25">
      <c r="F423" s="61"/>
    </row>
    <row r="424" spans="6:6" s="91" customFormat="1" x14ac:dyDescent="0.25">
      <c r="F424" s="61"/>
    </row>
    <row r="425" spans="6:6" s="91" customFormat="1" x14ac:dyDescent="0.25">
      <c r="F425" s="61"/>
    </row>
    <row r="426" spans="6:6" s="91" customFormat="1" x14ac:dyDescent="0.25">
      <c r="F426" s="61"/>
    </row>
    <row r="427" spans="6:6" s="91" customFormat="1" x14ac:dyDescent="0.25">
      <c r="F427" s="61"/>
    </row>
    <row r="428" spans="6:6" s="91" customFormat="1" x14ac:dyDescent="0.25">
      <c r="F428" s="61"/>
    </row>
    <row r="429" spans="6:6" s="91" customFormat="1" x14ac:dyDescent="0.25">
      <c r="F429" s="61"/>
    </row>
    <row r="430" spans="6:6" s="91" customFormat="1" x14ac:dyDescent="0.25">
      <c r="F430" s="61"/>
    </row>
    <row r="431" spans="6:6" s="91" customFormat="1" x14ac:dyDescent="0.25">
      <c r="F431" s="61"/>
    </row>
    <row r="432" spans="6:6" s="91" customFormat="1" x14ac:dyDescent="0.25">
      <c r="F432" s="61"/>
    </row>
    <row r="433" spans="6:6" s="91" customFormat="1" x14ac:dyDescent="0.25">
      <c r="F433" s="61"/>
    </row>
    <row r="434" spans="6:6" s="91" customFormat="1" x14ac:dyDescent="0.25">
      <c r="F434" s="61"/>
    </row>
    <row r="435" spans="6:6" s="91" customFormat="1" x14ac:dyDescent="0.25">
      <c r="F435" s="61"/>
    </row>
    <row r="436" spans="6:6" s="91" customFormat="1" x14ac:dyDescent="0.25">
      <c r="F436" s="61"/>
    </row>
    <row r="437" spans="6:6" s="91" customFormat="1" x14ac:dyDescent="0.25">
      <c r="F437" s="61"/>
    </row>
    <row r="438" spans="6:6" s="91" customFormat="1" x14ac:dyDescent="0.25">
      <c r="F438" s="61"/>
    </row>
    <row r="439" spans="6:6" s="91" customFormat="1" x14ac:dyDescent="0.25">
      <c r="F439" s="61"/>
    </row>
    <row r="440" spans="6:6" s="91" customFormat="1" x14ac:dyDescent="0.25">
      <c r="F440" s="61"/>
    </row>
    <row r="441" spans="6:6" s="91" customFormat="1" x14ac:dyDescent="0.25">
      <c r="F441" s="61"/>
    </row>
    <row r="442" spans="6:6" s="91" customFormat="1" x14ac:dyDescent="0.25">
      <c r="F442" s="61"/>
    </row>
    <row r="443" spans="6:6" s="91" customFormat="1" x14ac:dyDescent="0.25">
      <c r="F443" s="61"/>
    </row>
    <row r="444" spans="6:6" s="91" customFormat="1" x14ac:dyDescent="0.25">
      <c r="F444" s="61"/>
    </row>
    <row r="445" spans="6:6" s="91" customFormat="1" x14ac:dyDescent="0.25">
      <c r="F445" s="61"/>
    </row>
    <row r="446" spans="6:6" s="91" customFormat="1" x14ac:dyDescent="0.25">
      <c r="F446" s="61"/>
    </row>
    <row r="447" spans="6:6" s="91" customFormat="1" x14ac:dyDescent="0.25">
      <c r="F447" s="61"/>
    </row>
    <row r="448" spans="6:6" s="91" customFormat="1" x14ac:dyDescent="0.25">
      <c r="F448" s="61"/>
    </row>
    <row r="449" spans="6:6" s="91" customFormat="1" x14ac:dyDescent="0.25">
      <c r="F449" s="61"/>
    </row>
    <row r="450" spans="6:6" s="91" customFormat="1" x14ac:dyDescent="0.25">
      <c r="F450" s="61"/>
    </row>
    <row r="451" spans="6:6" s="91" customFormat="1" x14ac:dyDescent="0.25">
      <c r="F451" s="61"/>
    </row>
    <row r="452" spans="6:6" s="91" customFormat="1" x14ac:dyDescent="0.25">
      <c r="F452" s="61"/>
    </row>
    <row r="453" spans="6:6" s="91" customFormat="1" x14ac:dyDescent="0.25">
      <c r="F453" s="61"/>
    </row>
    <row r="454" spans="6:6" s="91" customFormat="1" x14ac:dyDescent="0.25">
      <c r="F454" s="61"/>
    </row>
    <row r="455" spans="6:6" s="91" customFormat="1" x14ac:dyDescent="0.25">
      <c r="F455" s="61"/>
    </row>
    <row r="456" spans="6:6" s="91" customFormat="1" x14ac:dyDescent="0.25">
      <c r="F456" s="61"/>
    </row>
    <row r="457" spans="6:6" s="91" customFormat="1" x14ac:dyDescent="0.25">
      <c r="F457" s="61"/>
    </row>
    <row r="458" spans="6:6" s="91" customFormat="1" x14ac:dyDescent="0.25">
      <c r="F458" s="61"/>
    </row>
    <row r="459" spans="6:6" s="91" customFormat="1" x14ac:dyDescent="0.25">
      <c r="F459" s="61"/>
    </row>
    <row r="460" spans="6:6" s="91" customFormat="1" x14ac:dyDescent="0.25">
      <c r="F460" s="61"/>
    </row>
    <row r="461" spans="6:6" s="91" customFormat="1" x14ac:dyDescent="0.25">
      <c r="F461" s="61"/>
    </row>
    <row r="462" spans="6:6" s="91" customFormat="1" x14ac:dyDescent="0.25">
      <c r="F462" s="61"/>
    </row>
    <row r="463" spans="6:6" s="91" customFormat="1" x14ac:dyDescent="0.25">
      <c r="F463" s="61"/>
    </row>
    <row r="464" spans="6:6" s="91" customFormat="1" x14ac:dyDescent="0.25">
      <c r="F464" s="61"/>
    </row>
    <row r="465" spans="6:6" s="91" customFormat="1" x14ac:dyDescent="0.25">
      <c r="F465" s="61"/>
    </row>
    <row r="466" spans="6:6" s="91" customFormat="1" x14ac:dyDescent="0.25">
      <c r="F466" s="61"/>
    </row>
    <row r="467" spans="6:6" s="91" customFormat="1" x14ac:dyDescent="0.25">
      <c r="F467" s="61"/>
    </row>
    <row r="468" spans="6:6" s="91" customFormat="1" x14ac:dyDescent="0.25">
      <c r="F468" s="61"/>
    </row>
    <row r="469" spans="6:6" s="91" customFormat="1" x14ac:dyDescent="0.25">
      <c r="F469" s="61"/>
    </row>
    <row r="470" spans="6:6" s="91" customFormat="1" x14ac:dyDescent="0.25">
      <c r="F470" s="61"/>
    </row>
    <row r="471" spans="6:6" s="91" customFormat="1" x14ac:dyDescent="0.25">
      <c r="F471" s="61"/>
    </row>
    <row r="472" spans="6:6" s="91" customFormat="1" x14ac:dyDescent="0.25">
      <c r="F472" s="61"/>
    </row>
    <row r="473" spans="6:6" s="91" customFormat="1" x14ac:dyDescent="0.25">
      <c r="F473" s="61"/>
    </row>
    <row r="474" spans="6:6" s="91" customFormat="1" x14ac:dyDescent="0.25">
      <c r="F474" s="61"/>
    </row>
    <row r="475" spans="6:6" s="91" customFormat="1" x14ac:dyDescent="0.25">
      <c r="F475" s="61"/>
    </row>
    <row r="476" spans="6:6" s="91" customFormat="1" x14ac:dyDescent="0.25">
      <c r="F476" s="61"/>
    </row>
    <row r="477" spans="6:6" s="91" customFormat="1" x14ac:dyDescent="0.25">
      <c r="F477" s="61"/>
    </row>
    <row r="478" spans="6:6" s="91" customFormat="1" x14ac:dyDescent="0.25">
      <c r="F478" s="61"/>
    </row>
    <row r="479" spans="6:6" s="91" customFormat="1" x14ac:dyDescent="0.25">
      <c r="F479" s="61"/>
    </row>
    <row r="480" spans="6:6" s="91" customFormat="1" x14ac:dyDescent="0.25">
      <c r="F480" s="61"/>
    </row>
    <row r="481" spans="6:6" s="91" customFormat="1" x14ac:dyDescent="0.25">
      <c r="F481" s="61"/>
    </row>
    <row r="482" spans="6:6" s="91" customFormat="1" x14ac:dyDescent="0.25">
      <c r="F482" s="61"/>
    </row>
    <row r="483" spans="6:6" s="91" customFormat="1" x14ac:dyDescent="0.25">
      <c r="F483" s="61"/>
    </row>
    <row r="484" spans="6:6" s="91" customFormat="1" x14ac:dyDescent="0.25">
      <c r="F484" s="61"/>
    </row>
    <row r="485" spans="6:6" s="91" customFormat="1" x14ac:dyDescent="0.25">
      <c r="F485" s="61"/>
    </row>
    <row r="486" spans="6:6" s="91" customFormat="1" x14ac:dyDescent="0.25">
      <c r="F486" s="61"/>
    </row>
    <row r="487" spans="6:6" s="91" customFormat="1" x14ac:dyDescent="0.25">
      <c r="F487" s="61"/>
    </row>
    <row r="488" spans="6:6" s="91" customFormat="1" x14ac:dyDescent="0.25">
      <c r="F488" s="61"/>
    </row>
    <row r="489" spans="6:6" s="91" customFormat="1" x14ac:dyDescent="0.25">
      <c r="F489" s="61"/>
    </row>
    <row r="490" spans="6:6" s="91" customFormat="1" x14ac:dyDescent="0.25">
      <c r="F490" s="61"/>
    </row>
    <row r="491" spans="6:6" s="91" customFormat="1" x14ac:dyDescent="0.25">
      <c r="F491" s="61"/>
    </row>
    <row r="492" spans="6:6" s="91" customFormat="1" x14ac:dyDescent="0.25">
      <c r="F492" s="61"/>
    </row>
    <row r="493" spans="6:6" s="91" customFormat="1" x14ac:dyDescent="0.25">
      <c r="F493" s="61"/>
    </row>
    <row r="494" spans="6:6" s="91" customFormat="1" x14ac:dyDescent="0.25">
      <c r="F494" s="61"/>
    </row>
    <row r="495" spans="6:6" s="91" customFormat="1" x14ac:dyDescent="0.25">
      <c r="F495" s="61"/>
    </row>
    <row r="496" spans="6:6" s="91" customFormat="1" x14ac:dyDescent="0.25">
      <c r="F496" s="61"/>
    </row>
    <row r="497" spans="6:6" s="91" customFormat="1" x14ac:dyDescent="0.25">
      <c r="F497" s="61"/>
    </row>
    <row r="498" spans="6:6" s="91" customFormat="1" x14ac:dyDescent="0.25">
      <c r="F498" s="61"/>
    </row>
    <row r="499" spans="6:6" s="91" customFormat="1" x14ac:dyDescent="0.25">
      <c r="F499" s="61"/>
    </row>
    <row r="500" spans="6:6" s="91" customFormat="1" x14ac:dyDescent="0.25">
      <c r="F500" s="61"/>
    </row>
    <row r="501" spans="6:6" s="91" customFormat="1" x14ac:dyDescent="0.25">
      <c r="F501" s="61"/>
    </row>
    <row r="502" spans="6:6" s="91" customFormat="1" x14ac:dyDescent="0.25">
      <c r="F502" s="61"/>
    </row>
    <row r="503" spans="6:6" s="91" customFormat="1" x14ac:dyDescent="0.25">
      <c r="F503" s="61"/>
    </row>
    <row r="504" spans="6:6" s="91" customFormat="1" x14ac:dyDescent="0.25">
      <c r="F504" s="61"/>
    </row>
    <row r="505" spans="6:6" s="91" customFormat="1" x14ac:dyDescent="0.25">
      <c r="F505" s="61"/>
    </row>
    <row r="506" spans="6:6" s="91" customFormat="1" x14ac:dyDescent="0.25">
      <c r="F506" s="61"/>
    </row>
    <row r="507" spans="6:6" s="91" customFormat="1" x14ac:dyDescent="0.25">
      <c r="F507" s="61"/>
    </row>
    <row r="508" spans="6:6" s="91" customFormat="1" x14ac:dyDescent="0.25">
      <c r="F508" s="61"/>
    </row>
    <row r="509" spans="6:6" s="91" customFormat="1" x14ac:dyDescent="0.25">
      <c r="F509" s="61"/>
    </row>
    <row r="510" spans="6:6" s="91" customFormat="1" x14ac:dyDescent="0.25">
      <c r="F510" s="61"/>
    </row>
    <row r="511" spans="6:6" s="91" customFormat="1" x14ac:dyDescent="0.25">
      <c r="F511" s="61"/>
    </row>
    <row r="512" spans="6:6" s="91" customFormat="1" x14ac:dyDescent="0.25">
      <c r="F512" s="61"/>
    </row>
    <row r="513" spans="6:6" s="91" customFormat="1" x14ac:dyDescent="0.25">
      <c r="F513" s="61"/>
    </row>
    <row r="514" spans="6:6" s="91" customFormat="1" x14ac:dyDescent="0.25">
      <c r="F514" s="61"/>
    </row>
    <row r="515" spans="6:6" s="91" customFormat="1" x14ac:dyDescent="0.25">
      <c r="F515" s="61"/>
    </row>
    <row r="516" spans="6:6" s="91" customFormat="1" x14ac:dyDescent="0.25">
      <c r="F516" s="61"/>
    </row>
    <row r="517" spans="6:6" s="91" customFormat="1" x14ac:dyDescent="0.25">
      <c r="F517" s="61"/>
    </row>
    <row r="518" spans="6:6" s="91" customFormat="1" x14ac:dyDescent="0.25">
      <c r="F518" s="61"/>
    </row>
    <row r="519" spans="6:6" s="91" customFormat="1" x14ac:dyDescent="0.25">
      <c r="F519" s="61"/>
    </row>
    <row r="520" spans="6:6" s="91" customFormat="1" x14ac:dyDescent="0.25">
      <c r="F520" s="61"/>
    </row>
    <row r="521" spans="6:6" s="91" customFormat="1" x14ac:dyDescent="0.25">
      <c r="F521" s="61"/>
    </row>
    <row r="522" spans="6:6" s="91" customFormat="1" x14ac:dyDescent="0.25">
      <c r="F522" s="61"/>
    </row>
    <row r="523" spans="6:6" s="91" customFormat="1" x14ac:dyDescent="0.25">
      <c r="F523" s="61"/>
    </row>
    <row r="524" spans="6:6" s="91" customFormat="1" x14ac:dyDescent="0.25">
      <c r="F524" s="61"/>
    </row>
    <row r="525" spans="6:6" s="91" customFormat="1" x14ac:dyDescent="0.25">
      <c r="F525" s="61"/>
    </row>
    <row r="526" spans="6:6" s="91" customFormat="1" x14ac:dyDescent="0.25">
      <c r="F526" s="61"/>
    </row>
    <row r="527" spans="6:6" s="91" customFormat="1" x14ac:dyDescent="0.25">
      <c r="F527" s="61"/>
    </row>
    <row r="528" spans="6:6" s="91" customFormat="1" x14ac:dyDescent="0.25">
      <c r="F528" s="61"/>
    </row>
    <row r="529" spans="6:6" s="91" customFormat="1" x14ac:dyDescent="0.25">
      <c r="F529" s="61"/>
    </row>
    <row r="530" spans="6:6" s="91" customFormat="1" x14ac:dyDescent="0.25">
      <c r="F530" s="61"/>
    </row>
    <row r="531" spans="6:6" s="91" customFormat="1" x14ac:dyDescent="0.25">
      <c r="F531" s="61"/>
    </row>
    <row r="532" spans="6:6" s="91" customFormat="1" x14ac:dyDescent="0.25">
      <c r="F532" s="61"/>
    </row>
    <row r="533" spans="6:6" s="91" customFormat="1" x14ac:dyDescent="0.25">
      <c r="F533" s="61"/>
    </row>
    <row r="534" spans="6:6" s="91" customFormat="1" x14ac:dyDescent="0.25">
      <c r="F534" s="61"/>
    </row>
    <row r="535" spans="6:6" s="91" customFormat="1" x14ac:dyDescent="0.25">
      <c r="F535" s="61"/>
    </row>
    <row r="536" spans="6:6" s="91" customFormat="1" x14ac:dyDescent="0.25">
      <c r="F536" s="61"/>
    </row>
    <row r="537" spans="6:6" s="91" customFormat="1" x14ac:dyDescent="0.25">
      <c r="F537" s="61"/>
    </row>
    <row r="538" spans="6:6" s="91" customFormat="1" x14ac:dyDescent="0.25">
      <c r="F538" s="61"/>
    </row>
    <row r="539" spans="6:6" s="91" customFormat="1" x14ac:dyDescent="0.25">
      <c r="F539" s="61"/>
    </row>
    <row r="540" spans="6:6" s="91" customFormat="1" x14ac:dyDescent="0.25">
      <c r="F540" s="61"/>
    </row>
    <row r="541" spans="6:6" s="91" customFormat="1" x14ac:dyDescent="0.25">
      <c r="F541" s="61"/>
    </row>
    <row r="542" spans="6:6" s="91" customFormat="1" x14ac:dyDescent="0.25">
      <c r="F542" s="61"/>
    </row>
    <row r="543" spans="6:6" s="91" customFormat="1" x14ac:dyDescent="0.25">
      <c r="F543" s="61"/>
    </row>
    <row r="544" spans="6:6" s="91" customFormat="1" x14ac:dyDescent="0.25">
      <c r="F544" s="61"/>
    </row>
    <row r="545" spans="6:6" s="91" customFormat="1" x14ac:dyDescent="0.25">
      <c r="F545" s="61"/>
    </row>
    <row r="546" spans="6:6" s="91" customFormat="1" x14ac:dyDescent="0.25">
      <c r="F546" s="61"/>
    </row>
    <row r="547" spans="6:6" s="91" customFormat="1" x14ac:dyDescent="0.25">
      <c r="F547" s="61"/>
    </row>
    <row r="548" spans="6:6" s="91" customFormat="1" x14ac:dyDescent="0.25">
      <c r="F548" s="61"/>
    </row>
    <row r="549" spans="6:6" s="91" customFormat="1" x14ac:dyDescent="0.25">
      <c r="F549" s="61"/>
    </row>
    <row r="550" spans="6:6" s="91" customFormat="1" x14ac:dyDescent="0.25">
      <c r="F550" s="61"/>
    </row>
    <row r="551" spans="6:6" s="91" customFormat="1" x14ac:dyDescent="0.25">
      <c r="F551" s="61"/>
    </row>
    <row r="552" spans="6:6" s="91" customFormat="1" x14ac:dyDescent="0.25">
      <c r="F552" s="61"/>
    </row>
    <row r="553" spans="6:6" s="91" customFormat="1" x14ac:dyDescent="0.25">
      <c r="F553" s="61"/>
    </row>
    <row r="554" spans="6:6" s="91" customFormat="1" x14ac:dyDescent="0.25">
      <c r="F554" s="61"/>
    </row>
    <row r="555" spans="6:6" s="91" customFormat="1" x14ac:dyDescent="0.25">
      <c r="F555" s="61"/>
    </row>
    <row r="556" spans="6:6" s="91" customFormat="1" x14ac:dyDescent="0.25">
      <c r="F556" s="61"/>
    </row>
    <row r="557" spans="6:6" s="91" customFormat="1" x14ac:dyDescent="0.25">
      <c r="F557" s="61"/>
    </row>
    <row r="558" spans="6:6" s="91" customFormat="1" x14ac:dyDescent="0.25">
      <c r="F558" s="61"/>
    </row>
    <row r="559" spans="6:6" s="91" customFormat="1" x14ac:dyDescent="0.25">
      <c r="F559" s="61"/>
    </row>
    <row r="560" spans="6:6" s="91" customFormat="1" x14ac:dyDescent="0.25">
      <c r="F560" s="61"/>
    </row>
    <row r="561" spans="6:6" s="91" customFormat="1" x14ac:dyDescent="0.25">
      <c r="F561" s="61"/>
    </row>
    <row r="562" spans="6:6" s="91" customFormat="1" x14ac:dyDescent="0.25">
      <c r="F562" s="61"/>
    </row>
    <row r="563" spans="6:6" s="91" customFormat="1" x14ac:dyDescent="0.25">
      <c r="F563" s="61"/>
    </row>
    <row r="564" spans="6:6" s="91" customFormat="1" x14ac:dyDescent="0.25">
      <c r="F564" s="61"/>
    </row>
    <row r="565" spans="6:6" s="91" customFormat="1" x14ac:dyDescent="0.25">
      <c r="F565" s="61"/>
    </row>
    <row r="566" spans="6:6" s="91" customFormat="1" x14ac:dyDescent="0.25">
      <c r="F566" s="61"/>
    </row>
    <row r="567" spans="6:6" s="91" customFormat="1" x14ac:dyDescent="0.25">
      <c r="F567" s="61"/>
    </row>
    <row r="568" spans="6:6" s="91" customFormat="1" x14ac:dyDescent="0.25">
      <c r="F568" s="61"/>
    </row>
    <row r="569" spans="6:6" s="91" customFormat="1" x14ac:dyDescent="0.25">
      <c r="F569" s="61"/>
    </row>
    <row r="570" spans="6:6" s="91" customFormat="1" x14ac:dyDescent="0.25">
      <c r="F570" s="61"/>
    </row>
    <row r="571" spans="6:6" s="91" customFormat="1" x14ac:dyDescent="0.25">
      <c r="F571" s="61"/>
    </row>
    <row r="572" spans="6:6" s="91" customFormat="1" x14ac:dyDescent="0.25">
      <c r="F572" s="61"/>
    </row>
    <row r="573" spans="6:6" s="91" customFormat="1" x14ac:dyDescent="0.25">
      <c r="F573" s="61"/>
    </row>
    <row r="574" spans="6:6" s="91" customFormat="1" x14ac:dyDescent="0.25">
      <c r="F574" s="61"/>
    </row>
    <row r="575" spans="6:6" s="91" customFormat="1" x14ac:dyDescent="0.25">
      <c r="F575" s="61"/>
    </row>
    <row r="576" spans="6:6" s="91" customFormat="1" x14ac:dyDescent="0.25">
      <c r="F576" s="61"/>
    </row>
    <row r="577" spans="6:6" s="91" customFormat="1" x14ac:dyDescent="0.25">
      <c r="F577" s="61"/>
    </row>
    <row r="578" spans="6:6" s="91" customFormat="1" x14ac:dyDescent="0.25">
      <c r="F578" s="61"/>
    </row>
    <row r="579" spans="6:6" s="91" customFormat="1" x14ac:dyDescent="0.25">
      <c r="F579" s="61"/>
    </row>
    <row r="580" spans="6:6" s="91" customFormat="1" x14ac:dyDescent="0.25">
      <c r="F580" s="61"/>
    </row>
    <row r="581" spans="6:6" s="91" customFormat="1" x14ac:dyDescent="0.25">
      <c r="F581" s="61"/>
    </row>
    <row r="582" spans="6:6" s="91" customFormat="1" x14ac:dyDescent="0.25">
      <c r="F582" s="61"/>
    </row>
    <row r="583" spans="6:6" s="91" customFormat="1" x14ac:dyDescent="0.25">
      <c r="F583" s="61"/>
    </row>
    <row r="584" spans="6:6" s="91" customFormat="1" x14ac:dyDescent="0.25">
      <c r="F584" s="61"/>
    </row>
    <row r="585" spans="6:6" s="91" customFormat="1" x14ac:dyDescent="0.25">
      <c r="F585" s="61"/>
    </row>
    <row r="586" spans="6:6" s="91" customFormat="1" x14ac:dyDescent="0.25">
      <c r="F586" s="61"/>
    </row>
    <row r="587" spans="6:6" s="91" customFormat="1" x14ac:dyDescent="0.25">
      <c r="F587" s="61"/>
    </row>
    <row r="588" spans="6:6" s="91" customFormat="1" x14ac:dyDescent="0.25">
      <c r="F588" s="61"/>
    </row>
    <row r="589" spans="6:6" s="91" customFormat="1" x14ac:dyDescent="0.25">
      <c r="F589" s="61"/>
    </row>
    <row r="590" spans="6:6" s="91" customFormat="1" x14ac:dyDescent="0.25">
      <c r="F590" s="61"/>
    </row>
    <row r="591" spans="6:6" s="91" customFormat="1" x14ac:dyDescent="0.25">
      <c r="F591" s="61"/>
    </row>
    <row r="592" spans="6:6" s="91" customFormat="1" x14ac:dyDescent="0.25">
      <c r="F592" s="61"/>
    </row>
    <row r="593" spans="6:6" s="91" customFormat="1" x14ac:dyDescent="0.25">
      <c r="F593" s="61"/>
    </row>
    <row r="594" spans="6:6" s="91" customFormat="1" x14ac:dyDescent="0.25">
      <c r="F594" s="61"/>
    </row>
    <row r="595" spans="6:6" s="91" customFormat="1" x14ac:dyDescent="0.25">
      <c r="F595" s="61"/>
    </row>
    <row r="596" spans="6:6" s="91" customFormat="1" x14ac:dyDescent="0.25">
      <c r="F596" s="61"/>
    </row>
    <row r="597" spans="6:6" s="91" customFormat="1" x14ac:dyDescent="0.25">
      <c r="F597" s="61"/>
    </row>
    <row r="598" spans="6:6" s="91" customFormat="1" x14ac:dyDescent="0.25">
      <c r="F598" s="61"/>
    </row>
    <row r="599" spans="6:6" s="91" customFormat="1" x14ac:dyDescent="0.25">
      <c r="F599" s="61"/>
    </row>
    <row r="600" spans="6:6" s="91" customFormat="1" x14ac:dyDescent="0.25">
      <c r="F600" s="61"/>
    </row>
    <row r="601" spans="6:6" s="91" customFormat="1" x14ac:dyDescent="0.25">
      <c r="F601" s="61"/>
    </row>
    <row r="602" spans="6:6" s="91" customFormat="1" x14ac:dyDescent="0.25">
      <c r="F602" s="61"/>
    </row>
    <row r="603" spans="6:6" s="91" customFormat="1" x14ac:dyDescent="0.25">
      <c r="F603" s="61"/>
    </row>
    <row r="604" spans="6:6" s="91" customFormat="1" x14ac:dyDescent="0.25">
      <c r="F604" s="61"/>
    </row>
    <row r="605" spans="6:6" s="91" customFormat="1" x14ac:dyDescent="0.25">
      <c r="F605" s="61"/>
    </row>
    <row r="606" spans="6:6" s="91" customFormat="1" x14ac:dyDescent="0.25">
      <c r="F606" s="61"/>
    </row>
    <row r="607" spans="6:6" s="91" customFormat="1" x14ac:dyDescent="0.25">
      <c r="F607" s="61"/>
    </row>
    <row r="608" spans="6:6" s="91" customFormat="1" x14ac:dyDescent="0.25">
      <c r="F608" s="61"/>
    </row>
    <row r="609" spans="6:6" s="91" customFormat="1" x14ac:dyDescent="0.25">
      <c r="F609" s="61"/>
    </row>
    <row r="610" spans="6:6" s="91" customFormat="1" x14ac:dyDescent="0.25">
      <c r="F610" s="61"/>
    </row>
    <row r="611" spans="6:6" s="91" customFormat="1" x14ac:dyDescent="0.25">
      <c r="F611" s="61"/>
    </row>
    <row r="612" spans="6:6" s="91" customFormat="1" x14ac:dyDescent="0.25">
      <c r="F612" s="61"/>
    </row>
    <row r="613" spans="6:6" s="91" customFormat="1" x14ac:dyDescent="0.25">
      <c r="F613" s="61"/>
    </row>
    <row r="614" spans="6:6" s="91" customFormat="1" x14ac:dyDescent="0.25">
      <c r="F614" s="61"/>
    </row>
    <row r="615" spans="6:6" s="91" customFormat="1" x14ac:dyDescent="0.25">
      <c r="F615" s="61"/>
    </row>
    <row r="616" spans="6:6" s="91" customFormat="1" x14ac:dyDescent="0.25">
      <c r="F616" s="61"/>
    </row>
    <row r="617" spans="6:6" s="91" customFormat="1" x14ac:dyDescent="0.25">
      <c r="F617" s="61"/>
    </row>
    <row r="618" spans="6:6" s="91" customFormat="1" x14ac:dyDescent="0.25">
      <c r="F618" s="61"/>
    </row>
    <row r="619" spans="6:6" s="91" customFormat="1" x14ac:dyDescent="0.25">
      <c r="F619" s="61"/>
    </row>
    <row r="620" spans="6:6" s="91" customFormat="1" x14ac:dyDescent="0.25">
      <c r="F620" s="61"/>
    </row>
    <row r="621" spans="6:6" s="91" customFormat="1" x14ac:dyDescent="0.25">
      <c r="F621" s="61"/>
    </row>
    <row r="622" spans="6:6" s="91" customFormat="1" x14ac:dyDescent="0.25">
      <c r="F622" s="61"/>
    </row>
    <row r="623" spans="6:6" s="91" customFormat="1" x14ac:dyDescent="0.25">
      <c r="F623" s="61"/>
    </row>
    <row r="624" spans="6:6" s="91" customFormat="1" x14ac:dyDescent="0.25">
      <c r="F624" s="61"/>
    </row>
    <row r="625" spans="6:6" s="91" customFormat="1" x14ac:dyDescent="0.25">
      <c r="F625" s="61"/>
    </row>
    <row r="626" spans="6:6" s="91" customFormat="1" x14ac:dyDescent="0.25">
      <c r="F626" s="61"/>
    </row>
    <row r="627" spans="6:6" s="91" customFormat="1" x14ac:dyDescent="0.25">
      <c r="F627" s="61"/>
    </row>
    <row r="628" spans="6:6" s="91" customFormat="1" x14ac:dyDescent="0.25">
      <c r="F628" s="61"/>
    </row>
    <row r="629" spans="6:6" s="91" customFormat="1" x14ac:dyDescent="0.25">
      <c r="F629" s="61"/>
    </row>
    <row r="630" spans="6:6" s="91" customFormat="1" x14ac:dyDescent="0.25">
      <c r="F630" s="61"/>
    </row>
    <row r="631" spans="6:6" s="91" customFormat="1" x14ac:dyDescent="0.25">
      <c r="F631" s="61"/>
    </row>
    <row r="632" spans="6:6" s="91" customFormat="1" x14ac:dyDescent="0.25">
      <c r="F632" s="61"/>
    </row>
    <row r="633" spans="6:6" s="91" customFormat="1" x14ac:dyDescent="0.25">
      <c r="F633" s="61"/>
    </row>
    <row r="634" spans="6:6" s="91" customFormat="1" x14ac:dyDescent="0.25">
      <c r="F634" s="61"/>
    </row>
    <row r="635" spans="6:6" s="91" customFormat="1" x14ac:dyDescent="0.25">
      <c r="F635" s="61"/>
    </row>
    <row r="636" spans="6:6" s="91" customFormat="1" x14ac:dyDescent="0.25">
      <c r="F636" s="61"/>
    </row>
    <row r="637" spans="6:6" s="91" customFormat="1" x14ac:dyDescent="0.25">
      <c r="F637" s="61"/>
    </row>
    <row r="638" spans="6:6" s="91" customFormat="1" x14ac:dyDescent="0.25">
      <c r="F638" s="61"/>
    </row>
    <row r="639" spans="6:6" s="91" customFormat="1" x14ac:dyDescent="0.25">
      <c r="F639" s="61"/>
    </row>
    <row r="640" spans="6:6" s="91" customFormat="1" x14ac:dyDescent="0.25">
      <c r="F640" s="61"/>
    </row>
    <row r="641" spans="6:6" s="91" customFormat="1" x14ac:dyDescent="0.25">
      <c r="F641" s="61"/>
    </row>
    <row r="642" spans="6:6" s="91" customFormat="1" x14ac:dyDescent="0.25">
      <c r="F642" s="61"/>
    </row>
    <row r="643" spans="6:6" s="91" customFormat="1" x14ac:dyDescent="0.25">
      <c r="F643" s="61"/>
    </row>
    <row r="644" spans="6:6" s="91" customFormat="1" x14ac:dyDescent="0.25">
      <c r="F644" s="61"/>
    </row>
    <row r="645" spans="6:6" s="91" customFormat="1" x14ac:dyDescent="0.25">
      <c r="F645" s="61"/>
    </row>
    <row r="646" spans="6:6" s="91" customFormat="1" x14ac:dyDescent="0.25">
      <c r="F646" s="61"/>
    </row>
    <row r="647" spans="6:6" s="91" customFormat="1" x14ac:dyDescent="0.25">
      <c r="F647" s="61"/>
    </row>
    <row r="648" spans="6:6" s="91" customFormat="1" x14ac:dyDescent="0.25">
      <c r="F648" s="61"/>
    </row>
    <row r="649" spans="6:6" s="91" customFormat="1" x14ac:dyDescent="0.25">
      <c r="F649" s="61"/>
    </row>
    <row r="650" spans="6:6" s="91" customFormat="1" x14ac:dyDescent="0.25">
      <c r="F650" s="61"/>
    </row>
    <row r="651" spans="6:6" s="91" customFormat="1" x14ac:dyDescent="0.25">
      <c r="F651" s="61"/>
    </row>
    <row r="652" spans="6:6" s="91" customFormat="1" x14ac:dyDescent="0.25">
      <c r="F652" s="61"/>
    </row>
    <row r="653" spans="6:6" s="91" customFormat="1" x14ac:dyDescent="0.25">
      <c r="F653" s="61"/>
    </row>
    <row r="654" spans="6:6" s="91" customFormat="1" x14ac:dyDescent="0.25">
      <c r="F654" s="61"/>
    </row>
    <row r="655" spans="6:6" s="91" customFormat="1" x14ac:dyDescent="0.25">
      <c r="F655" s="61"/>
    </row>
    <row r="656" spans="6:6" s="91" customFormat="1" x14ac:dyDescent="0.25">
      <c r="F656" s="61"/>
    </row>
    <row r="657" spans="6:6" s="91" customFormat="1" x14ac:dyDescent="0.25">
      <c r="F657" s="61"/>
    </row>
    <row r="658" spans="6:6" s="91" customFormat="1" x14ac:dyDescent="0.25">
      <c r="F658" s="61"/>
    </row>
    <row r="659" spans="6:6" s="91" customFormat="1" x14ac:dyDescent="0.25">
      <c r="F659" s="61"/>
    </row>
    <row r="660" spans="6:6" s="91" customFormat="1" x14ac:dyDescent="0.25">
      <c r="F660" s="61"/>
    </row>
    <row r="661" spans="6:6" s="91" customFormat="1" x14ac:dyDescent="0.25">
      <c r="F661" s="61"/>
    </row>
    <row r="662" spans="6:6" s="91" customFormat="1" x14ac:dyDescent="0.25">
      <c r="F662" s="61"/>
    </row>
    <row r="663" spans="6:6" s="91" customFormat="1" x14ac:dyDescent="0.25">
      <c r="F663" s="61"/>
    </row>
    <row r="664" spans="6:6" s="91" customFormat="1" x14ac:dyDescent="0.25">
      <c r="F664" s="61"/>
    </row>
    <row r="665" spans="6:6" s="91" customFormat="1" x14ac:dyDescent="0.25">
      <c r="F665" s="61"/>
    </row>
    <row r="666" spans="6:6" s="91" customFormat="1" x14ac:dyDescent="0.25">
      <c r="F666" s="61"/>
    </row>
  </sheetData>
  <conditionalFormatting sqref="Q1">
    <cfRule type="cellIs" dxfId="30" priority="43" operator="equal">
      <formula>"Indéterminé"</formula>
    </cfRule>
    <cfRule type="cellIs" dxfId="29" priority="44" operator="equal">
      <formula>"NA"</formula>
    </cfRule>
    <cfRule type="cellIs" dxfId="28" priority="45" operator="equal">
      <formula>"Invalidé"</formula>
    </cfRule>
    <cfRule type="cellIs" dxfId="27" priority="46" operator="equal">
      <formula>"Validé"</formula>
    </cfRule>
  </conditionalFormatting>
  <conditionalFormatting sqref="H1:H1048576">
    <cfRule type="cellIs" dxfId="26" priority="349" operator="equal">
      <formula>"Indéterminé"</formula>
    </cfRule>
    <cfRule type="cellIs" dxfId="25" priority="350" operator="equal">
      <formula>"NA"</formula>
    </cfRule>
    <cfRule type="cellIs" dxfId="24" priority="351" operator="equal">
      <formula>"Invalidé"</formula>
    </cfRule>
    <cfRule type="cellIs" dxfId="23"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2578125" defaultRowHeight="15" x14ac:dyDescent="0.25"/>
  <cols>
    <col min="1" max="1" width="2.7109375" style="6" customWidth="1"/>
    <col min="2" max="2" width="23" style="6" bestFit="1" customWidth="1"/>
    <col min="3" max="3" width="6.28515625" style="6" bestFit="1" customWidth="1"/>
    <col min="4" max="4" width="8" style="6" bestFit="1" customWidth="1"/>
    <col min="5" max="8" width="12.7109375" style="6" customWidth="1"/>
    <col min="9" max="9" width="6.42578125" style="6" bestFit="1" customWidth="1"/>
    <col min="10" max="10" width="2.7109375" style="6" customWidth="1"/>
    <col min="11" max="11" width="2.7109375" style="183" customWidth="1"/>
    <col min="12" max="12" width="16.42578125" style="6" customWidth="1"/>
    <col min="13" max="13" width="10.140625" style="6" bestFit="1" customWidth="1"/>
    <col min="14" max="14" width="13.140625" style="6" customWidth="1"/>
    <col min="15" max="15" width="13.42578125" style="6" bestFit="1" customWidth="1"/>
    <col min="16" max="16" width="16.28515625" style="6" bestFit="1" customWidth="1"/>
    <col min="17" max="17" width="13" style="66" customWidth="1"/>
    <col min="18" max="18" width="8.140625" style="66" customWidth="1"/>
    <col min="19" max="19" width="2.7109375" style="66" customWidth="1"/>
    <col min="20" max="20" width="10.140625" style="6" bestFit="1" customWidth="1"/>
    <col min="21" max="21" width="2.7109375" style="66" customWidth="1"/>
    <col min="22" max="22" width="7.42578125" style="6" customWidth="1"/>
    <col min="23" max="23" width="26.7109375" style="6" customWidth="1"/>
    <col min="24" max="24" width="2.7109375" style="66" customWidth="1"/>
    <col min="25" max="25" width="9.28515625" style="6" bestFit="1" customWidth="1"/>
    <col min="26" max="26" width="19.85546875" style="6" bestFit="1" customWidth="1"/>
    <col min="27" max="27" width="2.7109375" style="66" customWidth="1"/>
    <col min="28" max="28" width="13.42578125" style="6" bestFit="1" customWidth="1"/>
    <col min="29" max="29" width="83.5703125" style="6" bestFit="1" customWidth="1"/>
    <col min="30" max="30" width="2.7109375" style="66" customWidth="1"/>
    <col min="31" max="31" width="37.28515625" style="6" bestFit="1" customWidth="1"/>
    <col min="32" max="32" width="6.42578125" style="6" bestFit="1" customWidth="1"/>
    <col min="33" max="33" width="9.28515625" style="6" bestFit="1" customWidth="1"/>
    <col min="34" max="34" width="13.42578125" style="6" bestFit="1" customWidth="1"/>
    <col min="35" max="35" width="83.5703125" style="6" bestFit="1" customWidth="1"/>
    <col min="36" max="16384" width="11.42578125" style="6"/>
  </cols>
  <sheetData>
    <row r="1" spans="1:33" x14ac:dyDescent="0.25">
      <c r="A1" s="66"/>
      <c r="B1" s="20" t="s">
        <v>610</v>
      </c>
      <c r="C1" s="20" t="s">
        <v>258</v>
      </c>
      <c r="D1" s="20" t="s">
        <v>21</v>
      </c>
      <c r="E1" s="19" t="s">
        <v>9</v>
      </c>
      <c r="F1" s="19" t="s">
        <v>10</v>
      </c>
      <c r="G1" s="19" t="s">
        <v>40</v>
      </c>
      <c r="H1" s="19" t="s">
        <v>11</v>
      </c>
      <c r="I1" s="19" t="s">
        <v>36</v>
      </c>
      <c r="J1" s="66"/>
      <c r="L1" s="263" t="s">
        <v>38</v>
      </c>
      <c r="M1" s="263"/>
      <c r="N1" s="263"/>
      <c r="O1" s="263"/>
      <c r="P1" s="263"/>
      <c r="Q1" s="6"/>
      <c r="R1" s="6"/>
      <c r="T1" s="25" t="s">
        <v>25</v>
      </c>
      <c r="V1" s="24" t="s">
        <v>26</v>
      </c>
      <c r="W1" s="11"/>
      <c r="Y1" s="23" t="s">
        <v>30</v>
      </c>
      <c r="Z1" s="22"/>
      <c r="AB1" s="27" t="s">
        <v>39</v>
      </c>
      <c r="AC1" s="26"/>
      <c r="AD1" s="66" t="s">
        <v>45</v>
      </c>
      <c r="AE1" s="194" t="s">
        <v>624</v>
      </c>
      <c r="AF1" s="49" t="s">
        <v>44</v>
      </c>
      <c r="AG1" s="36" t="s">
        <v>45</v>
      </c>
    </row>
    <row r="2" spans="1:33" x14ac:dyDescent="0.25">
      <c r="A2" s="66"/>
      <c r="B2" s="71" t="str">
        <f>Modèle!B4</f>
        <v>Images</v>
      </c>
      <c r="C2" s="73" t="str">
        <f>Modèle!C4</f>
        <v>1.1</v>
      </c>
      <c r="D2" s="74" t="str">
        <f>Modèle!E4</f>
        <v>A</v>
      </c>
      <c r="E2" s="154">
        <f ca="1">COUNTIF(OFFSET(Synthèse!$G11,0,0,1,COUNTA(Synthèse!$10:$10)-6),"="&amp;$E$1)</f>
        <v>0</v>
      </c>
      <c r="F2" s="154">
        <f ca="1">COUNTIF(OFFSET(Synthèse!$G11,0,0,1,COUNTA(Synthèse!$10:$10)-6),"="&amp;$F$1)</f>
        <v>0</v>
      </c>
      <c r="G2" s="154">
        <f ca="1">COUNTIF(OFFSET(Synthèse!$G11,0,0,1,COUNTA(Synthèse!$10:$10)-6),"="&amp;$G$1)</f>
        <v>0</v>
      </c>
      <c r="H2" s="154">
        <f ca="1">COUNTIF(OFFSET(Synthèse!$G11,0,0,1,COUNTA(Synthèse!$10:$10)-6),"="&amp;$H$1)</f>
        <v>0</v>
      </c>
      <c r="I2" s="195">
        <f ca="1">SUM(E2:H2)</f>
        <v>0</v>
      </c>
      <c r="J2" s="66"/>
      <c r="L2" s="164" t="s">
        <v>43</v>
      </c>
      <c r="M2" s="16" t="s">
        <v>9</v>
      </c>
      <c r="N2" s="16" t="s">
        <v>10</v>
      </c>
      <c r="O2" s="16" t="s">
        <v>40</v>
      </c>
      <c r="P2" s="16" t="s">
        <v>35</v>
      </c>
      <c r="Q2" s="6"/>
      <c r="R2" s="6"/>
      <c r="T2" s="14" t="s">
        <v>407</v>
      </c>
      <c r="V2" s="15">
        <v>1</v>
      </c>
      <c r="W2" s="12" t="s">
        <v>27</v>
      </c>
      <c r="Y2" s="13" t="s">
        <v>31</v>
      </c>
      <c r="Z2" s="13" t="s">
        <v>33</v>
      </c>
      <c r="AB2" s="21" t="s">
        <v>10</v>
      </c>
      <c r="AC2" s="21" t="s">
        <v>16</v>
      </c>
      <c r="AE2" s="187" t="s">
        <v>615</v>
      </c>
      <c r="AF2" s="50">
        <f t="shared" ref="AF2:AF11" si="0">SUM($AG2:$ZQ2)</f>
        <v>0</v>
      </c>
      <c r="AG2" s="38">
        <f>SUMPRODUCT((Synthèse!G$11:G$116="Validé")*(Synthèse!$D$11:$D$116&lt;&gt;"AAA"))</f>
        <v>0</v>
      </c>
    </row>
    <row r="3" spans="1:33" x14ac:dyDescent="0.25">
      <c r="A3" s="66"/>
      <c r="B3" s="71" t="str">
        <f>Modèle!B5</f>
        <v>Images</v>
      </c>
      <c r="C3" s="73" t="str">
        <f>Modèle!C5</f>
        <v>1.2</v>
      </c>
      <c r="D3" s="74" t="str">
        <f>Modèle!E5</f>
        <v>A</v>
      </c>
      <c r="E3" s="154">
        <f ca="1">COUNTIF(OFFSET(Synthèse!$G12,0,0,1,COUNTA(Synthèse!$10:$10)-6),"="&amp;$E$1)</f>
        <v>0</v>
      </c>
      <c r="F3" s="154">
        <f ca="1">COUNTIF(OFFSET(Synthèse!$G12,0,0,1,COUNTA(Synthèse!$10:$10)-6),"="&amp;$F$1)</f>
        <v>0</v>
      </c>
      <c r="G3" s="154">
        <f ca="1">COUNTIF(OFFSET(Synthèse!$G12,0,0,1,COUNTA(Synthèse!$10:$10)-6),"="&amp;$G$1)</f>
        <v>0</v>
      </c>
      <c r="H3" s="154">
        <f ca="1">COUNTIF(OFFSET(Synthèse!$G12,0,0,1,COUNTA(Synthèse!$10:$10)-6),"="&amp;$H$1)</f>
        <v>0</v>
      </c>
      <c r="I3" s="195">
        <f t="shared" ref="I3:I66" ca="1" si="1">SUM(E3:H3)</f>
        <v>0</v>
      </c>
      <c r="J3" s="66"/>
      <c r="L3" s="151" t="s">
        <v>3</v>
      </c>
      <c r="M3" s="152">
        <f ca="1">SUMIFS(E$2:E$107,$B$2:$B$107,"="&amp;$L3,$D$2:$D$107,"&lt;&gt;AAA")</f>
        <v>0</v>
      </c>
      <c r="N3" s="152">
        <f t="shared" ref="N3:P15" ca="1" si="2">SUMIFS(F$2:F$107,$B$2:$B$107,"="&amp;$L3,$D$2:$D$107,"&lt;&gt;AAA")</f>
        <v>0</v>
      </c>
      <c r="O3" s="152">
        <f t="shared" ca="1" si="2"/>
        <v>0</v>
      </c>
      <c r="P3" s="152">
        <f t="shared" ca="1" si="2"/>
        <v>0</v>
      </c>
      <c r="Q3" s="6"/>
      <c r="R3" s="6"/>
      <c r="T3" s="14" t="s">
        <v>408</v>
      </c>
      <c r="V3" s="15">
        <v>2</v>
      </c>
      <c r="W3" s="12" t="s">
        <v>28</v>
      </c>
      <c r="Y3" s="13" t="s">
        <v>32</v>
      </c>
      <c r="Z3" s="13" t="s">
        <v>34</v>
      </c>
      <c r="AB3" s="21" t="s">
        <v>9</v>
      </c>
      <c r="AC3" s="21" t="s">
        <v>17</v>
      </c>
      <c r="AE3" s="187" t="s">
        <v>616</v>
      </c>
      <c r="AF3" s="50">
        <f t="shared" si="0"/>
        <v>0</v>
      </c>
      <c r="AG3" s="38">
        <f>SUMPRODUCT((Synthèse!G$11:G$116="Invalidé")*(Synthèse!$D$11:$D$116&lt;&gt;"AAA"))</f>
        <v>0</v>
      </c>
    </row>
    <row r="4" spans="1:33" ht="15.75" customHeight="1" x14ac:dyDescent="0.25">
      <c r="A4" s="67"/>
      <c r="B4" s="71" t="str">
        <f>Modèle!B6</f>
        <v>Images</v>
      </c>
      <c r="C4" s="73" t="str">
        <f>Modèle!C6</f>
        <v>1.3</v>
      </c>
      <c r="D4" s="74" t="str">
        <f>Modèle!E6</f>
        <v>A</v>
      </c>
      <c r="E4" s="154">
        <f ca="1">COUNTIF(OFFSET(Synthèse!$G13,0,0,1,COUNTA(Synthèse!$10:$10)-6),"="&amp;$E$1)</f>
        <v>0</v>
      </c>
      <c r="F4" s="154">
        <f ca="1">COUNTIF(OFFSET(Synthèse!$G13,0,0,1,COUNTA(Synthèse!$10:$10)-6),"="&amp;$F$1)</f>
        <v>0</v>
      </c>
      <c r="G4" s="154">
        <f ca="1">COUNTIF(OFFSET(Synthèse!$G13,0,0,1,COUNTA(Synthèse!$10:$10)-6),"="&amp;$G$1)</f>
        <v>0</v>
      </c>
      <c r="H4" s="154">
        <f ca="1">COUNTIF(OFFSET(Synthèse!$G13,0,0,1,COUNTA(Synthèse!$10:$10)-6),"="&amp;$H$1)</f>
        <v>0</v>
      </c>
      <c r="I4" s="195">
        <f t="shared" ca="1" si="1"/>
        <v>0</v>
      </c>
      <c r="J4" s="66"/>
      <c r="L4" s="151" t="s">
        <v>37</v>
      </c>
      <c r="M4" s="152">
        <f t="shared" ref="M4:M15" ca="1" si="3">SUMIFS(E$2:E$107,$B$2:$B$107,"="&amp;$L4,$D$2:$D$107,"&lt;&gt;AAA")</f>
        <v>0</v>
      </c>
      <c r="N4" s="152">
        <f t="shared" ca="1" si="2"/>
        <v>0</v>
      </c>
      <c r="O4" s="152">
        <f t="shared" ca="1" si="2"/>
        <v>0</v>
      </c>
      <c r="P4" s="152">
        <f t="shared" ca="1" si="2"/>
        <v>0</v>
      </c>
      <c r="Q4" s="6"/>
      <c r="R4" s="6"/>
      <c r="T4" s="14" t="s">
        <v>409</v>
      </c>
      <c r="V4" s="15">
        <v>3</v>
      </c>
      <c r="W4" s="12" t="s">
        <v>29</v>
      </c>
      <c r="AB4" s="21" t="s">
        <v>40</v>
      </c>
      <c r="AC4" s="21" t="s">
        <v>41</v>
      </c>
      <c r="AE4" s="187" t="s">
        <v>617</v>
      </c>
      <c r="AF4" s="50">
        <f t="shared" si="0"/>
        <v>0</v>
      </c>
      <c r="AG4" s="38">
        <f>SUMPRODUCT((Synthèse!G$11:G$116="Indéterminé")*(Synthèse!$D$11:$D$116&lt;&gt;"AAA"))</f>
        <v>0</v>
      </c>
    </row>
    <row r="5" spans="1:33" ht="15.75" customHeight="1" x14ac:dyDescent="0.25">
      <c r="A5" s="67"/>
      <c r="B5" s="71" t="str">
        <f>Modèle!B7</f>
        <v>Images</v>
      </c>
      <c r="C5" s="73" t="str">
        <f>Modèle!C7</f>
        <v>1.4</v>
      </c>
      <c r="D5" s="74" t="str">
        <f>Modèle!E7</f>
        <v>A</v>
      </c>
      <c r="E5" s="154">
        <f ca="1">COUNTIF(OFFSET(Synthèse!$G14,0,0,1,COUNTA(Synthèse!$10:$10)-6),"="&amp;$E$1)</f>
        <v>0</v>
      </c>
      <c r="F5" s="154">
        <f ca="1">COUNTIF(OFFSET(Synthèse!$G14,0,0,1,COUNTA(Synthèse!$10:$10)-6),"="&amp;$F$1)</f>
        <v>0</v>
      </c>
      <c r="G5" s="154">
        <f ca="1">COUNTIF(OFFSET(Synthèse!$G14,0,0,1,COUNTA(Synthèse!$10:$10)-6),"="&amp;$G$1)</f>
        <v>0</v>
      </c>
      <c r="H5" s="154">
        <f ca="1">COUNTIF(OFFSET(Synthèse!$G14,0,0,1,COUNTA(Synthèse!$10:$10)-6),"="&amp;$H$1)</f>
        <v>0</v>
      </c>
      <c r="I5" s="195">
        <f t="shared" ca="1" si="1"/>
        <v>0</v>
      </c>
      <c r="J5" s="66"/>
      <c r="L5" s="151" t="s">
        <v>1</v>
      </c>
      <c r="M5" s="152">
        <f t="shared" ca="1" si="3"/>
        <v>0</v>
      </c>
      <c r="N5" s="152">
        <f t="shared" ca="1" si="2"/>
        <v>0</v>
      </c>
      <c r="O5" s="152">
        <f t="shared" ca="1" si="2"/>
        <v>0</v>
      </c>
      <c r="P5" s="152">
        <f t="shared" ca="1" si="2"/>
        <v>0</v>
      </c>
      <c r="Q5" s="6"/>
      <c r="R5" s="6"/>
      <c r="AB5" s="21" t="s">
        <v>11</v>
      </c>
      <c r="AC5" s="21" t="s">
        <v>42</v>
      </c>
      <c r="AE5" s="187" t="s">
        <v>618</v>
      </c>
      <c r="AF5" s="50">
        <f t="shared" si="0"/>
        <v>0</v>
      </c>
      <c r="AG5" s="38">
        <f>SUMPRODUCT((Synthèse!G$11:G$116="NA")*(Synthèse!$D$11:$D$116&lt;&gt;"AAA"))</f>
        <v>0</v>
      </c>
    </row>
    <row r="6" spans="1:33" x14ac:dyDescent="0.25">
      <c r="A6" s="67"/>
      <c r="B6" s="71" t="str">
        <f>Modèle!B8</f>
        <v>Images</v>
      </c>
      <c r="C6" s="73" t="str">
        <f>Modèle!C8</f>
        <v>1.5</v>
      </c>
      <c r="D6" s="74" t="str">
        <f>Modèle!E8</f>
        <v>A</v>
      </c>
      <c r="E6" s="154">
        <f ca="1">COUNTIF(OFFSET(Synthèse!$G15,0,0,1,COUNTA(Synthèse!$10:$10)-6),"="&amp;$E$1)</f>
        <v>0</v>
      </c>
      <c r="F6" s="154">
        <f ca="1">COUNTIF(OFFSET(Synthèse!$G15,0,0,1,COUNTA(Synthèse!$10:$10)-6),"="&amp;$F$1)</f>
        <v>0</v>
      </c>
      <c r="G6" s="154">
        <f ca="1">COUNTIF(OFFSET(Synthèse!$G15,0,0,1,COUNTA(Synthèse!$10:$10)-6),"="&amp;$G$1)</f>
        <v>0</v>
      </c>
      <c r="H6" s="154">
        <f ca="1">COUNTIF(OFFSET(Synthèse!$G15,0,0,1,COUNTA(Synthèse!$10:$10)-6),"="&amp;$H$1)</f>
        <v>0</v>
      </c>
      <c r="I6" s="195">
        <f t="shared" ca="1" si="1"/>
        <v>0</v>
      </c>
      <c r="J6" s="66"/>
      <c r="L6" s="151" t="s">
        <v>4</v>
      </c>
      <c r="M6" s="152">
        <f t="shared" ca="1" si="3"/>
        <v>0</v>
      </c>
      <c r="N6" s="152">
        <f t="shared" ca="1" si="2"/>
        <v>0</v>
      </c>
      <c r="O6" s="152">
        <f t="shared" ca="1" si="2"/>
        <v>0</v>
      </c>
      <c r="P6" s="152">
        <f t="shared" ca="1" si="2"/>
        <v>0</v>
      </c>
      <c r="Q6" s="6"/>
      <c r="R6" s="6"/>
      <c r="AB6" s="21" t="s">
        <v>371</v>
      </c>
      <c r="AC6" s="21" t="s">
        <v>372</v>
      </c>
      <c r="AE6" s="188" t="s">
        <v>611</v>
      </c>
      <c r="AF6" s="51">
        <f t="shared" si="0"/>
        <v>0</v>
      </c>
      <c r="AG6" s="39">
        <f>SUMPRODUCT((Synthèse!G$11:G$116="Validé")*(Synthèse!$D$11:$D$116="AAA"))</f>
        <v>0</v>
      </c>
    </row>
    <row r="7" spans="1:33" x14ac:dyDescent="0.25">
      <c r="A7" s="66"/>
      <c r="B7" s="71" t="str">
        <f>Modèle!B9</f>
        <v>Images</v>
      </c>
      <c r="C7" s="73" t="str">
        <f>Modèle!C9</f>
        <v>1.6</v>
      </c>
      <c r="D7" s="74" t="str">
        <f>Modèle!E9</f>
        <v>A</v>
      </c>
      <c r="E7" s="154">
        <f ca="1">COUNTIF(OFFSET(Synthèse!$G16,0,0,1,COUNTA(Synthèse!$10:$10)-6),"="&amp;$E$1)</f>
        <v>0</v>
      </c>
      <c r="F7" s="154">
        <f ca="1">COUNTIF(OFFSET(Synthèse!$G16,0,0,1,COUNTA(Synthèse!$10:$10)-6),"="&amp;$F$1)</f>
        <v>0</v>
      </c>
      <c r="G7" s="154">
        <f ca="1">COUNTIF(OFFSET(Synthèse!$G16,0,0,1,COUNTA(Synthèse!$10:$10)-6),"="&amp;$G$1)</f>
        <v>0</v>
      </c>
      <c r="H7" s="154">
        <f ca="1">COUNTIF(OFFSET(Synthèse!$G16,0,0,1,COUNTA(Synthèse!$10:$10)-6),"="&amp;$H$1)</f>
        <v>0</v>
      </c>
      <c r="I7" s="195">
        <f t="shared" ca="1" si="1"/>
        <v>0</v>
      </c>
      <c r="J7" s="66"/>
      <c r="L7" s="151" t="s">
        <v>7</v>
      </c>
      <c r="M7" s="152">
        <f t="shared" ca="1" si="3"/>
        <v>0</v>
      </c>
      <c r="N7" s="152">
        <f t="shared" ca="1" si="2"/>
        <v>0</v>
      </c>
      <c r="O7" s="152">
        <f t="shared" ca="1" si="2"/>
        <v>0</v>
      </c>
      <c r="P7" s="152">
        <f t="shared" ca="1" si="2"/>
        <v>0</v>
      </c>
      <c r="Q7" s="6"/>
      <c r="R7" s="6"/>
      <c r="AE7" s="188" t="s">
        <v>612</v>
      </c>
      <c r="AF7" s="51">
        <f t="shared" si="0"/>
        <v>0</v>
      </c>
      <c r="AG7" s="39">
        <f>SUMPRODUCT((Synthèse!G$11:G$116="Invalidé")*(Synthèse!$D$11:$D$116="AAA"))</f>
        <v>0</v>
      </c>
    </row>
    <row r="8" spans="1:33" x14ac:dyDescent="0.25">
      <c r="A8" s="66"/>
      <c r="B8" s="71" t="str">
        <f>Modèle!B10</f>
        <v>Images</v>
      </c>
      <c r="C8" s="73" t="str">
        <f>Modèle!C10</f>
        <v>1.7</v>
      </c>
      <c r="D8" s="74" t="str">
        <f>Modèle!E10</f>
        <v>A</v>
      </c>
      <c r="E8" s="154">
        <f ca="1">COUNTIF(OFFSET(Synthèse!$G17,0,0,1,COUNTA(Synthèse!$10:$10)-6),"="&amp;$E$1)</f>
        <v>0</v>
      </c>
      <c r="F8" s="154">
        <f ca="1">COUNTIF(OFFSET(Synthèse!$G17,0,0,1,COUNTA(Synthèse!$10:$10)-6),"="&amp;$F$1)</f>
        <v>0</v>
      </c>
      <c r="G8" s="154">
        <f ca="1">COUNTIF(OFFSET(Synthèse!$G17,0,0,1,COUNTA(Synthèse!$10:$10)-6),"="&amp;$G$1)</f>
        <v>0</v>
      </c>
      <c r="H8" s="154">
        <f ca="1">COUNTIF(OFFSET(Synthèse!$G17,0,0,1,COUNTA(Synthèse!$10:$10)-6),"="&amp;$H$1)</f>
        <v>0</v>
      </c>
      <c r="I8" s="195">
        <f t="shared" ca="1" si="1"/>
        <v>0</v>
      </c>
      <c r="J8" s="66"/>
      <c r="L8" s="151" t="s">
        <v>234</v>
      </c>
      <c r="M8" s="152">
        <f t="shared" ca="1" si="3"/>
        <v>0</v>
      </c>
      <c r="N8" s="152">
        <f t="shared" ca="1" si="2"/>
        <v>0</v>
      </c>
      <c r="O8" s="152">
        <f t="shared" ca="1" si="2"/>
        <v>0</v>
      </c>
      <c r="P8" s="152">
        <f t="shared" ca="1" si="2"/>
        <v>0</v>
      </c>
      <c r="Q8" s="6"/>
      <c r="R8" s="6"/>
      <c r="AE8" s="188" t="s">
        <v>613</v>
      </c>
      <c r="AF8" s="51">
        <f t="shared" si="0"/>
        <v>0</v>
      </c>
      <c r="AG8" s="39">
        <f>SUMPRODUCT((Synthèse!G$11:G$116="Indéterminé")*(Synthèse!$D$11:$D$116="AAA"))</f>
        <v>0</v>
      </c>
    </row>
    <row r="9" spans="1:33" x14ac:dyDescent="0.25">
      <c r="A9" s="66"/>
      <c r="B9" s="71" t="str">
        <f>Modèle!B11</f>
        <v>Images</v>
      </c>
      <c r="C9" s="73" t="str">
        <f>Modèle!C11</f>
        <v>1.8</v>
      </c>
      <c r="D9" s="74" t="str">
        <f>Modèle!E11</f>
        <v>AA</v>
      </c>
      <c r="E9" s="154">
        <f ca="1">COUNTIF(OFFSET(Synthèse!$G18,0,0,1,COUNTA(Synthèse!$10:$10)-6),"="&amp;$E$1)</f>
        <v>0</v>
      </c>
      <c r="F9" s="154">
        <f ca="1">COUNTIF(OFFSET(Synthèse!$G18,0,0,1,COUNTA(Synthèse!$10:$10)-6),"="&amp;$F$1)</f>
        <v>0</v>
      </c>
      <c r="G9" s="154">
        <f ca="1">COUNTIF(OFFSET(Synthèse!$G18,0,0,1,COUNTA(Synthèse!$10:$10)-6),"="&amp;$G$1)</f>
        <v>0</v>
      </c>
      <c r="H9" s="154">
        <f ca="1">COUNTIF(OFFSET(Synthèse!$G18,0,0,1,COUNTA(Synthèse!$10:$10)-6),"="&amp;$H$1)</f>
        <v>0</v>
      </c>
      <c r="I9" s="195">
        <f t="shared" ca="1" si="1"/>
        <v>0</v>
      </c>
      <c r="J9" s="66"/>
      <c r="L9" s="151" t="s">
        <v>6</v>
      </c>
      <c r="M9" s="152">
        <f t="shared" ca="1" si="3"/>
        <v>0</v>
      </c>
      <c r="N9" s="152">
        <f t="shared" ca="1" si="2"/>
        <v>0</v>
      </c>
      <c r="O9" s="152">
        <f t="shared" ca="1" si="2"/>
        <v>0</v>
      </c>
      <c r="P9" s="152">
        <f t="shared" ca="1" si="2"/>
        <v>0</v>
      </c>
      <c r="Q9" s="6"/>
      <c r="R9" s="6"/>
      <c r="AE9" s="188" t="s">
        <v>614</v>
      </c>
      <c r="AF9" s="51">
        <f t="shared" si="0"/>
        <v>0</v>
      </c>
      <c r="AG9" s="39">
        <f>SUMPRODUCT((Synthèse!G$11:G$116="NA")*(Synthèse!$D$11:$D$116="AAA"))</f>
        <v>0</v>
      </c>
    </row>
    <row r="10" spans="1:33" ht="30" x14ac:dyDescent="0.25">
      <c r="A10" s="66"/>
      <c r="B10" s="71" t="str">
        <f>Modèle!B12</f>
        <v>Images</v>
      </c>
      <c r="C10" s="73" t="str">
        <f>Modèle!C12</f>
        <v>1.9</v>
      </c>
      <c r="D10" s="74" t="str">
        <f>Modèle!E12</f>
        <v>A</v>
      </c>
      <c r="E10" s="154">
        <f ca="1">COUNTIF(OFFSET(Synthèse!$G19,0,0,1,COUNTA(Synthèse!$10:$10)-6),"="&amp;$E$1)</f>
        <v>0</v>
      </c>
      <c r="F10" s="154">
        <f ca="1">COUNTIF(OFFSET(Synthèse!$G19,0,0,1,COUNTA(Synthèse!$10:$10)-6),"="&amp;$F$1)</f>
        <v>0</v>
      </c>
      <c r="G10" s="154">
        <f ca="1">COUNTIF(OFFSET(Synthèse!$G19,0,0,1,COUNTA(Synthèse!$10:$10)-6),"="&amp;$G$1)</f>
        <v>0</v>
      </c>
      <c r="H10" s="154">
        <f ca="1">COUNTIF(OFFSET(Synthèse!$G19,0,0,1,COUNTA(Synthèse!$10:$10)-6),"="&amp;$H$1)</f>
        <v>0</v>
      </c>
      <c r="I10" s="195">
        <f t="shared" ca="1" si="1"/>
        <v>0</v>
      </c>
      <c r="J10" s="66"/>
      <c r="L10" s="153" t="s">
        <v>235</v>
      </c>
      <c r="M10" s="152">
        <f t="shared" ca="1" si="3"/>
        <v>0</v>
      </c>
      <c r="N10" s="152">
        <f t="shared" ca="1" si="2"/>
        <v>0</v>
      </c>
      <c r="O10" s="152">
        <f t="shared" ca="1" si="2"/>
        <v>0</v>
      </c>
      <c r="P10" s="152">
        <f t="shared" ca="1" si="2"/>
        <v>0</v>
      </c>
      <c r="Q10" s="6"/>
      <c r="R10" s="6"/>
      <c r="T10" s="230" t="s">
        <v>248</v>
      </c>
      <c r="AB10" s="27" t="s">
        <v>374</v>
      </c>
      <c r="AC10" s="26"/>
      <c r="AE10" s="189" t="s">
        <v>619</v>
      </c>
      <c r="AF10" s="52">
        <f t="shared" si="0"/>
        <v>0</v>
      </c>
      <c r="AG10" s="42">
        <f t="shared" ref="AG10" si="4">SUM(AG$2:AG$5)</f>
        <v>0</v>
      </c>
    </row>
    <row r="11" spans="1:33" ht="30" x14ac:dyDescent="0.25">
      <c r="A11" s="67"/>
      <c r="B11" s="72" t="str">
        <f>Modèle!B13</f>
        <v>Cadres</v>
      </c>
      <c r="C11" s="75" t="str">
        <f>Modèle!C13</f>
        <v>2.1</v>
      </c>
      <c r="D11" s="76" t="str">
        <f>Modèle!E13</f>
        <v>A</v>
      </c>
      <c r="E11" s="154">
        <f ca="1">COUNTIF(OFFSET(Synthèse!$G20,0,0,1,COUNTA(Synthèse!$10:$10)-6),"="&amp;$E$1)</f>
        <v>0</v>
      </c>
      <c r="F11" s="154">
        <f ca="1">COUNTIF(OFFSET(Synthèse!$G20,0,0,1,COUNTA(Synthèse!$10:$10)-6),"="&amp;$F$1)</f>
        <v>0</v>
      </c>
      <c r="G11" s="154">
        <f ca="1">COUNTIF(OFFSET(Synthèse!$G20,0,0,1,COUNTA(Synthèse!$10:$10)-6),"="&amp;$G$1)</f>
        <v>0</v>
      </c>
      <c r="H11" s="154">
        <f ca="1">COUNTIF(OFFSET(Synthèse!$G20,0,0,1,COUNTA(Synthèse!$10:$10)-6),"="&amp;$H$1)</f>
        <v>0</v>
      </c>
      <c r="I11" s="195">
        <f t="shared" ca="1" si="1"/>
        <v>0</v>
      </c>
      <c r="J11" s="66"/>
      <c r="L11" s="153" t="s">
        <v>236</v>
      </c>
      <c r="M11" s="152">
        <f t="shared" ca="1" si="3"/>
        <v>0</v>
      </c>
      <c r="N11" s="152">
        <f t="shared" ca="1" si="2"/>
        <v>0</v>
      </c>
      <c r="O11" s="152">
        <f t="shared" ca="1" si="2"/>
        <v>0</v>
      </c>
      <c r="P11" s="152">
        <f t="shared" ca="1" si="2"/>
        <v>0</v>
      </c>
      <c r="Q11" s="6"/>
      <c r="R11" s="6"/>
      <c r="T11" s="103" t="s">
        <v>410</v>
      </c>
      <c r="AB11" s="21" t="s">
        <v>375</v>
      </c>
      <c r="AC11" s="21" t="s">
        <v>379</v>
      </c>
      <c r="AE11" s="190" t="s">
        <v>625</v>
      </c>
      <c r="AF11" s="37">
        <f t="shared" si="0"/>
        <v>0</v>
      </c>
      <c r="AG11" s="37">
        <f t="shared" ref="AG11" si="5">SUM(AG$2:AG$9)</f>
        <v>0</v>
      </c>
    </row>
    <row r="12" spans="1:33" ht="30" x14ac:dyDescent="0.25">
      <c r="A12" s="67"/>
      <c r="B12" s="72" t="str">
        <f>Modèle!B14</f>
        <v>Cadres</v>
      </c>
      <c r="C12" s="75" t="str">
        <f>Modèle!C14</f>
        <v>2.2</v>
      </c>
      <c r="D12" s="76" t="str">
        <f>Modèle!E14</f>
        <v>A</v>
      </c>
      <c r="E12" s="154">
        <f ca="1">COUNTIF(OFFSET(Synthèse!$G21,0,0,1,COUNTA(Synthèse!$10:$10)-6),"="&amp;$E$1)</f>
        <v>0</v>
      </c>
      <c r="F12" s="154">
        <f ca="1">COUNTIF(OFFSET(Synthèse!$G21,0,0,1,COUNTA(Synthèse!$10:$10)-6),"="&amp;$F$1)</f>
        <v>0</v>
      </c>
      <c r="G12" s="154">
        <f ca="1">COUNTIF(OFFSET(Synthèse!$G21,0,0,1,COUNTA(Synthèse!$10:$10)-6),"="&amp;$G$1)</f>
        <v>0</v>
      </c>
      <c r="H12" s="154">
        <f ca="1">COUNTIF(OFFSET(Synthèse!$G21,0,0,1,COUNTA(Synthèse!$10:$10)-6),"="&amp;$H$1)</f>
        <v>0</v>
      </c>
      <c r="I12" s="195">
        <f t="shared" ca="1" si="1"/>
        <v>0</v>
      </c>
      <c r="J12" s="66"/>
      <c r="L12" s="153" t="s">
        <v>237</v>
      </c>
      <c r="M12" s="152">
        <f t="shared" ca="1" si="3"/>
        <v>0</v>
      </c>
      <c r="N12" s="152">
        <f t="shared" ca="1" si="2"/>
        <v>0</v>
      </c>
      <c r="O12" s="152">
        <f t="shared" ca="1" si="2"/>
        <v>0</v>
      </c>
      <c r="P12" s="152">
        <f t="shared" ca="1" si="2"/>
        <v>0</v>
      </c>
      <c r="Q12" s="6"/>
      <c r="R12" s="6"/>
      <c r="T12" s="103" t="s">
        <v>411</v>
      </c>
      <c r="AB12" s="21" t="s">
        <v>376</v>
      </c>
      <c r="AC12" s="21" t="s">
        <v>380</v>
      </c>
      <c r="AE12" s="191"/>
      <c r="AF12" s="34"/>
      <c r="AG12" s="186" t="s">
        <v>45</v>
      </c>
    </row>
    <row r="13" spans="1:33" x14ac:dyDescent="0.25">
      <c r="A13" s="67"/>
      <c r="B13" s="71" t="str">
        <f>Modèle!B15</f>
        <v>Couleurs</v>
      </c>
      <c r="C13" s="73" t="str">
        <f>Modèle!C15</f>
        <v>3.1</v>
      </c>
      <c r="D13" s="74" t="str">
        <f>Modèle!E15</f>
        <v>A</v>
      </c>
      <c r="E13" s="154">
        <f ca="1">COUNTIF(OFFSET(Synthèse!$G22,0,0,1,COUNTA(Synthèse!$10:$10)-6),"="&amp;$E$1)</f>
        <v>0</v>
      </c>
      <c r="F13" s="154">
        <f ca="1">COUNTIF(OFFSET(Synthèse!$G22,0,0,1,COUNTA(Synthèse!$10:$10)-6),"="&amp;$F$1)</f>
        <v>0</v>
      </c>
      <c r="G13" s="154">
        <f ca="1">COUNTIF(OFFSET(Synthèse!$G22,0,0,1,COUNTA(Synthèse!$10:$10)-6),"="&amp;$G$1)</f>
        <v>0</v>
      </c>
      <c r="H13" s="154">
        <f ca="1">COUNTIF(OFFSET(Synthèse!$G22,0,0,1,COUNTA(Synthèse!$10:$10)-6),"="&amp;$H$1)</f>
        <v>0</v>
      </c>
      <c r="I13" s="195">
        <f t="shared" ca="1" si="1"/>
        <v>0</v>
      </c>
      <c r="J13" s="66"/>
      <c r="L13" s="151" t="s">
        <v>2</v>
      </c>
      <c r="M13" s="152">
        <f t="shared" ca="1" si="3"/>
        <v>0</v>
      </c>
      <c r="N13" s="152">
        <f t="shared" ca="1" si="2"/>
        <v>0</v>
      </c>
      <c r="O13" s="152">
        <f t="shared" ca="1" si="2"/>
        <v>0</v>
      </c>
      <c r="P13" s="152">
        <f t="shared" ca="1" si="2"/>
        <v>0</v>
      </c>
      <c r="Q13" s="6"/>
      <c r="R13" s="6"/>
      <c r="T13" s="103" t="s">
        <v>412</v>
      </c>
      <c r="AB13" s="21" t="s">
        <v>377</v>
      </c>
      <c r="AC13" s="21" t="s">
        <v>405</v>
      </c>
      <c r="AE13" s="192" t="s">
        <v>620</v>
      </c>
      <c r="AF13" s="35"/>
      <c r="AG13" s="40">
        <f t="shared" ref="AG13:AG15" si="6">IF(AG$10=0,0,CEILING(AG2/AG$10*100,0.5))</f>
        <v>0</v>
      </c>
    </row>
    <row r="14" spans="1:33" x14ac:dyDescent="0.25">
      <c r="A14" s="67"/>
      <c r="B14" s="71" t="str">
        <f>Modèle!B16</f>
        <v>Couleurs</v>
      </c>
      <c r="C14" s="73" t="str">
        <f>Modèle!C16</f>
        <v>3.2</v>
      </c>
      <c r="D14" s="74" t="str">
        <f>Modèle!E16</f>
        <v>AA</v>
      </c>
      <c r="E14" s="154">
        <f ca="1">COUNTIF(OFFSET(Synthèse!$G23,0,0,1,COUNTA(Synthèse!$10:$10)-6),"="&amp;$E$1)</f>
        <v>0</v>
      </c>
      <c r="F14" s="154">
        <f ca="1">COUNTIF(OFFSET(Synthèse!$G23,0,0,1,COUNTA(Synthèse!$10:$10)-6),"="&amp;$F$1)</f>
        <v>0</v>
      </c>
      <c r="G14" s="154">
        <f ca="1">COUNTIF(OFFSET(Synthèse!$G23,0,0,1,COUNTA(Synthèse!$10:$10)-6),"="&amp;$G$1)</f>
        <v>0</v>
      </c>
      <c r="H14" s="154">
        <f ca="1">COUNTIF(OFFSET(Synthèse!$G23,0,0,1,COUNTA(Synthèse!$10:$10)-6),"="&amp;$H$1)</f>
        <v>0</v>
      </c>
      <c r="I14" s="195">
        <f t="shared" ca="1" si="1"/>
        <v>0</v>
      </c>
      <c r="J14" s="66"/>
      <c r="L14" s="151" t="s">
        <v>5</v>
      </c>
      <c r="M14" s="152">
        <f t="shared" ca="1" si="3"/>
        <v>0</v>
      </c>
      <c r="N14" s="152">
        <f t="shared" ca="1" si="2"/>
        <v>0</v>
      </c>
      <c r="O14" s="152">
        <f t="shared" ca="1" si="2"/>
        <v>0</v>
      </c>
      <c r="P14" s="152">
        <f t="shared" ca="1" si="2"/>
        <v>0</v>
      </c>
      <c r="Q14" s="6"/>
      <c r="R14" s="6"/>
      <c r="T14" s="103" t="s">
        <v>413</v>
      </c>
      <c r="AB14" s="21" t="s">
        <v>378</v>
      </c>
      <c r="AC14" s="21" t="s">
        <v>406</v>
      </c>
      <c r="AE14" s="192" t="s">
        <v>621</v>
      </c>
      <c r="AF14" s="35"/>
      <c r="AG14" s="40">
        <f t="shared" si="6"/>
        <v>0</v>
      </c>
    </row>
    <row r="15" spans="1:33" x14ac:dyDescent="0.25">
      <c r="A15" s="67"/>
      <c r="B15" s="71" t="str">
        <f>Modèle!B17</f>
        <v>Couleurs</v>
      </c>
      <c r="C15" s="73" t="str">
        <f>Modèle!C17</f>
        <v>3.3</v>
      </c>
      <c r="D15" s="74" t="str">
        <f>Modèle!E17</f>
        <v>AA</v>
      </c>
      <c r="E15" s="154">
        <f ca="1">COUNTIF(OFFSET(Synthèse!$G24,0,0,1,COUNTA(Synthèse!$10:$10)-6),"="&amp;$E$1)</f>
        <v>0</v>
      </c>
      <c r="F15" s="154">
        <f ca="1">COUNTIF(OFFSET(Synthèse!$G24,0,0,1,COUNTA(Synthèse!$10:$10)-6),"="&amp;$F$1)</f>
        <v>0</v>
      </c>
      <c r="G15" s="154">
        <f ca="1">COUNTIF(OFFSET(Synthèse!$G24,0,0,1,COUNTA(Synthèse!$10:$10)-6),"="&amp;$G$1)</f>
        <v>0</v>
      </c>
      <c r="H15" s="154">
        <f ca="1">COUNTIF(OFFSET(Synthèse!$G24,0,0,1,COUNTA(Synthèse!$10:$10)-6),"="&amp;$H$1)</f>
        <v>0</v>
      </c>
      <c r="I15" s="195">
        <f t="shared" ca="1" si="1"/>
        <v>0</v>
      </c>
      <c r="J15" s="66"/>
      <c r="L15" s="151" t="s">
        <v>240</v>
      </c>
      <c r="M15" s="152">
        <f t="shared" ca="1" si="3"/>
        <v>0</v>
      </c>
      <c r="N15" s="152">
        <f t="shared" ca="1" si="2"/>
        <v>0</v>
      </c>
      <c r="O15" s="152">
        <f t="shared" ca="1" si="2"/>
        <v>0</v>
      </c>
      <c r="P15" s="152">
        <f t="shared" ca="1" si="2"/>
        <v>0</v>
      </c>
      <c r="Q15" s="6"/>
      <c r="R15" s="6"/>
      <c r="AE15" s="192" t="s">
        <v>622</v>
      </c>
      <c r="AF15" s="35"/>
      <c r="AG15" s="40">
        <f t="shared" si="6"/>
        <v>0</v>
      </c>
    </row>
    <row r="16" spans="1:33" ht="30" x14ac:dyDescent="0.25">
      <c r="A16" s="67"/>
      <c r="B16" s="173" t="str">
        <f>Modèle!B18</f>
        <v>Multimédia</v>
      </c>
      <c r="C16" s="174" t="str">
        <f>Modèle!C18</f>
        <v>4.1</v>
      </c>
      <c r="D16" s="175" t="str">
        <f>Modèle!E18</f>
        <v>A</v>
      </c>
      <c r="E16" s="154">
        <f ca="1">COUNTIF(OFFSET(Synthèse!$G25,0,0,1,COUNTA(Synthèse!$10:$10)-6),"="&amp;$E$1)</f>
        <v>0</v>
      </c>
      <c r="F16" s="154">
        <f ca="1">COUNTIF(OFFSET(Synthèse!$G25,0,0,1,COUNTA(Synthèse!$10:$10)-6),"="&amp;$F$1)</f>
        <v>0</v>
      </c>
      <c r="G16" s="154">
        <f ca="1">COUNTIF(OFFSET(Synthèse!$G25,0,0,1,COUNTA(Synthèse!$10:$10)-6),"="&amp;$G$1)</f>
        <v>0</v>
      </c>
      <c r="H16" s="154">
        <f ca="1">COUNTIF(OFFSET(Synthèse!$G25,0,0,1,COUNTA(Synthèse!$10:$10)-6),"="&amp;$H$1)</f>
        <v>0</v>
      </c>
      <c r="I16" s="195">
        <f t="shared" ca="1" si="1"/>
        <v>0</v>
      </c>
      <c r="J16" s="66"/>
      <c r="Q16" s="6"/>
      <c r="R16" s="6"/>
      <c r="AE16" s="193" t="s">
        <v>623</v>
      </c>
      <c r="AF16" s="35"/>
      <c r="AG16" s="41">
        <f t="shared" ref="AG16" si="7">IF(ISERROR(INT(AG2*100/(SUM(AG$2:AG$3)))),0,INT(AG2*100/(SUM(AG$2:AG$3))))</f>
        <v>0</v>
      </c>
    </row>
    <row r="17" spans="1:20" x14ac:dyDescent="0.25">
      <c r="A17" s="67"/>
      <c r="B17" s="173" t="str">
        <f>Modèle!B19</f>
        <v>Multimédia</v>
      </c>
      <c r="C17" s="174" t="str">
        <f>Modèle!C19</f>
        <v>4.2</v>
      </c>
      <c r="D17" s="175" t="str">
        <f>Modèle!E19</f>
        <v>A</v>
      </c>
      <c r="E17" s="154">
        <f ca="1">COUNTIF(OFFSET(Synthèse!$G26,0,0,1,COUNTA(Synthèse!$10:$10)-6),"="&amp;$E$1)</f>
        <v>0</v>
      </c>
      <c r="F17" s="154">
        <f ca="1">COUNTIF(OFFSET(Synthèse!$G26,0,0,1,COUNTA(Synthèse!$10:$10)-6),"="&amp;$F$1)</f>
        <v>0</v>
      </c>
      <c r="G17" s="154">
        <f ca="1">COUNTIF(OFFSET(Synthèse!$G26,0,0,1,COUNTA(Synthèse!$10:$10)-6),"="&amp;$G$1)</f>
        <v>0</v>
      </c>
      <c r="H17" s="154">
        <f ca="1">COUNTIF(OFFSET(Synthèse!$G26,0,0,1,COUNTA(Synthèse!$10:$10)-6),"="&amp;$H$1)</f>
        <v>0</v>
      </c>
      <c r="I17" s="195">
        <f t="shared" ca="1" si="1"/>
        <v>0</v>
      </c>
      <c r="J17" s="66"/>
      <c r="L17" s="161" t="s">
        <v>36</v>
      </c>
      <c r="M17" s="162">
        <f ca="1">SUM(M3:M15)</f>
        <v>0</v>
      </c>
      <c r="N17" s="162">
        <f ca="1">SUM(N3:N15)</f>
        <v>0</v>
      </c>
      <c r="O17" s="162">
        <f ca="1">SUM(O3:O15)</f>
        <v>0</v>
      </c>
      <c r="P17" s="162">
        <f ca="1">SUM(P3:P15)</f>
        <v>0</v>
      </c>
      <c r="Q17" s="6"/>
      <c r="R17" s="6"/>
    </row>
    <row r="18" spans="1:20" x14ac:dyDescent="0.25">
      <c r="A18" s="67"/>
      <c r="B18" s="173" t="str">
        <f>Modèle!B20</f>
        <v>Multimédia</v>
      </c>
      <c r="C18" s="174" t="str">
        <f>Modèle!C20</f>
        <v>4.3</v>
      </c>
      <c r="D18" s="175" t="str">
        <f>Modèle!E20</f>
        <v>A</v>
      </c>
      <c r="E18" s="154">
        <f ca="1">COUNTIF(OFFSET(Synthèse!$G27,0,0,1,COUNTA(Synthèse!$10:$10)-6),"="&amp;$E$1)</f>
        <v>0</v>
      </c>
      <c r="F18" s="154">
        <f ca="1">COUNTIF(OFFSET(Synthèse!$G27,0,0,1,COUNTA(Synthèse!$10:$10)-6),"="&amp;$F$1)</f>
        <v>0</v>
      </c>
      <c r="G18" s="154">
        <f ca="1">COUNTIF(OFFSET(Synthèse!$G27,0,0,1,COUNTA(Synthèse!$10:$10)-6),"="&amp;$G$1)</f>
        <v>0</v>
      </c>
      <c r="H18" s="154">
        <f ca="1">COUNTIF(OFFSET(Synthèse!$G27,0,0,1,COUNTA(Synthèse!$10:$10)-6),"="&amp;$H$1)</f>
        <v>0</v>
      </c>
      <c r="I18" s="195">
        <f t="shared" ca="1" si="1"/>
        <v>0</v>
      </c>
      <c r="J18" s="66"/>
      <c r="L18" s="161" t="s">
        <v>250</v>
      </c>
      <c r="M18" s="163" t="str">
        <f ca="1">IF(M17+N17&gt;0,(100/(M17+N17))*M17,"")</f>
        <v/>
      </c>
      <c r="N18" s="163" t="str">
        <f ca="1">IF(M17+N17&gt;0,(100/(M17+N17))*N17,"")</f>
        <v/>
      </c>
      <c r="Q18" s="6"/>
      <c r="R18" s="6"/>
    </row>
    <row r="19" spans="1:20" x14ac:dyDescent="0.25">
      <c r="A19" s="67"/>
      <c r="B19" s="173" t="str">
        <f>Modèle!B21</f>
        <v>Multimédia</v>
      </c>
      <c r="C19" s="174" t="str">
        <f>Modèle!C21</f>
        <v>4.4</v>
      </c>
      <c r="D19" s="175" t="str">
        <f>Modèle!E21</f>
        <v>A</v>
      </c>
      <c r="E19" s="154">
        <f ca="1">COUNTIF(OFFSET(Synthèse!$G28,0,0,1,COUNTA(Synthèse!$10:$10)-6),"="&amp;$E$1)</f>
        <v>0</v>
      </c>
      <c r="F19" s="154">
        <f ca="1">COUNTIF(OFFSET(Synthèse!$G28,0,0,1,COUNTA(Synthèse!$10:$10)-6),"="&amp;$F$1)</f>
        <v>0</v>
      </c>
      <c r="G19" s="154">
        <f ca="1">COUNTIF(OFFSET(Synthèse!$G28,0,0,1,COUNTA(Synthèse!$10:$10)-6),"="&amp;$G$1)</f>
        <v>0</v>
      </c>
      <c r="H19" s="154">
        <f ca="1">COUNTIF(OFFSET(Synthèse!$G28,0,0,1,COUNTA(Synthèse!$10:$10)-6),"="&amp;$H$1)</f>
        <v>0</v>
      </c>
      <c r="I19" s="195">
        <f t="shared" ca="1" si="1"/>
        <v>0</v>
      </c>
      <c r="J19" s="66"/>
      <c r="Q19" s="6"/>
      <c r="R19" s="6"/>
    </row>
    <row r="20" spans="1:20" x14ac:dyDescent="0.25">
      <c r="A20" s="67"/>
      <c r="B20" s="173" t="str">
        <f>Modèle!B22</f>
        <v>Multimédia</v>
      </c>
      <c r="C20" s="174" t="str">
        <f>Modèle!C22</f>
        <v>4.5</v>
      </c>
      <c r="D20" s="175" t="str">
        <f>Modèle!E22</f>
        <v>AA</v>
      </c>
      <c r="E20" s="154">
        <f ca="1">COUNTIF(OFFSET(Synthèse!$G29,0,0,1,COUNTA(Synthèse!$10:$10)-6),"="&amp;$E$1)</f>
        <v>0</v>
      </c>
      <c r="F20" s="154">
        <f ca="1">COUNTIF(OFFSET(Synthèse!$G29,0,0,1,COUNTA(Synthèse!$10:$10)-6),"="&amp;$F$1)</f>
        <v>0</v>
      </c>
      <c r="G20" s="154">
        <f ca="1">COUNTIF(OFFSET(Synthèse!$G29,0,0,1,COUNTA(Synthèse!$10:$10)-6),"="&amp;$G$1)</f>
        <v>0</v>
      </c>
      <c r="H20" s="154">
        <f ca="1">COUNTIF(OFFSET(Synthèse!$G29,0,0,1,COUNTA(Synthèse!$10:$10)-6),"="&amp;$H$1)</f>
        <v>0</v>
      </c>
      <c r="I20" s="195">
        <f t="shared" ca="1" si="1"/>
        <v>0</v>
      </c>
      <c r="J20" s="66"/>
      <c r="L20" s="263" t="s">
        <v>430</v>
      </c>
      <c r="M20" s="263"/>
      <c r="N20" s="263"/>
      <c r="O20"/>
      <c r="P20"/>
      <c r="Q20" s="6"/>
      <c r="R20" s="6"/>
    </row>
    <row r="21" spans="1:20" x14ac:dyDescent="0.25">
      <c r="A21" s="67"/>
      <c r="B21" s="173" t="str">
        <f>Modèle!B23</f>
        <v>Multimédia</v>
      </c>
      <c r="C21" s="174" t="str">
        <f>Modèle!C23</f>
        <v>4.6</v>
      </c>
      <c r="D21" s="175" t="str">
        <f>Modèle!E23</f>
        <v>AA</v>
      </c>
      <c r="E21" s="154">
        <f ca="1">COUNTIF(OFFSET(Synthèse!$G30,0,0,1,COUNTA(Synthèse!$10:$10)-6),"="&amp;$E$1)</f>
        <v>0</v>
      </c>
      <c r="F21" s="154">
        <f ca="1">COUNTIF(OFFSET(Synthèse!$G30,0,0,1,COUNTA(Synthèse!$10:$10)-6),"="&amp;$F$1)</f>
        <v>0</v>
      </c>
      <c r="G21" s="154">
        <f ca="1">COUNTIF(OFFSET(Synthèse!$G30,0,0,1,COUNTA(Synthèse!$10:$10)-6),"="&amp;$G$1)</f>
        <v>0</v>
      </c>
      <c r="H21" s="154">
        <f ca="1">COUNTIF(OFFSET(Synthèse!$G30,0,0,1,COUNTA(Synthèse!$10:$10)-6),"="&amp;$H$1)</f>
        <v>0</v>
      </c>
      <c r="I21" s="195">
        <f t="shared" ca="1" si="1"/>
        <v>0</v>
      </c>
      <c r="J21" s="66"/>
      <c r="L21" s="164" t="s">
        <v>251</v>
      </c>
      <c r="M21" s="16" t="s">
        <v>250</v>
      </c>
      <c r="N21" s="16" t="s">
        <v>252</v>
      </c>
      <c r="P21"/>
      <c r="Q21" s="6"/>
      <c r="R21" s="6"/>
    </row>
    <row r="22" spans="1:20" x14ac:dyDescent="0.25">
      <c r="A22" s="67"/>
      <c r="B22" s="173" t="str">
        <f>Modèle!B24</f>
        <v>Multimédia</v>
      </c>
      <c r="C22" s="174" t="str">
        <f>Modèle!C24</f>
        <v>4.7</v>
      </c>
      <c r="D22" s="175" t="str">
        <f>Modèle!E24</f>
        <v>A</v>
      </c>
      <c r="E22" s="154">
        <f ca="1">COUNTIF(OFFSET(Synthèse!$G31,0,0,1,COUNTA(Synthèse!$10:$10)-6),"="&amp;$E$1)</f>
        <v>0</v>
      </c>
      <c r="F22" s="154">
        <f ca="1">COUNTIF(OFFSET(Synthèse!$G31,0,0,1,COUNTA(Synthèse!$10:$10)-6),"="&amp;$F$1)</f>
        <v>0</v>
      </c>
      <c r="G22" s="154">
        <f ca="1">COUNTIF(OFFSET(Synthèse!$G31,0,0,1,COUNTA(Synthèse!$10:$10)-6),"="&amp;$G$1)</f>
        <v>0</v>
      </c>
      <c r="H22" s="154">
        <f ca="1">COUNTIF(OFFSET(Synthèse!$G31,0,0,1,COUNTA(Synthèse!$10:$10)-6),"="&amp;$H$1)</f>
        <v>0</v>
      </c>
      <c r="I22" s="195">
        <f t="shared" ca="1" si="1"/>
        <v>0</v>
      </c>
      <c r="J22" s="66"/>
      <c r="L22" s="18" t="s">
        <v>253</v>
      </c>
      <c r="M22" s="68" t="str">
        <f ca="1">IF(N22+N23&gt;0,(100/(N22+N23))*N22,"")</f>
        <v/>
      </c>
      <c r="N22" s="17">
        <f ca="1">COUNTIF(E2:E258,"&gt;0")</f>
        <v>0</v>
      </c>
      <c r="P22"/>
      <c r="Q22" s="6"/>
      <c r="R22" s="6"/>
    </row>
    <row r="23" spans="1:20" x14ac:dyDescent="0.25">
      <c r="A23" s="67"/>
      <c r="B23" s="173" t="str">
        <f>Modèle!B25</f>
        <v>Multimédia</v>
      </c>
      <c r="C23" s="174" t="str">
        <f>Modèle!C25</f>
        <v>4.8</v>
      </c>
      <c r="D23" s="175" t="str">
        <f>Modèle!E25</f>
        <v>A</v>
      </c>
      <c r="E23" s="154">
        <f ca="1">COUNTIF(OFFSET(Synthèse!$G32,0,0,1,COUNTA(Synthèse!$10:$10)-6),"="&amp;$E$1)</f>
        <v>0</v>
      </c>
      <c r="F23" s="154">
        <f ca="1">COUNTIF(OFFSET(Synthèse!$G32,0,0,1,COUNTA(Synthèse!$10:$10)-6),"="&amp;$F$1)</f>
        <v>0</v>
      </c>
      <c r="G23" s="154">
        <f ca="1">COUNTIF(OFFSET(Synthèse!$G32,0,0,1,COUNTA(Synthèse!$10:$10)-6),"="&amp;$G$1)</f>
        <v>0</v>
      </c>
      <c r="H23" s="154">
        <f ca="1">COUNTIF(OFFSET(Synthèse!$G32,0,0,1,COUNTA(Synthèse!$10:$10)-6),"="&amp;$H$1)</f>
        <v>0</v>
      </c>
      <c r="I23" s="195">
        <f t="shared" ca="1" si="1"/>
        <v>0</v>
      </c>
      <c r="J23" s="66"/>
      <c r="L23" s="18" t="s">
        <v>254</v>
      </c>
      <c r="M23" s="68" t="str">
        <f ca="1">IF(N22+N23&gt;0,(100/(N22+N23))*N23,"")</f>
        <v/>
      </c>
      <c r="N23" s="17">
        <f ca="1">COUNTIF(F2:F258,"&gt;0")</f>
        <v>0</v>
      </c>
      <c r="P23"/>
      <c r="Q23" s="6"/>
      <c r="R23" s="6"/>
    </row>
    <row r="24" spans="1:20" x14ac:dyDescent="0.25">
      <c r="A24" s="66"/>
      <c r="B24" s="173" t="str">
        <f>Modèle!B26</f>
        <v>Multimédia</v>
      </c>
      <c r="C24" s="174" t="str">
        <f>Modèle!C26</f>
        <v>4.9</v>
      </c>
      <c r="D24" s="175" t="str">
        <f>Modèle!E26</f>
        <v>A</v>
      </c>
      <c r="E24" s="154">
        <f ca="1">COUNTIF(OFFSET(Synthèse!$G33,0,0,1,COUNTA(Synthèse!$10:$10)-6),"="&amp;$E$1)</f>
        <v>0</v>
      </c>
      <c r="F24" s="154">
        <f ca="1">COUNTIF(OFFSET(Synthèse!$G33,0,0,1,COUNTA(Synthèse!$10:$10)-6),"="&amp;$F$1)</f>
        <v>0</v>
      </c>
      <c r="G24" s="154">
        <f ca="1">COUNTIF(OFFSET(Synthèse!$G33,0,0,1,COUNTA(Synthèse!$10:$10)-6),"="&amp;$G$1)</f>
        <v>0</v>
      </c>
      <c r="H24" s="154">
        <f ca="1">COUNTIF(OFFSET(Synthèse!$G33,0,0,1,COUNTA(Synthèse!$10:$10)-6),"="&amp;$H$1)</f>
        <v>0</v>
      </c>
      <c r="I24" s="195">
        <f t="shared" ca="1" si="1"/>
        <v>0</v>
      </c>
      <c r="J24" s="66"/>
      <c r="L24"/>
      <c r="M24"/>
      <c r="N24"/>
      <c r="O24"/>
      <c r="P24"/>
      <c r="Q24" s="6"/>
      <c r="R24" s="6"/>
    </row>
    <row r="25" spans="1:20" x14ac:dyDescent="0.25">
      <c r="A25" s="66"/>
      <c r="B25" s="72" t="str">
        <f>Modèle!B27</f>
        <v>Multimédia</v>
      </c>
      <c r="C25" s="75" t="str">
        <f>Modèle!C27</f>
        <v>4.10</v>
      </c>
      <c r="D25" s="76" t="str">
        <f>Modèle!E27</f>
        <v>A</v>
      </c>
      <c r="E25" s="154">
        <f ca="1">COUNTIF(OFFSET(Synthèse!$G34,0,0,1,COUNTA(Synthèse!$10:$10)-6),"="&amp;$E$1)</f>
        <v>0</v>
      </c>
      <c r="F25" s="154">
        <f ca="1">COUNTIF(OFFSET(Synthèse!$G34,0,0,1,COUNTA(Synthèse!$10:$10)-6),"="&amp;$F$1)</f>
        <v>0</v>
      </c>
      <c r="G25" s="154">
        <f ca="1">COUNTIF(OFFSET(Synthèse!$G34,0,0,1,COUNTA(Synthèse!$10:$10)-6),"="&amp;$G$1)</f>
        <v>0</v>
      </c>
      <c r="H25" s="154">
        <f ca="1">COUNTIF(OFFSET(Synthèse!$G34,0,0,1,COUNTA(Synthèse!$10:$10)-6),"="&amp;$H$1)</f>
        <v>0</v>
      </c>
      <c r="I25" s="195">
        <f t="shared" ca="1" si="1"/>
        <v>0</v>
      </c>
      <c r="J25" s="66"/>
      <c r="L25"/>
      <c r="M25"/>
      <c r="N25"/>
      <c r="O25"/>
      <c r="P25"/>
      <c r="Q25" s="6"/>
      <c r="R25" s="6"/>
    </row>
    <row r="26" spans="1:20" x14ac:dyDescent="0.25">
      <c r="A26" s="66"/>
      <c r="B26" s="72" t="str">
        <f>Modèle!B28</f>
        <v>Multimédia</v>
      </c>
      <c r="C26" s="75" t="str">
        <f>Modèle!C28</f>
        <v>4.11</v>
      </c>
      <c r="D26" s="76" t="str">
        <f>Modèle!E28</f>
        <v>A</v>
      </c>
      <c r="E26" s="154">
        <f ca="1">COUNTIF(OFFSET(Synthèse!$G35,0,0,1,COUNTA(Synthèse!$10:$10)-6),"="&amp;$E$1)</f>
        <v>0</v>
      </c>
      <c r="F26" s="154">
        <f ca="1">COUNTIF(OFFSET(Synthèse!$G35,0,0,1,COUNTA(Synthèse!$10:$10)-6),"="&amp;$F$1)</f>
        <v>0</v>
      </c>
      <c r="G26" s="154">
        <f ca="1">COUNTIF(OFFSET(Synthèse!$G35,0,0,1,COUNTA(Synthèse!$10:$10)-6),"="&amp;$G$1)</f>
        <v>0</v>
      </c>
      <c r="H26" s="154">
        <f ca="1">COUNTIF(OFFSET(Synthèse!$G35,0,0,1,COUNTA(Synthèse!$10:$10)-6),"="&amp;$H$1)</f>
        <v>0</v>
      </c>
      <c r="I26" s="195">
        <f t="shared" ca="1" si="1"/>
        <v>0</v>
      </c>
      <c r="J26" s="66"/>
      <c r="L26" s="263" t="s">
        <v>255</v>
      </c>
      <c r="M26" s="263"/>
      <c r="N26" s="263"/>
      <c r="O26" s="263"/>
      <c r="P26" s="263"/>
      <c r="Q26" s="263"/>
      <c r="R26" s="160"/>
    </row>
    <row r="27" spans="1:20" x14ac:dyDescent="0.25">
      <c r="A27" s="66"/>
      <c r="B27" s="72" t="str">
        <f>Modèle!B29</f>
        <v>Multimédia</v>
      </c>
      <c r="C27" s="75" t="str">
        <f>Modèle!C29</f>
        <v>4.12</v>
      </c>
      <c r="D27" s="76" t="str">
        <f>Modèle!E29</f>
        <v>A</v>
      </c>
      <c r="E27" s="154">
        <f ca="1">COUNTIF(OFFSET(Synthèse!$G36,0,0,1,COUNTA(Synthèse!$10:$10)-6),"="&amp;$E$1)</f>
        <v>0</v>
      </c>
      <c r="F27" s="154">
        <f ca="1">COUNTIF(OFFSET(Synthèse!$G36,0,0,1,COUNTA(Synthèse!$10:$10)-6),"="&amp;$F$1)</f>
        <v>0</v>
      </c>
      <c r="G27" s="154">
        <f ca="1">COUNTIF(OFFSET(Synthèse!$G36,0,0,1,COUNTA(Synthèse!$10:$10)-6),"="&amp;$G$1)</f>
        <v>0</v>
      </c>
      <c r="H27" s="154">
        <f ca="1">COUNTIF(OFFSET(Synthèse!$G36,0,0,1,COUNTA(Synthèse!$10:$10)-6),"="&amp;$H$1)</f>
        <v>0</v>
      </c>
      <c r="I27" s="195">
        <f t="shared" ca="1" si="1"/>
        <v>0</v>
      </c>
      <c r="J27" s="66"/>
      <c r="L27" s="48"/>
      <c r="M27" s="16" t="s">
        <v>243</v>
      </c>
      <c r="N27" s="16" t="s">
        <v>244</v>
      </c>
      <c r="O27" s="16" t="s">
        <v>245</v>
      </c>
      <c r="P27" s="16" t="s">
        <v>256</v>
      </c>
      <c r="Q27" s="79" t="s">
        <v>246</v>
      </c>
      <c r="R27" s="79"/>
    </row>
    <row r="28" spans="1:20" x14ac:dyDescent="0.25">
      <c r="A28" s="66"/>
      <c r="B28" s="72" t="str">
        <f>Modèle!B30</f>
        <v>Multimédia</v>
      </c>
      <c r="C28" s="75" t="str">
        <f>Modèle!C30</f>
        <v>4.13</v>
      </c>
      <c r="D28" s="76" t="str">
        <f>Modèle!E30</f>
        <v>A</v>
      </c>
      <c r="E28" s="154">
        <f ca="1">COUNTIF(OFFSET(Synthèse!$G37,0,0,1,COUNTA(Synthèse!$10:$10)-6),"="&amp;$E$1)</f>
        <v>0</v>
      </c>
      <c r="F28" s="154">
        <f ca="1">COUNTIF(OFFSET(Synthèse!$G37,0,0,1,COUNTA(Synthèse!$10:$10)-6),"="&amp;$F$1)</f>
        <v>0</v>
      </c>
      <c r="G28" s="154">
        <f ca="1">COUNTIF(OFFSET(Synthèse!$G37,0,0,1,COUNTA(Synthèse!$10:$10)-6),"="&amp;$G$1)</f>
        <v>0</v>
      </c>
      <c r="H28" s="154">
        <f ca="1">COUNTIF(OFFSET(Synthèse!$G37,0,0,1,COUNTA(Synthèse!$10:$10)-6),"="&amp;$H$1)</f>
        <v>0</v>
      </c>
      <c r="I28" s="195">
        <f t="shared" ca="1" si="1"/>
        <v>0</v>
      </c>
      <c r="J28" s="66"/>
      <c r="L28" s="18" t="s">
        <v>253</v>
      </c>
      <c r="M28" s="145">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45">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45">
        <f ca="1">COUNTIF(I55:I59,L28)+COUNTIF(I84:I87,L28)+COUNTIF(I103:I110,L28)+COUNTIF(I186:I188,L28)+COUNTIF(I210:I215,L28)+COUNTIF(I247:I248,L28)+COUNTIF(I268:I271,L28)+COUNTIF(I281:I295,L28)</f>
        <v>0</v>
      </c>
      <c r="P28" s="145">
        <f ca="1">COUNTIF(I55:I59,L28)+COUNTIF(I84:I87,L28)+COUNTIF(I103:I110,L28)+COUNTIF(I186:I188,L28)+COUNTIF(I210:I215,L28)+COUNTIF(I247:I248,L28)+COUNTIF(I268:I271,L28)+COUNTIF(I281:I295,L28)</f>
        <v>0</v>
      </c>
      <c r="Q28" s="80">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0"/>
    </row>
    <row r="29" spans="1:20" x14ac:dyDescent="0.25">
      <c r="A29" s="66"/>
      <c r="B29" s="71" t="str">
        <f>Modèle!B31</f>
        <v>Tableaux</v>
      </c>
      <c r="C29" s="73" t="str">
        <f>Modèle!C31</f>
        <v>5.1</v>
      </c>
      <c r="D29" s="74" t="str">
        <f>Modèle!E31</f>
        <v>A</v>
      </c>
      <c r="E29" s="154">
        <f ca="1">COUNTIF(OFFSET(Synthèse!$G38,0,0,1,COUNTA(Synthèse!$10:$10)-6),"="&amp;$E$1)</f>
        <v>0</v>
      </c>
      <c r="F29" s="154">
        <f ca="1">COUNTIF(OFFSET(Synthèse!$G38,0,0,1,COUNTA(Synthèse!$10:$10)-6),"="&amp;$F$1)</f>
        <v>0</v>
      </c>
      <c r="G29" s="154">
        <f ca="1">COUNTIF(OFFSET(Synthèse!$G38,0,0,1,COUNTA(Synthèse!$10:$10)-6),"="&amp;$G$1)</f>
        <v>0</v>
      </c>
      <c r="H29" s="154">
        <f ca="1">COUNTIF(OFFSET(Synthèse!$G38,0,0,1,COUNTA(Synthèse!$10:$10)-6),"="&amp;$H$1)</f>
        <v>0</v>
      </c>
      <c r="I29" s="195">
        <f t="shared" ca="1" si="1"/>
        <v>0</v>
      </c>
      <c r="J29" s="66"/>
      <c r="L29" s="18" t="s">
        <v>254</v>
      </c>
      <c r="M29" s="145">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45">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45">
        <f ca="1">COUNTIF(I55:I59,L29)+COUNTIF(I84:I87,L29)+COUNTIF(I103:I110,L29)+COUNTIF(I186:I188,L29)+COUNTIF(I210:I215,L29)+COUNTIF(I247:I248,L29)+COUNTIF(I268:I271,L29)+COUNTIF(I281:I295,L29)</f>
        <v>0</v>
      </c>
      <c r="P29" s="145">
        <f ca="1">COUNTIF(I55:I59,L29)+COUNTIF(I84:I87,L29)+COUNTIF(I103:I110,L29)+COUNTIF(I186:I188,L29)+COUNTIF(I210:I215,L29)+COUNTIF(I247:I248,L29)+COUNTIF(I268:I271,L29)+COUNTIF(I281:I295,L29)</f>
        <v>0</v>
      </c>
      <c r="Q29" s="80">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0"/>
      <c r="T29"/>
    </row>
    <row r="30" spans="1:20" x14ac:dyDescent="0.25">
      <c r="A30" s="66"/>
      <c r="B30" s="71" t="str">
        <f>Modèle!B32</f>
        <v>Tableaux</v>
      </c>
      <c r="C30" s="73" t="str">
        <f>Modèle!C32</f>
        <v>5.2</v>
      </c>
      <c r="D30" s="74" t="str">
        <f>Modèle!E32</f>
        <v>A</v>
      </c>
      <c r="E30" s="154">
        <f ca="1">COUNTIF(OFFSET(Synthèse!$G39,0,0,1,COUNTA(Synthèse!$10:$10)-6),"="&amp;$E$1)</f>
        <v>0</v>
      </c>
      <c r="F30" s="154">
        <f ca="1">COUNTIF(OFFSET(Synthèse!$G39,0,0,1,COUNTA(Synthèse!$10:$10)-6),"="&amp;$F$1)</f>
        <v>0</v>
      </c>
      <c r="G30" s="154">
        <f ca="1">COUNTIF(OFFSET(Synthèse!$G39,0,0,1,COUNTA(Synthèse!$10:$10)-6),"="&amp;$G$1)</f>
        <v>0</v>
      </c>
      <c r="H30" s="154">
        <f ca="1">COUNTIF(OFFSET(Synthèse!$G39,0,0,1,COUNTA(Synthèse!$10:$10)-6),"="&amp;$H$1)</f>
        <v>0</v>
      </c>
      <c r="I30" s="195">
        <f t="shared" ca="1" si="1"/>
        <v>0</v>
      </c>
      <c r="J30" s="66"/>
      <c r="L30" s="18" t="s">
        <v>257</v>
      </c>
      <c r="M30" s="69" t="str">
        <f ca="1">IF(M28+M29&gt;0,(100/(M28+M29))*M29,"")</f>
        <v/>
      </c>
      <c r="N30" s="69" t="str">
        <f ca="1">IF(N28+N29&gt;0,(100/(N28+N29))*N29,"")</f>
        <v/>
      </c>
      <c r="O30" s="69" t="str">
        <f t="shared" ref="O30:Q30" ca="1" si="8">IF(O28+O29&gt;0,(100/(O28+O29))*O29,"")</f>
        <v/>
      </c>
      <c r="P30" s="69" t="str">
        <f t="shared" ca="1" si="8"/>
        <v/>
      </c>
      <c r="Q30" s="69" t="str">
        <f t="shared" ca="1" si="8"/>
        <v/>
      </c>
      <c r="R30" s="81"/>
      <c r="T30"/>
    </row>
    <row r="31" spans="1:20" x14ac:dyDescent="0.25">
      <c r="A31" s="66"/>
      <c r="B31" s="71" t="str">
        <f>Modèle!B33</f>
        <v>Tableaux</v>
      </c>
      <c r="C31" s="73" t="str">
        <f>Modèle!C33</f>
        <v>5.3</v>
      </c>
      <c r="D31" s="74" t="str">
        <f>Modèle!E33</f>
        <v>A</v>
      </c>
      <c r="E31" s="154">
        <f ca="1">COUNTIF(OFFSET(Synthèse!$G40,0,0,1,COUNTA(Synthèse!$10:$10)-6),"="&amp;$E$1)</f>
        <v>0</v>
      </c>
      <c r="F31" s="154">
        <f ca="1">COUNTIF(OFFSET(Synthèse!$G40,0,0,1,COUNTA(Synthèse!$10:$10)-6),"="&amp;$F$1)</f>
        <v>0</v>
      </c>
      <c r="G31" s="154">
        <f ca="1">COUNTIF(OFFSET(Synthèse!$G40,0,0,1,COUNTA(Synthèse!$10:$10)-6),"="&amp;$G$1)</f>
        <v>0</v>
      </c>
      <c r="H31" s="154">
        <f ca="1">COUNTIF(OFFSET(Synthèse!$G40,0,0,1,COUNTA(Synthèse!$10:$10)-6),"="&amp;$H$1)</f>
        <v>0</v>
      </c>
      <c r="I31" s="195">
        <f t="shared" ca="1" si="1"/>
        <v>0</v>
      </c>
      <c r="J31" s="66"/>
      <c r="Q31" s="6"/>
      <c r="R31" s="6"/>
    </row>
    <row r="32" spans="1:20" x14ac:dyDescent="0.25">
      <c r="A32" s="66"/>
      <c r="B32" s="71" t="str">
        <f>Modèle!B34</f>
        <v>Tableaux</v>
      </c>
      <c r="C32" s="73" t="str">
        <f>Modèle!C34</f>
        <v>5.4</v>
      </c>
      <c r="D32" s="74" t="str">
        <f>Modèle!E34</f>
        <v>A</v>
      </c>
      <c r="E32" s="154">
        <f ca="1">COUNTIF(OFFSET(Synthèse!$G41,0,0,1,COUNTA(Synthèse!$10:$10)-6),"="&amp;$E$1)</f>
        <v>0</v>
      </c>
      <c r="F32" s="154">
        <f ca="1">COUNTIF(OFFSET(Synthèse!$G41,0,0,1,COUNTA(Synthèse!$10:$10)-6),"="&amp;$F$1)</f>
        <v>0</v>
      </c>
      <c r="G32" s="154">
        <f ca="1">COUNTIF(OFFSET(Synthèse!$G41,0,0,1,COUNTA(Synthèse!$10:$10)-6),"="&amp;$G$1)</f>
        <v>0</v>
      </c>
      <c r="H32" s="154">
        <f ca="1">COUNTIF(OFFSET(Synthèse!$G41,0,0,1,COUNTA(Synthèse!$10:$10)-6),"="&amp;$H$1)</f>
        <v>0</v>
      </c>
      <c r="I32" s="195">
        <f t="shared" ca="1" si="1"/>
        <v>0</v>
      </c>
      <c r="J32" s="66"/>
      <c r="L32" s="264" t="s">
        <v>429</v>
      </c>
      <c r="M32" s="264"/>
      <c r="N32" s="264"/>
      <c r="O32" s="264"/>
      <c r="P32" s="264"/>
      <c r="Q32" s="264"/>
      <c r="R32" s="264"/>
    </row>
    <row r="33" spans="1:18" x14ac:dyDescent="0.25">
      <c r="A33" s="66"/>
      <c r="B33" s="71" t="str">
        <f>Modèle!B35</f>
        <v>Tableaux</v>
      </c>
      <c r="C33" s="73" t="str">
        <f>Modèle!C35</f>
        <v>5.5</v>
      </c>
      <c r="D33" s="74" t="str">
        <f>Modèle!E35</f>
        <v>A</v>
      </c>
      <c r="E33" s="154">
        <f ca="1">COUNTIF(OFFSET(Synthèse!$G42,0,0,1,COUNTA(Synthèse!$10:$10)-6),"="&amp;$E$1)</f>
        <v>0</v>
      </c>
      <c r="F33" s="154">
        <f ca="1">COUNTIF(OFFSET(Synthèse!$G42,0,0,1,COUNTA(Synthèse!$10:$10)-6),"="&amp;$F$1)</f>
        <v>0</v>
      </c>
      <c r="G33" s="154">
        <f ca="1">COUNTIF(OFFSET(Synthèse!$G42,0,0,1,COUNTA(Synthèse!$10:$10)-6),"="&amp;$G$1)</f>
        <v>0</v>
      </c>
      <c r="H33" s="154">
        <f ca="1">COUNTIF(OFFSET(Synthèse!$G42,0,0,1,COUNTA(Synthèse!$10:$10)-6),"="&amp;$H$1)</f>
        <v>0</v>
      </c>
      <c r="I33" s="195">
        <f t="shared" ca="1" si="1"/>
        <v>0</v>
      </c>
      <c r="J33" s="66"/>
      <c r="K33" s="184"/>
      <c r="L33" s="159" t="s">
        <v>21</v>
      </c>
      <c r="M33" s="159" t="s">
        <v>608</v>
      </c>
      <c r="N33" s="159" t="s">
        <v>258</v>
      </c>
      <c r="O33" s="185" t="s">
        <v>9</v>
      </c>
      <c r="P33" s="185" t="s">
        <v>10</v>
      </c>
      <c r="Q33" s="185" t="s">
        <v>382</v>
      </c>
      <c r="R33" s="185" t="s">
        <v>11</v>
      </c>
    </row>
    <row r="34" spans="1:18" x14ac:dyDescent="0.25">
      <c r="A34" s="66"/>
      <c r="B34" s="71" t="str">
        <f>Modèle!B36</f>
        <v>Tableaux</v>
      </c>
      <c r="C34" s="73" t="str">
        <f>Modèle!C36</f>
        <v>5.6</v>
      </c>
      <c r="D34" s="74" t="str">
        <f>Modèle!E36</f>
        <v>A</v>
      </c>
      <c r="E34" s="154">
        <f ca="1">COUNTIF(OFFSET(Synthèse!$G43,0,0,1,COUNTA(Synthèse!$10:$10)-6),"="&amp;$E$1)</f>
        <v>0</v>
      </c>
      <c r="F34" s="154">
        <f ca="1">COUNTIF(OFFSET(Synthèse!$G43,0,0,1,COUNTA(Synthèse!$10:$10)-6),"="&amp;$F$1)</f>
        <v>0</v>
      </c>
      <c r="G34" s="154">
        <f ca="1">COUNTIF(OFFSET(Synthèse!$G43,0,0,1,COUNTA(Synthèse!$10:$10)-6),"="&amp;$G$1)</f>
        <v>0</v>
      </c>
      <c r="H34" s="154">
        <f ca="1">COUNTIF(OFFSET(Synthèse!$G43,0,0,1,COUNTA(Synthèse!$10:$10)-6),"="&amp;$H$1)</f>
        <v>0</v>
      </c>
      <c r="I34" s="195">
        <f t="shared" ca="1" si="1"/>
        <v>0</v>
      </c>
      <c r="J34" s="66"/>
      <c r="L34" s="155" t="s">
        <v>22</v>
      </c>
      <c r="M34" s="155"/>
      <c r="N34" s="155" t="s">
        <v>260</v>
      </c>
      <c r="O34" s="156">
        <f ca="1">IF(E2&gt;=1,0,1)</f>
        <v>1</v>
      </c>
      <c r="P34" s="156">
        <f ca="1">IF(E2&gt;=1,1,IF(G2&gt;=1,1,IF(F2&gt;=1,0,1)))</f>
        <v>1</v>
      </c>
      <c r="Q34" s="156">
        <f ca="1">IF(E2&gt;=1,1,IF(G2&gt;=1,0,1))</f>
        <v>1</v>
      </c>
      <c r="R34" s="156">
        <f ca="1">IF(E2&gt;=1,1,IF(G2&gt;=1,1,IF(F2&gt;=1,1,IF(H2&gt;=1,0,1))))</f>
        <v>1</v>
      </c>
    </row>
    <row r="35" spans="1:18" x14ac:dyDescent="0.25">
      <c r="A35" s="66"/>
      <c r="B35" s="71" t="str">
        <f>Modèle!B37</f>
        <v>Tableaux</v>
      </c>
      <c r="C35" s="73" t="str">
        <f>Modèle!C37</f>
        <v>5.7</v>
      </c>
      <c r="D35" s="74" t="str">
        <f>Modèle!E37</f>
        <v>A</v>
      </c>
      <c r="E35" s="154">
        <f ca="1">COUNTIF(OFFSET(Synthèse!$G44,0,0,1,COUNTA(Synthèse!$10:$10)-6),"="&amp;$E$1)</f>
        <v>0</v>
      </c>
      <c r="F35" s="154">
        <f ca="1">COUNTIF(OFFSET(Synthèse!$G44,0,0,1,COUNTA(Synthèse!$10:$10)-6),"="&amp;$F$1)</f>
        <v>0</v>
      </c>
      <c r="G35" s="154">
        <f ca="1">COUNTIF(OFFSET(Synthèse!$G44,0,0,1,COUNTA(Synthèse!$10:$10)-6),"="&amp;$G$1)</f>
        <v>0</v>
      </c>
      <c r="H35" s="154">
        <f ca="1">COUNTIF(OFFSET(Synthèse!$G44,0,0,1,COUNTA(Synthèse!$10:$10)-6),"="&amp;$H$1)</f>
        <v>0</v>
      </c>
      <c r="I35" s="195">
        <f t="shared" ca="1" si="1"/>
        <v>0</v>
      </c>
      <c r="J35" s="66"/>
      <c r="L35" s="155" t="s">
        <v>22</v>
      </c>
      <c r="M35" s="155"/>
      <c r="N35" s="155" t="s">
        <v>262</v>
      </c>
      <c r="O35" s="156">
        <f t="shared" ref="O35:O98" ca="1" si="9">IF(E3&gt;=1,0,1)</f>
        <v>1</v>
      </c>
      <c r="P35" s="156">
        <f t="shared" ref="P35:P98" ca="1" si="10">IF(E3&gt;=1,1,IF(G3&gt;=1,1,IF(F3&gt;=1,0,1)))</f>
        <v>1</v>
      </c>
      <c r="Q35" s="156">
        <f t="shared" ref="Q35:Q98" ca="1" si="11">IF(E3&gt;=1,1,IF(G3&gt;=1,0,1))</f>
        <v>1</v>
      </c>
      <c r="R35" s="156">
        <f t="shared" ref="R35:R98" ca="1" si="12">IF(E3&gt;=1,1,IF(G3&gt;=1,1,IF(F3&gt;=1,1,IF(H3&gt;=1,0,1))))</f>
        <v>1</v>
      </c>
    </row>
    <row r="36" spans="1:18" x14ac:dyDescent="0.25">
      <c r="A36" s="66"/>
      <c r="B36" s="71" t="str">
        <f>Modèle!B38</f>
        <v>Tableaux</v>
      </c>
      <c r="C36" s="73" t="str">
        <f>Modèle!C38</f>
        <v>5.8</v>
      </c>
      <c r="D36" s="74" t="str">
        <f>Modèle!E38</f>
        <v>A</v>
      </c>
      <c r="E36" s="154">
        <f ca="1">COUNTIF(OFFSET(Synthèse!$G45,0,0,1,COUNTA(Synthèse!$10:$10)-6),"="&amp;$E$1)</f>
        <v>0</v>
      </c>
      <c r="F36" s="154">
        <f ca="1">COUNTIF(OFFSET(Synthèse!$G45,0,0,1,COUNTA(Synthèse!$10:$10)-6),"="&amp;$F$1)</f>
        <v>0</v>
      </c>
      <c r="G36" s="154">
        <f ca="1">COUNTIF(OFFSET(Synthèse!$G45,0,0,1,COUNTA(Synthèse!$10:$10)-6),"="&amp;$G$1)</f>
        <v>0</v>
      </c>
      <c r="H36" s="154">
        <f ca="1">COUNTIF(OFFSET(Synthèse!$G45,0,0,1,COUNTA(Synthèse!$10:$10)-6),"="&amp;$H$1)</f>
        <v>0</v>
      </c>
      <c r="I36" s="195">
        <f t="shared" ca="1" si="1"/>
        <v>0</v>
      </c>
      <c r="J36" s="66"/>
      <c r="L36" s="155" t="s">
        <v>22</v>
      </c>
      <c r="M36" s="155"/>
      <c r="N36" s="155" t="s">
        <v>263</v>
      </c>
      <c r="O36" s="156">
        <f t="shared" ca="1" si="9"/>
        <v>1</v>
      </c>
      <c r="P36" s="156">
        <f t="shared" ca="1" si="10"/>
        <v>1</v>
      </c>
      <c r="Q36" s="156">
        <f t="shared" ca="1" si="11"/>
        <v>1</v>
      </c>
      <c r="R36" s="156">
        <f t="shared" ca="1" si="12"/>
        <v>1</v>
      </c>
    </row>
    <row r="37" spans="1:18" x14ac:dyDescent="0.25">
      <c r="A37" s="66"/>
      <c r="B37" s="72" t="str">
        <f>Modèle!B39</f>
        <v>Liens</v>
      </c>
      <c r="C37" s="75" t="str">
        <f>Modèle!C39</f>
        <v>6.1</v>
      </c>
      <c r="D37" s="76" t="str">
        <f>Modèle!E39</f>
        <v>A</v>
      </c>
      <c r="E37" s="154">
        <f ca="1">COUNTIF(OFFSET(Synthèse!$G46,0,0,1,COUNTA(Synthèse!$10:$10)-6),"="&amp;$E$1)</f>
        <v>0</v>
      </c>
      <c r="F37" s="154">
        <f ca="1">COUNTIF(OFFSET(Synthèse!$G46,0,0,1,COUNTA(Synthèse!$10:$10)-6),"="&amp;$F$1)</f>
        <v>0</v>
      </c>
      <c r="G37" s="154">
        <f ca="1">COUNTIF(OFFSET(Synthèse!$G46,0,0,1,COUNTA(Synthèse!$10:$10)-6),"="&amp;$G$1)</f>
        <v>0</v>
      </c>
      <c r="H37" s="154">
        <f ca="1">COUNTIF(OFFSET(Synthèse!$G46,0,0,1,COUNTA(Synthèse!$10:$10)-6),"="&amp;$H$1)</f>
        <v>0</v>
      </c>
      <c r="I37" s="195">
        <f t="shared" ca="1" si="1"/>
        <v>0</v>
      </c>
      <c r="J37" s="66"/>
      <c r="L37" s="155" t="s">
        <v>22</v>
      </c>
      <c r="M37" s="155"/>
      <c r="N37" s="155" t="s">
        <v>264</v>
      </c>
      <c r="O37" s="156">
        <f t="shared" ca="1" si="9"/>
        <v>1</v>
      </c>
      <c r="P37" s="156">
        <f t="shared" ca="1" si="10"/>
        <v>1</v>
      </c>
      <c r="Q37" s="156">
        <f t="shared" ca="1" si="11"/>
        <v>1</v>
      </c>
      <c r="R37" s="156">
        <f t="shared" ca="1" si="12"/>
        <v>1</v>
      </c>
    </row>
    <row r="38" spans="1:18" x14ac:dyDescent="0.25">
      <c r="A38" s="66"/>
      <c r="B38" s="72" t="str">
        <f>Modèle!B40</f>
        <v>Liens</v>
      </c>
      <c r="C38" s="75" t="str">
        <f>Modèle!C40</f>
        <v>6.2</v>
      </c>
      <c r="D38" s="76" t="str">
        <f>Modèle!E40</f>
        <v>A</v>
      </c>
      <c r="E38" s="154">
        <f ca="1">COUNTIF(OFFSET(Synthèse!$G47,0,0,1,COUNTA(Synthèse!$10:$10)-6),"="&amp;$E$1)</f>
        <v>0</v>
      </c>
      <c r="F38" s="154">
        <f ca="1">COUNTIF(OFFSET(Synthèse!$G47,0,0,1,COUNTA(Synthèse!$10:$10)-6),"="&amp;$F$1)</f>
        <v>0</v>
      </c>
      <c r="G38" s="154">
        <f ca="1">COUNTIF(OFFSET(Synthèse!$G47,0,0,1,COUNTA(Synthèse!$10:$10)-6),"="&amp;$G$1)</f>
        <v>0</v>
      </c>
      <c r="H38" s="154">
        <f ca="1">COUNTIF(OFFSET(Synthèse!$G47,0,0,1,COUNTA(Synthèse!$10:$10)-6),"="&amp;$H$1)</f>
        <v>0</v>
      </c>
      <c r="I38" s="195">
        <f t="shared" ca="1" si="1"/>
        <v>0</v>
      </c>
      <c r="J38" s="66"/>
      <c r="L38" s="155" t="s">
        <v>22</v>
      </c>
      <c r="M38" s="155"/>
      <c r="N38" s="155" t="s">
        <v>265</v>
      </c>
      <c r="O38" s="156">
        <f t="shared" ca="1" si="9"/>
        <v>1</v>
      </c>
      <c r="P38" s="156">
        <f t="shared" ca="1" si="10"/>
        <v>1</v>
      </c>
      <c r="Q38" s="156">
        <f t="shared" ca="1" si="11"/>
        <v>1</v>
      </c>
      <c r="R38" s="156">
        <f t="shared" ca="1" si="12"/>
        <v>1</v>
      </c>
    </row>
    <row r="39" spans="1:18" x14ac:dyDescent="0.25">
      <c r="A39" s="66"/>
      <c r="B39" s="71" t="str">
        <f>Modèle!B41</f>
        <v>Scripts</v>
      </c>
      <c r="C39" s="73" t="str">
        <f>Modèle!C41</f>
        <v>7.1</v>
      </c>
      <c r="D39" s="74" t="str">
        <f>Modèle!E41</f>
        <v>A</v>
      </c>
      <c r="E39" s="154">
        <f ca="1">COUNTIF(OFFSET(Synthèse!$G48,0,0,1,COUNTA(Synthèse!$10:$10)-6),"="&amp;$E$1)</f>
        <v>0</v>
      </c>
      <c r="F39" s="154">
        <f ca="1">COUNTIF(OFFSET(Synthèse!$G48,0,0,1,COUNTA(Synthèse!$10:$10)-6),"="&amp;$F$1)</f>
        <v>0</v>
      </c>
      <c r="G39" s="154">
        <f ca="1">COUNTIF(OFFSET(Synthèse!$G48,0,0,1,COUNTA(Synthèse!$10:$10)-6),"="&amp;$G$1)</f>
        <v>0</v>
      </c>
      <c r="H39" s="154">
        <f ca="1">COUNTIF(OFFSET(Synthèse!$G48,0,0,1,COUNTA(Synthèse!$10:$10)-6),"="&amp;$H$1)</f>
        <v>0</v>
      </c>
      <c r="I39" s="195">
        <f t="shared" ca="1" si="1"/>
        <v>0</v>
      </c>
      <c r="J39" s="66"/>
      <c r="L39" s="155" t="s">
        <v>22</v>
      </c>
      <c r="M39" s="155"/>
      <c r="N39" s="155" t="s">
        <v>266</v>
      </c>
      <c r="O39" s="156">
        <f t="shared" ca="1" si="9"/>
        <v>1</v>
      </c>
      <c r="P39" s="156">
        <f t="shared" ca="1" si="10"/>
        <v>1</v>
      </c>
      <c r="Q39" s="156">
        <f t="shared" ca="1" si="11"/>
        <v>1</v>
      </c>
      <c r="R39" s="156">
        <f t="shared" ca="1" si="12"/>
        <v>1</v>
      </c>
    </row>
    <row r="40" spans="1:18" x14ac:dyDescent="0.25">
      <c r="A40" s="66"/>
      <c r="B40" s="71" t="str">
        <f>Modèle!B42</f>
        <v>Scripts</v>
      </c>
      <c r="C40" s="73" t="str">
        <f>Modèle!C42</f>
        <v>7.2</v>
      </c>
      <c r="D40" s="74" t="str">
        <f>Modèle!E42</f>
        <v>A</v>
      </c>
      <c r="E40" s="154">
        <f ca="1">COUNTIF(OFFSET(Synthèse!$G49,0,0,1,COUNTA(Synthèse!$10:$10)-6),"="&amp;$E$1)</f>
        <v>0</v>
      </c>
      <c r="F40" s="154">
        <f ca="1">COUNTIF(OFFSET(Synthèse!$G49,0,0,1,COUNTA(Synthèse!$10:$10)-6),"="&amp;$F$1)</f>
        <v>0</v>
      </c>
      <c r="G40" s="154">
        <f ca="1">COUNTIF(OFFSET(Synthèse!$G49,0,0,1,COUNTA(Synthèse!$10:$10)-6),"="&amp;$G$1)</f>
        <v>0</v>
      </c>
      <c r="H40" s="154">
        <f ca="1">COUNTIF(OFFSET(Synthèse!$G49,0,0,1,COUNTA(Synthèse!$10:$10)-6),"="&amp;$H$1)</f>
        <v>0</v>
      </c>
      <c r="I40" s="195">
        <f t="shared" ca="1" si="1"/>
        <v>0</v>
      </c>
      <c r="J40" s="66"/>
      <c r="L40" s="155" t="s">
        <v>22</v>
      </c>
      <c r="M40" s="155"/>
      <c r="N40" s="155" t="s">
        <v>267</v>
      </c>
      <c r="O40" s="156">
        <f t="shared" ca="1" si="9"/>
        <v>1</v>
      </c>
      <c r="P40" s="156">
        <f t="shared" ca="1" si="10"/>
        <v>1</v>
      </c>
      <c r="Q40" s="156">
        <f t="shared" ca="1" si="11"/>
        <v>1</v>
      </c>
      <c r="R40" s="156">
        <f t="shared" ca="1" si="12"/>
        <v>1</v>
      </c>
    </row>
    <row r="41" spans="1:18" x14ac:dyDescent="0.25">
      <c r="A41" s="66"/>
      <c r="B41" s="71" t="str">
        <f>Modèle!B43</f>
        <v>Scripts</v>
      </c>
      <c r="C41" s="73" t="str">
        <f>Modèle!C43</f>
        <v>7.3</v>
      </c>
      <c r="D41" s="74" t="str">
        <f>Modèle!E43</f>
        <v>A</v>
      </c>
      <c r="E41" s="154">
        <f ca="1">COUNTIF(OFFSET(Synthèse!$G50,0,0,1,COUNTA(Synthèse!$10:$10)-6),"="&amp;$E$1)</f>
        <v>0</v>
      </c>
      <c r="F41" s="154">
        <f ca="1">COUNTIF(OFFSET(Synthèse!$G50,0,0,1,COUNTA(Synthèse!$10:$10)-6),"="&amp;$F$1)</f>
        <v>0</v>
      </c>
      <c r="G41" s="154">
        <f ca="1">COUNTIF(OFFSET(Synthèse!$G50,0,0,1,COUNTA(Synthèse!$10:$10)-6),"="&amp;$G$1)</f>
        <v>0</v>
      </c>
      <c r="H41" s="154">
        <f ca="1">COUNTIF(OFFSET(Synthèse!$G50,0,0,1,COUNTA(Synthèse!$10:$10)-6),"="&amp;$H$1)</f>
        <v>0</v>
      </c>
      <c r="I41" s="195">
        <f t="shared" ca="1" si="1"/>
        <v>0</v>
      </c>
      <c r="J41" s="66"/>
      <c r="L41" s="155" t="s">
        <v>23</v>
      </c>
      <c r="M41" s="155"/>
      <c r="N41" s="155" t="s">
        <v>269</v>
      </c>
      <c r="O41" s="156">
        <f t="shared" ca="1" si="9"/>
        <v>1</v>
      </c>
      <c r="P41" s="156">
        <f t="shared" ca="1" si="10"/>
        <v>1</v>
      </c>
      <c r="Q41" s="156">
        <f t="shared" ca="1" si="11"/>
        <v>1</v>
      </c>
      <c r="R41" s="156">
        <f t="shared" ca="1" si="12"/>
        <v>1</v>
      </c>
    </row>
    <row r="42" spans="1:18" x14ac:dyDescent="0.25">
      <c r="A42" s="66"/>
      <c r="B42" s="71" t="str">
        <f>Modèle!B44</f>
        <v>Scripts</v>
      </c>
      <c r="C42" s="73" t="str">
        <f>Modèle!C44</f>
        <v>7.4</v>
      </c>
      <c r="D42" s="74" t="str">
        <f>Modèle!E44</f>
        <v>A</v>
      </c>
      <c r="E42" s="154">
        <f ca="1">COUNTIF(OFFSET(Synthèse!$G51,0,0,1,COUNTA(Synthèse!$10:$10)-6),"="&amp;$E$1)</f>
        <v>0</v>
      </c>
      <c r="F42" s="154">
        <f ca="1">COUNTIF(OFFSET(Synthèse!$G51,0,0,1,COUNTA(Synthèse!$10:$10)-6),"="&amp;$F$1)</f>
        <v>0</v>
      </c>
      <c r="G42" s="154">
        <f ca="1">COUNTIF(OFFSET(Synthèse!$G51,0,0,1,COUNTA(Synthèse!$10:$10)-6),"="&amp;$G$1)</f>
        <v>0</v>
      </c>
      <c r="H42" s="154">
        <f ca="1">COUNTIF(OFFSET(Synthèse!$G51,0,0,1,COUNTA(Synthèse!$10:$10)-6),"="&amp;$H$1)</f>
        <v>0</v>
      </c>
      <c r="I42" s="195">
        <f t="shared" ca="1" si="1"/>
        <v>0</v>
      </c>
      <c r="J42" s="66"/>
      <c r="L42" s="155" t="s">
        <v>22</v>
      </c>
      <c r="M42" s="155"/>
      <c r="N42" s="155" t="s">
        <v>271</v>
      </c>
      <c r="O42" s="156">
        <f t="shared" ca="1" si="9"/>
        <v>1</v>
      </c>
      <c r="P42" s="156">
        <f t="shared" ca="1" si="10"/>
        <v>1</v>
      </c>
      <c r="Q42" s="156">
        <f t="shared" ca="1" si="11"/>
        <v>1</v>
      </c>
      <c r="R42" s="156">
        <f t="shared" ca="1" si="12"/>
        <v>1</v>
      </c>
    </row>
    <row r="43" spans="1:18" x14ac:dyDescent="0.25">
      <c r="A43" s="66"/>
      <c r="B43" s="71" t="str">
        <f>Modèle!B45</f>
        <v>Scripts</v>
      </c>
      <c r="C43" s="73" t="str">
        <f>Modèle!C45</f>
        <v>7.5</v>
      </c>
      <c r="D43" s="74" t="str">
        <f>Modèle!E45</f>
        <v>AA</v>
      </c>
      <c r="E43" s="154">
        <f ca="1">COUNTIF(OFFSET(Synthèse!$G52,0,0,1,COUNTA(Synthèse!$10:$10)-6),"="&amp;$E$1)</f>
        <v>0</v>
      </c>
      <c r="F43" s="154">
        <f ca="1">COUNTIF(OFFSET(Synthèse!$G52,0,0,1,COUNTA(Synthèse!$10:$10)-6),"="&amp;$F$1)</f>
        <v>0</v>
      </c>
      <c r="G43" s="154">
        <f ca="1">COUNTIF(OFFSET(Synthèse!$G52,0,0,1,COUNTA(Synthèse!$10:$10)-6),"="&amp;$G$1)</f>
        <v>0</v>
      </c>
      <c r="H43" s="154">
        <f ca="1">COUNTIF(OFFSET(Synthèse!$G52,0,0,1,COUNTA(Synthèse!$10:$10)-6),"="&amp;$H$1)</f>
        <v>0</v>
      </c>
      <c r="I43" s="195">
        <f t="shared" ca="1" si="1"/>
        <v>0</v>
      </c>
      <c r="J43" s="66"/>
      <c r="L43" s="157" t="s">
        <v>22</v>
      </c>
      <c r="M43" s="157"/>
      <c r="N43" s="157" t="s">
        <v>272</v>
      </c>
      <c r="O43" s="158">
        <f t="shared" ca="1" si="9"/>
        <v>1</v>
      </c>
      <c r="P43" s="158">
        <f t="shared" ca="1" si="10"/>
        <v>1</v>
      </c>
      <c r="Q43" s="158">
        <f t="shared" ca="1" si="11"/>
        <v>1</v>
      </c>
      <c r="R43" s="158">
        <f t="shared" ca="1" si="12"/>
        <v>1</v>
      </c>
    </row>
    <row r="44" spans="1:18" x14ac:dyDescent="0.25">
      <c r="A44" s="66"/>
      <c r="B44" s="173" t="str">
        <f>Modèle!B46</f>
        <v>Éléments Obligatoires</v>
      </c>
      <c r="C44" s="174" t="str">
        <f>Modèle!C46</f>
        <v>8.1</v>
      </c>
      <c r="D44" s="175" t="str">
        <f>Modèle!E46</f>
        <v>A</v>
      </c>
      <c r="E44" s="154">
        <f ca="1">COUNTIF(OFFSET(Synthèse!$G53,0,0,1,COUNTA(Synthèse!$10:$10)-6),"="&amp;$E$1)</f>
        <v>0</v>
      </c>
      <c r="F44" s="154">
        <f ca="1">COUNTIF(OFFSET(Synthèse!$G53,0,0,1,COUNTA(Synthèse!$10:$10)-6),"="&amp;$F$1)</f>
        <v>0</v>
      </c>
      <c r="G44" s="154">
        <f ca="1">COUNTIF(OFFSET(Synthèse!$G53,0,0,1,COUNTA(Synthèse!$10:$10)-6),"="&amp;$G$1)</f>
        <v>0</v>
      </c>
      <c r="H44" s="154">
        <f ca="1">COUNTIF(OFFSET(Synthèse!$G53,0,0,1,COUNTA(Synthèse!$10:$10)-6),"="&amp;$H$1)</f>
        <v>0</v>
      </c>
      <c r="I44" s="195">
        <f t="shared" ca="1" si="1"/>
        <v>0</v>
      </c>
      <c r="J44" s="66"/>
      <c r="L44" s="157" t="s">
        <v>22</v>
      </c>
      <c r="M44" s="157"/>
      <c r="N44" s="157" t="s">
        <v>273</v>
      </c>
      <c r="O44" s="158">
        <f t="shared" ca="1" si="9"/>
        <v>1</v>
      </c>
      <c r="P44" s="158">
        <f t="shared" ca="1" si="10"/>
        <v>1</v>
      </c>
      <c r="Q44" s="158">
        <f t="shared" ca="1" si="11"/>
        <v>1</v>
      </c>
      <c r="R44" s="158">
        <f t="shared" ca="1" si="12"/>
        <v>1</v>
      </c>
    </row>
    <row r="45" spans="1:18" x14ac:dyDescent="0.25">
      <c r="A45" s="66"/>
      <c r="B45" s="173" t="str">
        <f>Modèle!B47</f>
        <v>Éléments Obligatoires</v>
      </c>
      <c r="C45" s="174" t="str">
        <f>Modèle!C47</f>
        <v>8.2</v>
      </c>
      <c r="D45" s="175" t="str">
        <f>Modèle!E47</f>
        <v>A</v>
      </c>
      <c r="E45" s="154">
        <f ca="1">COUNTIF(OFFSET(Synthèse!$G54,0,0,1,COUNTA(Synthèse!$10:$10)-6),"="&amp;$E$1)</f>
        <v>0</v>
      </c>
      <c r="F45" s="154">
        <f ca="1">COUNTIF(OFFSET(Synthèse!$G54,0,0,1,COUNTA(Synthèse!$10:$10)-6),"="&amp;$F$1)</f>
        <v>0</v>
      </c>
      <c r="G45" s="154">
        <f ca="1">COUNTIF(OFFSET(Synthèse!$G54,0,0,1,COUNTA(Synthèse!$10:$10)-6),"="&amp;$G$1)</f>
        <v>0</v>
      </c>
      <c r="H45" s="154">
        <f ca="1">COUNTIF(OFFSET(Synthèse!$G54,0,0,1,COUNTA(Synthèse!$10:$10)-6),"="&amp;$H$1)</f>
        <v>0</v>
      </c>
      <c r="I45" s="195">
        <f t="shared" ca="1" si="1"/>
        <v>0</v>
      </c>
      <c r="J45" s="66"/>
      <c r="L45" s="155" t="s">
        <v>22</v>
      </c>
      <c r="M45" s="155"/>
      <c r="N45" s="155" t="s">
        <v>274</v>
      </c>
      <c r="O45" s="156">
        <f t="shared" ca="1" si="9"/>
        <v>1</v>
      </c>
      <c r="P45" s="156">
        <f t="shared" ca="1" si="10"/>
        <v>1</v>
      </c>
      <c r="Q45" s="156">
        <f t="shared" ca="1" si="11"/>
        <v>1</v>
      </c>
      <c r="R45" s="156">
        <f t="shared" ca="1" si="12"/>
        <v>1</v>
      </c>
    </row>
    <row r="46" spans="1:18" x14ac:dyDescent="0.25">
      <c r="A46" s="66"/>
      <c r="B46" s="173" t="str">
        <f>Modèle!B48</f>
        <v>Éléments Obligatoires</v>
      </c>
      <c r="C46" s="174" t="str">
        <f>Modèle!C48</f>
        <v>8.3</v>
      </c>
      <c r="D46" s="175" t="str">
        <f>Modèle!E48</f>
        <v>A</v>
      </c>
      <c r="E46" s="154">
        <f ca="1">COUNTIF(OFFSET(Synthèse!$G55,0,0,1,COUNTA(Synthèse!$10:$10)-6),"="&amp;$E$1)</f>
        <v>0</v>
      </c>
      <c r="F46" s="154">
        <f ca="1">COUNTIF(OFFSET(Synthèse!$G55,0,0,1,COUNTA(Synthèse!$10:$10)-6),"="&amp;$F$1)</f>
        <v>0</v>
      </c>
      <c r="G46" s="154">
        <f ca="1">COUNTIF(OFFSET(Synthèse!$G55,0,0,1,COUNTA(Synthèse!$10:$10)-6),"="&amp;$G$1)</f>
        <v>0</v>
      </c>
      <c r="H46" s="154">
        <f ca="1">COUNTIF(OFFSET(Synthèse!$G55,0,0,1,COUNTA(Synthèse!$10:$10)-6),"="&amp;$H$1)</f>
        <v>0</v>
      </c>
      <c r="I46" s="195">
        <f t="shared" ca="1" si="1"/>
        <v>0</v>
      </c>
      <c r="J46" s="66"/>
      <c r="L46" s="155" t="s">
        <v>23</v>
      </c>
      <c r="M46" s="155"/>
      <c r="N46" s="155" t="s">
        <v>275</v>
      </c>
      <c r="O46" s="156">
        <f t="shared" ca="1" si="9"/>
        <v>1</v>
      </c>
      <c r="P46" s="156">
        <f t="shared" ca="1" si="10"/>
        <v>1</v>
      </c>
      <c r="Q46" s="156">
        <f t="shared" ca="1" si="11"/>
        <v>1</v>
      </c>
      <c r="R46" s="156">
        <f t="shared" ca="1" si="12"/>
        <v>1</v>
      </c>
    </row>
    <row r="47" spans="1:18" x14ac:dyDescent="0.25">
      <c r="A47" s="66"/>
      <c r="B47" s="173" t="str">
        <f>Modèle!B49</f>
        <v>Éléments Obligatoires</v>
      </c>
      <c r="C47" s="174" t="str">
        <f>Modèle!C49</f>
        <v>8.4</v>
      </c>
      <c r="D47" s="175" t="str">
        <f>Modèle!E49</f>
        <v>A</v>
      </c>
      <c r="E47" s="154">
        <f ca="1">COUNTIF(OFFSET(Synthèse!$G56,0,0,1,COUNTA(Synthèse!$10:$10)-6),"="&amp;$E$1)</f>
        <v>0</v>
      </c>
      <c r="F47" s="154">
        <f ca="1">COUNTIF(OFFSET(Synthèse!$G56,0,0,1,COUNTA(Synthèse!$10:$10)-6),"="&amp;$F$1)</f>
        <v>0</v>
      </c>
      <c r="G47" s="154">
        <f ca="1">COUNTIF(OFFSET(Synthèse!$G56,0,0,1,COUNTA(Synthèse!$10:$10)-6),"="&amp;$G$1)</f>
        <v>0</v>
      </c>
      <c r="H47" s="154">
        <f ca="1">COUNTIF(OFFSET(Synthèse!$G56,0,0,1,COUNTA(Synthèse!$10:$10)-6),"="&amp;$H$1)</f>
        <v>0</v>
      </c>
      <c r="I47" s="195">
        <f t="shared" ca="1" si="1"/>
        <v>0</v>
      </c>
      <c r="J47" s="66"/>
      <c r="L47" s="155" t="s">
        <v>23</v>
      </c>
      <c r="M47" s="155"/>
      <c r="N47" s="155" t="s">
        <v>276</v>
      </c>
      <c r="O47" s="156">
        <f t="shared" ca="1" si="9"/>
        <v>1</v>
      </c>
      <c r="P47" s="156">
        <f t="shared" ca="1" si="10"/>
        <v>1</v>
      </c>
      <c r="Q47" s="156">
        <f t="shared" ca="1" si="11"/>
        <v>1</v>
      </c>
      <c r="R47" s="156">
        <f t="shared" ca="1" si="12"/>
        <v>1</v>
      </c>
    </row>
    <row r="48" spans="1:18" x14ac:dyDescent="0.25">
      <c r="A48" s="66"/>
      <c r="B48" s="173" t="str">
        <f>Modèle!B50</f>
        <v>Éléments Obligatoires</v>
      </c>
      <c r="C48" s="174" t="str">
        <f>Modèle!C50</f>
        <v>8.5</v>
      </c>
      <c r="D48" s="175" t="str">
        <f>Modèle!E50</f>
        <v>A</v>
      </c>
      <c r="E48" s="154">
        <f ca="1">COUNTIF(OFFSET(Synthèse!$G57,0,0,1,COUNTA(Synthèse!$10:$10)-6),"="&amp;$E$1)</f>
        <v>0</v>
      </c>
      <c r="F48" s="154">
        <f ca="1">COUNTIF(OFFSET(Synthèse!$G57,0,0,1,COUNTA(Synthèse!$10:$10)-6),"="&amp;$F$1)</f>
        <v>0</v>
      </c>
      <c r="G48" s="154">
        <f ca="1">COUNTIF(OFFSET(Synthèse!$G57,0,0,1,COUNTA(Synthèse!$10:$10)-6),"="&amp;$G$1)</f>
        <v>0</v>
      </c>
      <c r="H48" s="154">
        <f ca="1">COUNTIF(OFFSET(Synthèse!$G57,0,0,1,COUNTA(Synthèse!$10:$10)-6),"="&amp;$H$1)</f>
        <v>0</v>
      </c>
      <c r="I48" s="195">
        <f t="shared" ca="1" si="1"/>
        <v>0</v>
      </c>
      <c r="J48" s="66"/>
      <c r="L48" s="157" t="s">
        <v>22</v>
      </c>
      <c r="M48" s="157"/>
      <c r="N48" s="157" t="s">
        <v>277</v>
      </c>
      <c r="O48" s="158">
        <f t="shared" ca="1" si="9"/>
        <v>1</v>
      </c>
      <c r="P48" s="158">
        <f t="shared" ca="1" si="10"/>
        <v>1</v>
      </c>
      <c r="Q48" s="158">
        <f t="shared" ca="1" si="11"/>
        <v>1</v>
      </c>
      <c r="R48" s="158">
        <f t="shared" ca="1" si="12"/>
        <v>1</v>
      </c>
    </row>
    <row r="49" spans="1:18" x14ac:dyDescent="0.25">
      <c r="A49" s="66"/>
      <c r="B49" s="173" t="str">
        <f>Modèle!B51</f>
        <v>Éléments Obligatoires</v>
      </c>
      <c r="C49" s="174" t="str">
        <f>Modèle!C51</f>
        <v>8.6</v>
      </c>
      <c r="D49" s="175" t="str">
        <f>Modèle!E51</f>
        <v>A</v>
      </c>
      <c r="E49" s="154">
        <f ca="1">COUNTIF(OFFSET(Synthèse!$G58,0,0,1,COUNTA(Synthèse!$10:$10)-6),"="&amp;$E$1)</f>
        <v>0</v>
      </c>
      <c r="F49" s="154">
        <f ca="1">COUNTIF(OFFSET(Synthèse!$G58,0,0,1,COUNTA(Synthèse!$10:$10)-6),"="&amp;$F$1)</f>
        <v>0</v>
      </c>
      <c r="G49" s="154">
        <f ca="1">COUNTIF(OFFSET(Synthèse!$G58,0,0,1,COUNTA(Synthèse!$10:$10)-6),"="&amp;$G$1)</f>
        <v>0</v>
      </c>
      <c r="H49" s="154">
        <f ca="1">COUNTIF(OFFSET(Synthèse!$G58,0,0,1,COUNTA(Synthèse!$10:$10)-6),"="&amp;$H$1)</f>
        <v>0</v>
      </c>
      <c r="I49" s="195">
        <f t="shared" ca="1" si="1"/>
        <v>0</v>
      </c>
      <c r="J49" s="66"/>
      <c r="L49" s="157" t="s">
        <v>22</v>
      </c>
      <c r="M49" s="157"/>
      <c r="N49" s="157" t="s">
        <v>278</v>
      </c>
      <c r="O49" s="158">
        <f t="shared" ca="1" si="9"/>
        <v>1</v>
      </c>
      <c r="P49" s="158">
        <f t="shared" ca="1" si="10"/>
        <v>1</v>
      </c>
      <c r="Q49" s="158">
        <f t="shared" ca="1" si="11"/>
        <v>1</v>
      </c>
      <c r="R49" s="158">
        <f t="shared" ca="1" si="12"/>
        <v>1</v>
      </c>
    </row>
    <row r="50" spans="1:18" x14ac:dyDescent="0.25">
      <c r="A50" s="66"/>
      <c r="B50" s="173" t="str">
        <f>Modèle!B52</f>
        <v>Éléments Obligatoires</v>
      </c>
      <c r="C50" s="174" t="str">
        <f>Modèle!C52</f>
        <v>8.7</v>
      </c>
      <c r="D50" s="175" t="str">
        <f>Modèle!E52</f>
        <v>AA</v>
      </c>
      <c r="E50" s="154">
        <f ca="1">COUNTIF(OFFSET(Synthèse!$G59,0,0,1,COUNTA(Synthèse!$10:$10)-6),"="&amp;$E$1)</f>
        <v>0</v>
      </c>
      <c r="F50" s="154">
        <f ca="1">COUNTIF(OFFSET(Synthèse!$G59,0,0,1,COUNTA(Synthèse!$10:$10)-6),"="&amp;$F$1)</f>
        <v>0</v>
      </c>
      <c r="G50" s="154">
        <f ca="1">COUNTIF(OFFSET(Synthèse!$G59,0,0,1,COUNTA(Synthèse!$10:$10)-6),"="&amp;$G$1)</f>
        <v>0</v>
      </c>
      <c r="H50" s="154">
        <f ca="1">COUNTIF(OFFSET(Synthèse!$G59,0,0,1,COUNTA(Synthèse!$10:$10)-6),"="&amp;$H$1)</f>
        <v>0</v>
      </c>
      <c r="I50" s="195">
        <f t="shared" ca="1" si="1"/>
        <v>0</v>
      </c>
      <c r="J50" s="66"/>
      <c r="L50" s="157" t="s">
        <v>22</v>
      </c>
      <c r="M50" s="157"/>
      <c r="N50" s="157" t="s">
        <v>279</v>
      </c>
      <c r="O50" s="158">
        <f t="shared" ca="1" si="9"/>
        <v>1</v>
      </c>
      <c r="P50" s="158">
        <f t="shared" ca="1" si="10"/>
        <v>1</v>
      </c>
      <c r="Q50" s="158">
        <f t="shared" ca="1" si="11"/>
        <v>1</v>
      </c>
      <c r="R50" s="158">
        <f t="shared" ca="1" si="12"/>
        <v>1</v>
      </c>
    </row>
    <row r="51" spans="1:18" x14ac:dyDescent="0.25">
      <c r="A51" s="66"/>
      <c r="B51" s="173" t="str">
        <f>Modèle!B53</f>
        <v>Éléments Obligatoires</v>
      </c>
      <c r="C51" s="174" t="str">
        <f>Modèle!C53</f>
        <v>8.8</v>
      </c>
      <c r="D51" s="175" t="str">
        <f>Modèle!E53</f>
        <v>AA</v>
      </c>
      <c r="E51" s="154">
        <f ca="1">COUNTIF(OFFSET(Synthèse!$G60,0,0,1,COUNTA(Synthèse!$10:$10)-6),"="&amp;$E$1)</f>
        <v>0</v>
      </c>
      <c r="F51" s="154">
        <f ca="1">COUNTIF(OFFSET(Synthèse!$G60,0,0,1,COUNTA(Synthèse!$10:$10)-6),"="&amp;$F$1)</f>
        <v>0</v>
      </c>
      <c r="G51" s="154">
        <f ca="1">COUNTIF(OFFSET(Synthèse!$G60,0,0,1,COUNTA(Synthèse!$10:$10)-6),"="&amp;$G$1)</f>
        <v>0</v>
      </c>
      <c r="H51" s="154">
        <f ca="1">COUNTIF(OFFSET(Synthèse!$G60,0,0,1,COUNTA(Synthèse!$10:$10)-6),"="&amp;$H$1)</f>
        <v>0</v>
      </c>
      <c r="I51" s="195">
        <f t="shared" ca="1" si="1"/>
        <v>0</v>
      </c>
      <c r="J51" s="66"/>
      <c r="L51" s="157" t="s">
        <v>22</v>
      </c>
      <c r="M51" s="157"/>
      <c r="N51" s="157" t="s">
        <v>280</v>
      </c>
      <c r="O51" s="158">
        <f t="shared" ca="1" si="9"/>
        <v>1</v>
      </c>
      <c r="P51" s="158">
        <f t="shared" ca="1" si="10"/>
        <v>1</v>
      </c>
      <c r="Q51" s="158">
        <f t="shared" ca="1" si="11"/>
        <v>1</v>
      </c>
      <c r="R51" s="158">
        <f t="shared" ca="1" si="12"/>
        <v>1</v>
      </c>
    </row>
    <row r="52" spans="1:18" x14ac:dyDescent="0.25">
      <c r="A52" s="66"/>
      <c r="B52" s="173" t="str">
        <f>Modèle!B54</f>
        <v>Éléments Obligatoires</v>
      </c>
      <c r="C52" s="174" t="str">
        <f>Modèle!C54</f>
        <v>8.9</v>
      </c>
      <c r="D52" s="175" t="str">
        <f>Modèle!E54</f>
        <v>A</v>
      </c>
      <c r="E52" s="154">
        <f ca="1">COUNTIF(OFFSET(Synthèse!$G61,0,0,1,COUNTA(Synthèse!$10:$10)-6),"="&amp;$E$1)</f>
        <v>0</v>
      </c>
      <c r="F52" s="154">
        <f ca="1">COUNTIF(OFFSET(Synthèse!$G61,0,0,1,COUNTA(Synthèse!$10:$10)-6),"="&amp;$F$1)</f>
        <v>0</v>
      </c>
      <c r="G52" s="154">
        <f ca="1">COUNTIF(OFFSET(Synthèse!$G61,0,0,1,COUNTA(Synthèse!$10:$10)-6),"="&amp;$G$1)</f>
        <v>0</v>
      </c>
      <c r="H52" s="154">
        <f ca="1">COUNTIF(OFFSET(Synthèse!$G61,0,0,1,COUNTA(Synthèse!$10:$10)-6),"="&amp;$H$1)</f>
        <v>0</v>
      </c>
      <c r="I52" s="195">
        <f t="shared" ca="1" si="1"/>
        <v>0</v>
      </c>
      <c r="J52" s="66"/>
      <c r="L52" s="157" t="s">
        <v>23</v>
      </c>
      <c r="M52" s="157"/>
      <c r="N52" s="157" t="s">
        <v>281</v>
      </c>
      <c r="O52" s="158">
        <f t="shared" ca="1" si="9"/>
        <v>1</v>
      </c>
      <c r="P52" s="158">
        <f t="shared" ca="1" si="10"/>
        <v>1</v>
      </c>
      <c r="Q52" s="158">
        <f t="shared" ca="1" si="11"/>
        <v>1</v>
      </c>
      <c r="R52" s="158">
        <f t="shared" ca="1" si="12"/>
        <v>1</v>
      </c>
    </row>
    <row r="53" spans="1:18" x14ac:dyDescent="0.25">
      <c r="A53" s="66"/>
      <c r="B53" s="173" t="str">
        <f>Modèle!B55</f>
        <v>Éléments Obligatoires</v>
      </c>
      <c r="C53" s="174" t="str">
        <f>Modèle!C55</f>
        <v>8.10</v>
      </c>
      <c r="D53" s="175" t="str">
        <f>Modèle!E55</f>
        <v>A</v>
      </c>
      <c r="E53" s="154">
        <f ca="1">COUNTIF(OFFSET(Synthèse!$G62,0,0,1,COUNTA(Synthèse!$10:$10)-6),"="&amp;$E$1)</f>
        <v>0</v>
      </c>
      <c r="F53" s="154">
        <f ca="1">COUNTIF(OFFSET(Synthèse!$G62,0,0,1,COUNTA(Synthèse!$10:$10)-6),"="&amp;$F$1)</f>
        <v>0</v>
      </c>
      <c r="G53" s="154">
        <f ca="1">COUNTIF(OFFSET(Synthèse!$G62,0,0,1,COUNTA(Synthèse!$10:$10)-6),"="&amp;$G$1)</f>
        <v>0</v>
      </c>
      <c r="H53" s="154">
        <f ca="1">COUNTIF(OFFSET(Synthèse!$G62,0,0,1,COUNTA(Synthèse!$10:$10)-6),"="&amp;$H$1)</f>
        <v>0</v>
      </c>
      <c r="I53" s="195">
        <f t="shared" ca="1" si="1"/>
        <v>0</v>
      </c>
      <c r="J53" s="66"/>
      <c r="L53" s="157" t="s">
        <v>23</v>
      </c>
      <c r="M53" s="157"/>
      <c r="N53" s="157" t="s">
        <v>282</v>
      </c>
      <c r="O53" s="158">
        <f t="shared" ca="1" si="9"/>
        <v>1</v>
      </c>
      <c r="P53" s="158">
        <f t="shared" ca="1" si="10"/>
        <v>1</v>
      </c>
      <c r="Q53" s="158">
        <f t="shared" ca="1" si="11"/>
        <v>1</v>
      </c>
      <c r="R53" s="158">
        <f t="shared" ca="1" si="12"/>
        <v>1</v>
      </c>
    </row>
    <row r="54" spans="1:18" x14ac:dyDescent="0.25">
      <c r="A54" s="66"/>
      <c r="B54" s="71" t="str">
        <f>Modèle!B56</f>
        <v>Structuration de l'information</v>
      </c>
      <c r="C54" s="73" t="str">
        <f>Modèle!C56</f>
        <v>9.1</v>
      </c>
      <c r="D54" s="74" t="str">
        <f>Modèle!E56</f>
        <v>A</v>
      </c>
      <c r="E54" s="154">
        <f ca="1">COUNTIF(OFFSET(Synthèse!$G63,0,0,1,COUNTA(Synthèse!$10:$10)-6),"="&amp;$E$1)</f>
        <v>0</v>
      </c>
      <c r="F54" s="154">
        <f ca="1">COUNTIF(OFFSET(Synthèse!$G63,0,0,1,COUNTA(Synthèse!$10:$10)-6),"="&amp;$F$1)</f>
        <v>0</v>
      </c>
      <c r="G54" s="154">
        <f ca="1">COUNTIF(OFFSET(Synthèse!$G63,0,0,1,COUNTA(Synthèse!$10:$10)-6),"="&amp;$G$1)</f>
        <v>0</v>
      </c>
      <c r="H54" s="154">
        <f ca="1">COUNTIF(OFFSET(Synthèse!$G63,0,0,1,COUNTA(Synthèse!$10:$10)-6),"="&amp;$H$1)</f>
        <v>0</v>
      </c>
      <c r="I54" s="195">
        <f t="shared" ca="1" si="1"/>
        <v>0</v>
      </c>
      <c r="J54" s="66"/>
      <c r="L54" s="157" t="s">
        <v>22</v>
      </c>
      <c r="M54" s="157"/>
      <c r="N54" s="157" t="s">
        <v>283</v>
      </c>
      <c r="O54" s="158">
        <f t="shared" ca="1" si="9"/>
        <v>1</v>
      </c>
      <c r="P54" s="158">
        <f t="shared" ca="1" si="10"/>
        <v>1</v>
      </c>
      <c r="Q54" s="158">
        <f t="shared" ca="1" si="11"/>
        <v>1</v>
      </c>
      <c r="R54" s="158">
        <f t="shared" ca="1" si="12"/>
        <v>1</v>
      </c>
    </row>
    <row r="55" spans="1:18" x14ac:dyDescent="0.25">
      <c r="A55" s="66"/>
      <c r="B55" s="71" t="str">
        <f>Modèle!B57</f>
        <v>Structuration de l'information</v>
      </c>
      <c r="C55" s="73" t="str">
        <f>Modèle!C57</f>
        <v>9.2</v>
      </c>
      <c r="D55" s="74" t="str">
        <f>Modèle!E57</f>
        <v>A</v>
      </c>
      <c r="E55" s="154">
        <f ca="1">COUNTIF(OFFSET(Synthèse!$G64,0,0,1,COUNTA(Synthèse!$10:$10)-6),"="&amp;$E$1)</f>
        <v>0</v>
      </c>
      <c r="F55" s="154">
        <f ca="1">COUNTIF(OFFSET(Synthèse!$G64,0,0,1,COUNTA(Synthèse!$10:$10)-6),"="&amp;$F$1)</f>
        <v>0</v>
      </c>
      <c r="G55" s="154">
        <f ca="1">COUNTIF(OFFSET(Synthèse!$G64,0,0,1,COUNTA(Synthèse!$10:$10)-6),"="&amp;$G$1)</f>
        <v>0</v>
      </c>
      <c r="H55" s="154">
        <f ca="1">COUNTIF(OFFSET(Synthèse!$G64,0,0,1,COUNTA(Synthèse!$10:$10)-6),"="&amp;$H$1)</f>
        <v>0</v>
      </c>
      <c r="I55" s="195">
        <f t="shared" ca="1" si="1"/>
        <v>0</v>
      </c>
      <c r="J55" s="66"/>
      <c r="L55" s="157" t="s">
        <v>22</v>
      </c>
      <c r="M55" s="157"/>
      <c r="N55" s="157" t="s">
        <v>284</v>
      </c>
      <c r="O55" s="158">
        <f t="shared" ca="1" si="9"/>
        <v>1</v>
      </c>
      <c r="P55" s="158">
        <f t="shared" ca="1" si="10"/>
        <v>1</v>
      </c>
      <c r="Q55" s="158">
        <f t="shared" ca="1" si="11"/>
        <v>1</v>
      </c>
      <c r="R55" s="158">
        <f t="shared" ca="1" si="12"/>
        <v>1</v>
      </c>
    </row>
    <row r="56" spans="1:18" x14ac:dyDescent="0.25">
      <c r="A56" s="66"/>
      <c r="B56" s="71" t="str">
        <f>Modèle!B58</f>
        <v>Structuration de l'information</v>
      </c>
      <c r="C56" s="73" t="str">
        <f>Modèle!C58</f>
        <v>9.3</v>
      </c>
      <c r="D56" s="74" t="str">
        <f>Modèle!E58</f>
        <v>A</v>
      </c>
      <c r="E56" s="154">
        <f ca="1">COUNTIF(OFFSET(Synthèse!$G65,0,0,1,COUNTA(Synthèse!$10:$10)-6),"="&amp;$E$1)</f>
        <v>0</v>
      </c>
      <c r="F56" s="154">
        <f ca="1">COUNTIF(OFFSET(Synthèse!$G65,0,0,1,COUNTA(Synthèse!$10:$10)-6),"="&amp;$F$1)</f>
        <v>0</v>
      </c>
      <c r="G56" s="154">
        <f ca="1">COUNTIF(OFFSET(Synthèse!$G65,0,0,1,COUNTA(Synthèse!$10:$10)-6),"="&amp;$G$1)</f>
        <v>0</v>
      </c>
      <c r="H56" s="154">
        <f ca="1">COUNTIF(OFFSET(Synthèse!$G65,0,0,1,COUNTA(Synthèse!$10:$10)-6),"="&amp;$H$1)</f>
        <v>0</v>
      </c>
      <c r="I56" s="195">
        <f t="shared" ca="1" si="1"/>
        <v>0</v>
      </c>
      <c r="J56" s="66"/>
      <c r="L56" s="157" t="s">
        <v>22</v>
      </c>
      <c r="M56" s="157"/>
      <c r="N56" s="157" t="s">
        <v>285</v>
      </c>
      <c r="O56" s="158">
        <f t="shared" ca="1" si="9"/>
        <v>1</v>
      </c>
      <c r="P56" s="158">
        <f t="shared" ca="1" si="10"/>
        <v>1</v>
      </c>
      <c r="Q56" s="158">
        <f t="shared" ca="1" si="11"/>
        <v>1</v>
      </c>
      <c r="R56" s="158">
        <f t="shared" ca="1" si="12"/>
        <v>1</v>
      </c>
    </row>
    <row r="57" spans="1:18" x14ac:dyDescent="0.25">
      <c r="A57" s="66"/>
      <c r="B57" s="71" t="str">
        <f>Modèle!B59</f>
        <v>Structuration de l'information</v>
      </c>
      <c r="C57" s="73" t="str">
        <f>Modèle!C59</f>
        <v>9.4</v>
      </c>
      <c r="D57" s="74" t="str">
        <f>Modèle!E59</f>
        <v>A</v>
      </c>
      <c r="E57" s="154">
        <f ca="1">COUNTIF(OFFSET(Synthèse!$G66,0,0,1,COUNTA(Synthèse!$10:$10)-6),"="&amp;$E$1)</f>
        <v>0</v>
      </c>
      <c r="F57" s="154">
        <f ca="1">COUNTIF(OFFSET(Synthèse!$G66,0,0,1,COUNTA(Synthèse!$10:$10)-6),"="&amp;$F$1)</f>
        <v>0</v>
      </c>
      <c r="G57" s="154">
        <f ca="1">COUNTIF(OFFSET(Synthèse!$G66,0,0,1,COUNTA(Synthèse!$10:$10)-6),"="&amp;$G$1)</f>
        <v>0</v>
      </c>
      <c r="H57" s="154">
        <f ca="1">COUNTIF(OFFSET(Synthèse!$G66,0,0,1,COUNTA(Synthèse!$10:$10)-6),"="&amp;$H$1)</f>
        <v>0</v>
      </c>
      <c r="I57" s="195">
        <f t="shared" ca="1" si="1"/>
        <v>0</v>
      </c>
      <c r="J57" s="66"/>
      <c r="L57" s="157" t="s">
        <v>22</v>
      </c>
      <c r="M57" s="157"/>
      <c r="N57" s="157" t="s">
        <v>286</v>
      </c>
      <c r="O57" s="158">
        <f t="shared" ca="1" si="9"/>
        <v>1</v>
      </c>
      <c r="P57" s="158">
        <f t="shared" ca="1" si="10"/>
        <v>1</v>
      </c>
      <c r="Q57" s="158">
        <f t="shared" ca="1" si="11"/>
        <v>1</v>
      </c>
      <c r="R57" s="158">
        <f t="shared" ca="1" si="12"/>
        <v>1</v>
      </c>
    </row>
    <row r="58" spans="1:18" x14ac:dyDescent="0.25">
      <c r="A58" s="66"/>
      <c r="B58" s="71" t="str">
        <f>Modèle!B60</f>
        <v>Présentation de l'information</v>
      </c>
      <c r="C58" s="73" t="str">
        <f>Modèle!C60</f>
        <v>10.1</v>
      </c>
      <c r="D58" s="74" t="str">
        <f>Modèle!E60</f>
        <v>A</v>
      </c>
      <c r="E58" s="154">
        <f ca="1">COUNTIF(OFFSET(Synthèse!$G67,0,0,1,COUNTA(Synthèse!$10:$10)-6),"="&amp;$E$1)</f>
        <v>0</v>
      </c>
      <c r="F58" s="154">
        <f ca="1">COUNTIF(OFFSET(Synthèse!$G67,0,0,1,COUNTA(Synthèse!$10:$10)-6),"="&amp;$F$1)</f>
        <v>0</v>
      </c>
      <c r="G58" s="154">
        <f ca="1">COUNTIF(OFFSET(Synthèse!$G67,0,0,1,COUNTA(Synthèse!$10:$10)-6),"="&amp;$G$1)</f>
        <v>0</v>
      </c>
      <c r="H58" s="154">
        <f ca="1">COUNTIF(OFFSET(Synthèse!$G67,0,0,1,COUNTA(Synthèse!$10:$10)-6),"="&amp;$H$1)</f>
        <v>0</v>
      </c>
      <c r="I58" s="195">
        <f t="shared" ca="1" si="1"/>
        <v>0</v>
      </c>
      <c r="J58" s="66"/>
      <c r="L58" s="157" t="s">
        <v>22</v>
      </c>
      <c r="M58" s="157"/>
      <c r="N58" s="157" t="s">
        <v>287</v>
      </c>
      <c r="O58" s="158">
        <f t="shared" ca="1" si="9"/>
        <v>1</v>
      </c>
      <c r="P58" s="158">
        <f t="shared" ca="1" si="10"/>
        <v>1</v>
      </c>
      <c r="Q58" s="158">
        <f t="shared" ca="1" si="11"/>
        <v>1</v>
      </c>
      <c r="R58" s="158">
        <f t="shared" ca="1" si="12"/>
        <v>1</v>
      </c>
    </row>
    <row r="59" spans="1:18" x14ac:dyDescent="0.25">
      <c r="A59" s="66"/>
      <c r="B59" s="71" t="str">
        <f>Modèle!B61</f>
        <v>Présentation de l'information</v>
      </c>
      <c r="C59" s="73" t="str">
        <f>Modèle!C61</f>
        <v>10.2</v>
      </c>
      <c r="D59" s="74" t="str">
        <f>Modèle!E61</f>
        <v>A</v>
      </c>
      <c r="E59" s="154">
        <f ca="1">COUNTIF(OFFSET(Synthèse!$G68,0,0,1,COUNTA(Synthèse!$10:$10)-6),"="&amp;$E$1)</f>
        <v>0</v>
      </c>
      <c r="F59" s="154">
        <f ca="1">COUNTIF(OFFSET(Synthèse!$G68,0,0,1,COUNTA(Synthèse!$10:$10)-6),"="&amp;$F$1)</f>
        <v>0</v>
      </c>
      <c r="G59" s="154">
        <f ca="1">COUNTIF(OFFSET(Synthèse!$G68,0,0,1,COUNTA(Synthèse!$10:$10)-6),"="&amp;$G$1)</f>
        <v>0</v>
      </c>
      <c r="H59" s="154">
        <f ca="1">COUNTIF(OFFSET(Synthèse!$G68,0,0,1,COUNTA(Synthèse!$10:$10)-6),"="&amp;$H$1)</f>
        <v>0</v>
      </c>
      <c r="I59" s="195">
        <f t="shared" ca="1" si="1"/>
        <v>0</v>
      </c>
      <c r="J59" s="66"/>
      <c r="L59" s="157" t="s">
        <v>22</v>
      </c>
      <c r="M59" s="157"/>
      <c r="N59" s="157" t="s">
        <v>288</v>
      </c>
      <c r="O59" s="158">
        <f t="shared" ca="1" si="9"/>
        <v>1</v>
      </c>
      <c r="P59" s="158">
        <f t="shared" ca="1" si="10"/>
        <v>1</v>
      </c>
      <c r="Q59" s="158">
        <f t="shared" ca="1" si="11"/>
        <v>1</v>
      </c>
      <c r="R59" s="158">
        <f t="shared" ca="1" si="12"/>
        <v>1</v>
      </c>
    </row>
    <row r="60" spans="1:18" x14ac:dyDescent="0.25">
      <c r="A60" s="66"/>
      <c r="B60" s="71" t="str">
        <f>Modèle!B62</f>
        <v>Présentation de l'information</v>
      </c>
      <c r="C60" s="73" t="str">
        <f>Modèle!C62</f>
        <v>10.3</v>
      </c>
      <c r="D60" s="74" t="str">
        <f>Modèle!E62</f>
        <v>A</v>
      </c>
      <c r="E60" s="154">
        <f ca="1">COUNTIF(OFFSET(Synthèse!$G69,0,0,1,COUNTA(Synthèse!$10:$10)-6),"="&amp;$E$1)</f>
        <v>0</v>
      </c>
      <c r="F60" s="154">
        <f ca="1">COUNTIF(OFFSET(Synthèse!$G69,0,0,1,COUNTA(Synthèse!$10:$10)-6),"="&amp;$F$1)</f>
        <v>0</v>
      </c>
      <c r="G60" s="154">
        <f ca="1">COUNTIF(OFFSET(Synthèse!$G69,0,0,1,COUNTA(Synthèse!$10:$10)-6),"="&amp;$G$1)</f>
        <v>0</v>
      </c>
      <c r="H60" s="154">
        <f ca="1">COUNTIF(OFFSET(Synthèse!$G69,0,0,1,COUNTA(Synthèse!$10:$10)-6),"="&amp;$H$1)</f>
        <v>0</v>
      </c>
      <c r="I60" s="195">
        <f t="shared" ca="1" si="1"/>
        <v>0</v>
      </c>
      <c r="J60" s="66"/>
      <c r="L60" s="157" t="s">
        <v>22</v>
      </c>
      <c r="M60" s="157"/>
      <c r="N60" s="157" t="s">
        <v>289</v>
      </c>
      <c r="O60" s="158">
        <f t="shared" ca="1" si="9"/>
        <v>1</v>
      </c>
      <c r="P60" s="158">
        <f t="shared" ca="1" si="10"/>
        <v>1</v>
      </c>
      <c r="Q60" s="158">
        <f t="shared" ca="1" si="11"/>
        <v>1</v>
      </c>
      <c r="R60" s="158">
        <f t="shared" ca="1" si="12"/>
        <v>1</v>
      </c>
    </row>
    <row r="61" spans="1:18" x14ac:dyDescent="0.25">
      <c r="A61" s="66"/>
      <c r="B61" s="71" t="str">
        <f>Modèle!B63</f>
        <v>Présentation de l'information</v>
      </c>
      <c r="C61" s="73" t="str">
        <f>Modèle!C63</f>
        <v>10.4</v>
      </c>
      <c r="D61" s="74" t="str">
        <f>Modèle!E63</f>
        <v>AA</v>
      </c>
      <c r="E61" s="154">
        <f ca="1">COUNTIF(OFFSET(Synthèse!$G70,0,0,1,COUNTA(Synthèse!$10:$10)-6),"="&amp;$E$1)</f>
        <v>0</v>
      </c>
      <c r="F61" s="154">
        <f ca="1">COUNTIF(OFFSET(Synthèse!$G70,0,0,1,COUNTA(Synthèse!$10:$10)-6),"="&amp;$F$1)</f>
        <v>0</v>
      </c>
      <c r="G61" s="154">
        <f ca="1">COUNTIF(OFFSET(Synthèse!$G70,0,0,1,COUNTA(Synthèse!$10:$10)-6),"="&amp;$G$1)</f>
        <v>0</v>
      </c>
      <c r="H61" s="154">
        <f ca="1">COUNTIF(OFFSET(Synthèse!$G70,0,0,1,COUNTA(Synthèse!$10:$10)-6),"="&amp;$H$1)</f>
        <v>0</v>
      </c>
      <c r="I61" s="195">
        <f t="shared" ca="1" si="1"/>
        <v>0</v>
      </c>
      <c r="J61" s="66"/>
      <c r="L61" s="155" t="s">
        <v>22</v>
      </c>
      <c r="M61" s="155"/>
      <c r="N61" s="155" t="s">
        <v>290</v>
      </c>
      <c r="O61" s="156">
        <f t="shared" ca="1" si="9"/>
        <v>1</v>
      </c>
      <c r="P61" s="156">
        <f t="shared" ca="1" si="10"/>
        <v>1</v>
      </c>
      <c r="Q61" s="156">
        <f t="shared" ca="1" si="11"/>
        <v>1</v>
      </c>
      <c r="R61" s="156">
        <f t="shared" ca="1" si="12"/>
        <v>1</v>
      </c>
    </row>
    <row r="62" spans="1:18" x14ac:dyDescent="0.25">
      <c r="A62" s="66"/>
      <c r="B62" s="71" t="str">
        <f>Modèle!B64</f>
        <v>Présentation de l'information</v>
      </c>
      <c r="C62" s="73" t="str">
        <f>Modèle!C64</f>
        <v>10.5</v>
      </c>
      <c r="D62" s="74" t="str">
        <f>Modèle!E64</f>
        <v>AA</v>
      </c>
      <c r="E62" s="154">
        <f ca="1">COUNTIF(OFFSET(Synthèse!$G71,0,0,1,COUNTA(Synthèse!$10:$10)-6),"="&amp;$E$1)</f>
        <v>0</v>
      </c>
      <c r="F62" s="154">
        <f ca="1">COUNTIF(OFFSET(Synthèse!$G71,0,0,1,COUNTA(Synthèse!$10:$10)-6),"="&amp;$F$1)</f>
        <v>0</v>
      </c>
      <c r="G62" s="154">
        <f ca="1">COUNTIF(OFFSET(Synthèse!$G71,0,0,1,COUNTA(Synthèse!$10:$10)-6),"="&amp;$G$1)</f>
        <v>0</v>
      </c>
      <c r="H62" s="154">
        <f ca="1">COUNTIF(OFFSET(Synthèse!$G71,0,0,1,COUNTA(Synthèse!$10:$10)-6),"="&amp;$H$1)</f>
        <v>0</v>
      </c>
      <c r="I62" s="195">
        <f t="shared" ca="1" si="1"/>
        <v>0</v>
      </c>
      <c r="J62" s="66"/>
      <c r="L62" s="155" t="s">
        <v>22</v>
      </c>
      <c r="M62" s="155"/>
      <c r="N62" s="155" t="s">
        <v>291</v>
      </c>
      <c r="O62" s="156">
        <f t="shared" ca="1" si="9"/>
        <v>1</v>
      </c>
      <c r="P62" s="156">
        <f t="shared" ca="1" si="10"/>
        <v>1</v>
      </c>
      <c r="Q62" s="156">
        <f t="shared" ca="1" si="11"/>
        <v>1</v>
      </c>
      <c r="R62" s="156">
        <f t="shared" ca="1" si="12"/>
        <v>1</v>
      </c>
    </row>
    <row r="63" spans="1:18" x14ac:dyDescent="0.25">
      <c r="A63" s="66"/>
      <c r="B63" s="71" t="str">
        <f>Modèle!B65</f>
        <v>Présentation de l'information</v>
      </c>
      <c r="C63" s="73" t="str">
        <f>Modèle!C65</f>
        <v>10.6</v>
      </c>
      <c r="D63" s="74" t="str">
        <f>Modèle!E65</f>
        <v>A</v>
      </c>
      <c r="E63" s="154">
        <f ca="1">COUNTIF(OFFSET(Synthèse!$G72,0,0,1,COUNTA(Synthèse!$10:$10)-6),"="&amp;$E$1)</f>
        <v>0</v>
      </c>
      <c r="F63" s="154">
        <f ca="1">COUNTIF(OFFSET(Synthèse!$G72,0,0,1,COUNTA(Synthèse!$10:$10)-6),"="&amp;$F$1)</f>
        <v>0</v>
      </c>
      <c r="G63" s="154">
        <f ca="1">COUNTIF(OFFSET(Synthèse!$G72,0,0,1,COUNTA(Synthèse!$10:$10)-6),"="&amp;$G$1)</f>
        <v>0</v>
      </c>
      <c r="H63" s="154">
        <f ca="1">COUNTIF(OFFSET(Synthèse!$G72,0,0,1,COUNTA(Synthèse!$10:$10)-6),"="&amp;$H$1)</f>
        <v>0</v>
      </c>
      <c r="I63" s="195">
        <f t="shared" ca="1" si="1"/>
        <v>0</v>
      </c>
      <c r="J63" s="66"/>
      <c r="L63" s="155" t="s">
        <v>22</v>
      </c>
      <c r="M63" s="155"/>
      <c r="N63" s="155" t="s">
        <v>292</v>
      </c>
      <c r="O63" s="156">
        <f t="shared" ca="1" si="9"/>
        <v>1</v>
      </c>
      <c r="P63" s="156">
        <f t="shared" ca="1" si="10"/>
        <v>1</v>
      </c>
      <c r="Q63" s="156">
        <f t="shared" ca="1" si="11"/>
        <v>1</v>
      </c>
      <c r="R63" s="156">
        <f t="shared" ca="1" si="12"/>
        <v>1</v>
      </c>
    </row>
    <row r="64" spans="1:18" x14ac:dyDescent="0.25">
      <c r="A64" s="66"/>
      <c r="B64" s="71" t="str">
        <f>Modèle!B66</f>
        <v>Présentation de l'information</v>
      </c>
      <c r="C64" s="73" t="str">
        <f>Modèle!C66</f>
        <v>10.7</v>
      </c>
      <c r="D64" s="74" t="str">
        <f>Modèle!E66</f>
        <v>A</v>
      </c>
      <c r="E64" s="154">
        <f ca="1">COUNTIF(OFFSET(Synthèse!$G73,0,0,1,COUNTA(Synthèse!$10:$10)-6),"="&amp;$E$1)</f>
        <v>0</v>
      </c>
      <c r="F64" s="154">
        <f ca="1">COUNTIF(OFFSET(Synthèse!$G73,0,0,1,COUNTA(Synthèse!$10:$10)-6),"="&amp;$F$1)</f>
        <v>0</v>
      </c>
      <c r="G64" s="154">
        <f ca="1">COUNTIF(OFFSET(Synthèse!$G73,0,0,1,COUNTA(Synthèse!$10:$10)-6),"="&amp;$G$1)</f>
        <v>0</v>
      </c>
      <c r="H64" s="154">
        <f ca="1">COUNTIF(OFFSET(Synthèse!$G73,0,0,1,COUNTA(Synthèse!$10:$10)-6),"="&amp;$H$1)</f>
        <v>0</v>
      </c>
      <c r="I64" s="195">
        <f t="shared" ca="1" si="1"/>
        <v>0</v>
      </c>
      <c r="J64" s="66"/>
      <c r="L64" s="155" t="s">
        <v>22</v>
      </c>
      <c r="M64" s="155"/>
      <c r="N64" s="155" t="s">
        <v>293</v>
      </c>
      <c r="O64" s="156">
        <f t="shared" ca="1" si="9"/>
        <v>1</v>
      </c>
      <c r="P64" s="156">
        <f t="shared" ca="1" si="10"/>
        <v>1</v>
      </c>
      <c r="Q64" s="156">
        <f t="shared" ca="1" si="11"/>
        <v>1</v>
      </c>
      <c r="R64" s="156">
        <f t="shared" ca="1" si="12"/>
        <v>1</v>
      </c>
    </row>
    <row r="65" spans="1:18" x14ac:dyDescent="0.25">
      <c r="A65" s="66"/>
      <c r="B65" s="71" t="str">
        <f>Modèle!B67</f>
        <v>Présentation de l'information</v>
      </c>
      <c r="C65" s="73" t="str">
        <f>Modèle!C67</f>
        <v>10.8</v>
      </c>
      <c r="D65" s="74" t="str">
        <f>Modèle!E67</f>
        <v>A</v>
      </c>
      <c r="E65" s="154">
        <f ca="1">COUNTIF(OFFSET(Synthèse!$G74,0,0,1,COUNTA(Synthèse!$10:$10)-6),"="&amp;$E$1)</f>
        <v>0</v>
      </c>
      <c r="F65" s="154">
        <f ca="1">COUNTIF(OFFSET(Synthèse!$G74,0,0,1,COUNTA(Synthèse!$10:$10)-6),"="&amp;$F$1)</f>
        <v>0</v>
      </c>
      <c r="G65" s="154">
        <f ca="1">COUNTIF(OFFSET(Synthèse!$G74,0,0,1,COUNTA(Synthèse!$10:$10)-6),"="&amp;$G$1)</f>
        <v>0</v>
      </c>
      <c r="H65" s="154">
        <f ca="1">COUNTIF(OFFSET(Synthèse!$G74,0,0,1,COUNTA(Synthèse!$10:$10)-6),"="&amp;$H$1)</f>
        <v>0</v>
      </c>
      <c r="I65" s="195">
        <f t="shared" ca="1" si="1"/>
        <v>0</v>
      </c>
      <c r="J65" s="66"/>
      <c r="L65" s="155" t="s">
        <v>22</v>
      </c>
      <c r="M65" s="155"/>
      <c r="N65" s="155" t="s">
        <v>294</v>
      </c>
      <c r="O65" s="156">
        <f t="shared" ca="1" si="9"/>
        <v>1</v>
      </c>
      <c r="P65" s="156">
        <f t="shared" ca="1" si="10"/>
        <v>1</v>
      </c>
      <c r="Q65" s="156">
        <f t="shared" ca="1" si="11"/>
        <v>1</v>
      </c>
      <c r="R65" s="156">
        <f t="shared" ca="1" si="12"/>
        <v>1</v>
      </c>
    </row>
    <row r="66" spans="1:18" x14ac:dyDescent="0.25">
      <c r="A66" s="66"/>
      <c r="B66" s="71" t="str">
        <f>Modèle!B68</f>
        <v>Présentation de l'information</v>
      </c>
      <c r="C66" s="73" t="str">
        <f>Modèle!C68</f>
        <v>10.9</v>
      </c>
      <c r="D66" s="74" t="str">
        <f>Modèle!E68</f>
        <v>A</v>
      </c>
      <c r="E66" s="154">
        <f ca="1">COUNTIF(OFFSET(Synthèse!$G75,0,0,1,COUNTA(Synthèse!$10:$10)-6),"="&amp;$E$1)</f>
        <v>0</v>
      </c>
      <c r="F66" s="154">
        <f ca="1">COUNTIF(OFFSET(Synthèse!$G75,0,0,1,COUNTA(Synthèse!$10:$10)-6),"="&amp;$F$1)</f>
        <v>0</v>
      </c>
      <c r="G66" s="154">
        <f ca="1">COUNTIF(OFFSET(Synthèse!$G75,0,0,1,COUNTA(Synthèse!$10:$10)-6),"="&amp;$G$1)</f>
        <v>0</v>
      </c>
      <c r="H66" s="154">
        <f ca="1">COUNTIF(OFFSET(Synthèse!$G75,0,0,1,COUNTA(Synthèse!$10:$10)-6),"="&amp;$H$1)</f>
        <v>0</v>
      </c>
      <c r="I66" s="195">
        <f t="shared" ca="1" si="1"/>
        <v>0</v>
      </c>
      <c r="J66" s="66"/>
      <c r="L66" s="155" t="s">
        <v>22</v>
      </c>
      <c r="M66" s="155"/>
      <c r="N66" s="155" t="s">
        <v>295</v>
      </c>
      <c r="O66" s="156">
        <f t="shared" ca="1" si="9"/>
        <v>1</v>
      </c>
      <c r="P66" s="156">
        <f t="shared" ca="1" si="10"/>
        <v>1</v>
      </c>
      <c r="Q66" s="156">
        <f t="shared" ca="1" si="11"/>
        <v>1</v>
      </c>
      <c r="R66" s="156">
        <f t="shared" ca="1" si="12"/>
        <v>1</v>
      </c>
    </row>
    <row r="67" spans="1:18" x14ac:dyDescent="0.25">
      <c r="A67" s="66"/>
      <c r="B67" s="71" t="str">
        <f>Modèle!B69</f>
        <v>Présentation de l'information</v>
      </c>
      <c r="C67" s="73" t="str">
        <f>Modèle!C69</f>
        <v>10.10</v>
      </c>
      <c r="D67" s="74" t="str">
        <f>Modèle!E69</f>
        <v>A</v>
      </c>
      <c r="E67" s="154">
        <f ca="1">COUNTIF(OFFSET(Synthèse!$G76,0,0,1,COUNTA(Synthèse!$10:$10)-6),"="&amp;$E$1)</f>
        <v>0</v>
      </c>
      <c r="F67" s="154">
        <f ca="1">COUNTIF(OFFSET(Synthèse!$G76,0,0,1,COUNTA(Synthèse!$10:$10)-6),"="&amp;$F$1)</f>
        <v>0</v>
      </c>
      <c r="G67" s="154">
        <f ca="1">COUNTIF(OFFSET(Synthèse!$G76,0,0,1,COUNTA(Synthèse!$10:$10)-6),"="&amp;$G$1)</f>
        <v>0</v>
      </c>
      <c r="H67" s="154">
        <f ca="1">COUNTIF(OFFSET(Synthèse!$G76,0,0,1,COUNTA(Synthèse!$10:$10)-6),"="&amp;$H$1)</f>
        <v>0</v>
      </c>
      <c r="I67" s="195">
        <f t="shared" ref="I67:I107" ca="1" si="13">SUM(E67:H67)</f>
        <v>0</v>
      </c>
      <c r="J67" s="66"/>
      <c r="L67" s="155" t="s">
        <v>22</v>
      </c>
      <c r="M67" s="155"/>
      <c r="N67" s="155" t="s">
        <v>296</v>
      </c>
      <c r="O67" s="156">
        <f t="shared" ca="1" si="9"/>
        <v>1</v>
      </c>
      <c r="P67" s="156">
        <f t="shared" ca="1" si="10"/>
        <v>1</v>
      </c>
      <c r="Q67" s="156">
        <f t="shared" ca="1" si="11"/>
        <v>1</v>
      </c>
      <c r="R67" s="156">
        <f t="shared" ca="1" si="12"/>
        <v>1</v>
      </c>
    </row>
    <row r="68" spans="1:18" x14ac:dyDescent="0.25">
      <c r="A68" s="66"/>
      <c r="B68" s="71" t="str">
        <f>Modèle!B70</f>
        <v>Présentation de l'information</v>
      </c>
      <c r="C68" s="73" t="str">
        <f>Modèle!C70</f>
        <v>10.11</v>
      </c>
      <c r="D68" s="74" t="str">
        <f>Modèle!E70</f>
        <v>AA</v>
      </c>
      <c r="E68" s="154">
        <f ca="1">COUNTIF(OFFSET(Synthèse!$G77,0,0,1,COUNTA(Synthèse!$10:$10)-6),"="&amp;$E$1)</f>
        <v>0</v>
      </c>
      <c r="F68" s="154">
        <f ca="1">COUNTIF(OFFSET(Synthèse!$G77,0,0,1,COUNTA(Synthèse!$10:$10)-6),"="&amp;$F$1)</f>
        <v>0</v>
      </c>
      <c r="G68" s="154">
        <f ca="1">COUNTIF(OFFSET(Synthèse!$G77,0,0,1,COUNTA(Synthèse!$10:$10)-6),"="&amp;$G$1)</f>
        <v>0</v>
      </c>
      <c r="H68" s="154">
        <f ca="1">COUNTIF(OFFSET(Synthèse!$G77,0,0,1,COUNTA(Synthèse!$10:$10)-6),"="&amp;$H$1)</f>
        <v>0</v>
      </c>
      <c r="I68" s="195">
        <f t="shared" ca="1" si="13"/>
        <v>0</v>
      </c>
      <c r="J68" s="66"/>
      <c r="L68" s="155" t="s">
        <v>22</v>
      </c>
      <c r="M68" s="155"/>
      <c r="N68" s="155" t="s">
        <v>297</v>
      </c>
      <c r="O68" s="156">
        <f t="shared" ca="1" si="9"/>
        <v>1</v>
      </c>
      <c r="P68" s="156">
        <f t="shared" ca="1" si="10"/>
        <v>1</v>
      </c>
      <c r="Q68" s="156">
        <f t="shared" ca="1" si="11"/>
        <v>1</v>
      </c>
      <c r="R68" s="156">
        <f t="shared" ca="1" si="12"/>
        <v>1</v>
      </c>
    </row>
    <row r="69" spans="1:18" x14ac:dyDescent="0.25">
      <c r="A69" s="66"/>
      <c r="B69" s="71" t="str">
        <f>Modèle!B71</f>
        <v>Présentation de l'information</v>
      </c>
      <c r="C69" s="73" t="str">
        <f>Modèle!C71</f>
        <v>10.12</v>
      </c>
      <c r="D69" s="74" t="str">
        <f>Modèle!E71</f>
        <v>AA</v>
      </c>
      <c r="E69" s="154">
        <f ca="1">COUNTIF(OFFSET(Synthèse!$G78,0,0,1,COUNTA(Synthèse!$10:$10)-6),"="&amp;$E$1)</f>
        <v>0</v>
      </c>
      <c r="F69" s="154">
        <f ca="1">COUNTIF(OFFSET(Synthèse!$G78,0,0,1,COUNTA(Synthèse!$10:$10)-6),"="&amp;$F$1)</f>
        <v>0</v>
      </c>
      <c r="G69" s="154">
        <f ca="1">COUNTIF(OFFSET(Synthèse!$G78,0,0,1,COUNTA(Synthèse!$10:$10)-6),"="&amp;$G$1)</f>
        <v>0</v>
      </c>
      <c r="H69" s="154">
        <f ca="1">COUNTIF(OFFSET(Synthèse!$G78,0,0,1,COUNTA(Synthèse!$10:$10)-6),"="&amp;$H$1)</f>
        <v>0</v>
      </c>
      <c r="I69" s="195">
        <f t="shared" ca="1" si="13"/>
        <v>0</v>
      </c>
      <c r="J69" s="66"/>
      <c r="L69" s="157" t="s">
        <v>22</v>
      </c>
      <c r="M69" s="157"/>
      <c r="N69" s="157" t="s">
        <v>298</v>
      </c>
      <c r="O69" s="158">
        <f t="shared" ca="1" si="9"/>
        <v>1</v>
      </c>
      <c r="P69" s="158">
        <f t="shared" ca="1" si="10"/>
        <v>1</v>
      </c>
      <c r="Q69" s="158">
        <f t="shared" ca="1" si="11"/>
        <v>1</v>
      </c>
      <c r="R69" s="158">
        <f t="shared" ca="1" si="12"/>
        <v>1</v>
      </c>
    </row>
    <row r="70" spans="1:18" x14ac:dyDescent="0.25">
      <c r="A70" s="66"/>
      <c r="B70" s="71" t="str">
        <f>Modèle!B72</f>
        <v>Présentation de l'information</v>
      </c>
      <c r="C70" s="73" t="str">
        <f>Modèle!C72</f>
        <v>10.13</v>
      </c>
      <c r="D70" s="74" t="str">
        <f>Modèle!E72</f>
        <v>AA</v>
      </c>
      <c r="E70" s="154">
        <f ca="1">COUNTIF(OFFSET(Synthèse!$G79,0,0,1,COUNTA(Synthèse!$10:$10)-6),"="&amp;$E$1)</f>
        <v>0</v>
      </c>
      <c r="F70" s="154">
        <f ca="1">COUNTIF(OFFSET(Synthèse!$G79,0,0,1,COUNTA(Synthèse!$10:$10)-6),"="&amp;$F$1)</f>
        <v>0</v>
      </c>
      <c r="G70" s="154">
        <f ca="1">COUNTIF(OFFSET(Synthèse!$G79,0,0,1,COUNTA(Synthèse!$10:$10)-6),"="&amp;$G$1)</f>
        <v>0</v>
      </c>
      <c r="H70" s="154">
        <f ca="1">COUNTIF(OFFSET(Synthèse!$G79,0,0,1,COUNTA(Synthèse!$10:$10)-6),"="&amp;$H$1)</f>
        <v>0</v>
      </c>
      <c r="I70" s="195">
        <f t="shared" ca="1" si="13"/>
        <v>0</v>
      </c>
      <c r="J70" s="66"/>
      <c r="L70" s="157" t="s">
        <v>22</v>
      </c>
      <c r="M70" s="157"/>
      <c r="N70" s="157" t="s">
        <v>299</v>
      </c>
      <c r="O70" s="158">
        <f t="shared" ca="1" si="9"/>
        <v>1</v>
      </c>
      <c r="P70" s="158">
        <f t="shared" ca="1" si="10"/>
        <v>1</v>
      </c>
      <c r="Q70" s="158">
        <f t="shared" ca="1" si="11"/>
        <v>1</v>
      </c>
      <c r="R70" s="158">
        <f t="shared" ca="1" si="12"/>
        <v>1</v>
      </c>
    </row>
    <row r="71" spans="1:18" x14ac:dyDescent="0.25">
      <c r="A71" s="66"/>
      <c r="B71" s="71" t="str">
        <f>Modèle!B73</f>
        <v>Présentation de l'information</v>
      </c>
      <c r="C71" s="73" t="str">
        <f>Modèle!C73</f>
        <v>10.14</v>
      </c>
      <c r="D71" s="74" t="str">
        <f>Modèle!E73</f>
        <v>A</v>
      </c>
      <c r="E71" s="154">
        <f ca="1">COUNTIF(OFFSET(Synthèse!$G80,0,0,1,COUNTA(Synthèse!$10:$10)-6),"="&amp;$E$1)</f>
        <v>0</v>
      </c>
      <c r="F71" s="154">
        <f ca="1">COUNTIF(OFFSET(Synthèse!$G80,0,0,1,COUNTA(Synthèse!$10:$10)-6),"="&amp;$F$1)</f>
        <v>0</v>
      </c>
      <c r="G71" s="154">
        <f ca="1">COUNTIF(OFFSET(Synthèse!$G80,0,0,1,COUNTA(Synthèse!$10:$10)-6),"="&amp;$G$1)</f>
        <v>0</v>
      </c>
      <c r="H71" s="154">
        <f ca="1">COUNTIF(OFFSET(Synthèse!$G80,0,0,1,COUNTA(Synthèse!$10:$10)-6),"="&amp;$H$1)</f>
        <v>0</v>
      </c>
      <c r="I71" s="195">
        <f t="shared" ca="1" si="13"/>
        <v>0</v>
      </c>
      <c r="J71" s="66"/>
      <c r="L71" s="155" t="s">
        <v>22</v>
      </c>
      <c r="M71" s="155"/>
      <c r="N71" s="155" t="s">
        <v>300</v>
      </c>
      <c r="O71" s="156">
        <f t="shared" ca="1" si="9"/>
        <v>1</v>
      </c>
      <c r="P71" s="156">
        <f t="shared" ca="1" si="10"/>
        <v>1</v>
      </c>
      <c r="Q71" s="156">
        <f t="shared" ca="1" si="11"/>
        <v>1</v>
      </c>
      <c r="R71" s="156">
        <f t="shared" ca="1" si="12"/>
        <v>1</v>
      </c>
    </row>
    <row r="72" spans="1:18" x14ac:dyDescent="0.25">
      <c r="A72" s="66"/>
      <c r="B72" s="173" t="str">
        <f>Modèle!B74</f>
        <v>Formulaires</v>
      </c>
      <c r="C72" s="174" t="str">
        <f>Modèle!C74</f>
        <v>11.1</v>
      </c>
      <c r="D72" s="175" t="str">
        <f>Modèle!E74</f>
        <v>A</v>
      </c>
      <c r="E72" s="154">
        <f ca="1">COUNTIF(OFFSET(Synthèse!$G81,0,0,1,COUNTA(Synthèse!$10:$10)-6),"="&amp;$E$1)</f>
        <v>0</v>
      </c>
      <c r="F72" s="154">
        <f ca="1">COUNTIF(OFFSET(Synthèse!$G81,0,0,1,COUNTA(Synthèse!$10:$10)-6),"="&amp;$F$1)</f>
        <v>0</v>
      </c>
      <c r="G72" s="154">
        <f ca="1">COUNTIF(OFFSET(Synthèse!$G81,0,0,1,COUNTA(Synthèse!$10:$10)-6),"="&amp;$G$1)</f>
        <v>0</v>
      </c>
      <c r="H72" s="154">
        <f ca="1">COUNTIF(OFFSET(Synthèse!$G81,0,0,1,COUNTA(Synthèse!$10:$10)-6),"="&amp;$H$1)</f>
        <v>0</v>
      </c>
      <c r="I72" s="195">
        <f t="shared" ca="1" si="13"/>
        <v>0</v>
      </c>
      <c r="J72" s="66"/>
      <c r="L72" s="155" t="s">
        <v>22</v>
      </c>
      <c r="M72" s="155"/>
      <c r="N72" s="155" t="s">
        <v>301</v>
      </c>
      <c r="O72" s="156">
        <f t="shared" ca="1" si="9"/>
        <v>1</v>
      </c>
      <c r="P72" s="156">
        <f t="shared" ca="1" si="10"/>
        <v>1</v>
      </c>
      <c r="Q72" s="156">
        <f t="shared" ca="1" si="11"/>
        <v>1</v>
      </c>
      <c r="R72" s="156">
        <f t="shared" ca="1" si="12"/>
        <v>1</v>
      </c>
    </row>
    <row r="73" spans="1:18" x14ac:dyDescent="0.25">
      <c r="A73" s="66"/>
      <c r="B73" s="173" t="str">
        <f>Modèle!B75</f>
        <v>Formulaires</v>
      </c>
      <c r="C73" s="174" t="str">
        <f>Modèle!C75</f>
        <v>11.2</v>
      </c>
      <c r="D73" s="175" t="str">
        <f>Modèle!E75</f>
        <v>A</v>
      </c>
      <c r="E73" s="154">
        <f ca="1">COUNTIF(OFFSET(Synthèse!$G82,0,0,1,COUNTA(Synthèse!$10:$10)-6),"="&amp;$E$1)</f>
        <v>0</v>
      </c>
      <c r="F73" s="154">
        <f ca="1">COUNTIF(OFFSET(Synthèse!$G82,0,0,1,COUNTA(Synthèse!$10:$10)-6),"="&amp;$F$1)</f>
        <v>0</v>
      </c>
      <c r="G73" s="154">
        <f ca="1">COUNTIF(OFFSET(Synthèse!$G82,0,0,1,COUNTA(Synthèse!$10:$10)-6),"="&amp;$G$1)</f>
        <v>0</v>
      </c>
      <c r="H73" s="154">
        <f ca="1">COUNTIF(OFFSET(Synthèse!$G82,0,0,1,COUNTA(Synthèse!$10:$10)-6),"="&amp;$H$1)</f>
        <v>0</v>
      </c>
      <c r="I73" s="195">
        <f t="shared" ca="1" si="13"/>
        <v>0</v>
      </c>
      <c r="J73" s="66"/>
      <c r="L73" s="155" t="s">
        <v>22</v>
      </c>
      <c r="M73" s="155"/>
      <c r="N73" s="155" t="s">
        <v>302</v>
      </c>
      <c r="O73" s="156">
        <f t="shared" ca="1" si="9"/>
        <v>1</v>
      </c>
      <c r="P73" s="156">
        <f t="shared" ca="1" si="10"/>
        <v>1</v>
      </c>
      <c r="Q73" s="156">
        <f t="shared" ca="1" si="11"/>
        <v>1</v>
      </c>
      <c r="R73" s="156">
        <f t="shared" ca="1" si="12"/>
        <v>1</v>
      </c>
    </row>
    <row r="74" spans="1:18" x14ac:dyDescent="0.25">
      <c r="A74" s="66"/>
      <c r="B74" s="173" t="str">
        <f>Modèle!B76</f>
        <v>Formulaires</v>
      </c>
      <c r="C74" s="174" t="str">
        <f>Modèle!C76</f>
        <v>11.3</v>
      </c>
      <c r="D74" s="175" t="str">
        <f>Modèle!E76</f>
        <v>AA</v>
      </c>
      <c r="E74" s="154">
        <f ca="1">COUNTIF(OFFSET(Synthèse!$G83,0,0,1,COUNTA(Synthèse!$10:$10)-6),"="&amp;$E$1)</f>
        <v>0</v>
      </c>
      <c r="F74" s="154">
        <f ca="1">COUNTIF(OFFSET(Synthèse!$G83,0,0,1,COUNTA(Synthèse!$10:$10)-6),"="&amp;$F$1)</f>
        <v>0</v>
      </c>
      <c r="G74" s="154">
        <f ca="1">COUNTIF(OFFSET(Synthèse!$G83,0,0,1,COUNTA(Synthèse!$10:$10)-6),"="&amp;$G$1)</f>
        <v>0</v>
      </c>
      <c r="H74" s="154">
        <f ca="1">COUNTIF(OFFSET(Synthèse!$G83,0,0,1,COUNTA(Synthèse!$10:$10)-6),"="&amp;$H$1)</f>
        <v>0</v>
      </c>
      <c r="I74" s="195">
        <f t="shared" ca="1" si="13"/>
        <v>0</v>
      </c>
      <c r="J74" s="66"/>
      <c r="L74" s="155" t="s">
        <v>22</v>
      </c>
      <c r="M74" s="155"/>
      <c r="N74" s="155" t="s">
        <v>303</v>
      </c>
      <c r="O74" s="156">
        <f t="shared" ca="1" si="9"/>
        <v>1</v>
      </c>
      <c r="P74" s="156">
        <f t="shared" ca="1" si="10"/>
        <v>1</v>
      </c>
      <c r="Q74" s="156">
        <f t="shared" ca="1" si="11"/>
        <v>1</v>
      </c>
      <c r="R74" s="156">
        <f t="shared" ca="1" si="12"/>
        <v>1</v>
      </c>
    </row>
    <row r="75" spans="1:18" x14ac:dyDescent="0.25">
      <c r="A75" s="66"/>
      <c r="B75" s="173" t="str">
        <f>Modèle!B77</f>
        <v>Formulaires</v>
      </c>
      <c r="C75" s="174" t="str">
        <f>Modèle!C77</f>
        <v>11.4</v>
      </c>
      <c r="D75" s="175" t="str">
        <f>Modèle!E77</f>
        <v>AA</v>
      </c>
      <c r="E75" s="154">
        <f ca="1">COUNTIF(OFFSET(Synthèse!$G84,0,0,1,COUNTA(Synthèse!$10:$10)-6),"="&amp;$E$1)</f>
        <v>0</v>
      </c>
      <c r="F75" s="154">
        <f ca="1">COUNTIF(OFFSET(Synthèse!$G84,0,0,1,COUNTA(Synthèse!$10:$10)-6),"="&amp;$F$1)</f>
        <v>0</v>
      </c>
      <c r="G75" s="154">
        <f ca="1">COUNTIF(OFFSET(Synthèse!$G84,0,0,1,COUNTA(Synthèse!$10:$10)-6),"="&amp;$G$1)</f>
        <v>0</v>
      </c>
      <c r="H75" s="154">
        <f ca="1">COUNTIF(OFFSET(Synthèse!$G84,0,0,1,COUNTA(Synthèse!$10:$10)-6),"="&amp;$H$1)</f>
        <v>0</v>
      </c>
      <c r="I75" s="195">
        <f t="shared" ca="1" si="13"/>
        <v>0</v>
      </c>
      <c r="J75" s="66"/>
      <c r="L75" s="155" t="s">
        <v>23</v>
      </c>
      <c r="M75" s="155"/>
      <c r="N75" s="155" t="s">
        <v>304</v>
      </c>
      <c r="O75" s="156">
        <f t="shared" ca="1" si="9"/>
        <v>1</v>
      </c>
      <c r="P75" s="156">
        <f t="shared" ca="1" si="10"/>
        <v>1</v>
      </c>
      <c r="Q75" s="156">
        <f t="shared" ca="1" si="11"/>
        <v>1</v>
      </c>
      <c r="R75" s="156">
        <f t="shared" ca="1" si="12"/>
        <v>1</v>
      </c>
    </row>
    <row r="76" spans="1:18" x14ac:dyDescent="0.25">
      <c r="A76" s="66"/>
      <c r="B76" s="173" t="str">
        <f>Modèle!B78</f>
        <v>Formulaires</v>
      </c>
      <c r="C76" s="174" t="str">
        <f>Modèle!C78</f>
        <v>11.5</v>
      </c>
      <c r="D76" s="175" t="str">
        <f>Modèle!E78</f>
        <v>A</v>
      </c>
      <c r="E76" s="154">
        <f ca="1">COUNTIF(OFFSET(Synthèse!$G85,0,0,1,COUNTA(Synthèse!$10:$10)-6),"="&amp;$E$1)</f>
        <v>0</v>
      </c>
      <c r="F76" s="154">
        <f ca="1">COUNTIF(OFFSET(Synthèse!$G85,0,0,1,COUNTA(Synthèse!$10:$10)-6),"="&amp;$F$1)</f>
        <v>0</v>
      </c>
      <c r="G76" s="154">
        <f ca="1">COUNTIF(OFFSET(Synthèse!$G85,0,0,1,COUNTA(Synthèse!$10:$10)-6),"="&amp;$G$1)</f>
        <v>0</v>
      </c>
      <c r="H76" s="154">
        <f ca="1">COUNTIF(OFFSET(Synthèse!$G85,0,0,1,COUNTA(Synthèse!$10:$10)-6),"="&amp;$H$1)</f>
        <v>0</v>
      </c>
      <c r="I76" s="195">
        <f t="shared" ca="1" si="13"/>
        <v>0</v>
      </c>
      <c r="J76" s="66"/>
      <c r="L76" s="157" t="s">
        <v>22</v>
      </c>
      <c r="M76" s="157"/>
      <c r="N76" s="157" t="s">
        <v>305</v>
      </c>
      <c r="O76" s="158">
        <f t="shared" ca="1" si="9"/>
        <v>1</v>
      </c>
      <c r="P76" s="158">
        <f t="shared" ca="1" si="10"/>
        <v>1</v>
      </c>
      <c r="Q76" s="158">
        <f t="shared" ca="1" si="11"/>
        <v>1</v>
      </c>
      <c r="R76" s="158">
        <f t="shared" ca="1" si="12"/>
        <v>1</v>
      </c>
    </row>
    <row r="77" spans="1:18" x14ac:dyDescent="0.25">
      <c r="A77" s="66"/>
      <c r="B77" s="173" t="str">
        <f>Modèle!B79</f>
        <v>Formulaires</v>
      </c>
      <c r="C77" s="174" t="str">
        <f>Modèle!C79</f>
        <v>11.6</v>
      </c>
      <c r="D77" s="175" t="str">
        <f>Modèle!E79</f>
        <v>A</v>
      </c>
      <c r="E77" s="154">
        <f ca="1">COUNTIF(OFFSET(Synthèse!$G86,0,0,1,COUNTA(Synthèse!$10:$10)-6),"="&amp;$E$1)</f>
        <v>0</v>
      </c>
      <c r="F77" s="154">
        <f ca="1">COUNTIF(OFFSET(Synthèse!$G86,0,0,1,COUNTA(Synthèse!$10:$10)-6),"="&amp;$F$1)</f>
        <v>0</v>
      </c>
      <c r="G77" s="154">
        <f ca="1">COUNTIF(OFFSET(Synthèse!$G86,0,0,1,COUNTA(Synthèse!$10:$10)-6),"="&amp;$G$1)</f>
        <v>0</v>
      </c>
      <c r="H77" s="154">
        <f ca="1">COUNTIF(OFFSET(Synthèse!$G86,0,0,1,COUNTA(Synthèse!$10:$10)-6),"="&amp;$H$1)</f>
        <v>0</v>
      </c>
      <c r="I77" s="195">
        <f t="shared" ca="1" si="13"/>
        <v>0</v>
      </c>
      <c r="J77" s="66"/>
      <c r="L77" s="157" t="s">
        <v>22</v>
      </c>
      <c r="M77" s="157"/>
      <c r="N77" s="157" t="s">
        <v>306</v>
      </c>
      <c r="O77" s="158">
        <f t="shared" ca="1" si="9"/>
        <v>1</v>
      </c>
      <c r="P77" s="158">
        <f t="shared" ca="1" si="10"/>
        <v>1</v>
      </c>
      <c r="Q77" s="158">
        <f t="shared" ca="1" si="11"/>
        <v>1</v>
      </c>
      <c r="R77" s="158">
        <f t="shared" ca="1" si="12"/>
        <v>1</v>
      </c>
    </row>
    <row r="78" spans="1:18" x14ac:dyDescent="0.25">
      <c r="A78" s="66"/>
      <c r="B78" s="173" t="str">
        <f>Modèle!B80</f>
        <v>Formulaires</v>
      </c>
      <c r="C78" s="174" t="str">
        <f>Modèle!C80</f>
        <v>11.7</v>
      </c>
      <c r="D78" s="175" t="str">
        <f>Modèle!E80</f>
        <v>A</v>
      </c>
      <c r="E78" s="154">
        <f ca="1">COUNTIF(OFFSET(Synthèse!$G87,0,0,1,COUNTA(Synthèse!$10:$10)-6),"="&amp;$E$1)</f>
        <v>0</v>
      </c>
      <c r="F78" s="154">
        <f ca="1">COUNTIF(OFFSET(Synthèse!$G87,0,0,1,COUNTA(Synthèse!$10:$10)-6),"="&amp;$F$1)</f>
        <v>0</v>
      </c>
      <c r="G78" s="154">
        <f ca="1">COUNTIF(OFFSET(Synthèse!$G87,0,0,1,COUNTA(Synthèse!$10:$10)-6),"="&amp;$G$1)</f>
        <v>0</v>
      </c>
      <c r="H78" s="154">
        <f ca="1">COUNTIF(OFFSET(Synthèse!$G87,0,0,1,COUNTA(Synthèse!$10:$10)-6),"="&amp;$H$1)</f>
        <v>0</v>
      </c>
      <c r="I78" s="195">
        <f t="shared" ca="1" si="13"/>
        <v>0</v>
      </c>
      <c r="J78" s="66"/>
      <c r="L78" s="157" t="s">
        <v>22</v>
      </c>
      <c r="M78" s="157"/>
      <c r="N78" s="157" t="s">
        <v>307</v>
      </c>
      <c r="O78" s="158">
        <f t="shared" ca="1" si="9"/>
        <v>1</v>
      </c>
      <c r="P78" s="158">
        <f t="shared" ca="1" si="10"/>
        <v>1</v>
      </c>
      <c r="Q78" s="158">
        <f t="shared" ca="1" si="11"/>
        <v>1</v>
      </c>
      <c r="R78" s="158">
        <f t="shared" ca="1" si="12"/>
        <v>1</v>
      </c>
    </row>
    <row r="79" spans="1:18" x14ac:dyDescent="0.25">
      <c r="A79" s="66"/>
      <c r="B79" s="173" t="str">
        <f>Modèle!B81</f>
        <v>Formulaires</v>
      </c>
      <c r="C79" s="174" t="str">
        <f>Modèle!C81</f>
        <v>11.8</v>
      </c>
      <c r="D79" s="175" t="str">
        <f>Modèle!E81</f>
        <v>A</v>
      </c>
      <c r="E79" s="154">
        <f ca="1">COUNTIF(OFFSET(Synthèse!$G88,0,0,1,COUNTA(Synthèse!$10:$10)-6),"="&amp;$E$1)</f>
        <v>0</v>
      </c>
      <c r="F79" s="154">
        <f ca="1">COUNTIF(OFFSET(Synthèse!$G88,0,0,1,COUNTA(Synthèse!$10:$10)-6),"="&amp;$F$1)</f>
        <v>0</v>
      </c>
      <c r="G79" s="154">
        <f ca="1">COUNTIF(OFFSET(Synthèse!$G88,0,0,1,COUNTA(Synthèse!$10:$10)-6),"="&amp;$G$1)</f>
        <v>0</v>
      </c>
      <c r="H79" s="154">
        <f ca="1">COUNTIF(OFFSET(Synthèse!$G88,0,0,1,COUNTA(Synthèse!$10:$10)-6),"="&amp;$H$1)</f>
        <v>0</v>
      </c>
      <c r="I79" s="195">
        <f t="shared" ca="1" si="13"/>
        <v>0</v>
      </c>
      <c r="J79" s="66"/>
      <c r="L79" s="157" t="s">
        <v>22</v>
      </c>
      <c r="M79" s="157"/>
      <c r="N79" s="157" t="s">
        <v>308</v>
      </c>
      <c r="O79" s="158">
        <f t="shared" ca="1" si="9"/>
        <v>1</v>
      </c>
      <c r="P79" s="158">
        <f t="shared" ca="1" si="10"/>
        <v>1</v>
      </c>
      <c r="Q79" s="158">
        <f t="shared" ca="1" si="11"/>
        <v>1</v>
      </c>
      <c r="R79" s="158">
        <f t="shared" ca="1" si="12"/>
        <v>1</v>
      </c>
    </row>
    <row r="80" spans="1:18" x14ac:dyDescent="0.25">
      <c r="A80" s="66"/>
      <c r="B80" s="173" t="str">
        <f>Modèle!B82</f>
        <v>Formulaires</v>
      </c>
      <c r="C80" s="174" t="str">
        <f>Modèle!C82</f>
        <v>11.9</v>
      </c>
      <c r="D80" s="175" t="str">
        <f>Modèle!E82</f>
        <v>A</v>
      </c>
      <c r="E80" s="154">
        <f ca="1">COUNTIF(OFFSET(Synthèse!$G89,0,0,1,COUNTA(Synthèse!$10:$10)-6),"="&amp;$E$1)</f>
        <v>0</v>
      </c>
      <c r="F80" s="154">
        <f ca="1">COUNTIF(OFFSET(Synthèse!$G89,0,0,1,COUNTA(Synthèse!$10:$10)-6),"="&amp;$F$1)</f>
        <v>0</v>
      </c>
      <c r="G80" s="154">
        <f ca="1">COUNTIF(OFFSET(Synthèse!$G89,0,0,1,COUNTA(Synthèse!$10:$10)-6),"="&amp;$G$1)</f>
        <v>0</v>
      </c>
      <c r="H80" s="154">
        <f ca="1">COUNTIF(OFFSET(Synthèse!$G89,0,0,1,COUNTA(Synthèse!$10:$10)-6),"="&amp;$H$1)</f>
        <v>0</v>
      </c>
      <c r="I80" s="195">
        <f t="shared" ca="1" si="13"/>
        <v>0</v>
      </c>
      <c r="J80" s="66"/>
      <c r="L80" s="157" t="s">
        <v>22</v>
      </c>
      <c r="M80" s="157"/>
      <c r="N80" s="157" t="s">
        <v>309</v>
      </c>
      <c r="O80" s="158">
        <f t="shared" ca="1" si="9"/>
        <v>1</v>
      </c>
      <c r="P80" s="158">
        <f t="shared" ca="1" si="10"/>
        <v>1</v>
      </c>
      <c r="Q80" s="158">
        <f t="shared" ca="1" si="11"/>
        <v>1</v>
      </c>
      <c r="R80" s="158">
        <f t="shared" ca="1" si="12"/>
        <v>1</v>
      </c>
    </row>
    <row r="81" spans="1:18" x14ac:dyDescent="0.25">
      <c r="A81" s="66"/>
      <c r="B81" s="173" t="str">
        <f>Modèle!B83</f>
        <v>Formulaires</v>
      </c>
      <c r="C81" s="174" t="str">
        <f>Modèle!C83</f>
        <v>11.10</v>
      </c>
      <c r="D81" s="175" t="str">
        <f>Modèle!E83</f>
        <v>A</v>
      </c>
      <c r="E81" s="154">
        <f ca="1">COUNTIF(OFFSET(Synthèse!$G90,0,0,1,COUNTA(Synthèse!$10:$10)-6),"="&amp;$E$1)</f>
        <v>0</v>
      </c>
      <c r="F81" s="154">
        <f ca="1">COUNTIF(OFFSET(Synthèse!$G90,0,0,1,COUNTA(Synthèse!$10:$10)-6),"="&amp;$F$1)</f>
        <v>0</v>
      </c>
      <c r="G81" s="154">
        <f ca="1">COUNTIF(OFFSET(Synthèse!$G90,0,0,1,COUNTA(Synthèse!$10:$10)-6),"="&amp;$G$1)</f>
        <v>0</v>
      </c>
      <c r="H81" s="154">
        <f ca="1">COUNTIF(OFFSET(Synthèse!$G90,0,0,1,COUNTA(Synthèse!$10:$10)-6),"="&amp;$H$1)</f>
        <v>0</v>
      </c>
      <c r="I81" s="195">
        <f t="shared" ca="1" si="13"/>
        <v>0</v>
      </c>
      <c r="J81" s="66"/>
      <c r="L81" s="157" t="s">
        <v>22</v>
      </c>
      <c r="M81" s="157"/>
      <c r="N81" s="157" t="s">
        <v>310</v>
      </c>
      <c r="O81" s="158">
        <f t="shared" ca="1" si="9"/>
        <v>1</v>
      </c>
      <c r="P81" s="158">
        <f t="shared" ca="1" si="10"/>
        <v>1</v>
      </c>
      <c r="Q81" s="158">
        <f t="shared" ca="1" si="11"/>
        <v>1</v>
      </c>
      <c r="R81" s="158">
        <f t="shared" ca="1" si="12"/>
        <v>1</v>
      </c>
    </row>
    <row r="82" spans="1:18" x14ac:dyDescent="0.25">
      <c r="A82" s="66"/>
      <c r="B82" s="173" t="str">
        <f>Modèle!B84</f>
        <v>Formulaires</v>
      </c>
      <c r="C82" s="174" t="str">
        <f>Modèle!C84</f>
        <v>11.11</v>
      </c>
      <c r="D82" s="175" t="str">
        <f>Modèle!E84</f>
        <v>AA</v>
      </c>
      <c r="E82" s="154">
        <f ca="1">COUNTIF(OFFSET(Synthèse!$G91,0,0,1,COUNTA(Synthèse!$10:$10)-6),"="&amp;$E$1)</f>
        <v>0</v>
      </c>
      <c r="F82" s="154">
        <f ca="1">COUNTIF(OFFSET(Synthèse!$G91,0,0,1,COUNTA(Synthèse!$10:$10)-6),"="&amp;$F$1)</f>
        <v>0</v>
      </c>
      <c r="G82" s="154">
        <f ca="1">COUNTIF(OFFSET(Synthèse!$G91,0,0,1,COUNTA(Synthèse!$10:$10)-6),"="&amp;$G$1)</f>
        <v>0</v>
      </c>
      <c r="H82" s="154">
        <f ca="1">COUNTIF(OFFSET(Synthèse!$G91,0,0,1,COUNTA(Synthèse!$10:$10)-6),"="&amp;$H$1)</f>
        <v>0</v>
      </c>
      <c r="I82" s="195">
        <f t="shared" ca="1" si="13"/>
        <v>0</v>
      </c>
      <c r="J82" s="66"/>
      <c r="L82" s="157" t="s">
        <v>23</v>
      </c>
      <c r="M82" s="157"/>
      <c r="N82" s="157" t="s">
        <v>311</v>
      </c>
      <c r="O82" s="158">
        <f t="shared" ca="1" si="9"/>
        <v>1</v>
      </c>
      <c r="P82" s="158">
        <f t="shared" ca="1" si="10"/>
        <v>1</v>
      </c>
      <c r="Q82" s="158">
        <f t="shared" ca="1" si="11"/>
        <v>1</v>
      </c>
      <c r="R82" s="158">
        <f t="shared" ca="1" si="12"/>
        <v>1</v>
      </c>
    </row>
    <row r="83" spans="1:18" x14ac:dyDescent="0.25">
      <c r="A83" s="66"/>
      <c r="B83" s="173" t="str">
        <f>Modèle!B85</f>
        <v>Formulaires</v>
      </c>
      <c r="C83" s="174" t="str">
        <f>Modèle!C85</f>
        <v>11.12</v>
      </c>
      <c r="D83" s="175" t="str">
        <f>Modèle!E85</f>
        <v>AA</v>
      </c>
      <c r="E83" s="154">
        <f ca="1">COUNTIF(OFFSET(Synthèse!$G92,0,0,1,COUNTA(Synthèse!$10:$10)-6),"="&amp;$E$1)</f>
        <v>0</v>
      </c>
      <c r="F83" s="154">
        <f ca="1">COUNTIF(OFFSET(Synthèse!$G92,0,0,1,COUNTA(Synthèse!$10:$10)-6),"="&amp;$F$1)</f>
        <v>0</v>
      </c>
      <c r="G83" s="154">
        <f ca="1">COUNTIF(OFFSET(Synthèse!$G92,0,0,1,COUNTA(Synthèse!$10:$10)-6),"="&amp;$G$1)</f>
        <v>0</v>
      </c>
      <c r="H83" s="154">
        <f ca="1">COUNTIF(OFFSET(Synthèse!$G92,0,0,1,COUNTA(Synthèse!$10:$10)-6),"="&amp;$H$1)</f>
        <v>0</v>
      </c>
      <c r="I83" s="195">
        <f t="shared" ca="1" si="13"/>
        <v>0</v>
      </c>
      <c r="J83" s="66"/>
      <c r="L83" s="157" t="s">
        <v>23</v>
      </c>
      <c r="M83" s="157"/>
      <c r="N83" s="157" t="s">
        <v>312</v>
      </c>
      <c r="O83" s="158">
        <f t="shared" ca="1" si="9"/>
        <v>1</v>
      </c>
      <c r="P83" s="158">
        <f t="shared" ca="1" si="10"/>
        <v>1</v>
      </c>
      <c r="Q83" s="158">
        <f t="shared" ca="1" si="11"/>
        <v>1</v>
      </c>
      <c r="R83" s="158">
        <f t="shared" ca="1" si="12"/>
        <v>1</v>
      </c>
    </row>
    <row r="84" spans="1:18" x14ac:dyDescent="0.25">
      <c r="A84" s="66"/>
      <c r="B84" s="173" t="str">
        <f>Modèle!B86</f>
        <v>Formulaires</v>
      </c>
      <c r="C84" s="174" t="str">
        <f>Modèle!C86</f>
        <v>11.13</v>
      </c>
      <c r="D84" s="175" t="str">
        <f>Modèle!E86</f>
        <v>AA</v>
      </c>
      <c r="E84" s="154">
        <f ca="1">COUNTIF(OFFSET(Synthèse!$G93,0,0,1,COUNTA(Synthèse!$10:$10)-6),"="&amp;$E$1)</f>
        <v>0</v>
      </c>
      <c r="F84" s="154">
        <f ca="1">COUNTIF(OFFSET(Synthèse!$G93,0,0,1,COUNTA(Synthèse!$10:$10)-6),"="&amp;$F$1)</f>
        <v>0</v>
      </c>
      <c r="G84" s="154">
        <f ca="1">COUNTIF(OFFSET(Synthèse!$G93,0,0,1,COUNTA(Synthèse!$10:$10)-6),"="&amp;$G$1)</f>
        <v>0</v>
      </c>
      <c r="H84" s="154">
        <f ca="1">COUNTIF(OFFSET(Synthèse!$G93,0,0,1,COUNTA(Synthèse!$10:$10)-6),"="&amp;$H$1)</f>
        <v>0</v>
      </c>
      <c r="I84" s="195">
        <f t="shared" ca="1" si="13"/>
        <v>0</v>
      </c>
      <c r="J84" s="66"/>
      <c r="L84" s="157" t="s">
        <v>22</v>
      </c>
      <c r="M84" s="157"/>
      <c r="N84" s="157" t="s">
        <v>313</v>
      </c>
      <c r="O84" s="158">
        <f t="shared" ca="1" si="9"/>
        <v>1</v>
      </c>
      <c r="P84" s="158">
        <f t="shared" ca="1" si="10"/>
        <v>1</v>
      </c>
      <c r="Q84" s="158">
        <f t="shared" ca="1" si="11"/>
        <v>1</v>
      </c>
      <c r="R84" s="158">
        <f t="shared" ca="1" si="12"/>
        <v>1</v>
      </c>
    </row>
    <row r="85" spans="1:18" x14ac:dyDescent="0.25">
      <c r="A85" s="66"/>
      <c r="B85" s="71" t="str">
        <f>Modèle!B87</f>
        <v>Navigation</v>
      </c>
      <c r="C85" s="73" t="str">
        <f>Modèle!C87</f>
        <v>12.1</v>
      </c>
      <c r="D85" s="74" t="str">
        <f>Modèle!E87</f>
        <v>AA</v>
      </c>
      <c r="E85" s="154">
        <f ca="1">COUNTIF(OFFSET(Synthèse!$G94,0,0,1,COUNTA(Synthèse!$10:$10)-6),"="&amp;$E$1)</f>
        <v>0</v>
      </c>
      <c r="F85" s="154">
        <f ca="1">COUNTIF(OFFSET(Synthèse!$G94,0,0,1,COUNTA(Synthèse!$10:$10)-6),"="&amp;$F$1)</f>
        <v>0</v>
      </c>
      <c r="G85" s="154">
        <f ca="1">COUNTIF(OFFSET(Synthèse!$G94,0,0,1,COUNTA(Synthèse!$10:$10)-6),"="&amp;$G$1)</f>
        <v>0</v>
      </c>
      <c r="H85" s="154">
        <f ca="1">COUNTIF(OFFSET(Synthèse!$G94,0,0,1,COUNTA(Synthèse!$10:$10)-6),"="&amp;$H$1)</f>
        <v>0</v>
      </c>
      <c r="I85" s="195">
        <f t="shared" ca="1" si="13"/>
        <v>0</v>
      </c>
      <c r="J85" s="66"/>
      <c r="L85" s="157" t="s">
        <v>22</v>
      </c>
      <c r="M85" s="157"/>
      <c r="N85" s="157" t="s">
        <v>314</v>
      </c>
      <c r="O85" s="158">
        <f t="shared" ca="1" si="9"/>
        <v>1</v>
      </c>
      <c r="P85" s="158">
        <f t="shared" ca="1" si="10"/>
        <v>1</v>
      </c>
      <c r="Q85" s="158">
        <f t="shared" ca="1" si="11"/>
        <v>1</v>
      </c>
      <c r="R85" s="158">
        <f t="shared" ca="1" si="12"/>
        <v>1</v>
      </c>
    </row>
    <row r="86" spans="1:18" x14ac:dyDescent="0.25">
      <c r="A86" s="66"/>
      <c r="B86" s="71" t="str">
        <f>Modèle!B88</f>
        <v>Navigation</v>
      </c>
      <c r="C86" s="73" t="str">
        <f>Modèle!C88</f>
        <v>12.2</v>
      </c>
      <c r="D86" s="74" t="str">
        <f>Modèle!E88</f>
        <v>AA</v>
      </c>
      <c r="E86" s="154">
        <f ca="1">COUNTIF(OFFSET(Synthèse!$G95,0,0,1,COUNTA(Synthèse!$10:$10)-6),"="&amp;$E$1)</f>
        <v>0</v>
      </c>
      <c r="F86" s="154">
        <f ca="1">COUNTIF(OFFSET(Synthèse!$G95,0,0,1,COUNTA(Synthèse!$10:$10)-6),"="&amp;$F$1)</f>
        <v>0</v>
      </c>
      <c r="G86" s="154">
        <f ca="1">COUNTIF(OFFSET(Synthèse!$G95,0,0,1,COUNTA(Synthèse!$10:$10)-6),"="&amp;$G$1)</f>
        <v>0</v>
      </c>
      <c r="H86" s="154">
        <f ca="1">COUNTIF(OFFSET(Synthèse!$G95,0,0,1,COUNTA(Synthèse!$10:$10)-6),"="&amp;$H$1)</f>
        <v>0</v>
      </c>
      <c r="I86" s="195">
        <f t="shared" ca="1" si="13"/>
        <v>0</v>
      </c>
      <c r="J86" s="66"/>
      <c r="L86" s="155" t="s">
        <v>22</v>
      </c>
      <c r="M86" s="155"/>
      <c r="N86" s="155" t="s">
        <v>315</v>
      </c>
      <c r="O86" s="156">
        <f t="shared" ca="1" si="9"/>
        <v>1</v>
      </c>
      <c r="P86" s="156">
        <f t="shared" ca="1" si="10"/>
        <v>1</v>
      </c>
      <c r="Q86" s="156">
        <f t="shared" ca="1" si="11"/>
        <v>1</v>
      </c>
      <c r="R86" s="156">
        <f t="shared" ca="1" si="12"/>
        <v>1</v>
      </c>
    </row>
    <row r="87" spans="1:18" x14ac:dyDescent="0.25">
      <c r="A87" s="66"/>
      <c r="B87" s="71" t="str">
        <f>Modèle!B89</f>
        <v>Navigation</v>
      </c>
      <c r="C87" s="73" t="str">
        <f>Modèle!C89</f>
        <v>12.3</v>
      </c>
      <c r="D87" s="74" t="str">
        <f>Modèle!E89</f>
        <v>AA</v>
      </c>
      <c r="E87" s="154">
        <f ca="1">COUNTIF(OFFSET(Synthèse!$G96,0,0,1,COUNTA(Synthèse!$10:$10)-6),"="&amp;$E$1)</f>
        <v>0</v>
      </c>
      <c r="F87" s="154">
        <f ca="1">COUNTIF(OFFSET(Synthèse!$G96,0,0,1,COUNTA(Synthèse!$10:$10)-6),"="&amp;$F$1)</f>
        <v>0</v>
      </c>
      <c r="G87" s="154">
        <f ca="1">COUNTIF(OFFSET(Synthèse!$G96,0,0,1,COUNTA(Synthèse!$10:$10)-6),"="&amp;$G$1)</f>
        <v>0</v>
      </c>
      <c r="H87" s="154">
        <f ca="1">COUNTIF(OFFSET(Synthèse!$G96,0,0,1,COUNTA(Synthèse!$10:$10)-6),"="&amp;$H$1)</f>
        <v>0</v>
      </c>
      <c r="I87" s="195">
        <f t="shared" ca="1" si="13"/>
        <v>0</v>
      </c>
      <c r="J87" s="66"/>
      <c r="L87" s="155" t="s">
        <v>22</v>
      </c>
      <c r="M87" s="155"/>
      <c r="N87" s="155" t="s">
        <v>316</v>
      </c>
      <c r="O87" s="156">
        <f t="shared" ca="1" si="9"/>
        <v>1</v>
      </c>
      <c r="P87" s="156">
        <f t="shared" ca="1" si="10"/>
        <v>1</v>
      </c>
      <c r="Q87" s="156">
        <f t="shared" ca="1" si="11"/>
        <v>1</v>
      </c>
      <c r="R87" s="156">
        <f t="shared" ca="1" si="12"/>
        <v>1</v>
      </c>
    </row>
    <row r="88" spans="1:18" x14ac:dyDescent="0.25">
      <c r="A88" s="66"/>
      <c r="B88" s="71" t="str">
        <f>Modèle!B90</f>
        <v>Navigation</v>
      </c>
      <c r="C88" s="73" t="str">
        <f>Modèle!C90</f>
        <v>12.4</v>
      </c>
      <c r="D88" s="74" t="str">
        <f>Modèle!E90</f>
        <v>AA</v>
      </c>
      <c r="E88" s="154">
        <f ca="1">COUNTIF(OFFSET(Synthèse!$G97,0,0,1,COUNTA(Synthèse!$10:$10)-6),"="&amp;$E$1)</f>
        <v>0</v>
      </c>
      <c r="F88" s="154">
        <f ca="1">COUNTIF(OFFSET(Synthèse!$G97,0,0,1,COUNTA(Synthèse!$10:$10)-6),"="&amp;$F$1)</f>
        <v>0</v>
      </c>
      <c r="G88" s="154">
        <f ca="1">COUNTIF(OFFSET(Synthèse!$G97,0,0,1,COUNTA(Synthèse!$10:$10)-6),"="&amp;$G$1)</f>
        <v>0</v>
      </c>
      <c r="H88" s="154">
        <f ca="1">COUNTIF(OFFSET(Synthèse!$G97,0,0,1,COUNTA(Synthèse!$10:$10)-6),"="&amp;$H$1)</f>
        <v>0</v>
      </c>
      <c r="I88" s="195">
        <f t="shared" ca="1" si="13"/>
        <v>0</v>
      </c>
      <c r="J88" s="66"/>
      <c r="L88" s="155" t="s">
        <v>22</v>
      </c>
      <c r="M88" s="155"/>
      <c r="N88" s="155" t="s">
        <v>317</v>
      </c>
      <c r="O88" s="156">
        <f t="shared" ca="1" si="9"/>
        <v>1</v>
      </c>
      <c r="P88" s="156">
        <f t="shared" ca="1" si="10"/>
        <v>1</v>
      </c>
      <c r="Q88" s="156">
        <f t="shared" ca="1" si="11"/>
        <v>1</v>
      </c>
      <c r="R88" s="156">
        <f t="shared" ca="1" si="12"/>
        <v>1</v>
      </c>
    </row>
    <row r="89" spans="1:18" x14ac:dyDescent="0.25">
      <c r="A89" s="66"/>
      <c r="B89" s="71" t="str">
        <f>Modèle!B91</f>
        <v>Navigation</v>
      </c>
      <c r="C89" s="73" t="str">
        <f>Modèle!C91</f>
        <v>12.5</v>
      </c>
      <c r="D89" s="74" t="str">
        <f>Modèle!E91</f>
        <v>AA</v>
      </c>
      <c r="E89" s="154">
        <f ca="1">COUNTIF(OFFSET(Synthèse!$G98,0,0,1,COUNTA(Synthèse!$10:$10)-6),"="&amp;$E$1)</f>
        <v>0</v>
      </c>
      <c r="F89" s="154">
        <f ca="1">COUNTIF(OFFSET(Synthèse!$G98,0,0,1,COUNTA(Synthèse!$10:$10)-6),"="&amp;$F$1)</f>
        <v>0</v>
      </c>
      <c r="G89" s="154">
        <f ca="1">COUNTIF(OFFSET(Synthèse!$G98,0,0,1,COUNTA(Synthèse!$10:$10)-6),"="&amp;$G$1)</f>
        <v>0</v>
      </c>
      <c r="H89" s="154">
        <f ca="1">COUNTIF(OFFSET(Synthèse!$G98,0,0,1,COUNTA(Synthèse!$10:$10)-6),"="&amp;$H$1)</f>
        <v>0</v>
      </c>
      <c r="I89" s="195">
        <f t="shared" ca="1" si="13"/>
        <v>0</v>
      </c>
      <c r="J89" s="66"/>
      <c r="L89" s="155" t="s">
        <v>22</v>
      </c>
      <c r="M89" s="155"/>
      <c r="N89" s="155" t="s">
        <v>318</v>
      </c>
      <c r="O89" s="156">
        <f t="shared" ca="1" si="9"/>
        <v>1</v>
      </c>
      <c r="P89" s="156">
        <f t="shared" ca="1" si="10"/>
        <v>1</v>
      </c>
      <c r="Q89" s="156">
        <f t="shared" ca="1" si="11"/>
        <v>1</v>
      </c>
      <c r="R89" s="156">
        <f t="shared" ca="1" si="12"/>
        <v>1</v>
      </c>
    </row>
    <row r="90" spans="1:18" x14ac:dyDescent="0.25">
      <c r="A90" s="66"/>
      <c r="B90" s="71" t="str">
        <f>Modèle!B92</f>
        <v>Navigation</v>
      </c>
      <c r="C90" s="73" t="str">
        <f>Modèle!C92</f>
        <v>12.6</v>
      </c>
      <c r="D90" s="74" t="str">
        <f>Modèle!E92</f>
        <v>A</v>
      </c>
      <c r="E90" s="154">
        <f ca="1">COUNTIF(OFFSET(Synthèse!$G99,0,0,1,COUNTA(Synthèse!$10:$10)-6),"="&amp;$E$1)</f>
        <v>0</v>
      </c>
      <c r="F90" s="154">
        <f ca="1">COUNTIF(OFFSET(Synthèse!$G99,0,0,1,COUNTA(Synthèse!$10:$10)-6),"="&amp;$F$1)</f>
        <v>0</v>
      </c>
      <c r="G90" s="154">
        <f ca="1">COUNTIF(OFFSET(Synthèse!$G99,0,0,1,COUNTA(Synthèse!$10:$10)-6),"="&amp;$G$1)</f>
        <v>0</v>
      </c>
      <c r="H90" s="154">
        <f ca="1">COUNTIF(OFFSET(Synthèse!$G99,0,0,1,COUNTA(Synthèse!$10:$10)-6),"="&amp;$H$1)</f>
        <v>0</v>
      </c>
      <c r="I90" s="195">
        <f t="shared" ca="1" si="13"/>
        <v>0</v>
      </c>
      <c r="J90" s="66"/>
      <c r="L90" s="157" t="s">
        <v>22</v>
      </c>
      <c r="M90" s="157"/>
      <c r="N90" s="157" t="s">
        <v>319</v>
      </c>
      <c r="O90" s="158">
        <f t="shared" ca="1" si="9"/>
        <v>1</v>
      </c>
      <c r="P90" s="158">
        <f t="shared" ca="1" si="10"/>
        <v>1</v>
      </c>
      <c r="Q90" s="158">
        <f t="shared" ca="1" si="11"/>
        <v>1</v>
      </c>
      <c r="R90" s="158">
        <f t="shared" ca="1" si="12"/>
        <v>1</v>
      </c>
    </row>
    <row r="91" spans="1:18" x14ac:dyDescent="0.25">
      <c r="A91" s="66"/>
      <c r="B91" s="71" t="str">
        <f>Modèle!B93</f>
        <v>Navigation</v>
      </c>
      <c r="C91" s="73" t="str">
        <f>Modèle!C93</f>
        <v>12.7</v>
      </c>
      <c r="D91" s="74" t="str">
        <f>Modèle!E93</f>
        <v>A</v>
      </c>
      <c r="E91" s="154">
        <f ca="1">COUNTIF(OFFSET(Synthèse!$G100,0,0,1,COUNTA(Synthèse!$10:$10)-6),"="&amp;$E$1)</f>
        <v>0</v>
      </c>
      <c r="F91" s="154">
        <f ca="1">COUNTIF(OFFSET(Synthèse!$G100,0,0,1,COUNTA(Synthèse!$10:$10)-6),"="&amp;$F$1)</f>
        <v>0</v>
      </c>
      <c r="G91" s="154">
        <f ca="1">COUNTIF(OFFSET(Synthèse!$G100,0,0,1,COUNTA(Synthèse!$10:$10)-6),"="&amp;$G$1)</f>
        <v>0</v>
      </c>
      <c r="H91" s="154">
        <f ca="1">COUNTIF(OFFSET(Synthèse!$G100,0,0,1,COUNTA(Synthèse!$10:$10)-6),"="&amp;$H$1)</f>
        <v>0</v>
      </c>
      <c r="I91" s="195">
        <f t="shared" ca="1" si="13"/>
        <v>0</v>
      </c>
      <c r="J91" s="66"/>
      <c r="L91" s="157" t="s">
        <v>22</v>
      </c>
      <c r="M91" s="157"/>
      <c r="N91" s="157" t="s">
        <v>320</v>
      </c>
      <c r="O91" s="158">
        <f t="shared" ca="1" si="9"/>
        <v>1</v>
      </c>
      <c r="P91" s="158">
        <f t="shared" ca="1" si="10"/>
        <v>1</v>
      </c>
      <c r="Q91" s="158">
        <f t="shared" ca="1" si="11"/>
        <v>1</v>
      </c>
      <c r="R91" s="158">
        <f t="shared" ca="1" si="12"/>
        <v>1</v>
      </c>
    </row>
    <row r="92" spans="1:18" x14ac:dyDescent="0.25">
      <c r="A92" s="66"/>
      <c r="B92" s="71" t="str">
        <f>Modèle!B94</f>
        <v>Navigation</v>
      </c>
      <c r="C92" s="73" t="str">
        <f>Modèle!C94</f>
        <v>12.8</v>
      </c>
      <c r="D92" s="74" t="str">
        <f>Modèle!E94</f>
        <v>A</v>
      </c>
      <c r="E92" s="154">
        <f ca="1">COUNTIF(OFFSET(Synthèse!$G101,0,0,1,COUNTA(Synthèse!$10:$10)-6),"="&amp;$E$1)</f>
        <v>0</v>
      </c>
      <c r="F92" s="154">
        <f ca="1">COUNTIF(OFFSET(Synthèse!$G101,0,0,1,COUNTA(Synthèse!$10:$10)-6),"="&amp;$F$1)</f>
        <v>0</v>
      </c>
      <c r="G92" s="154">
        <f ca="1">COUNTIF(OFFSET(Synthèse!$G101,0,0,1,COUNTA(Synthèse!$10:$10)-6),"="&amp;$G$1)</f>
        <v>0</v>
      </c>
      <c r="H92" s="154">
        <f ca="1">COUNTIF(OFFSET(Synthèse!$G101,0,0,1,COUNTA(Synthèse!$10:$10)-6),"="&amp;$H$1)</f>
        <v>0</v>
      </c>
      <c r="I92" s="195">
        <f t="shared" ca="1" si="13"/>
        <v>0</v>
      </c>
      <c r="J92" s="66"/>
      <c r="L92" s="157" t="s">
        <v>22</v>
      </c>
      <c r="M92" s="157"/>
      <c r="N92" s="157" t="s">
        <v>321</v>
      </c>
      <c r="O92" s="158">
        <f t="shared" ca="1" si="9"/>
        <v>1</v>
      </c>
      <c r="P92" s="158">
        <f t="shared" ca="1" si="10"/>
        <v>1</v>
      </c>
      <c r="Q92" s="158">
        <f t="shared" ca="1" si="11"/>
        <v>1</v>
      </c>
      <c r="R92" s="158">
        <f t="shared" ca="1" si="12"/>
        <v>1</v>
      </c>
    </row>
    <row r="93" spans="1:18" x14ac:dyDescent="0.25">
      <c r="A93" s="66"/>
      <c r="B93" s="71" t="str">
        <f>Modèle!B95</f>
        <v>Navigation</v>
      </c>
      <c r="C93" s="73" t="str">
        <f>Modèle!C95</f>
        <v>12.9</v>
      </c>
      <c r="D93" s="74" t="str">
        <f>Modèle!E95</f>
        <v>A</v>
      </c>
      <c r="E93" s="154">
        <f ca="1">COUNTIF(OFFSET(Synthèse!$G102,0,0,1,COUNTA(Synthèse!$10:$10)-6),"="&amp;$E$1)</f>
        <v>0</v>
      </c>
      <c r="F93" s="154">
        <f ca="1">COUNTIF(OFFSET(Synthèse!$G102,0,0,1,COUNTA(Synthèse!$10:$10)-6),"="&amp;$F$1)</f>
        <v>0</v>
      </c>
      <c r="G93" s="154">
        <f ca="1">COUNTIF(OFFSET(Synthèse!$G102,0,0,1,COUNTA(Synthèse!$10:$10)-6),"="&amp;$G$1)</f>
        <v>0</v>
      </c>
      <c r="H93" s="154">
        <f ca="1">COUNTIF(OFFSET(Synthèse!$G102,0,0,1,COUNTA(Synthèse!$10:$10)-6),"="&amp;$H$1)</f>
        <v>0</v>
      </c>
      <c r="I93" s="195">
        <f t="shared" ca="1" si="13"/>
        <v>0</v>
      </c>
      <c r="J93" s="66"/>
      <c r="L93" s="157" t="s">
        <v>23</v>
      </c>
      <c r="M93" s="157"/>
      <c r="N93" s="157" t="s">
        <v>322</v>
      </c>
      <c r="O93" s="158">
        <f t="shared" ca="1" si="9"/>
        <v>1</v>
      </c>
      <c r="P93" s="158">
        <f t="shared" ca="1" si="10"/>
        <v>1</v>
      </c>
      <c r="Q93" s="158">
        <f t="shared" ca="1" si="11"/>
        <v>1</v>
      </c>
      <c r="R93" s="158">
        <f t="shared" ca="1" si="12"/>
        <v>1</v>
      </c>
    </row>
    <row r="94" spans="1:18" x14ac:dyDescent="0.25">
      <c r="A94" s="66"/>
      <c r="B94" s="71" t="str">
        <f>Modèle!B96</f>
        <v>Navigation</v>
      </c>
      <c r="C94" s="73" t="str">
        <f>Modèle!C96</f>
        <v>12.10</v>
      </c>
      <c r="D94" s="74" t="str">
        <f>Modèle!E96</f>
        <v>A</v>
      </c>
      <c r="E94" s="154">
        <f ca="1">COUNTIF(OFFSET(Synthèse!$G103,0,0,1,COUNTA(Synthèse!$10:$10)-6),"="&amp;$E$1)</f>
        <v>0</v>
      </c>
      <c r="F94" s="154">
        <f ca="1">COUNTIF(OFFSET(Synthèse!$G103,0,0,1,COUNTA(Synthèse!$10:$10)-6),"="&amp;$F$1)</f>
        <v>0</v>
      </c>
      <c r="G94" s="154">
        <f ca="1">COUNTIF(OFFSET(Synthèse!$G103,0,0,1,COUNTA(Synthèse!$10:$10)-6),"="&amp;$G$1)</f>
        <v>0</v>
      </c>
      <c r="H94" s="154">
        <f ca="1">COUNTIF(OFFSET(Synthèse!$G103,0,0,1,COUNTA(Synthèse!$10:$10)-6),"="&amp;$H$1)</f>
        <v>0</v>
      </c>
      <c r="I94" s="195">
        <f t="shared" ca="1" si="13"/>
        <v>0</v>
      </c>
      <c r="J94" s="66"/>
      <c r="L94" s="157" t="s">
        <v>23</v>
      </c>
      <c r="M94" s="157"/>
      <c r="N94" s="157" t="s">
        <v>323</v>
      </c>
      <c r="O94" s="158">
        <f t="shared" ca="1" si="9"/>
        <v>1</v>
      </c>
      <c r="P94" s="158">
        <f t="shared" ca="1" si="10"/>
        <v>1</v>
      </c>
      <c r="Q94" s="158">
        <f t="shared" ca="1" si="11"/>
        <v>1</v>
      </c>
      <c r="R94" s="158">
        <f t="shared" ca="1" si="12"/>
        <v>1</v>
      </c>
    </row>
    <row r="95" spans="1:18" x14ac:dyDescent="0.25">
      <c r="A95" s="66"/>
      <c r="B95" s="71" t="str">
        <f>Modèle!B97</f>
        <v>Navigation</v>
      </c>
      <c r="C95" s="73" t="str">
        <f>Modèle!C97</f>
        <v>12.11</v>
      </c>
      <c r="D95" s="74" t="str">
        <f>Modèle!E97</f>
        <v>A</v>
      </c>
      <c r="E95" s="154">
        <f ca="1">COUNTIF(OFFSET(Synthèse!$G104,0,0,1,COUNTA(Synthèse!$10:$10)-6),"="&amp;$E$1)</f>
        <v>0</v>
      </c>
      <c r="F95" s="154">
        <f ca="1">COUNTIF(OFFSET(Synthèse!$G104,0,0,1,COUNTA(Synthèse!$10:$10)-6),"="&amp;$F$1)</f>
        <v>0</v>
      </c>
      <c r="G95" s="154">
        <f ca="1">COUNTIF(OFFSET(Synthèse!$G104,0,0,1,COUNTA(Synthèse!$10:$10)-6),"="&amp;$G$1)</f>
        <v>0</v>
      </c>
      <c r="H95" s="154">
        <f ca="1">COUNTIF(OFFSET(Synthèse!$G104,0,0,1,COUNTA(Synthèse!$10:$10)-6),"="&amp;$H$1)</f>
        <v>0</v>
      </c>
      <c r="I95" s="195">
        <f t="shared" ca="1" si="13"/>
        <v>0</v>
      </c>
      <c r="J95" s="66"/>
      <c r="L95" s="157" t="s">
        <v>22</v>
      </c>
      <c r="M95" s="157"/>
      <c r="N95" s="157" t="s">
        <v>324</v>
      </c>
      <c r="O95" s="158">
        <f t="shared" ca="1" si="9"/>
        <v>1</v>
      </c>
      <c r="P95" s="158">
        <f t="shared" ca="1" si="10"/>
        <v>1</v>
      </c>
      <c r="Q95" s="158">
        <f t="shared" ca="1" si="11"/>
        <v>1</v>
      </c>
      <c r="R95" s="158">
        <f t="shared" ca="1" si="12"/>
        <v>1</v>
      </c>
    </row>
    <row r="96" spans="1:18" x14ac:dyDescent="0.25">
      <c r="A96" s="66"/>
      <c r="B96" s="173" t="str">
        <f>Modèle!B98</f>
        <v>Consultation</v>
      </c>
      <c r="C96" s="174" t="str">
        <f>Modèle!C98</f>
        <v>13.1</v>
      </c>
      <c r="D96" s="175" t="str">
        <f>Modèle!E98</f>
        <v>A</v>
      </c>
      <c r="E96" s="154">
        <f ca="1">COUNTIF(OFFSET(Synthèse!$G105,0,0,1,COUNTA(Synthèse!$10:$10)-6),"="&amp;$E$1)</f>
        <v>0</v>
      </c>
      <c r="F96" s="154">
        <f ca="1">COUNTIF(OFFSET(Synthèse!$G105,0,0,1,COUNTA(Synthèse!$10:$10)-6),"="&amp;$F$1)</f>
        <v>0</v>
      </c>
      <c r="G96" s="154">
        <f ca="1">COUNTIF(OFFSET(Synthèse!$G105,0,0,1,COUNTA(Synthèse!$10:$10)-6),"="&amp;$G$1)</f>
        <v>0</v>
      </c>
      <c r="H96" s="154">
        <f ca="1">COUNTIF(OFFSET(Synthèse!$G105,0,0,1,COUNTA(Synthèse!$10:$10)-6),"="&amp;$H$1)</f>
        <v>0</v>
      </c>
      <c r="I96" s="195">
        <f t="shared" ca="1" si="13"/>
        <v>0</v>
      </c>
      <c r="J96" s="66"/>
      <c r="L96" s="157" t="s">
        <v>22</v>
      </c>
      <c r="M96" s="157"/>
      <c r="N96" s="157" t="s">
        <v>325</v>
      </c>
      <c r="O96" s="158">
        <f t="shared" ca="1" si="9"/>
        <v>1</v>
      </c>
      <c r="P96" s="158">
        <f t="shared" ca="1" si="10"/>
        <v>1</v>
      </c>
      <c r="Q96" s="158">
        <f t="shared" ca="1" si="11"/>
        <v>1</v>
      </c>
      <c r="R96" s="158">
        <f t="shared" ca="1" si="12"/>
        <v>1</v>
      </c>
    </row>
    <row r="97" spans="1:18" x14ac:dyDescent="0.25">
      <c r="A97" s="66"/>
      <c r="B97" s="173" t="str">
        <f>Modèle!B99</f>
        <v>Consultation</v>
      </c>
      <c r="C97" s="174" t="str">
        <f>Modèle!C99</f>
        <v>13.2</v>
      </c>
      <c r="D97" s="175" t="str">
        <f>Modèle!E99</f>
        <v>A</v>
      </c>
      <c r="E97" s="154">
        <f ca="1">COUNTIF(OFFSET(Synthèse!$G106,0,0,1,COUNTA(Synthèse!$10:$10)-6),"="&amp;$E$1)</f>
        <v>0</v>
      </c>
      <c r="F97" s="154">
        <f ca="1">COUNTIF(OFFSET(Synthèse!$G106,0,0,1,COUNTA(Synthèse!$10:$10)-6),"="&amp;$F$1)</f>
        <v>0</v>
      </c>
      <c r="G97" s="154">
        <f ca="1">COUNTIF(OFFSET(Synthèse!$G106,0,0,1,COUNTA(Synthèse!$10:$10)-6),"="&amp;$G$1)</f>
        <v>0</v>
      </c>
      <c r="H97" s="154">
        <f ca="1">COUNTIF(OFFSET(Synthèse!$G106,0,0,1,COUNTA(Synthèse!$10:$10)-6),"="&amp;$H$1)</f>
        <v>0</v>
      </c>
      <c r="I97" s="195">
        <f t="shared" ca="1" si="13"/>
        <v>0</v>
      </c>
      <c r="J97" s="66"/>
      <c r="L97" s="157" t="s">
        <v>22</v>
      </c>
      <c r="M97" s="157"/>
      <c r="N97" s="157" t="s">
        <v>326</v>
      </c>
      <c r="O97" s="158">
        <f t="shared" ca="1" si="9"/>
        <v>1</v>
      </c>
      <c r="P97" s="158">
        <f t="shared" ca="1" si="10"/>
        <v>1</v>
      </c>
      <c r="Q97" s="158">
        <f t="shared" ca="1" si="11"/>
        <v>1</v>
      </c>
      <c r="R97" s="158">
        <f t="shared" ca="1" si="12"/>
        <v>1</v>
      </c>
    </row>
    <row r="98" spans="1:18" x14ac:dyDescent="0.25">
      <c r="A98" s="66"/>
      <c r="B98" s="173" t="str">
        <f>Modèle!B100</f>
        <v>Consultation</v>
      </c>
      <c r="C98" s="174" t="str">
        <f>Modèle!C100</f>
        <v>13.3</v>
      </c>
      <c r="D98" s="175" t="str">
        <f>Modèle!E100</f>
        <v>A</v>
      </c>
      <c r="E98" s="154">
        <f ca="1">COUNTIF(OFFSET(Synthèse!$G107,0,0,1,COUNTA(Synthèse!$10:$10)-6),"="&amp;$E$1)</f>
        <v>0</v>
      </c>
      <c r="F98" s="154">
        <f ca="1">COUNTIF(OFFSET(Synthèse!$G107,0,0,1,COUNTA(Synthèse!$10:$10)-6),"="&amp;$F$1)</f>
        <v>0</v>
      </c>
      <c r="G98" s="154">
        <f ca="1">COUNTIF(OFFSET(Synthèse!$G107,0,0,1,COUNTA(Synthèse!$10:$10)-6),"="&amp;$G$1)</f>
        <v>0</v>
      </c>
      <c r="H98" s="154">
        <f ca="1">COUNTIF(OFFSET(Synthèse!$G107,0,0,1,COUNTA(Synthèse!$10:$10)-6),"="&amp;$H$1)</f>
        <v>0</v>
      </c>
      <c r="I98" s="195">
        <f t="shared" ca="1" si="13"/>
        <v>0</v>
      </c>
      <c r="J98" s="66"/>
      <c r="L98" s="157" t="s">
        <v>22</v>
      </c>
      <c r="M98" s="157"/>
      <c r="N98" s="157" t="s">
        <v>327</v>
      </c>
      <c r="O98" s="158">
        <f t="shared" ca="1" si="9"/>
        <v>1</v>
      </c>
      <c r="P98" s="158">
        <f t="shared" ca="1" si="10"/>
        <v>1</v>
      </c>
      <c r="Q98" s="158">
        <f t="shared" ca="1" si="11"/>
        <v>1</v>
      </c>
      <c r="R98" s="158">
        <f t="shared" ca="1" si="12"/>
        <v>1</v>
      </c>
    </row>
    <row r="99" spans="1:18" x14ac:dyDescent="0.25">
      <c r="A99" s="66"/>
      <c r="B99" s="173" t="str">
        <f>Modèle!B101</f>
        <v>Consultation</v>
      </c>
      <c r="C99" s="174" t="str">
        <f>Modèle!C101</f>
        <v>13.4</v>
      </c>
      <c r="D99" s="175" t="str">
        <f>Modèle!E101</f>
        <v>A</v>
      </c>
      <c r="E99" s="154">
        <f ca="1">COUNTIF(OFFSET(Synthèse!$G108,0,0,1,COUNTA(Synthèse!$10:$10)-6),"="&amp;$E$1)</f>
        <v>0</v>
      </c>
      <c r="F99" s="154">
        <f ca="1">COUNTIF(OFFSET(Synthèse!$G108,0,0,1,COUNTA(Synthèse!$10:$10)-6),"="&amp;$F$1)</f>
        <v>0</v>
      </c>
      <c r="G99" s="154">
        <f ca="1">COUNTIF(OFFSET(Synthèse!$G108,0,0,1,COUNTA(Synthèse!$10:$10)-6),"="&amp;$G$1)</f>
        <v>0</v>
      </c>
      <c r="H99" s="154">
        <f ca="1">COUNTIF(OFFSET(Synthèse!$G108,0,0,1,COUNTA(Synthèse!$10:$10)-6),"="&amp;$H$1)</f>
        <v>0</v>
      </c>
      <c r="I99" s="195">
        <f t="shared" ca="1" si="13"/>
        <v>0</v>
      </c>
      <c r="J99" s="66"/>
      <c r="L99" s="157" t="s">
        <v>22</v>
      </c>
      <c r="M99" s="157"/>
      <c r="N99" s="157" t="s">
        <v>328</v>
      </c>
      <c r="O99" s="158">
        <f t="shared" ref="O99:O139" ca="1" si="14">IF(E67&gt;=1,0,1)</f>
        <v>1</v>
      </c>
      <c r="P99" s="158">
        <f t="shared" ref="P99:P139" ca="1" si="15">IF(E67&gt;=1,1,IF(G67&gt;=1,1,IF(F67&gt;=1,0,1)))</f>
        <v>1</v>
      </c>
      <c r="Q99" s="158">
        <f t="shared" ref="Q99:Q139" ca="1" si="16">IF(E67&gt;=1,1,IF(G67&gt;=1,0,1))</f>
        <v>1</v>
      </c>
      <c r="R99" s="158">
        <f t="shared" ref="R99:R139" ca="1" si="17">IF(E67&gt;=1,1,IF(G67&gt;=1,1,IF(F67&gt;=1,1,IF(H67&gt;=1,0,1))))</f>
        <v>1</v>
      </c>
    </row>
    <row r="100" spans="1:18" x14ac:dyDescent="0.25">
      <c r="A100" s="66"/>
      <c r="B100" s="173" t="str">
        <f>Modèle!B102</f>
        <v>Consultation</v>
      </c>
      <c r="C100" s="174" t="str">
        <f>Modèle!C102</f>
        <v>13.5</v>
      </c>
      <c r="D100" s="175" t="str">
        <f>Modèle!E102</f>
        <v>A</v>
      </c>
      <c r="E100" s="154">
        <f ca="1">COUNTIF(OFFSET(Synthèse!$G109,0,0,1,COUNTA(Synthèse!$10:$10)-6),"="&amp;$E$1)</f>
        <v>0</v>
      </c>
      <c r="F100" s="154">
        <f ca="1">COUNTIF(OFFSET(Synthèse!$G109,0,0,1,COUNTA(Synthèse!$10:$10)-6),"="&amp;$F$1)</f>
        <v>0</v>
      </c>
      <c r="G100" s="154">
        <f ca="1">COUNTIF(OFFSET(Synthèse!$G109,0,0,1,COUNTA(Synthèse!$10:$10)-6),"="&amp;$G$1)</f>
        <v>0</v>
      </c>
      <c r="H100" s="154">
        <f ca="1">COUNTIF(OFFSET(Synthèse!$G109,0,0,1,COUNTA(Synthèse!$10:$10)-6),"="&amp;$H$1)</f>
        <v>0</v>
      </c>
      <c r="I100" s="195">
        <f t="shared" ca="1" si="13"/>
        <v>0</v>
      </c>
      <c r="J100" s="66"/>
      <c r="L100" s="157" t="s">
        <v>23</v>
      </c>
      <c r="M100" s="157"/>
      <c r="N100" s="157" t="s">
        <v>329</v>
      </c>
      <c r="O100" s="158">
        <f t="shared" ca="1" si="14"/>
        <v>1</v>
      </c>
      <c r="P100" s="158">
        <f t="shared" ca="1" si="15"/>
        <v>1</v>
      </c>
      <c r="Q100" s="158">
        <f t="shared" ca="1" si="16"/>
        <v>1</v>
      </c>
      <c r="R100" s="158">
        <f t="shared" ca="1" si="17"/>
        <v>1</v>
      </c>
    </row>
    <row r="101" spans="1:18" x14ac:dyDescent="0.25">
      <c r="A101" s="66"/>
      <c r="B101" s="173" t="str">
        <f>Modèle!B103</f>
        <v>Consultation</v>
      </c>
      <c r="C101" s="174" t="str">
        <f>Modèle!C103</f>
        <v>13.6</v>
      </c>
      <c r="D101" s="175" t="str">
        <f>Modèle!E103</f>
        <v>A</v>
      </c>
      <c r="E101" s="154">
        <f ca="1">COUNTIF(OFFSET(Synthèse!$G110,0,0,1,COUNTA(Synthèse!$10:$10)-6),"="&amp;$E$1)</f>
        <v>0</v>
      </c>
      <c r="F101" s="154">
        <f ca="1">COUNTIF(OFFSET(Synthèse!$G110,0,0,1,COUNTA(Synthèse!$10:$10)-6),"="&amp;$F$1)</f>
        <v>0</v>
      </c>
      <c r="G101" s="154">
        <f ca="1">COUNTIF(OFFSET(Synthèse!$G110,0,0,1,COUNTA(Synthèse!$10:$10)-6),"="&amp;$G$1)</f>
        <v>0</v>
      </c>
      <c r="H101" s="154">
        <f ca="1">COUNTIF(OFFSET(Synthèse!$G110,0,0,1,COUNTA(Synthèse!$10:$10)-6),"="&amp;$H$1)</f>
        <v>0</v>
      </c>
      <c r="I101" s="195">
        <f t="shared" ca="1" si="13"/>
        <v>0</v>
      </c>
      <c r="J101" s="66"/>
      <c r="L101" s="157" t="s">
        <v>23</v>
      </c>
      <c r="M101" s="157"/>
      <c r="N101" s="157" t="s">
        <v>330</v>
      </c>
      <c r="O101" s="158">
        <f t="shared" ca="1" si="14"/>
        <v>1</v>
      </c>
      <c r="P101" s="158">
        <f t="shared" ca="1" si="15"/>
        <v>1</v>
      </c>
      <c r="Q101" s="158">
        <f t="shared" ca="1" si="16"/>
        <v>1</v>
      </c>
      <c r="R101" s="158">
        <f t="shared" ca="1" si="17"/>
        <v>1</v>
      </c>
    </row>
    <row r="102" spans="1:18" x14ac:dyDescent="0.25">
      <c r="A102" s="66"/>
      <c r="B102" s="173" t="str">
        <f>Modèle!B104</f>
        <v>Consultation</v>
      </c>
      <c r="C102" s="174" t="str">
        <f>Modèle!C104</f>
        <v>13.7</v>
      </c>
      <c r="D102" s="175" t="str">
        <f>Modèle!E104</f>
        <v>A</v>
      </c>
      <c r="E102" s="154">
        <f ca="1">COUNTIF(OFFSET(Synthèse!$G111,0,0,1,COUNTA(Synthèse!$10:$10)-6),"="&amp;$E$1)</f>
        <v>0</v>
      </c>
      <c r="F102" s="154">
        <f ca="1">COUNTIF(OFFSET(Synthèse!$G111,0,0,1,COUNTA(Synthèse!$10:$10)-6),"="&amp;$F$1)</f>
        <v>0</v>
      </c>
      <c r="G102" s="154">
        <f ca="1">COUNTIF(OFFSET(Synthèse!$G111,0,0,1,COUNTA(Synthèse!$10:$10)-6),"="&amp;$G$1)</f>
        <v>0</v>
      </c>
      <c r="H102" s="154">
        <f ca="1">COUNTIF(OFFSET(Synthèse!$G111,0,0,1,COUNTA(Synthèse!$10:$10)-6),"="&amp;$H$1)</f>
        <v>0</v>
      </c>
      <c r="I102" s="195">
        <f t="shared" ca="1" si="13"/>
        <v>0</v>
      </c>
      <c r="J102" s="66"/>
      <c r="L102" s="157" t="s">
        <v>23</v>
      </c>
      <c r="M102" s="157"/>
      <c r="N102" s="157" t="s">
        <v>331</v>
      </c>
      <c r="O102" s="158">
        <f t="shared" ca="1" si="14"/>
        <v>1</v>
      </c>
      <c r="P102" s="158">
        <f t="shared" ca="1" si="15"/>
        <v>1</v>
      </c>
      <c r="Q102" s="158">
        <f t="shared" ca="1" si="16"/>
        <v>1</v>
      </c>
      <c r="R102" s="158">
        <f t="shared" ca="1" si="17"/>
        <v>1</v>
      </c>
    </row>
    <row r="103" spans="1:18" x14ac:dyDescent="0.25">
      <c r="A103" s="66"/>
      <c r="B103" s="173" t="str">
        <f>Modèle!B105</f>
        <v>Consultation</v>
      </c>
      <c r="C103" s="174" t="str">
        <f>Modèle!C105</f>
        <v>13.8</v>
      </c>
      <c r="D103" s="175" t="str">
        <f>Modèle!E105</f>
        <v>A</v>
      </c>
      <c r="E103" s="154">
        <f ca="1">COUNTIF(OFFSET(Synthèse!$G112,0,0,1,COUNTA(Synthèse!$10:$10)-6),"="&amp;$E$1)</f>
        <v>0</v>
      </c>
      <c r="F103" s="154">
        <f ca="1">COUNTIF(OFFSET(Synthèse!$G112,0,0,1,COUNTA(Synthèse!$10:$10)-6),"="&amp;$F$1)</f>
        <v>0</v>
      </c>
      <c r="G103" s="154">
        <f ca="1">COUNTIF(OFFSET(Synthèse!$G112,0,0,1,COUNTA(Synthèse!$10:$10)-6),"="&amp;$G$1)</f>
        <v>0</v>
      </c>
      <c r="H103" s="154">
        <f ca="1">COUNTIF(OFFSET(Synthèse!$G112,0,0,1,COUNTA(Synthèse!$10:$10)-6),"="&amp;$H$1)</f>
        <v>0</v>
      </c>
      <c r="I103" s="195">
        <f t="shared" ca="1" si="13"/>
        <v>0</v>
      </c>
      <c r="J103" s="66"/>
      <c r="L103" s="157" t="s">
        <v>22</v>
      </c>
      <c r="M103" s="157"/>
      <c r="N103" s="157" t="s">
        <v>332</v>
      </c>
      <c r="O103" s="158">
        <f t="shared" ca="1" si="14"/>
        <v>1</v>
      </c>
      <c r="P103" s="158">
        <f t="shared" ca="1" si="15"/>
        <v>1</v>
      </c>
      <c r="Q103" s="158">
        <f t="shared" ca="1" si="16"/>
        <v>1</v>
      </c>
      <c r="R103" s="158">
        <f t="shared" ca="1" si="17"/>
        <v>1</v>
      </c>
    </row>
    <row r="104" spans="1:18" x14ac:dyDescent="0.25">
      <c r="A104" s="66"/>
      <c r="B104" s="173" t="str">
        <f>Modèle!B106</f>
        <v>Consultation</v>
      </c>
      <c r="C104" s="174" t="str">
        <f>Modèle!C106</f>
        <v>13.9</v>
      </c>
      <c r="D104" s="175" t="str">
        <f>Modèle!E106</f>
        <v>AA</v>
      </c>
      <c r="E104" s="154">
        <f ca="1">COUNTIF(OFFSET(Synthèse!$G113,0,0,1,COUNTA(Synthèse!$10:$10)-6),"="&amp;$E$1)</f>
        <v>0</v>
      </c>
      <c r="F104" s="154">
        <f ca="1">COUNTIF(OFFSET(Synthèse!$G113,0,0,1,COUNTA(Synthèse!$10:$10)-6),"="&amp;$F$1)</f>
        <v>0</v>
      </c>
      <c r="G104" s="154">
        <f ca="1">COUNTIF(OFFSET(Synthèse!$G113,0,0,1,COUNTA(Synthèse!$10:$10)-6),"="&amp;$G$1)</f>
        <v>0</v>
      </c>
      <c r="H104" s="154">
        <f ca="1">COUNTIF(OFFSET(Synthèse!$G113,0,0,1,COUNTA(Synthèse!$10:$10)-6),"="&amp;$H$1)</f>
        <v>0</v>
      </c>
      <c r="I104" s="195">
        <f t="shared" ca="1" si="13"/>
        <v>0</v>
      </c>
      <c r="J104" s="66"/>
      <c r="L104" s="155" t="s">
        <v>22</v>
      </c>
      <c r="M104" s="155"/>
      <c r="N104" s="155" t="s">
        <v>333</v>
      </c>
      <c r="O104" s="156">
        <f t="shared" ca="1" si="14"/>
        <v>1</v>
      </c>
      <c r="P104" s="156">
        <f t="shared" ca="1" si="15"/>
        <v>1</v>
      </c>
      <c r="Q104" s="156">
        <f t="shared" ca="1" si="16"/>
        <v>1</v>
      </c>
      <c r="R104" s="156">
        <f t="shared" ca="1" si="17"/>
        <v>1</v>
      </c>
    </row>
    <row r="105" spans="1:18" x14ac:dyDescent="0.25">
      <c r="A105" s="66"/>
      <c r="B105" s="173" t="str">
        <f>Modèle!B107</f>
        <v>Consultation</v>
      </c>
      <c r="C105" s="174" t="str">
        <f>Modèle!C107</f>
        <v>13.10</v>
      </c>
      <c r="D105" s="175" t="str">
        <f>Modèle!E107</f>
        <v>A</v>
      </c>
      <c r="E105" s="154">
        <f ca="1">COUNTIF(OFFSET(Synthèse!$G114,0,0,1,COUNTA(Synthèse!$10:$10)-6),"="&amp;$E$1)</f>
        <v>0</v>
      </c>
      <c r="F105" s="154">
        <f ca="1">COUNTIF(OFFSET(Synthèse!$G114,0,0,1,COUNTA(Synthèse!$10:$10)-6),"="&amp;$F$1)</f>
        <v>0</v>
      </c>
      <c r="G105" s="154">
        <f ca="1">COUNTIF(OFFSET(Synthèse!$G114,0,0,1,COUNTA(Synthèse!$10:$10)-6),"="&amp;$G$1)</f>
        <v>0</v>
      </c>
      <c r="H105" s="154">
        <f ca="1">COUNTIF(OFFSET(Synthèse!$G114,0,0,1,COUNTA(Synthèse!$10:$10)-6),"="&amp;$H$1)</f>
        <v>0</v>
      </c>
      <c r="I105" s="195">
        <f t="shared" ca="1" si="13"/>
        <v>0</v>
      </c>
      <c r="J105" s="66"/>
      <c r="L105" s="155" t="s">
        <v>22</v>
      </c>
      <c r="M105" s="155"/>
      <c r="N105" s="155" t="s">
        <v>334</v>
      </c>
      <c r="O105" s="156">
        <f t="shared" ca="1" si="14"/>
        <v>1</v>
      </c>
      <c r="P105" s="156">
        <f t="shared" ca="1" si="15"/>
        <v>1</v>
      </c>
      <c r="Q105" s="156">
        <f t="shared" ca="1" si="16"/>
        <v>1</v>
      </c>
      <c r="R105" s="156">
        <f t="shared" ca="1" si="17"/>
        <v>1</v>
      </c>
    </row>
    <row r="106" spans="1:18" x14ac:dyDescent="0.25">
      <c r="A106" s="66"/>
      <c r="B106" s="173" t="str">
        <f>Modèle!B108</f>
        <v>Consultation</v>
      </c>
      <c r="C106" s="174" t="str">
        <f>Modèle!C108</f>
        <v>13.11</v>
      </c>
      <c r="D106" s="175" t="str">
        <f>Modèle!E108</f>
        <v>A</v>
      </c>
      <c r="E106" s="154">
        <f ca="1">COUNTIF(OFFSET(Synthèse!$G115,0,0,1,COUNTA(Synthèse!$10:$10)-6),"="&amp;$E$1)</f>
        <v>0</v>
      </c>
      <c r="F106" s="154">
        <f ca="1">COUNTIF(OFFSET(Synthèse!$G115,0,0,1,COUNTA(Synthèse!$10:$10)-6),"="&amp;$F$1)</f>
        <v>0</v>
      </c>
      <c r="G106" s="154">
        <f ca="1">COUNTIF(OFFSET(Synthèse!$G115,0,0,1,COUNTA(Synthèse!$10:$10)-6),"="&amp;$G$1)</f>
        <v>0</v>
      </c>
      <c r="H106" s="154">
        <f ca="1">COUNTIF(OFFSET(Synthèse!$G115,0,0,1,COUNTA(Synthèse!$10:$10)-6),"="&amp;$H$1)</f>
        <v>0</v>
      </c>
      <c r="I106" s="195">
        <f t="shared" ca="1" si="13"/>
        <v>0</v>
      </c>
      <c r="J106" s="66"/>
      <c r="L106" s="155" t="s">
        <v>23</v>
      </c>
      <c r="M106" s="155"/>
      <c r="N106" s="155" t="s">
        <v>335</v>
      </c>
      <c r="O106" s="156">
        <f t="shared" ca="1" si="14"/>
        <v>1</v>
      </c>
      <c r="P106" s="156">
        <f t="shared" ca="1" si="15"/>
        <v>1</v>
      </c>
      <c r="Q106" s="156">
        <f t="shared" ca="1" si="16"/>
        <v>1</v>
      </c>
      <c r="R106" s="156">
        <f t="shared" ca="1" si="17"/>
        <v>1</v>
      </c>
    </row>
    <row r="107" spans="1:18" x14ac:dyDescent="0.25">
      <c r="A107" s="66"/>
      <c r="B107" s="173" t="str">
        <f>Modèle!B109</f>
        <v>Consultation</v>
      </c>
      <c r="C107" s="174" t="str">
        <f>Modèle!C109</f>
        <v>13.12</v>
      </c>
      <c r="D107" s="175" t="str">
        <f>Modèle!E109</f>
        <v>A</v>
      </c>
      <c r="E107" s="154">
        <f ca="1">COUNTIF(OFFSET(Synthèse!$G116,0,0,1,COUNTA(Synthèse!$10:$10)-6),"="&amp;$E$1)</f>
        <v>0</v>
      </c>
      <c r="F107" s="154">
        <f ca="1">COUNTIF(OFFSET(Synthèse!$G116,0,0,1,COUNTA(Synthèse!$10:$10)-6),"="&amp;$F$1)</f>
        <v>0</v>
      </c>
      <c r="G107" s="154">
        <f ca="1">COUNTIF(OFFSET(Synthèse!$G116,0,0,1,COUNTA(Synthèse!$10:$10)-6),"="&amp;$G$1)</f>
        <v>0</v>
      </c>
      <c r="H107" s="154">
        <f ca="1">COUNTIF(OFFSET(Synthèse!$G116,0,0,1,COUNTA(Synthèse!$10:$10)-6),"="&amp;$H$1)</f>
        <v>0</v>
      </c>
      <c r="I107" s="195">
        <f t="shared" ca="1" si="13"/>
        <v>0</v>
      </c>
      <c r="J107" s="66"/>
      <c r="L107" s="155" t="s">
        <v>23</v>
      </c>
      <c r="M107" s="155"/>
      <c r="N107" s="155" t="s">
        <v>336</v>
      </c>
      <c r="O107" s="156">
        <f t="shared" ca="1" si="14"/>
        <v>1</v>
      </c>
      <c r="P107" s="156">
        <f t="shared" ca="1" si="15"/>
        <v>1</v>
      </c>
      <c r="Q107" s="156">
        <f t="shared" ca="1" si="16"/>
        <v>1</v>
      </c>
      <c r="R107" s="156">
        <f t="shared" ca="1" si="17"/>
        <v>1</v>
      </c>
    </row>
    <row r="108" spans="1:18" x14ac:dyDescent="0.25">
      <c r="B108" s="173"/>
      <c r="C108" s="174"/>
      <c r="D108" s="175"/>
      <c r="E108" s="176"/>
      <c r="F108" s="176"/>
      <c r="G108" s="176"/>
      <c r="H108" s="176"/>
      <c r="I108" s="7"/>
      <c r="L108" s="155" t="s">
        <v>22</v>
      </c>
      <c r="M108" s="155"/>
      <c r="N108" s="155" t="s">
        <v>337</v>
      </c>
      <c r="O108" s="156">
        <f t="shared" ca="1" si="14"/>
        <v>1</v>
      </c>
      <c r="P108" s="156">
        <f t="shared" ca="1" si="15"/>
        <v>1</v>
      </c>
      <c r="Q108" s="156">
        <f t="shared" ca="1" si="16"/>
        <v>1</v>
      </c>
      <c r="R108" s="156">
        <f t="shared" ca="1" si="17"/>
        <v>1</v>
      </c>
    </row>
    <row r="109" spans="1:18" x14ac:dyDescent="0.25">
      <c r="B109" s="173"/>
      <c r="C109" s="174"/>
      <c r="D109" s="175"/>
      <c r="E109" s="176"/>
      <c r="F109" s="176"/>
      <c r="G109" s="176"/>
      <c r="H109" s="176"/>
      <c r="I109" s="7"/>
      <c r="L109" s="155" t="s">
        <v>22</v>
      </c>
      <c r="M109" s="155"/>
      <c r="N109" s="155" t="s">
        <v>338</v>
      </c>
      <c r="O109" s="156">
        <f t="shared" ca="1" si="14"/>
        <v>1</v>
      </c>
      <c r="P109" s="156">
        <f t="shared" ca="1" si="15"/>
        <v>1</v>
      </c>
      <c r="Q109" s="156">
        <f t="shared" ca="1" si="16"/>
        <v>1</v>
      </c>
      <c r="R109" s="156">
        <f t="shared" ca="1" si="17"/>
        <v>1</v>
      </c>
    </row>
    <row r="110" spans="1:18" x14ac:dyDescent="0.25">
      <c r="B110" s="173"/>
      <c r="C110" s="174"/>
      <c r="D110" s="175"/>
      <c r="E110" s="176"/>
      <c r="F110" s="176"/>
      <c r="G110" s="176"/>
      <c r="H110" s="176"/>
      <c r="I110" s="7"/>
      <c r="L110" s="155" t="s">
        <v>22</v>
      </c>
      <c r="M110" s="155"/>
      <c r="N110" s="155" t="s">
        <v>339</v>
      </c>
      <c r="O110" s="156">
        <f t="shared" ca="1" si="14"/>
        <v>1</v>
      </c>
      <c r="P110" s="156">
        <f t="shared" ca="1" si="15"/>
        <v>1</v>
      </c>
      <c r="Q110" s="156">
        <f t="shared" ca="1" si="16"/>
        <v>1</v>
      </c>
      <c r="R110" s="156">
        <f t="shared" ca="1" si="17"/>
        <v>1</v>
      </c>
    </row>
    <row r="111" spans="1:18" x14ac:dyDescent="0.25">
      <c r="B111" s="173"/>
      <c r="C111" s="174"/>
      <c r="D111" s="175"/>
      <c r="E111" s="176"/>
      <c r="F111" s="176"/>
      <c r="G111" s="176"/>
      <c r="H111" s="176"/>
      <c r="I111" s="7"/>
      <c r="L111" s="155" t="s">
        <v>22</v>
      </c>
      <c r="M111" s="155"/>
      <c r="N111" s="155" t="s">
        <v>340</v>
      </c>
      <c r="O111" s="156">
        <f t="shared" ca="1" si="14"/>
        <v>1</v>
      </c>
      <c r="P111" s="156">
        <f t="shared" ca="1" si="15"/>
        <v>1</v>
      </c>
      <c r="Q111" s="156">
        <f t="shared" ca="1" si="16"/>
        <v>1</v>
      </c>
      <c r="R111" s="156">
        <f t="shared" ca="1" si="17"/>
        <v>1</v>
      </c>
    </row>
    <row r="112" spans="1:18" x14ac:dyDescent="0.25">
      <c r="B112" s="173"/>
      <c r="C112" s="174"/>
      <c r="D112" s="175"/>
      <c r="E112" s="176"/>
      <c r="F112" s="176"/>
      <c r="G112" s="176"/>
      <c r="H112" s="176"/>
      <c r="I112" s="7"/>
      <c r="L112" s="155" t="s">
        <v>22</v>
      </c>
      <c r="M112" s="155"/>
      <c r="N112" s="155" t="s">
        <v>341</v>
      </c>
      <c r="O112" s="156">
        <f t="shared" ca="1" si="14"/>
        <v>1</v>
      </c>
      <c r="P112" s="156">
        <f t="shared" ca="1" si="15"/>
        <v>1</v>
      </c>
      <c r="Q112" s="156">
        <f t="shared" ca="1" si="16"/>
        <v>1</v>
      </c>
      <c r="R112" s="156">
        <f t="shared" ca="1" si="17"/>
        <v>1</v>
      </c>
    </row>
    <row r="113" spans="2:18" x14ac:dyDescent="0.25">
      <c r="B113" s="173"/>
      <c r="C113" s="174"/>
      <c r="D113" s="175"/>
      <c r="E113" s="176"/>
      <c r="F113" s="176"/>
      <c r="G113" s="176"/>
      <c r="H113" s="176"/>
      <c r="I113" s="7"/>
      <c r="L113" s="155" t="s">
        <v>22</v>
      </c>
      <c r="M113" s="155"/>
      <c r="N113" s="155" t="s">
        <v>342</v>
      </c>
      <c r="O113" s="156">
        <f t="shared" ca="1" si="14"/>
        <v>1</v>
      </c>
      <c r="P113" s="156">
        <f t="shared" ca="1" si="15"/>
        <v>1</v>
      </c>
      <c r="Q113" s="156">
        <f t="shared" ca="1" si="16"/>
        <v>1</v>
      </c>
      <c r="R113" s="156">
        <f t="shared" ca="1" si="17"/>
        <v>1</v>
      </c>
    </row>
    <row r="114" spans="2:18" x14ac:dyDescent="0.25">
      <c r="B114" s="173"/>
      <c r="C114" s="174"/>
      <c r="D114" s="175"/>
      <c r="E114" s="176"/>
      <c r="F114" s="176"/>
      <c r="G114" s="176"/>
      <c r="H114" s="176"/>
      <c r="I114" s="7"/>
      <c r="L114" s="155" t="s">
        <v>23</v>
      </c>
      <c r="M114" s="155"/>
      <c r="N114" s="155" t="s">
        <v>343</v>
      </c>
      <c r="O114" s="156">
        <f t="shared" ca="1" si="14"/>
        <v>1</v>
      </c>
      <c r="P114" s="156">
        <f t="shared" ca="1" si="15"/>
        <v>1</v>
      </c>
      <c r="Q114" s="156">
        <f t="shared" ca="1" si="16"/>
        <v>1</v>
      </c>
      <c r="R114" s="156">
        <f t="shared" ca="1" si="17"/>
        <v>1</v>
      </c>
    </row>
    <row r="115" spans="2:18" x14ac:dyDescent="0.25">
      <c r="B115" s="173"/>
      <c r="C115" s="174"/>
      <c r="D115" s="175"/>
      <c r="E115" s="176"/>
      <c r="F115" s="176"/>
      <c r="G115" s="176"/>
      <c r="H115" s="176"/>
      <c r="I115" s="7"/>
      <c r="L115" s="155" t="s">
        <v>23</v>
      </c>
      <c r="M115" s="155"/>
      <c r="N115" s="155" t="s">
        <v>344</v>
      </c>
      <c r="O115" s="156">
        <f t="shared" ca="1" si="14"/>
        <v>1</v>
      </c>
      <c r="P115" s="156">
        <f t="shared" ca="1" si="15"/>
        <v>1</v>
      </c>
      <c r="Q115" s="156">
        <f t="shared" ca="1" si="16"/>
        <v>1</v>
      </c>
      <c r="R115" s="156">
        <f t="shared" ca="1" si="17"/>
        <v>1</v>
      </c>
    </row>
    <row r="116" spans="2:18" x14ac:dyDescent="0.25">
      <c r="B116" s="173"/>
      <c r="C116" s="174"/>
      <c r="D116" s="175"/>
      <c r="E116" s="176"/>
      <c r="F116" s="176"/>
      <c r="G116" s="176"/>
      <c r="H116" s="176"/>
      <c r="I116" s="7"/>
      <c r="L116" s="155" t="s">
        <v>23</v>
      </c>
      <c r="M116" s="155"/>
      <c r="N116" s="155" t="s">
        <v>345</v>
      </c>
      <c r="O116" s="156">
        <f t="shared" ca="1" si="14"/>
        <v>1</v>
      </c>
      <c r="P116" s="156">
        <f t="shared" ca="1" si="15"/>
        <v>1</v>
      </c>
      <c r="Q116" s="156">
        <f t="shared" ca="1" si="16"/>
        <v>1</v>
      </c>
      <c r="R116" s="156">
        <f t="shared" ca="1" si="17"/>
        <v>1</v>
      </c>
    </row>
    <row r="117" spans="2:18" x14ac:dyDescent="0.25">
      <c r="B117" s="173"/>
      <c r="C117" s="174"/>
      <c r="D117" s="175"/>
      <c r="E117" s="176"/>
      <c r="F117" s="176"/>
      <c r="G117" s="176"/>
      <c r="H117" s="176"/>
      <c r="I117" s="7"/>
      <c r="L117" s="157" t="s">
        <v>23</v>
      </c>
      <c r="M117" s="157"/>
      <c r="N117" s="157" t="s">
        <v>346</v>
      </c>
      <c r="O117" s="158">
        <f t="shared" ca="1" si="14"/>
        <v>1</v>
      </c>
      <c r="P117" s="158">
        <f t="shared" ca="1" si="15"/>
        <v>1</v>
      </c>
      <c r="Q117" s="158">
        <f t="shared" ca="1" si="16"/>
        <v>1</v>
      </c>
      <c r="R117" s="158">
        <f t="shared" ca="1" si="17"/>
        <v>1</v>
      </c>
    </row>
    <row r="118" spans="2:18" x14ac:dyDescent="0.25">
      <c r="B118" s="173"/>
      <c r="C118" s="174"/>
      <c r="D118" s="175"/>
      <c r="E118" s="176"/>
      <c r="F118" s="176"/>
      <c r="G118" s="176"/>
      <c r="H118" s="176"/>
      <c r="I118" s="7"/>
      <c r="L118" s="157" t="s">
        <v>23</v>
      </c>
      <c r="M118" s="157"/>
      <c r="N118" s="157" t="s">
        <v>347</v>
      </c>
      <c r="O118" s="158">
        <f t="shared" ca="1" si="14"/>
        <v>1</v>
      </c>
      <c r="P118" s="158">
        <f t="shared" ca="1" si="15"/>
        <v>1</v>
      </c>
      <c r="Q118" s="158">
        <f t="shared" ca="1" si="16"/>
        <v>1</v>
      </c>
      <c r="R118" s="158">
        <f t="shared" ca="1" si="17"/>
        <v>1</v>
      </c>
    </row>
    <row r="119" spans="2:18" x14ac:dyDescent="0.25">
      <c r="B119" s="173"/>
      <c r="C119" s="174"/>
      <c r="D119" s="175"/>
      <c r="E119" s="176"/>
      <c r="F119" s="176"/>
      <c r="G119" s="176"/>
      <c r="H119" s="176"/>
      <c r="I119" s="7"/>
      <c r="L119" s="157" t="s">
        <v>23</v>
      </c>
      <c r="M119" s="157"/>
      <c r="N119" s="157" t="s">
        <v>348</v>
      </c>
      <c r="O119" s="158">
        <f t="shared" ca="1" si="14"/>
        <v>1</v>
      </c>
      <c r="P119" s="158">
        <f t="shared" ca="1" si="15"/>
        <v>1</v>
      </c>
      <c r="Q119" s="158">
        <f t="shared" ca="1" si="16"/>
        <v>1</v>
      </c>
      <c r="R119" s="158">
        <f t="shared" ca="1" si="17"/>
        <v>1</v>
      </c>
    </row>
    <row r="120" spans="2:18" x14ac:dyDescent="0.25">
      <c r="B120" s="173"/>
      <c r="C120" s="174"/>
      <c r="D120" s="175"/>
      <c r="E120" s="176"/>
      <c r="F120" s="176"/>
      <c r="G120" s="176"/>
      <c r="H120" s="176"/>
      <c r="I120" s="7"/>
      <c r="L120" s="157" t="s">
        <v>23</v>
      </c>
      <c r="M120" s="157"/>
      <c r="N120" s="157" t="s">
        <v>349</v>
      </c>
      <c r="O120" s="158">
        <f t="shared" ca="1" si="14"/>
        <v>1</v>
      </c>
      <c r="P120" s="158">
        <f t="shared" ca="1" si="15"/>
        <v>1</v>
      </c>
      <c r="Q120" s="158">
        <f t="shared" ca="1" si="16"/>
        <v>1</v>
      </c>
      <c r="R120" s="158">
        <f t="shared" ca="1" si="17"/>
        <v>1</v>
      </c>
    </row>
    <row r="121" spans="2:18" x14ac:dyDescent="0.25">
      <c r="B121" s="173"/>
      <c r="C121" s="174"/>
      <c r="D121" s="175"/>
      <c r="E121" s="176"/>
      <c r="F121" s="176"/>
      <c r="G121" s="176"/>
      <c r="H121" s="176"/>
      <c r="I121" s="7"/>
      <c r="L121" s="157" t="s">
        <v>23</v>
      </c>
      <c r="M121" s="157"/>
      <c r="N121" s="157" t="s">
        <v>350</v>
      </c>
      <c r="O121" s="158">
        <f t="shared" ca="1" si="14"/>
        <v>1</v>
      </c>
      <c r="P121" s="158">
        <f t="shared" ca="1" si="15"/>
        <v>1</v>
      </c>
      <c r="Q121" s="158">
        <f t="shared" ca="1" si="16"/>
        <v>1</v>
      </c>
      <c r="R121" s="158">
        <f t="shared" ca="1" si="17"/>
        <v>1</v>
      </c>
    </row>
    <row r="122" spans="2:18" x14ac:dyDescent="0.25">
      <c r="B122" s="173"/>
      <c r="C122" s="174"/>
      <c r="D122" s="175"/>
      <c r="E122" s="176"/>
      <c r="F122" s="176"/>
      <c r="G122" s="176"/>
      <c r="H122" s="176"/>
      <c r="I122" s="7"/>
      <c r="L122" s="157" t="s">
        <v>22</v>
      </c>
      <c r="M122" s="157"/>
      <c r="N122" s="157" t="s">
        <v>351</v>
      </c>
      <c r="O122" s="158">
        <f t="shared" ca="1" si="14"/>
        <v>1</v>
      </c>
      <c r="P122" s="158">
        <f t="shared" ca="1" si="15"/>
        <v>1</v>
      </c>
      <c r="Q122" s="158">
        <f t="shared" ca="1" si="16"/>
        <v>1</v>
      </c>
      <c r="R122" s="158">
        <f t="shared" ca="1" si="17"/>
        <v>1</v>
      </c>
    </row>
    <row r="123" spans="2:18" x14ac:dyDescent="0.25">
      <c r="B123" s="173"/>
      <c r="C123" s="174"/>
      <c r="D123" s="175"/>
      <c r="E123" s="176"/>
      <c r="F123" s="176"/>
      <c r="G123" s="176"/>
      <c r="H123" s="176"/>
      <c r="I123" s="7"/>
      <c r="L123" s="157" t="s">
        <v>22</v>
      </c>
      <c r="M123" s="157"/>
      <c r="N123" s="157" t="s">
        <v>352</v>
      </c>
      <c r="O123" s="158">
        <f t="shared" ca="1" si="14"/>
        <v>1</v>
      </c>
      <c r="P123" s="158">
        <f t="shared" ca="1" si="15"/>
        <v>1</v>
      </c>
      <c r="Q123" s="158">
        <f t="shared" ca="1" si="16"/>
        <v>1</v>
      </c>
      <c r="R123" s="158">
        <f t="shared" ca="1" si="17"/>
        <v>1</v>
      </c>
    </row>
    <row r="124" spans="2:18" x14ac:dyDescent="0.25">
      <c r="B124" s="173"/>
      <c r="C124" s="174"/>
      <c r="D124" s="175"/>
      <c r="E124" s="176"/>
      <c r="F124" s="176"/>
      <c r="G124" s="176"/>
      <c r="H124" s="176"/>
      <c r="I124" s="7"/>
      <c r="L124" s="157" t="s">
        <v>22</v>
      </c>
      <c r="M124" s="157"/>
      <c r="N124" s="157" t="s">
        <v>353</v>
      </c>
      <c r="O124" s="158">
        <f t="shared" ca="1" si="14"/>
        <v>1</v>
      </c>
      <c r="P124" s="158">
        <f t="shared" ca="1" si="15"/>
        <v>1</v>
      </c>
      <c r="Q124" s="158">
        <f t="shared" ca="1" si="16"/>
        <v>1</v>
      </c>
      <c r="R124" s="158">
        <f t="shared" ca="1" si="17"/>
        <v>1</v>
      </c>
    </row>
    <row r="125" spans="2:18" x14ac:dyDescent="0.25">
      <c r="B125" s="173"/>
      <c r="C125" s="174"/>
      <c r="D125" s="175"/>
      <c r="E125" s="176"/>
      <c r="F125" s="176"/>
      <c r="G125" s="176"/>
      <c r="H125" s="176"/>
      <c r="I125" s="7"/>
      <c r="L125" s="157" t="s">
        <v>22</v>
      </c>
      <c r="M125" s="157"/>
      <c r="N125" s="157" t="s">
        <v>354</v>
      </c>
      <c r="O125" s="158">
        <f t="shared" ca="1" si="14"/>
        <v>1</v>
      </c>
      <c r="P125" s="158">
        <f t="shared" ca="1" si="15"/>
        <v>1</v>
      </c>
      <c r="Q125" s="158">
        <f t="shared" ca="1" si="16"/>
        <v>1</v>
      </c>
      <c r="R125" s="158">
        <f t="shared" ca="1" si="17"/>
        <v>1</v>
      </c>
    </row>
    <row r="126" spans="2:18" x14ac:dyDescent="0.25">
      <c r="B126" s="173"/>
      <c r="C126" s="174"/>
      <c r="D126" s="175"/>
      <c r="E126" s="176"/>
      <c r="F126" s="176"/>
      <c r="G126" s="176"/>
      <c r="H126" s="176"/>
      <c r="I126" s="7"/>
      <c r="L126" s="157" t="s">
        <v>22</v>
      </c>
      <c r="M126" s="157"/>
      <c r="N126" s="157" t="s">
        <v>355</v>
      </c>
      <c r="O126" s="158">
        <f t="shared" ca="1" si="14"/>
        <v>1</v>
      </c>
      <c r="P126" s="158">
        <f t="shared" ca="1" si="15"/>
        <v>1</v>
      </c>
      <c r="Q126" s="158">
        <f t="shared" ca="1" si="16"/>
        <v>1</v>
      </c>
      <c r="R126" s="158">
        <f t="shared" ca="1" si="17"/>
        <v>1</v>
      </c>
    </row>
    <row r="127" spans="2:18" x14ac:dyDescent="0.25">
      <c r="B127" s="173"/>
      <c r="C127" s="174"/>
      <c r="D127" s="175"/>
      <c r="E127" s="176"/>
      <c r="F127" s="176"/>
      <c r="G127" s="176"/>
      <c r="H127" s="176"/>
      <c r="I127" s="7"/>
      <c r="L127" s="157" t="s">
        <v>22</v>
      </c>
      <c r="M127" s="157"/>
      <c r="N127" s="157" t="s">
        <v>356</v>
      </c>
      <c r="O127" s="158">
        <f t="shared" ca="1" si="14"/>
        <v>1</v>
      </c>
      <c r="P127" s="158">
        <f t="shared" ca="1" si="15"/>
        <v>1</v>
      </c>
      <c r="Q127" s="158">
        <f t="shared" ca="1" si="16"/>
        <v>1</v>
      </c>
      <c r="R127" s="158">
        <f t="shared" ca="1" si="17"/>
        <v>1</v>
      </c>
    </row>
    <row r="128" spans="2:18" x14ac:dyDescent="0.25">
      <c r="B128" s="173"/>
      <c r="C128" s="174"/>
      <c r="D128" s="175"/>
      <c r="E128" s="176"/>
      <c r="F128" s="176"/>
      <c r="G128" s="176"/>
      <c r="H128" s="176"/>
      <c r="I128" s="7"/>
      <c r="L128" s="155" t="s">
        <v>22</v>
      </c>
      <c r="M128" s="155"/>
      <c r="N128" s="155" t="s">
        <v>357</v>
      </c>
      <c r="O128" s="156">
        <f t="shared" ca="1" si="14"/>
        <v>1</v>
      </c>
      <c r="P128" s="156">
        <f t="shared" ca="1" si="15"/>
        <v>1</v>
      </c>
      <c r="Q128" s="156">
        <f t="shared" ca="1" si="16"/>
        <v>1</v>
      </c>
      <c r="R128" s="156">
        <f t="shared" ca="1" si="17"/>
        <v>1</v>
      </c>
    </row>
    <row r="129" spans="2:18" x14ac:dyDescent="0.25">
      <c r="B129" s="173"/>
      <c r="C129" s="174"/>
      <c r="D129" s="175"/>
      <c r="E129" s="176"/>
      <c r="F129" s="176"/>
      <c r="G129" s="176"/>
      <c r="H129" s="176"/>
      <c r="I129" s="7"/>
      <c r="L129" s="155" t="s">
        <v>22</v>
      </c>
      <c r="M129" s="155"/>
      <c r="N129" s="155" t="s">
        <v>358</v>
      </c>
      <c r="O129" s="156">
        <f t="shared" ca="1" si="14"/>
        <v>1</v>
      </c>
      <c r="P129" s="156">
        <f t="shared" ca="1" si="15"/>
        <v>1</v>
      </c>
      <c r="Q129" s="156">
        <f t="shared" ca="1" si="16"/>
        <v>1</v>
      </c>
      <c r="R129" s="156">
        <f t="shared" ca="1" si="17"/>
        <v>1</v>
      </c>
    </row>
    <row r="130" spans="2:18" x14ac:dyDescent="0.25">
      <c r="B130" s="173"/>
      <c r="C130" s="174"/>
      <c r="D130" s="175"/>
      <c r="E130" s="176"/>
      <c r="F130" s="176"/>
      <c r="G130" s="176"/>
      <c r="H130" s="176"/>
      <c r="I130" s="7"/>
      <c r="L130" s="155" t="s">
        <v>22</v>
      </c>
      <c r="M130" s="155"/>
      <c r="N130" s="155" t="s">
        <v>359</v>
      </c>
      <c r="O130" s="156">
        <f t="shared" ca="1" si="14"/>
        <v>1</v>
      </c>
      <c r="P130" s="156">
        <f t="shared" ca="1" si="15"/>
        <v>1</v>
      </c>
      <c r="Q130" s="156">
        <f t="shared" ca="1" si="16"/>
        <v>1</v>
      </c>
      <c r="R130" s="156">
        <f t="shared" ca="1" si="17"/>
        <v>1</v>
      </c>
    </row>
    <row r="131" spans="2:18" x14ac:dyDescent="0.25">
      <c r="B131" s="173"/>
      <c r="C131" s="174"/>
      <c r="D131" s="175"/>
      <c r="E131" s="176"/>
      <c r="F131" s="176"/>
      <c r="G131" s="176"/>
      <c r="H131" s="176"/>
      <c r="I131" s="7"/>
      <c r="L131" s="155" t="s">
        <v>22</v>
      </c>
      <c r="M131" s="155"/>
      <c r="N131" s="155" t="s">
        <v>360</v>
      </c>
      <c r="O131" s="156">
        <f t="shared" ca="1" si="14"/>
        <v>1</v>
      </c>
      <c r="P131" s="156">
        <f t="shared" ca="1" si="15"/>
        <v>1</v>
      </c>
      <c r="Q131" s="156">
        <f t="shared" ca="1" si="16"/>
        <v>1</v>
      </c>
      <c r="R131" s="156">
        <f t="shared" ca="1" si="17"/>
        <v>1</v>
      </c>
    </row>
    <row r="132" spans="2:18" x14ac:dyDescent="0.25">
      <c r="B132" s="173"/>
      <c r="C132" s="174"/>
      <c r="D132" s="175"/>
      <c r="E132" s="176"/>
      <c r="F132" s="176"/>
      <c r="G132" s="176"/>
      <c r="H132" s="176"/>
      <c r="I132" s="7"/>
      <c r="L132" s="155" t="s">
        <v>22</v>
      </c>
      <c r="M132" s="155"/>
      <c r="N132" s="155" t="s">
        <v>361</v>
      </c>
      <c r="O132" s="156">
        <f t="shared" ca="1" si="14"/>
        <v>1</v>
      </c>
      <c r="P132" s="156">
        <f t="shared" ca="1" si="15"/>
        <v>1</v>
      </c>
      <c r="Q132" s="156">
        <f t="shared" ca="1" si="16"/>
        <v>1</v>
      </c>
      <c r="R132" s="156">
        <f t="shared" ca="1" si="17"/>
        <v>1</v>
      </c>
    </row>
    <row r="133" spans="2:18" x14ac:dyDescent="0.25">
      <c r="B133" s="173"/>
      <c r="C133" s="174"/>
      <c r="D133" s="175"/>
      <c r="E133" s="176"/>
      <c r="F133" s="176"/>
      <c r="G133" s="176"/>
      <c r="H133" s="176"/>
      <c r="I133" s="7"/>
      <c r="L133" s="155" t="s">
        <v>22</v>
      </c>
      <c r="M133" s="155"/>
      <c r="N133" s="155" t="s">
        <v>362</v>
      </c>
      <c r="O133" s="156">
        <f t="shared" ca="1" si="14"/>
        <v>1</v>
      </c>
      <c r="P133" s="156">
        <f t="shared" ca="1" si="15"/>
        <v>1</v>
      </c>
      <c r="Q133" s="156">
        <f t="shared" ca="1" si="16"/>
        <v>1</v>
      </c>
      <c r="R133" s="156">
        <f t="shared" ca="1" si="17"/>
        <v>1</v>
      </c>
    </row>
    <row r="134" spans="2:18" x14ac:dyDescent="0.25">
      <c r="B134" s="173"/>
      <c r="C134" s="174"/>
      <c r="D134" s="175"/>
      <c r="E134" s="176"/>
      <c r="F134" s="176"/>
      <c r="G134" s="176"/>
      <c r="H134" s="176"/>
      <c r="I134" s="7"/>
      <c r="L134" s="155" t="s">
        <v>22</v>
      </c>
      <c r="M134" s="155"/>
      <c r="N134" s="155" t="s">
        <v>363</v>
      </c>
      <c r="O134" s="156">
        <f t="shared" ca="1" si="14"/>
        <v>1</v>
      </c>
      <c r="P134" s="156">
        <f t="shared" ca="1" si="15"/>
        <v>1</v>
      </c>
      <c r="Q134" s="156">
        <f t="shared" ca="1" si="16"/>
        <v>1</v>
      </c>
      <c r="R134" s="156">
        <f t="shared" ca="1" si="17"/>
        <v>1</v>
      </c>
    </row>
    <row r="135" spans="2:18" x14ac:dyDescent="0.25">
      <c r="B135" s="173"/>
      <c r="C135" s="174"/>
      <c r="D135" s="175"/>
      <c r="E135" s="176"/>
      <c r="F135" s="176"/>
      <c r="G135" s="176"/>
      <c r="H135" s="176"/>
      <c r="I135" s="7"/>
      <c r="L135" s="155" t="s">
        <v>22</v>
      </c>
      <c r="M135" s="155"/>
      <c r="N135" s="155" t="s">
        <v>364</v>
      </c>
      <c r="O135" s="156">
        <f t="shared" ca="1" si="14"/>
        <v>1</v>
      </c>
      <c r="P135" s="156">
        <f t="shared" ca="1" si="15"/>
        <v>1</v>
      </c>
      <c r="Q135" s="156">
        <f t="shared" ca="1" si="16"/>
        <v>1</v>
      </c>
      <c r="R135" s="156">
        <f t="shared" ca="1" si="17"/>
        <v>1</v>
      </c>
    </row>
    <row r="136" spans="2:18" x14ac:dyDescent="0.25">
      <c r="B136" s="173"/>
      <c r="C136" s="174"/>
      <c r="D136" s="175"/>
      <c r="E136" s="176"/>
      <c r="F136" s="176"/>
      <c r="G136" s="176"/>
      <c r="H136" s="176"/>
      <c r="I136" s="7"/>
      <c r="L136" s="155" t="s">
        <v>23</v>
      </c>
      <c r="M136" s="155"/>
      <c r="N136" s="155" t="s">
        <v>365</v>
      </c>
      <c r="O136" s="156">
        <f t="shared" ca="1" si="14"/>
        <v>1</v>
      </c>
      <c r="P136" s="156">
        <f t="shared" ca="1" si="15"/>
        <v>1</v>
      </c>
      <c r="Q136" s="156">
        <f t="shared" ca="1" si="16"/>
        <v>1</v>
      </c>
      <c r="R136" s="156">
        <f t="shared" ca="1" si="17"/>
        <v>1</v>
      </c>
    </row>
    <row r="137" spans="2:18" x14ac:dyDescent="0.25">
      <c r="B137" s="173"/>
      <c r="C137" s="174"/>
      <c r="D137" s="175"/>
      <c r="E137" s="176"/>
      <c r="F137" s="176"/>
      <c r="G137" s="176"/>
      <c r="H137" s="176"/>
      <c r="I137" s="7"/>
      <c r="L137" s="155" t="s">
        <v>22</v>
      </c>
      <c r="M137" s="155"/>
      <c r="N137" s="155" t="s">
        <v>366</v>
      </c>
      <c r="O137" s="156">
        <f t="shared" ca="1" si="14"/>
        <v>1</v>
      </c>
      <c r="P137" s="156">
        <f t="shared" ca="1" si="15"/>
        <v>1</v>
      </c>
      <c r="Q137" s="156">
        <f t="shared" ca="1" si="16"/>
        <v>1</v>
      </c>
      <c r="R137" s="156">
        <f t="shared" ca="1" si="17"/>
        <v>1</v>
      </c>
    </row>
    <row r="138" spans="2:18" x14ac:dyDescent="0.25">
      <c r="B138" s="173"/>
      <c r="C138" s="174"/>
      <c r="D138" s="175"/>
      <c r="E138" s="176"/>
      <c r="F138" s="176"/>
      <c r="G138" s="176"/>
      <c r="H138" s="176"/>
      <c r="I138" s="7"/>
      <c r="L138" s="155" t="s">
        <v>22</v>
      </c>
      <c r="M138" s="155"/>
      <c r="N138" s="155" t="s">
        <v>367</v>
      </c>
      <c r="O138" s="156">
        <f t="shared" ca="1" si="14"/>
        <v>1</v>
      </c>
      <c r="P138" s="156">
        <f t="shared" ca="1" si="15"/>
        <v>1</v>
      </c>
      <c r="Q138" s="156">
        <f t="shared" ca="1" si="16"/>
        <v>1</v>
      </c>
      <c r="R138" s="156">
        <f t="shared" ca="1" si="17"/>
        <v>1</v>
      </c>
    </row>
    <row r="139" spans="2:18" x14ac:dyDescent="0.25">
      <c r="B139" s="173"/>
      <c r="C139" s="174"/>
      <c r="D139" s="175"/>
      <c r="E139" s="176"/>
      <c r="F139" s="176"/>
      <c r="G139" s="176"/>
      <c r="H139" s="176"/>
      <c r="I139" s="7"/>
      <c r="L139" s="155" t="s">
        <v>22</v>
      </c>
      <c r="M139" s="155"/>
      <c r="N139" s="155" t="s">
        <v>368</v>
      </c>
      <c r="O139" s="156">
        <f t="shared" ca="1" si="14"/>
        <v>1</v>
      </c>
      <c r="P139" s="156">
        <f t="shared" ca="1" si="15"/>
        <v>1</v>
      </c>
      <c r="Q139" s="156">
        <f t="shared" ca="1" si="16"/>
        <v>1</v>
      </c>
      <c r="R139" s="156">
        <f t="shared" ca="1" si="17"/>
        <v>1</v>
      </c>
    </row>
    <row r="140" spans="2:18" x14ac:dyDescent="0.25">
      <c r="B140" s="173"/>
      <c r="C140" s="174"/>
      <c r="D140" s="175"/>
      <c r="E140" s="176"/>
      <c r="F140" s="176"/>
      <c r="G140" s="176"/>
      <c r="H140" s="176"/>
      <c r="I140" s="7"/>
      <c r="N140" s="159" t="s">
        <v>369</v>
      </c>
      <c r="O140" s="159">
        <f ca="1">COUNTIFS(O$34:O$139,"=0")</f>
        <v>0</v>
      </c>
      <c r="P140" s="159">
        <f ca="1">106-SUM(P34:P139)</f>
        <v>0</v>
      </c>
      <c r="Q140" s="159">
        <f ca="1">106-SUM(Q34:Q139)</f>
        <v>0</v>
      </c>
      <c r="R140" s="159">
        <f ca="1">106-SUM(R34:R139)</f>
        <v>0</v>
      </c>
    </row>
    <row r="141" spans="2:18" x14ac:dyDescent="0.25">
      <c r="B141" s="173"/>
      <c r="C141" s="174"/>
      <c r="D141" s="175"/>
      <c r="E141" s="176"/>
      <c r="F141" s="176"/>
      <c r="G141" s="176"/>
      <c r="H141" s="176"/>
      <c r="I141" s="7"/>
      <c r="N141" s="159" t="s">
        <v>251</v>
      </c>
      <c r="O141" s="159" t="str">
        <f ca="1">IF(P140+O140&gt;0,P140/(P140+O140)*100,"")</f>
        <v/>
      </c>
      <c r="P141" s="159" t="str">
        <f ca="1">IF(P140+O140&gt;0,O140/(P140+O140)*100,"")</f>
        <v/>
      </c>
      <c r="Q141" s="6"/>
      <c r="R141" s="6"/>
    </row>
    <row r="142" spans="2:18" x14ac:dyDescent="0.25">
      <c r="B142" s="173"/>
      <c r="C142" s="174"/>
      <c r="D142" s="175"/>
      <c r="E142" s="176"/>
      <c r="F142" s="176"/>
      <c r="G142" s="176"/>
      <c r="H142" s="176"/>
      <c r="I142" s="7"/>
      <c r="L142" s="11" t="s">
        <v>259</v>
      </c>
      <c r="M142" s="11">
        <f>COUNTIF(M34:M139,"Niv1")</f>
        <v>0</v>
      </c>
      <c r="N142" s="70" t="s">
        <v>259</v>
      </c>
      <c r="O142" s="70">
        <f ca="1">COUNTIFS(O$34:O$139,"=0",$M$34:$M$139,"Niv1")</f>
        <v>0</v>
      </c>
      <c r="P142" s="70">
        <f ca="1">COUNTIFS(P$34:P$139,"=0",$M$34:$M$139,"Niv1")</f>
        <v>0</v>
      </c>
      <c r="Q142" s="70">
        <f ca="1">COUNTIFS(R$34:R$139,"=0",$M$34:$M$139,"Niv1")</f>
        <v>0</v>
      </c>
      <c r="R142" s="70"/>
    </row>
    <row r="143" spans="2:18" x14ac:dyDescent="0.25">
      <c r="B143" s="173"/>
      <c r="C143" s="174"/>
      <c r="D143" s="175"/>
      <c r="E143" s="176"/>
      <c r="F143" s="176"/>
      <c r="G143" s="176"/>
      <c r="H143" s="176"/>
      <c r="I143" s="7"/>
      <c r="L143" s="11" t="s">
        <v>261</v>
      </c>
      <c r="M143" s="11">
        <f>COUNTIF(M$34:M$139,"Niv2")</f>
        <v>0</v>
      </c>
      <c r="N143" s="70" t="s">
        <v>261</v>
      </c>
      <c r="O143" s="70">
        <f ca="1">COUNTIFS(O$34:O$139,"=0",$M$34:$M$139,"Niv2")</f>
        <v>0</v>
      </c>
      <c r="P143" s="70">
        <f ca="1">COUNTIFS(P$34:P$139,"=0",$M$34:$M$139,"Niv2")</f>
        <v>0</v>
      </c>
      <c r="Q143" s="70">
        <f ca="1">COUNTIFS(R$34:R$139,"=0",$M$34:$M$139,"Niv2")</f>
        <v>0</v>
      </c>
      <c r="R143" s="70"/>
    </row>
    <row r="144" spans="2:18" x14ac:dyDescent="0.25">
      <c r="B144" s="173"/>
      <c r="C144" s="174"/>
      <c r="D144" s="175"/>
      <c r="E144" s="176"/>
      <c r="F144" s="176"/>
      <c r="G144" s="176"/>
      <c r="H144" s="176"/>
      <c r="I144" s="7"/>
      <c r="L144" s="11" t="s">
        <v>268</v>
      </c>
      <c r="M144" s="11">
        <f>COUNTIF(M$34:M$139,"Niv3")</f>
        <v>0</v>
      </c>
      <c r="N144" s="70" t="s">
        <v>268</v>
      </c>
      <c r="O144" s="70">
        <f ca="1">COUNTIFS(O$34:O$139,"=0",$M$34:$M$139,"Niv3")</f>
        <v>0</v>
      </c>
      <c r="P144" s="70">
        <f ca="1">COUNTIFS(P$34:P$139,"=0",$M$34:$M$139,"Niv3")</f>
        <v>0</v>
      </c>
      <c r="Q144" s="70">
        <f ca="1">COUNTIFS(R$34:R$139,"=0",$M$34:$M$139,"Niv3")</f>
        <v>0</v>
      </c>
      <c r="R144" s="70"/>
    </row>
    <row r="145" spans="2:18" x14ac:dyDescent="0.25">
      <c r="B145" s="173"/>
      <c r="C145" s="174"/>
      <c r="D145" s="175"/>
      <c r="E145" s="176"/>
      <c r="F145" s="176"/>
      <c r="G145" s="176"/>
      <c r="H145" s="176"/>
      <c r="I145" s="7"/>
      <c r="L145" s="11" t="s">
        <v>270</v>
      </c>
      <c r="M145" s="11">
        <f>COUNTIF(M$34:M$139,"Niv5")</f>
        <v>0</v>
      </c>
      <c r="N145" s="70" t="s">
        <v>270</v>
      </c>
      <c r="O145" s="70">
        <f ca="1">COUNTIFS(O$34:O$139,"=0",$M$34:$M$139,"Niv5")</f>
        <v>0</v>
      </c>
      <c r="P145" s="70">
        <f ca="1">COUNTIFS(P$34:P$139,"=0",$M$34:$M$139,"Niv5")</f>
        <v>0</v>
      </c>
      <c r="Q145" s="70">
        <f ca="1">COUNTIFS(R$34:R$139,"=0",$M$34:$M$139,"Niv5")</f>
        <v>0</v>
      </c>
      <c r="R145" s="70"/>
    </row>
    <row r="146" spans="2:18" x14ac:dyDescent="0.25">
      <c r="B146" s="173"/>
      <c r="C146" s="174"/>
      <c r="D146" s="175"/>
      <c r="E146" s="176"/>
      <c r="F146" s="176"/>
      <c r="G146" s="176"/>
      <c r="H146" s="176"/>
      <c r="I146" s="7"/>
      <c r="L146" s="6" t="s">
        <v>36</v>
      </c>
      <c r="M146" s="6">
        <f>SUM(M142:M145)</f>
        <v>0</v>
      </c>
      <c r="Q146" s="6"/>
      <c r="R146" s="6"/>
    </row>
    <row r="147" spans="2:18" x14ac:dyDescent="0.25">
      <c r="B147" s="173"/>
      <c r="C147" s="174"/>
      <c r="D147" s="175"/>
      <c r="E147" s="176"/>
      <c r="F147" s="176"/>
      <c r="G147" s="176"/>
      <c r="H147" s="176"/>
      <c r="I147" s="7"/>
      <c r="Q147" s="6"/>
      <c r="R147" s="6"/>
    </row>
    <row r="148" spans="2:18" x14ac:dyDescent="0.25">
      <c r="B148" s="173"/>
      <c r="C148" s="174"/>
      <c r="D148" s="175"/>
      <c r="E148" s="176"/>
      <c r="F148" s="176"/>
      <c r="G148" s="176"/>
      <c r="H148" s="176"/>
      <c r="I148" s="7"/>
      <c r="L148" s="6" t="s">
        <v>22</v>
      </c>
      <c r="M148" s="6">
        <f>COUNTIF(L$34:L$139,"A")</f>
        <v>82</v>
      </c>
      <c r="N148" s="265" t="s">
        <v>428</v>
      </c>
      <c r="O148" s="70" t="s">
        <v>259</v>
      </c>
      <c r="P148" s="70" t="str">
        <f ca="1">IF(O142+P142&gt;0,P142/(O142+P142)*100,"")</f>
        <v/>
      </c>
      <c r="Q148" s="6"/>
      <c r="R148" s="6"/>
    </row>
    <row r="149" spans="2:18" x14ac:dyDescent="0.25">
      <c r="B149" s="173"/>
      <c r="C149" s="174"/>
      <c r="D149" s="175"/>
      <c r="E149" s="176"/>
      <c r="F149" s="176"/>
      <c r="G149" s="176"/>
      <c r="H149" s="176"/>
      <c r="I149" s="7"/>
      <c r="L149" s="6" t="s">
        <v>23</v>
      </c>
      <c r="M149" s="6">
        <f>COUNTIF(L$34:L$139,"AA")</f>
        <v>24</v>
      </c>
      <c r="N149" s="265"/>
      <c r="O149" s="70" t="s">
        <v>261</v>
      </c>
      <c r="P149" s="70" t="str">
        <f ca="1">IF(O143+P143&gt;0,P143/(O143+P143)*100,"")</f>
        <v/>
      </c>
      <c r="Q149" s="6"/>
      <c r="R149" s="6"/>
    </row>
    <row r="150" spans="2:18" x14ac:dyDescent="0.25">
      <c r="B150" s="173"/>
      <c r="C150" s="174"/>
      <c r="D150" s="175"/>
      <c r="E150" s="176"/>
      <c r="F150" s="176"/>
      <c r="G150" s="176"/>
      <c r="H150" s="176"/>
      <c r="I150" s="7"/>
      <c r="L150" s="6" t="s">
        <v>24</v>
      </c>
      <c r="M150" s="6">
        <f>COUNTIF(L$34:L$139,"AAA")</f>
        <v>0</v>
      </c>
      <c r="N150" s="265"/>
      <c r="O150" s="70" t="s">
        <v>268</v>
      </c>
      <c r="P150" s="70" t="str">
        <f ca="1">IFERROR(_xlfn.IFS($P$144/($O$144+$P$144)*100&gt;=50,100,$P$144/($O$144+$P$144)*100&lt;50,$P$144/($O$144+$P$144)*100*2),"")</f>
        <v/>
      </c>
      <c r="Q150" s="6"/>
      <c r="R150" s="6"/>
    </row>
    <row r="151" spans="2:18" x14ac:dyDescent="0.25">
      <c r="B151" s="173"/>
      <c r="C151" s="174"/>
      <c r="D151" s="175"/>
      <c r="E151" s="176"/>
      <c r="F151" s="176"/>
      <c r="G151" s="176"/>
      <c r="H151" s="176"/>
      <c r="I151" s="7"/>
      <c r="L151" s="6" t="s">
        <v>36</v>
      </c>
      <c r="M151" s="6">
        <f>SUM(M148:M150)</f>
        <v>106</v>
      </c>
      <c r="N151" s="265"/>
      <c r="O151" s="70" t="s">
        <v>370</v>
      </c>
      <c r="P151" s="70" t="str">
        <f ca="1">IF($O$144+$P$144&gt;0,$P$144/($O$144+$P$144)*100,"")</f>
        <v/>
      </c>
      <c r="Q151" s="6"/>
      <c r="R151" s="6"/>
    </row>
    <row r="152" spans="2:18" x14ac:dyDescent="0.25">
      <c r="B152" s="173"/>
      <c r="C152" s="174"/>
      <c r="D152" s="175"/>
      <c r="E152" s="176"/>
      <c r="F152" s="176"/>
      <c r="G152" s="176"/>
      <c r="H152" s="176"/>
      <c r="I152" s="7"/>
      <c r="N152" s="265"/>
      <c r="O152" s="70" t="s">
        <v>270</v>
      </c>
      <c r="P152" s="70">
        <f ca="1">IF(SUM(O145+P145)&gt;=1,P145/(O145+P145)*100,0)</f>
        <v>0</v>
      </c>
      <c r="Q152" s="6"/>
      <c r="R152" s="6"/>
    </row>
    <row r="153" spans="2:18" x14ac:dyDescent="0.25">
      <c r="B153" s="173"/>
      <c r="C153" s="174"/>
      <c r="D153" s="175"/>
      <c r="E153" s="176"/>
      <c r="F153" s="176"/>
      <c r="G153" s="176"/>
      <c r="H153" s="176"/>
      <c r="I153" s="7"/>
      <c r="Q153" s="6"/>
      <c r="R153" s="6"/>
    </row>
    <row r="154" spans="2:18" x14ac:dyDescent="0.25">
      <c r="B154" s="173"/>
      <c r="C154" s="174"/>
      <c r="D154" s="175"/>
      <c r="E154" s="176"/>
      <c r="F154" s="176"/>
      <c r="G154" s="176"/>
      <c r="H154" s="176"/>
      <c r="I154" s="7"/>
      <c r="Q154" s="6"/>
      <c r="R154" s="6"/>
    </row>
    <row r="155" spans="2:18" x14ac:dyDescent="0.25">
      <c r="B155" s="173"/>
      <c r="C155" s="174"/>
      <c r="D155" s="175"/>
      <c r="E155" s="176"/>
      <c r="F155" s="176"/>
      <c r="G155" s="176"/>
      <c r="H155" s="176"/>
      <c r="I155" s="7"/>
      <c r="Q155" s="6"/>
      <c r="R155" s="6"/>
    </row>
    <row r="156" spans="2:18" x14ac:dyDescent="0.25">
      <c r="B156" s="173"/>
      <c r="C156" s="174"/>
      <c r="D156" s="175"/>
      <c r="E156" s="176"/>
      <c r="F156" s="176"/>
      <c r="G156" s="176"/>
      <c r="H156" s="176"/>
      <c r="I156" s="7"/>
      <c r="Q156" s="6"/>
      <c r="R156" s="6"/>
    </row>
    <row r="157" spans="2:18" x14ac:dyDescent="0.25">
      <c r="B157" s="173"/>
      <c r="C157" s="174"/>
      <c r="D157" s="175"/>
      <c r="E157" s="176"/>
      <c r="F157" s="176"/>
      <c r="G157" s="176"/>
      <c r="H157" s="176"/>
      <c r="I157" s="7"/>
      <c r="Q157" s="6"/>
      <c r="R157" s="6"/>
    </row>
    <row r="158" spans="2:18" x14ac:dyDescent="0.25">
      <c r="B158" s="173"/>
      <c r="C158" s="174"/>
      <c r="D158" s="175"/>
      <c r="E158" s="176"/>
      <c r="F158" s="176"/>
      <c r="G158" s="176"/>
      <c r="H158" s="176"/>
      <c r="I158" s="7"/>
      <c r="Q158" s="6"/>
      <c r="R158" s="6"/>
    </row>
    <row r="159" spans="2:18" x14ac:dyDescent="0.25">
      <c r="B159" s="173"/>
      <c r="C159" s="174"/>
      <c r="D159" s="175"/>
      <c r="E159" s="176"/>
      <c r="F159" s="176"/>
      <c r="G159" s="176"/>
      <c r="H159" s="176"/>
      <c r="I159" s="7"/>
      <c r="Q159" s="6"/>
      <c r="R159" s="6"/>
    </row>
    <row r="160" spans="2:18" x14ac:dyDescent="0.25">
      <c r="B160" s="173"/>
      <c r="C160" s="174"/>
      <c r="D160" s="175"/>
      <c r="E160" s="176"/>
      <c r="F160" s="176"/>
      <c r="G160" s="176"/>
      <c r="H160" s="176"/>
      <c r="I160" s="7"/>
      <c r="Q160" s="6"/>
      <c r="R160" s="6"/>
    </row>
    <row r="161" spans="2:18" x14ac:dyDescent="0.25">
      <c r="B161" s="173"/>
      <c r="C161" s="174"/>
      <c r="D161" s="175"/>
      <c r="E161" s="176"/>
      <c r="F161" s="176"/>
      <c r="G161" s="176"/>
      <c r="H161" s="176"/>
      <c r="I161" s="7"/>
      <c r="Q161" s="6"/>
      <c r="R161" s="6"/>
    </row>
    <row r="162" spans="2:18" x14ac:dyDescent="0.25">
      <c r="B162" s="173"/>
      <c r="C162" s="174"/>
      <c r="D162" s="175"/>
      <c r="E162" s="176"/>
      <c r="F162" s="176"/>
      <c r="G162" s="176"/>
      <c r="H162" s="176"/>
      <c r="I162" s="7"/>
      <c r="Q162" s="6"/>
      <c r="R162" s="6"/>
    </row>
    <row r="163" spans="2:18" x14ac:dyDescent="0.25">
      <c r="B163" s="173"/>
      <c r="C163" s="174"/>
      <c r="D163" s="175"/>
      <c r="E163" s="176"/>
      <c r="F163" s="176"/>
      <c r="G163" s="176"/>
      <c r="H163" s="176"/>
      <c r="I163" s="7"/>
      <c r="Q163" s="6"/>
      <c r="R163" s="6"/>
    </row>
    <row r="164" spans="2:18" x14ac:dyDescent="0.25">
      <c r="B164" s="173"/>
      <c r="C164" s="174"/>
      <c r="D164" s="175"/>
      <c r="E164" s="176"/>
      <c r="F164" s="176"/>
      <c r="G164" s="176"/>
      <c r="H164" s="176"/>
      <c r="I164" s="7"/>
      <c r="Q164" s="6"/>
      <c r="R164" s="6"/>
    </row>
    <row r="165" spans="2:18" x14ac:dyDescent="0.25">
      <c r="B165" s="173"/>
      <c r="C165" s="174"/>
      <c r="D165" s="175"/>
      <c r="E165" s="176"/>
      <c r="F165" s="176"/>
      <c r="G165" s="176"/>
      <c r="H165" s="176"/>
      <c r="I165" s="7"/>
      <c r="Q165" s="6"/>
      <c r="R165" s="6"/>
    </row>
    <row r="166" spans="2:18" x14ac:dyDescent="0.25">
      <c r="B166" s="173"/>
      <c r="C166" s="174"/>
      <c r="D166" s="175"/>
      <c r="E166" s="176"/>
      <c r="F166" s="176"/>
      <c r="G166" s="176"/>
      <c r="H166" s="176"/>
      <c r="I166" s="7"/>
      <c r="Q166" s="6"/>
      <c r="R166" s="6"/>
    </row>
    <row r="167" spans="2:18" x14ac:dyDescent="0.25">
      <c r="B167" s="173"/>
      <c r="C167" s="174"/>
      <c r="D167" s="175"/>
      <c r="E167" s="176"/>
      <c r="F167" s="176"/>
      <c r="G167" s="176"/>
      <c r="H167" s="176"/>
      <c r="I167" s="7"/>
      <c r="Q167" s="6"/>
      <c r="R167" s="6"/>
    </row>
    <row r="168" spans="2:18" x14ac:dyDescent="0.25">
      <c r="B168" s="173"/>
      <c r="C168" s="174"/>
      <c r="D168" s="175"/>
      <c r="E168" s="176"/>
      <c r="F168" s="176"/>
      <c r="G168" s="176"/>
      <c r="H168" s="176"/>
      <c r="I168" s="7"/>
      <c r="Q168" s="6"/>
      <c r="R168" s="6"/>
    </row>
    <row r="169" spans="2:18" x14ac:dyDescent="0.25">
      <c r="B169" s="173"/>
      <c r="C169" s="174"/>
      <c r="D169" s="175"/>
      <c r="E169" s="176"/>
      <c r="F169" s="176"/>
      <c r="G169" s="176"/>
      <c r="H169" s="176"/>
      <c r="I169" s="7"/>
      <c r="Q169" s="6"/>
      <c r="R169" s="6"/>
    </row>
    <row r="170" spans="2:18" x14ac:dyDescent="0.25">
      <c r="B170" s="173"/>
      <c r="C170" s="174"/>
      <c r="D170" s="175"/>
      <c r="E170" s="176"/>
      <c r="F170" s="176"/>
      <c r="G170" s="176"/>
      <c r="H170" s="176"/>
      <c r="I170" s="7"/>
      <c r="Q170" s="6"/>
      <c r="R170" s="6"/>
    </row>
    <row r="171" spans="2:18" x14ac:dyDescent="0.25">
      <c r="B171" s="173"/>
      <c r="C171" s="174"/>
      <c r="D171" s="175"/>
      <c r="E171" s="176"/>
      <c r="F171" s="176"/>
      <c r="G171" s="176"/>
      <c r="H171" s="176"/>
      <c r="I171" s="7"/>
      <c r="Q171" s="6"/>
      <c r="R171" s="6"/>
    </row>
    <row r="172" spans="2:18" x14ac:dyDescent="0.25">
      <c r="B172" s="173"/>
      <c r="C172" s="174"/>
      <c r="D172" s="175"/>
      <c r="E172" s="176"/>
      <c r="F172" s="176"/>
      <c r="G172" s="176"/>
      <c r="H172" s="176"/>
      <c r="I172" s="7"/>
      <c r="Q172" s="6"/>
      <c r="R172" s="6"/>
    </row>
    <row r="173" spans="2:18" x14ac:dyDescent="0.25">
      <c r="B173" s="173"/>
      <c r="C173" s="174"/>
      <c r="D173" s="175"/>
      <c r="E173" s="176"/>
      <c r="F173" s="176"/>
      <c r="G173" s="176"/>
      <c r="H173" s="176"/>
      <c r="I173" s="7"/>
      <c r="Q173" s="6"/>
      <c r="R173" s="6"/>
    </row>
    <row r="174" spans="2:18" x14ac:dyDescent="0.25">
      <c r="B174" s="173"/>
      <c r="C174" s="174"/>
      <c r="D174" s="175"/>
      <c r="E174" s="176"/>
      <c r="F174" s="176"/>
      <c r="G174" s="176"/>
      <c r="H174" s="176"/>
      <c r="I174" s="7"/>
      <c r="Q174" s="6"/>
      <c r="R174" s="6"/>
    </row>
    <row r="175" spans="2:18" x14ac:dyDescent="0.25">
      <c r="B175" s="173"/>
      <c r="C175" s="174"/>
      <c r="D175" s="175"/>
      <c r="E175" s="176"/>
      <c r="F175" s="176"/>
      <c r="G175" s="176"/>
      <c r="H175" s="176"/>
      <c r="I175" s="7"/>
      <c r="Q175" s="6"/>
      <c r="R175" s="6"/>
    </row>
    <row r="176" spans="2:18" x14ac:dyDescent="0.25">
      <c r="B176" s="173"/>
      <c r="C176" s="174"/>
      <c r="D176" s="175"/>
      <c r="E176" s="176"/>
      <c r="F176" s="176"/>
      <c r="G176" s="176"/>
      <c r="H176" s="176"/>
      <c r="I176" s="7"/>
      <c r="Q176" s="6"/>
      <c r="R176" s="6"/>
    </row>
    <row r="177" spans="2:18" x14ac:dyDescent="0.25">
      <c r="B177" s="173"/>
      <c r="C177" s="174"/>
      <c r="D177" s="175"/>
      <c r="E177" s="176"/>
      <c r="F177" s="176"/>
      <c r="G177" s="176"/>
      <c r="H177" s="176"/>
      <c r="I177" s="7"/>
      <c r="Q177" s="6"/>
      <c r="R177" s="6"/>
    </row>
    <row r="178" spans="2:18" x14ac:dyDescent="0.25">
      <c r="B178" s="177"/>
      <c r="C178" s="178"/>
      <c r="D178" s="179"/>
      <c r="E178" s="180"/>
      <c r="F178" s="180"/>
      <c r="G178" s="180"/>
      <c r="H178" s="180"/>
      <c r="I178" s="7"/>
      <c r="Q178" s="6"/>
      <c r="R178" s="6"/>
    </row>
    <row r="179" spans="2:18" x14ac:dyDescent="0.25">
      <c r="B179" s="177"/>
      <c r="C179" s="178"/>
      <c r="D179" s="179"/>
      <c r="E179" s="180"/>
      <c r="F179" s="180"/>
      <c r="G179" s="180"/>
      <c r="H179" s="180"/>
      <c r="I179" s="7"/>
      <c r="Q179" s="6"/>
      <c r="R179" s="6"/>
    </row>
    <row r="180" spans="2:18" x14ac:dyDescent="0.25">
      <c r="B180" s="177"/>
      <c r="C180" s="178"/>
      <c r="D180" s="179"/>
      <c r="E180" s="180"/>
      <c r="F180" s="180"/>
      <c r="G180" s="180"/>
      <c r="H180" s="180"/>
      <c r="I180" s="7"/>
      <c r="Q180" s="6"/>
      <c r="R180" s="6"/>
    </row>
    <row r="181" spans="2:18" x14ac:dyDescent="0.25">
      <c r="B181" s="177"/>
      <c r="C181" s="178"/>
      <c r="D181" s="179"/>
      <c r="E181" s="180"/>
      <c r="F181" s="180"/>
      <c r="G181" s="180"/>
      <c r="H181" s="180"/>
      <c r="I181" s="7"/>
      <c r="Q181" s="6"/>
      <c r="R181" s="6"/>
    </row>
    <row r="182" spans="2:18" x14ac:dyDescent="0.25">
      <c r="B182" s="177"/>
      <c r="C182" s="178"/>
      <c r="D182" s="179"/>
      <c r="E182" s="180"/>
      <c r="F182" s="180"/>
      <c r="G182" s="180"/>
      <c r="H182" s="180"/>
      <c r="I182" s="7"/>
      <c r="Q182" s="6"/>
      <c r="R182" s="6"/>
    </row>
    <row r="183" spans="2:18" x14ac:dyDescent="0.25">
      <c r="B183" s="177"/>
      <c r="C183" s="178"/>
      <c r="D183" s="179"/>
      <c r="E183" s="180"/>
      <c r="F183" s="180"/>
      <c r="G183" s="180"/>
      <c r="H183" s="180"/>
      <c r="I183" s="7"/>
      <c r="Q183" s="6"/>
      <c r="R183" s="6"/>
    </row>
    <row r="184" spans="2:18" x14ac:dyDescent="0.25">
      <c r="B184" s="177"/>
      <c r="C184" s="178"/>
      <c r="D184" s="179"/>
      <c r="E184" s="180"/>
      <c r="F184" s="180"/>
      <c r="G184" s="180"/>
      <c r="H184" s="180"/>
      <c r="I184" s="7"/>
      <c r="Q184" s="6"/>
      <c r="R184" s="6"/>
    </row>
    <row r="185" spans="2:18" x14ac:dyDescent="0.25">
      <c r="B185" s="177"/>
      <c r="C185" s="178"/>
      <c r="D185" s="179"/>
      <c r="E185" s="180"/>
      <c r="F185" s="180"/>
      <c r="G185" s="180"/>
      <c r="H185" s="180"/>
      <c r="I185" s="7"/>
      <c r="Q185" s="6"/>
      <c r="R185" s="6"/>
    </row>
    <row r="186" spans="2:18" x14ac:dyDescent="0.25">
      <c r="B186" s="177"/>
      <c r="C186" s="178"/>
      <c r="D186" s="179"/>
      <c r="E186" s="180"/>
      <c r="F186" s="180"/>
      <c r="G186" s="180"/>
      <c r="H186" s="180"/>
      <c r="I186" s="7"/>
      <c r="Q186" s="6"/>
      <c r="R186" s="6"/>
    </row>
    <row r="187" spans="2:18" x14ac:dyDescent="0.25">
      <c r="B187" s="181"/>
      <c r="C187" s="61"/>
      <c r="D187" s="179"/>
      <c r="E187" s="180"/>
      <c r="F187" s="180"/>
      <c r="G187" s="180"/>
      <c r="H187" s="180"/>
      <c r="I187" s="7"/>
      <c r="Q187" s="6"/>
      <c r="R187" s="6"/>
    </row>
    <row r="188" spans="2:18" x14ac:dyDescent="0.25">
      <c r="B188" s="181"/>
      <c r="C188" s="61"/>
      <c r="D188" s="179"/>
      <c r="E188" s="180"/>
      <c r="F188" s="180"/>
      <c r="G188" s="180"/>
      <c r="H188" s="180"/>
      <c r="I188" s="7"/>
      <c r="Q188" s="6"/>
      <c r="R188" s="6"/>
    </row>
    <row r="189" spans="2:18" x14ac:dyDescent="0.25">
      <c r="B189" s="181"/>
      <c r="C189" s="61"/>
      <c r="D189" s="179"/>
      <c r="E189" s="180"/>
      <c r="F189" s="180"/>
      <c r="G189" s="180"/>
      <c r="H189" s="180"/>
      <c r="I189" s="7"/>
      <c r="Q189" s="6"/>
      <c r="R189" s="6"/>
    </row>
    <row r="190" spans="2:18" x14ac:dyDescent="0.25">
      <c r="B190" s="181"/>
      <c r="C190" s="61"/>
      <c r="D190" s="179"/>
      <c r="E190" s="180"/>
      <c r="F190" s="180"/>
      <c r="G190" s="180"/>
      <c r="H190" s="180"/>
      <c r="I190" s="7"/>
      <c r="Q190" s="6"/>
      <c r="R190" s="6"/>
    </row>
    <row r="191" spans="2:18" x14ac:dyDescent="0.25">
      <c r="B191" s="181"/>
      <c r="C191" s="61"/>
      <c r="D191" s="179"/>
      <c r="E191" s="180"/>
      <c r="F191" s="180"/>
      <c r="G191" s="180"/>
      <c r="H191" s="180"/>
      <c r="I191" s="7"/>
      <c r="Q191" s="6"/>
      <c r="R191" s="6"/>
    </row>
    <row r="192" spans="2:18" x14ac:dyDescent="0.25">
      <c r="B192" s="181"/>
      <c r="C192" s="61"/>
      <c r="D192" s="179"/>
      <c r="E192" s="180"/>
      <c r="F192" s="180"/>
      <c r="G192" s="180"/>
      <c r="H192" s="180"/>
      <c r="I192" s="7"/>
      <c r="Q192" s="6"/>
      <c r="R192" s="6"/>
    </row>
    <row r="193" spans="2:35" x14ac:dyDescent="0.25">
      <c r="B193" s="181"/>
      <c r="C193" s="61"/>
      <c r="D193" s="179"/>
      <c r="E193" s="180"/>
      <c r="F193" s="180"/>
      <c r="G193" s="180"/>
      <c r="H193" s="180"/>
      <c r="I193" s="7"/>
      <c r="Q193" s="6"/>
      <c r="R193" s="6"/>
      <c r="AH193" s="6">
        <v>25</v>
      </c>
      <c r="AI193" s="6">
        <v>26</v>
      </c>
    </row>
    <row r="194" spans="2:35" x14ac:dyDescent="0.25">
      <c r="B194" s="181"/>
      <c r="C194" s="61"/>
      <c r="D194" s="179"/>
      <c r="E194" s="180"/>
      <c r="F194" s="180"/>
      <c r="G194" s="180"/>
      <c r="H194" s="180"/>
      <c r="I194" s="7"/>
      <c r="Q194" s="6"/>
      <c r="R194" s="6"/>
    </row>
    <row r="195" spans="2:35" x14ac:dyDescent="0.25">
      <c r="B195" s="181"/>
      <c r="C195" s="61"/>
      <c r="D195" s="179"/>
      <c r="E195" s="180"/>
      <c r="F195" s="180"/>
      <c r="G195" s="180"/>
      <c r="H195" s="180"/>
      <c r="I195" s="7"/>
      <c r="Q195" s="6"/>
      <c r="R195" s="6"/>
    </row>
    <row r="196" spans="2:35" x14ac:dyDescent="0.25">
      <c r="B196" s="181"/>
      <c r="C196" s="61"/>
      <c r="D196" s="179"/>
      <c r="E196" s="180"/>
      <c r="F196" s="180"/>
      <c r="G196" s="180"/>
      <c r="H196" s="180"/>
      <c r="I196" s="7"/>
      <c r="Q196" s="6"/>
      <c r="R196" s="6"/>
    </row>
    <row r="197" spans="2:35" x14ac:dyDescent="0.25">
      <c r="B197" s="181"/>
      <c r="C197" s="61"/>
      <c r="D197" s="179"/>
      <c r="E197" s="180"/>
      <c r="F197" s="180"/>
      <c r="G197" s="180"/>
      <c r="H197" s="180"/>
      <c r="I197" s="7"/>
      <c r="Q197" s="6"/>
      <c r="R197" s="6"/>
    </row>
    <row r="198" spans="2:35" x14ac:dyDescent="0.25">
      <c r="B198" s="181"/>
      <c r="C198" s="61"/>
      <c r="D198" s="179"/>
      <c r="E198" s="180"/>
      <c r="F198" s="180"/>
      <c r="G198" s="180"/>
      <c r="H198" s="180"/>
      <c r="I198" s="7"/>
      <c r="Q198" s="6"/>
      <c r="R198" s="6"/>
    </row>
    <row r="199" spans="2:35" x14ac:dyDescent="0.25">
      <c r="B199" s="181"/>
      <c r="C199" s="61"/>
      <c r="D199" s="179"/>
      <c r="E199" s="180"/>
      <c r="F199" s="180"/>
      <c r="G199" s="180"/>
      <c r="H199" s="180"/>
      <c r="I199" s="7"/>
      <c r="Q199" s="6"/>
      <c r="R199" s="6"/>
    </row>
    <row r="200" spans="2:35" x14ac:dyDescent="0.25">
      <c r="B200" s="181"/>
      <c r="C200" s="61"/>
      <c r="D200" s="179"/>
      <c r="E200" s="180"/>
      <c r="F200" s="180"/>
      <c r="G200" s="180"/>
      <c r="H200" s="180"/>
      <c r="I200" s="7"/>
      <c r="Q200" s="6"/>
      <c r="R200" s="6"/>
    </row>
    <row r="201" spans="2:35" x14ac:dyDescent="0.25">
      <c r="B201" s="181"/>
      <c r="C201" s="61"/>
      <c r="D201" s="179"/>
      <c r="E201" s="180"/>
      <c r="F201" s="180"/>
      <c r="G201" s="180"/>
      <c r="H201" s="180"/>
      <c r="I201" s="7"/>
      <c r="Q201" s="6"/>
      <c r="R201" s="6"/>
    </row>
    <row r="202" spans="2:35" x14ac:dyDescent="0.25">
      <c r="B202" s="181"/>
      <c r="C202" s="61"/>
      <c r="D202" s="179"/>
      <c r="E202" s="180"/>
      <c r="F202" s="180"/>
      <c r="G202" s="180"/>
      <c r="H202" s="180"/>
      <c r="I202" s="7"/>
      <c r="Q202" s="6"/>
      <c r="R202" s="6"/>
    </row>
    <row r="203" spans="2:35" x14ac:dyDescent="0.25">
      <c r="B203" s="181"/>
      <c r="C203" s="61"/>
      <c r="D203" s="179"/>
      <c r="E203" s="180"/>
      <c r="F203" s="180"/>
      <c r="G203" s="180"/>
      <c r="H203" s="180"/>
      <c r="I203" s="7"/>
      <c r="Q203" s="6"/>
      <c r="R203" s="6"/>
    </row>
    <row r="204" spans="2:35" x14ac:dyDescent="0.25">
      <c r="B204" s="181"/>
      <c r="C204" s="61"/>
      <c r="D204" s="179"/>
      <c r="E204" s="180"/>
      <c r="F204" s="180"/>
      <c r="G204" s="180"/>
      <c r="H204" s="180"/>
      <c r="I204" s="7"/>
      <c r="Q204" s="6"/>
      <c r="R204" s="6"/>
    </row>
    <row r="205" spans="2:35" x14ac:dyDescent="0.25">
      <c r="B205" s="181"/>
      <c r="C205" s="61"/>
      <c r="D205" s="179"/>
      <c r="E205" s="180"/>
      <c r="F205" s="180"/>
      <c r="G205" s="180"/>
      <c r="H205" s="180"/>
      <c r="I205" s="7"/>
      <c r="Q205" s="6"/>
      <c r="R205" s="6"/>
    </row>
    <row r="206" spans="2:35" x14ac:dyDescent="0.25">
      <c r="B206" s="181"/>
      <c r="C206" s="61"/>
      <c r="D206" s="179"/>
      <c r="E206" s="180"/>
      <c r="F206" s="180"/>
      <c r="G206" s="180"/>
      <c r="H206" s="180"/>
      <c r="I206" s="7"/>
      <c r="Q206" s="6"/>
      <c r="R206" s="6"/>
    </row>
    <row r="207" spans="2:35" x14ac:dyDescent="0.25">
      <c r="B207" s="181"/>
      <c r="C207" s="61"/>
      <c r="D207" s="179"/>
      <c r="E207" s="180"/>
      <c r="F207" s="180"/>
      <c r="G207" s="180"/>
      <c r="H207" s="180"/>
      <c r="I207" s="7"/>
      <c r="Q207" s="6"/>
      <c r="R207" s="6"/>
    </row>
    <row r="208" spans="2:35" x14ac:dyDescent="0.25">
      <c r="B208" s="181"/>
      <c r="C208" s="61"/>
      <c r="D208" s="179"/>
      <c r="E208" s="180"/>
      <c r="F208" s="180"/>
      <c r="G208" s="180"/>
      <c r="H208" s="180"/>
      <c r="I208" s="7"/>
      <c r="Q208" s="6"/>
      <c r="R208" s="6"/>
    </row>
    <row r="209" spans="2:18" x14ac:dyDescent="0.25">
      <c r="B209" s="181"/>
      <c r="C209" s="61"/>
      <c r="D209" s="179"/>
      <c r="E209" s="180"/>
      <c r="F209" s="180"/>
      <c r="G209" s="180"/>
      <c r="H209" s="180"/>
      <c r="I209" s="7"/>
      <c r="Q209" s="6"/>
      <c r="R209" s="6"/>
    </row>
    <row r="210" spans="2:18" x14ac:dyDescent="0.25">
      <c r="B210" s="181"/>
      <c r="C210" s="61"/>
      <c r="D210" s="179"/>
      <c r="E210" s="180"/>
      <c r="F210" s="180"/>
      <c r="G210" s="180"/>
      <c r="H210" s="180"/>
      <c r="I210" s="7"/>
      <c r="Q210" s="6"/>
      <c r="R210" s="6"/>
    </row>
    <row r="211" spans="2:18" x14ac:dyDescent="0.25">
      <c r="B211" s="181"/>
      <c r="C211" s="61"/>
      <c r="D211" s="179"/>
      <c r="E211" s="180"/>
      <c r="F211" s="180"/>
      <c r="G211" s="180"/>
      <c r="H211" s="180"/>
      <c r="I211" s="7"/>
      <c r="Q211" s="6"/>
      <c r="R211" s="6"/>
    </row>
    <row r="212" spans="2:18" x14ac:dyDescent="0.25">
      <c r="B212" s="181"/>
      <c r="C212" s="61"/>
      <c r="D212" s="179"/>
      <c r="E212" s="180"/>
      <c r="F212" s="180"/>
      <c r="G212" s="180"/>
      <c r="H212" s="180"/>
      <c r="I212" s="7"/>
      <c r="Q212" s="6"/>
      <c r="R212" s="6"/>
    </row>
    <row r="213" spans="2:18" x14ac:dyDescent="0.25">
      <c r="B213" s="181"/>
      <c r="C213" s="61"/>
      <c r="D213" s="179"/>
      <c r="E213" s="180"/>
      <c r="F213" s="180"/>
      <c r="G213" s="180"/>
      <c r="H213" s="180"/>
      <c r="I213" s="7"/>
      <c r="Q213" s="6"/>
      <c r="R213" s="6"/>
    </row>
    <row r="214" spans="2:18" x14ac:dyDescent="0.25">
      <c r="B214" s="181"/>
      <c r="C214" s="61"/>
      <c r="D214" s="179"/>
      <c r="E214" s="180"/>
      <c r="F214" s="180"/>
      <c r="G214" s="180"/>
      <c r="H214" s="180"/>
      <c r="I214" s="7"/>
      <c r="Q214" s="6"/>
      <c r="R214" s="6"/>
    </row>
    <row r="215" spans="2:18" x14ac:dyDescent="0.25">
      <c r="B215" s="181"/>
      <c r="C215" s="61"/>
      <c r="D215" s="179"/>
      <c r="E215" s="180"/>
      <c r="F215" s="180"/>
      <c r="G215" s="180"/>
      <c r="H215" s="180"/>
      <c r="I215" s="7"/>
      <c r="Q215" s="6"/>
      <c r="R215" s="6"/>
    </row>
    <row r="216" spans="2:18" x14ac:dyDescent="0.25">
      <c r="B216" s="181"/>
      <c r="C216" s="61"/>
      <c r="D216" s="179"/>
      <c r="E216" s="180"/>
      <c r="F216" s="180"/>
      <c r="G216" s="180"/>
      <c r="H216" s="180"/>
      <c r="I216" s="7"/>
      <c r="Q216" s="6"/>
      <c r="R216" s="6"/>
    </row>
    <row r="217" spans="2:18" x14ac:dyDescent="0.25">
      <c r="B217" s="181"/>
      <c r="C217" s="61"/>
      <c r="D217" s="179"/>
      <c r="E217" s="180"/>
      <c r="F217" s="180"/>
      <c r="G217" s="180"/>
      <c r="H217" s="180"/>
      <c r="I217" s="7"/>
      <c r="Q217" s="6"/>
      <c r="R217" s="6"/>
    </row>
    <row r="218" spans="2:18" x14ac:dyDescent="0.25">
      <c r="B218" s="181"/>
      <c r="C218" s="61"/>
      <c r="D218" s="179"/>
      <c r="E218" s="180"/>
      <c r="F218" s="180"/>
      <c r="G218" s="180"/>
      <c r="H218" s="180"/>
      <c r="I218" s="7"/>
      <c r="Q218" s="6"/>
      <c r="R218" s="6"/>
    </row>
    <row r="219" spans="2:18" x14ac:dyDescent="0.25">
      <c r="B219" s="181"/>
      <c r="C219" s="61"/>
      <c r="D219" s="179"/>
      <c r="E219" s="180"/>
      <c r="F219" s="180"/>
      <c r="G219" s="180"/>
      <c r="H219" s="180"/>
      <c r="I219" s="7"/>
      <c r="Q219" s="6"/>
      <c r="R219" s="6"/>
    </row>
    <row r="220" spans="2:18" x14ac:dyDescent="0.25">
      <c r="B220" s="181"/>
      <c r="C220" s="61"/>
      <c r="D220" s="179"/>
      <c r="E220" s="180"/>
      <c r="F220" s="180"/>
      <c r="G220" s="180"/>
      <c r="H220" s="180"/>
      <c r="I220" s="7"/>
      <c r="Q220" s="6"/>
      <c r="R220" s="6"/>
    </row>
    <row r="221" spans="2:18" x14ac:dyDescent="0.25">
      <c r="B221" s="181"/>
      <c r="C221" s="61"/>
      <c r="D221" s="179"/>
      <c r="E221" s="180"/>
      <c r="F221" s="180"/>
      <c r="G221" s="180"/>
      <c r="H221" s="180"/>
      <c r="I221" s="7"/>
      <c r="Q221" s="6"/>
      <c r="R221" s="6"/>
    </row>
    <row r="222" spans="2:18" x14ac:dyDescent="0.25">
      <c r="B222" s="181"/>
      <c r="C222" s="61"/>
      <c r="D222" s="179"/>
      <c r="E222" s="180"/>
      <c r="F222" s="180"/>
      <c r="G222" s="180"/>
      <c r="H222" s="180"/>
      <c r="I222" s="7"/>
      <c r="Q222" s="6"/>
      <c r="R222" s="6"/>
    </row>
    <row r="223" spans="2:18" x14ac:dyDescent="0.25">
      <c r="B223" s="181"/>
      <c r="C223" s="61"/>
      <c r="D223" s="179"/>
      <c r="E223" s="180"/>
      <c r="F223" s="180"/>
      <c r="G223" s="180"/>
      <c r="H223" s="180"/>
      <c r="I223" s="7"/>
      <c r="Q223" s="6"/>
      <c r="R223" s="6"/>
    </row>
    <row r="224" spans="2:18" x14ac:dyDescent="0.25">
      <c r="B224" s="181"/>
      <c r="C224" s="61"/>
      <c r="D224" s="179"/>
      <c r="E224" s="180"/>
      <c r="F224" s="180"/>
      <c r="G224" s="180"/>
      <c r="H224" s="180"/>
      <c r="I224" s="7"/>
      <c r="Q224" s="6"/>
      <c r="R224" s="6"/>
    </row>
    <row r="225" spans="2:18" x14ac:dyDescent="0.25">
      <c r="B225" s="181"/>
      <c r="C225" s="61"/>
      <c r="D225" s="179"/>
      <c r="E225" s="180"/>
      <c r="F225" s="180"/>
      <c r="G225" s="180"/>
      <c r="H225" s="180"/>
      <c r="I225" s="7"/>
      <c r="Q225" s="6"/>
      <c r="R225" s="6"/>
    </row>
    <row r="226" spans="2:18" x14ac:dyDescent="0.25">
      <c r="B226" s="181"/>
      <c r="C226" s="61"/>
      <c r="D226" s="179"/>
      <c r="E226" s="180"/>
      <c r="F226" s="180"/>
      <c r="G226" s="180"/>
      <c r="H226" s="180"/>
      <c r="I226" s="7"/>
      <c r="Q226" s="6"/>
      <c r="R226" s="6"/>
    </row>
    <row r="227" spans="2:18" x14ac:dyDescent="0.25">
      <c r="B227" s="181"/>
      <c r="C227" s="61"/>
      <c r="D227" s="179"/>
      <c r="E227" s="180"/>
      <c r="F227" s="180"/>
      <c r="G227" s="180"/>
      <c r="H227" s="180"/>
      <c r="I227" s="7"/>
      <c r="Q227" s="6"/>
      <c r="R227" s="6"/>
    </row>
    <row r="228" spans="2:18" x14ac:dyDescent="0.25">
      <c r="B228" s="181"/>
      <c r="C228" s="61"/>
      <c r="D228" s="179"/>
      <c r="E228" s="180"/>
      <c r="F228" s="180"/>
      <c r="G228" s="180"/>
      <c r="H228" s="180"/>
      <c r="I228" s="7"/>
      <c r="Q228" s="6"/>
      <c r="R228" s="6"/>
    </row>
    <row r="229" spans="2:18" x14ac:dyDescent="0.25">
      <c r="B229" s="181"/>
      <c r="C229" s="61"/>
      <c r="D229" s="179"/>
      <c r="E229" s="180"/>
      <c r="F229" s="180"/>
      <c r="G229" s="180"/>
      <c r="H229" s="180"/>
      <c r="I229" s="7"/>
      <c r="Q229" s="6"/>
      <c r="R229" s="6"/>
    </row>
    <row r="230" spans="2:18" x14ac:dyDescent="0.25">
      <c r="B230" s="181"/>
      <c r="C230" s="61"/>
      <c r="D230" s="179"/>
      <c r="E230" s="180"/>
      <c r="F230" s="180"/>
      <c r="G230" s="180"/>
      <c r="H230" s="180"/>
      <c r="I230" s="7"/>
      <c r="Q230" s="6"/>
      <c r="R230" s="6"/>
    </row>
    <row r="231" spans="2:18" x14ac:dyDescent="0.25">
      <c r="B231" s="181"/>
      <c r="C231" s="61"/>
      <c r="D231" s="179"/>
      <c r="E231" s="180"/>
      <c r="F231" s="180"/>
      <c r="G231" s="180"/>
      <c r="H231" s="180"/>
      <c r="I231" s="7"/>
      <c r="Q231" s="6"/>
      <c r="R231" s="6"/>
    </row>
    <row r="232" spans="2:18" x14ac:dyDescent="0.25">
      <c r="B232" s="181"/>
      <c r="C232" s="61"/>
      <c r="D232" s="179"/>
      <c r="E232" s="180"/>
      <c r="F232" s="180"/>
      <c r="G232" s="180"/>
      <c r="H232" s="180"/>
      <c r="I232" s="7"/>
      <c r="Q232" s="6"/>
      <c r="R232" s="6"/>
    </row>
    <row r="233" spans="2:18" x14ac:dyDescent="0.25">
      <c r="B233" s="181"/>
      <c r="C233" s="61"/>
      <c r="D233" s="179"/>
      <c r="E233" s="180"/>
      <c r="F233" s="180"/>
      <c r="G233" s="180"/>
      <c r="H233" s="180"/>
      <c r="I233" s="7"/>
      <c r="Q233" s="6"/>
      <c r="R233" s="6"/>
    </row>
    <row r="234" spans="2:18" x14ac:dyDescent="0.25">
      <c r="B234" s="181"/>
      <c r="C234" s="61"/>
      <c r="D234" s="179"/>
      <c r="E234" s="180"/>
      <c r="F234" s="180"/>
      <c r="G234" s="180"/>
      <c r="H234" s="180"/>
      <c r="I234" s="7"/>
      <c r="Q234" s="6"/>
      <c r="R234" s="6"/>
    </row>
    <row r="235" spans="2:18" x14ac:dyDescent="0.25">
      <c r="B235" s="181"/>
      <c r="C235" s="61"/>
      <c r="D235" s="179"/>
      <c r="E235" s="180"/>
      <c r="F235" s="180"/>
      <c r="G235" s="180"/>
      <c r="H235" s="180"/>
      <c r="I235" s="7"/>
      <c r="Q235" s="6"/>
      <c r="R235" s="6"/>
    </row>
    <row r="236" spans="2:18" x14ac:dyDescent="0.25">
      <c r="B236" s="181"/>
      <c r="C236" s="61"/>
      <c r="D236" s="179"/>
      <c r="E236" s="180"/>
      <c r="F236" s="180"/>
      <c r="G236" s="180"/>
      <c r="H236" s="180"/>
      <c r="I236" s="7"/>
      <c r="Q236" s="6"/>
      <c r="R236" s="6"/>
    </row>
    <row r="237" spans="2:18" x14ac:dyDescent="0.25">
      <c r="B237" s="181"/>
      <c r="C237" s="61"/>
      <c r="D237" s="179"/>
      <c r="E237" s="180"/>
      <c r="F237" s="180"/>
      <c r="G237" s="180"/>
      <c r="H237" s="180"/>
      <c r="I237" s="7"/>
      <c r="Q237" s="6"/>
      <c r="R237" s="6"/>
    </row>
    <row r="238" spans="2:18" x14ac:dyDescent="0.25">
      <c r="B238" s="181"/>
      <c r="C238" s="61"/>
      <c r="D238" s="179"/>
      <c r="E238" s="180"/>
      <c r="F238" s="180"/>
      <c r="G238" s="180"/>
      <c r="H238" s="180"/>
      <c r="I238" s="7"/>
      <c r="Q238" s="6"/>
      <c r="R238" s="6"/>
    </row>
    <row r="239" spans="2:18" x14ac:dyDescent="0.25">
      <c r="B239" s="181"/>
      <c r="C239" s="61"/>
      <c r="D239" s="179"/>
      <c r="E239" s="180"/>
      <c r="F239" s="180"/>
      <c r="G239" s="180"/>
      <c r="H239" s="180"/>
      <c r="I239" s="7"/>
      <c r="Q239" s="6"/>
      <c r="R239" s="6"/>
    </row>
    <row r="240" spans="2:18" x14ac:dyDescent="0.25">
      <c r="B240" s="181"/>
      <c r="C240" s="61"/>
      <c r="D240" s="179"/>
      <c r="E240" s="180"/>
      <c r="F240" s="180"/>
      <c r="G240" s="180"/>
      <c r="H240" s="180"/>
      <c r="I240" s="7"/>
      <c r="Q240" s="6"/>
      <c r="R240" s="6"/>
    </row>
    <row r="241" spans="2:18" x14ac:dyDescent="0.25">
      <c r="B241" s="181"/>
      <c r="C241" s="61"/>
      <c r="D241" s="179"/>
      <c r="E241" s="180"/>
      <c r="F241" s="180"/>
      <c r="G241" s="180"/>
      <c r="H241" s="180"/>
      <c r="I241" s="7"/>
      <c r="Q241" s="6"/>
      <c r="R241" s="6"/>
    </row>
    <row r="242" spans="2:18" x14ac:dyDescent="0.25">
      <c r="B242" s="181"/>
      <c r="C242" s="61"/>
      <c r="D242" s="179"/>
      <c r="E242" s="180"/>
      <c r="F242" s="180"/>
      <c r="G242" s="180"/>
      <c r="H242" s="180"/>
      <c r="I242" s="7"/>
      <c r="Q242" s="6"/>
      <c r="R242" s="6"/>
    </row>
    <row r="243" spans="2:18" x14ac:dyDescent="0.25">
      <c r="B243" s="181"/>
      <c r="C243" s="61"/>
      <c r="D243" s="179"/>
      <c r="E243" s="180"/>
      <c r="F243" s="180"/>
      <c r="G243" s="180"/>
      <c r="H243" s="180"/>
      <c r="I243" s="7"/>
      <c r="Q243" s="6"/>
      <c r="R243" s="6"/>
    </row>
    <row r="244" spans="2:18" x14ac:dyDescent="0.25">
      <c r="B244" s="181"/>
      <c r="C244" s="61"/>
      <c r="D244" s="179"/>
      <c r="E244" s="180"/>
      <c r="F244" s="180"/>
      <c r="G244" s="180"/>
      <c r="H244" s="180"/>
      <c r="I244" s="7"/>
      <c r="Q244" s="6"/>
      <c r="R244" s="6"/>
    </row>
    <row r="245" spans="2:18" x14ac:dyDescent="0.25">
      <c r="B245" s="181"/>
      <c r="C245" s="61"/>
      <c r="D245" s="179"/>
      <c r="E245" s="180"/>
      <c r="F245" s="180"/>
      <c r="G245" s="180"/>
      <c r="H245" s="180"/>
      <c r="I245" s="7"/>
      <c r="Q245" s="6"/>
      <c r="R245" s="6"/>
    </row>
    <row r="246" spans="2:18" x14ac:dyDescent="0.25">
      <c r="B246" s="181"/>
      <c r="C246" s="61"/>
      <c r="D246" s="179"/>
      <c r="E246" s="180"/>
      <c r="F246" s="180"/>
      <c r="G246" s="180"/>
      <c r="H246" s="180"/>
      <c r="I246" s="7"/>
      <c r="Q246" s="6"/>
      <c r="R246" s="6"/>
    </row>
    <row r="247" spans="2:18" x14ac:dyDescent="0.25">
      <c r="B247" s="181"/>
      <c r="C247" s="61"/>
      <c r="D247" s="179"/>
      <c r="E247" s="180"/>
      <c r="F247" s="180"/>
      <c r="G247" s="180"/>
      <c r="H247" s="180"/>
      <c r="I247" s="7"/>
      <c r="Q247" s="6"/>
      <c r="R247" s="6"/>
    </row>
    <row r="248" spans="2:18" x14ac:dyDescent="0.25">
      <c r="B248" s="181"/>
      <c r="C248" s="61"/>
      <c r="D248" s="179"/>
      <c r="E248" s="180"/>
      <c r="F248" s="180"/>
      <c r="G248" s="180"/>
      <c r="H248" s="180"/>
      <c r="I248" s="7"/>
      <c r="Q248" s="6"/>
      <c r="R248" s="6"/>
    </row>
    <row r="249" spans="2:18" x14ac:dyDescent="0.25">
      <c r="B249" s="181"/>
      <c r="C249" s="61"/>
      <c r="D249" s="179"/>
      <c r="E249" s="180"/>
      <c r="F249" s="180"/>
      <c r="G249" s="180"/>
      <c r="H249" s="180"/>
      <c r="I249" s="7"/>
      <c r="Q249" s="6"/>
      <c r="R249" s="6"/>
    </row>
    <row r="250" spans="2:18" x14ac:dyDescent="0.25">
      <c r="B250" s="181"/>
      <c r="C250" s="61"/>
      <c r="D250" s="179"/>
      <c r="E250" s="180"/>
      <c r="F250" s="180"/>
      <c r="G250" s="180"/>
      <c r="H250" s="180"/>
      <c r="I250" s="7"/>
      <c r="Q250" s="6"/>
      <c r="R250" s="6"/>
    </row>
    <row r="251" spans="2:18" x14ac:dyDescent="0.25">
      <c r="B251" s="181"/>
      <c r="C251" s="61"/>
      <c r="D251" s="179"/>
      <c r="E251" s="180"/>
      <c r="F251" s="180"/>
      <c r="G251" s="180"/>
      <c r="H251" s="180"/>
      <c r="I251" s="7"/>
      <c r="Q251" s="6"/>
      <c r="R251" s="6"/>
    </row>
    <row r="252" spans="2:18" x14ac:dyDescent="0.25">
      <c r="B252" s="181"/>
      <c r="C252" s="61"/>
      <c r="D252" s="179"/>
      <c r="E252" s="180"/>
      <c r="F252" s="180"/>
      <c r="G252" s="180"/>
      <c r="H252" s="180"/>
      <c r="I252" s="7"/>
      <c r="Q252" s="6"/>
      <c r="R252" s="6"/>
    </row>
    <row r="253" spans="2:18" x14ac:dyDescent="0.25">
      <c r="B253" s="181"/>
      <c r="C253" s="61"/>
      <c r="D253" s="179"/>
      <c r="E253" s="180"/>
      <c r="F253" s="180"/>
      <c r="G253" s="180"/>
      <c r="H253" s="180"/>
      <c r="I253" s="7"/>
      <c r="Q253" s="6"/>
      <c r="R253" s="6"/>
    </row>
    <row r="254" spans="2:18" x14ac:dyDescent="0.25">
      <c r="B254" s="181"/>
      <c r="C254" s="61"/>
      <c r="D254" s="179"/>
      <c r="E254" s="180"/>
      <c r="F254" s="180"/>
      <c r="G254" s="180"/>
      <c r="H254" s="180"/>
      <c r="I254" s="7"/>
      <c r="Q254" s="6"/>
      <c r="R254" s="6"/>
    </row>
    <row r="255" spans="2:18" x14ac:dyDescent="0.25">
      <c r="B255" s="181"/>
      <c r="C255" s="61"/>
      <c r="D255" s="179"/>
      <c r="E255" s="180"/>
      <c r="F255" s="180"/>
      <c r="G255" s="180"/>
      <c r="H255" s="180"/>
      <c r="I255" s="7"/>
      <c r="Q255" s="6"/>
      <c r="R255" s="6"/>
    </row>
    <row r="256" spans="2:18" x14ac:dyDescent="0.25">
      <c r="B256" s="181"/>
      <c r="C256" s="61"/>
      <c r="D256" s="179"/>
      <c r="E256" s="180"/>
      <c r="F256" s="180"/>
      <c r="G256" s="180"/>
      <c r="H256" s="180"/>
      <c r="I256" s="7"/>
      <c r="Q256" s="6"/>
      <c r="R256" s="6"/>
    </row>
    <row r="257" spans="2:18" x14ac:dyDescent="0.25">
      <c r="B257" s="181"/>
      <c r="C257" s="61"/>
      <c r="D257" s="179"/>
      <c r="E257" s="180"/>
      <c r="F257" s="180"/>
      <c r="G257" s="180"/>
      <c r="H257" s="180"/>
      <c r="I257" s="7"/>
      <c r="Q257" s="6"/>
      <c r="R257" s="6"/>
    </row>
    <row r="258" spans="2:18" x14ac:dyDescent="0.25">
      <c r="B258" s="181"/>
      <c r="C258" s="61"/>
      <c r="D258" s="179"/>
      <c r="E258" s="180"/>
      <c r="F258" s="180"/>
      <c r="G258" s="180"/>
      <c r="H258" s="180"/>
      <c r="I258" s="7"/>
      <c r="Q258" s="6"/>
      <c r="R258" s="6"/>
    </row>
    <row r="259" spans="2:18" x14ac:dyDescent="0.25">
      <c r="D259" s="182"/>
      <c r="E259" s="182"/>
      <c r="F259" s="182"/>
      <c r="G259" s="182"/>
      <c r="H259" s="182"/>
      <c r="Q259" s="6"/>
      <c r="R259" s="6"/>
    </row>
    <row r="260" spans="2:18" x14ac:dyDescent="0.25">
      <c r="Q260" s="6"/>
      <c r="R260" s="6"/>
    </row>
    <row r="261" spans="2:18" x14ac:dyDescent="0.25">
      <c r="Q261" s="6"/>
      <c r="R261" s="6"/>
    </row>
    <row r="262" spans="2:18" x14ac:dyDescent="0.25">
      <c r="Q262" s="6"/>
      <c r="R262" s="6"/>
    </row>
    <row r="263" spans="2:18" x14ac:dyDescent="0.25">
      <c r="Q263" s="6"/>
      <c r="R263" s="6"/>
    </row>
    <row r="264" spans="2:18" x14ac:dyDescent="0.25">
      <c r="Q264" s="6"/>
      <c r="R264" s="6"/>
    </row>
    <row r="265" spans="2:18" x14ac:dyDescent="0.25">
      <c r="Q265" s="6"/>
      <c r="R265" s="6"/>
    </row>
    <row r="266" spans="2:18" x14ac:dyDescent="0.25">
      <c r="Q266" s="6"/>
      <c r="R266" s="6"/>
    </row>
    <row r="267" spans="2:18" x14ac:dyDescent="0.25">
      <c r="Q267" s="6"/>
      <c r="R267" s="6"/>
    </row>
    <row r="268" spans="2:18" x14ac:dyDescent="0.25">
      <c r="Q268" s="6"/>
      <c r="R268" s="6"/>
    </row>
    <row r="269" spans="2:18" x14ac:dyDescent="0.25">
      <c r="Q269" s="6"/>
      <c r="R269" s="6"/>
    </row>
    <row r="270" spans="2:18" x14ac:dyDescent="0.25">
      <c r="Q270" s="6"/>
      <c r="R270" s="6"/>
    </row>
    <row r="271" spans="2:18" x14ac:dyDescent="0.25">
      <c r="Q271" s="6"/>
      <c r="R271" s="6"/>
    </row>
    <row r="272" spans="2:18" x14ac:dyDescent="0.25">
      <c r="Q272" s="6"/>
      <c r="R272" s="6"/>
    </row>
    <row r="273" spans="17:18" x14ac:dyDescent="0.25">
      <c r="Q273" s="6"/>
      <c r="R273" s="6"/>
    </row>
    <row r="274" spans="17:18" x14ac:dyDescent="0.25">
      <c r="Q274" s="6"/>
      <c r="R274" s="6"/>
    </row>
    <row r="275" spans="17:18" x14ac:dyDescent="0.25">
      <c r="Q275" s="6"/>
      <c r="R275" s="6"/>
    </row>
    <row r="276" spans="17:18" x14ac:dyDescent="0.25">
      <c r="Q276" s="6"/>
      <c r="R276" s="6"/>
    </row>
    <row r="277" spans="17:18" x14ac:dyDescent="0.25">
      <c r="Q277" s="6"/>
      <c r="R277" s="6"/>
    </row>
    <row r="278" spans="17:18" x14ac:dyDescent="0.25">
      <c r="Q278" s="6"/>
      <c r="R278" s="6"/>
    </row>
    <row r="279" spans="17:18" x14ac:dyDescent="0.25">
      <c r="Q279" s="6"/>
      <c r="R279" s="6"/>
    </row>
    <row r="280" spans="17:18" x14ac:dyDescent="0.25">
      <c r="Q280" s="6"/>
      <c r="R280" s="6"/>
    </row>
    <row r="281" spans="17:18" x14ac:dyDescent="0.25">
      <c r="Q281" s="6"/>
      <c r="R281" s="6"/>
    </row>
    <row r="282" spans="17:18" x14ac:dyDescent="0.25">
      <c r="Q282" s="6"/>
      <c r="R282" s="6"/>
    </row>
    <row r="283" spans="17:18" x14ac:dyDescent="0.25">
      <c r="Q283" s="6"/>
      <c r="R283" s="6"/>
    </row>
    <row r="284" spans="17:18" x14ac:dyDescent="0.25">
      <c r="Q284" s="6"/>
      <c r="R284" s="6"/>
    </row>
    <row r="285" spans="17:18" x14ac:dyDescent="0.25">
      <c r="Q285" s="6"/>
      <c r="R285" s="6"/>
    </row>
    <row r="286" spans="17:18" x14ac:dyDescent="0.25">
      <c r="Q286" s="6"/>
      <c r="R286" s="6"/>
    </row>
    <row r="287" spans="17:18" x14ac:dyDescent="0.25">
      <c r="Q287" s="6"/>
      <c r="R287" s="6"/>
    </row>
    <row r="288" spans="17:18" x14ac:dyDescent="0.25">
      <c r="Q288" s="6"/>
      <c r="R288" s="6"/>
    </row>
    <row r="289" spans="17:18" x14ac:dyDescent="0.25">
      <c r="Q289" s="6"/>
      <c r="R289" s="6"/>
    </row>
    <row r="290" spans="17:18" x14ac:dyDescent="0.25">
      <c r="Q290" s="6"/>
      <c r="R290" s="6"/>
    </row>
    <row r="291" spans="17:18" x14ac:dyDescent="0.25">
      <c r="Q291" s="6"/>
      <c r="R291" s="6"/>
    </row>
    <row r="292" spans="17:18" x14ac:dyDescent="0.25">
      <c r="Q292" s="6"/>
      <c r="R292" s="6"/>
    </row>
    <row r="293" spans="17:18" x14ac:dyDescent="0.25">
      <c r="Q293" s="6"/>
      <c r="R293" s="6"/>
    </row>
    <row r="294" spans="17:18" x14ac:dyDescent="0.25">
      <c r="Q294" s="6"/>
      <c r="R294" s="6"/>
    </row>
    <row r="295" spans="17:18" x14ac:dyDescent="0.25">
      <c r="Q295" s="6"/>
      <c r="R295" s="6"/>
    </row>
    <row r="296" spans="17:18" x14ac:dyDescent="0.25">
      <c r="Q296" s="6"/>
      <c r="R296" s="6"/>
    </row>
    <row r="297" spans="17:18" x14ac:dyDescent="0.25">
      <c r="Q297" s="6"/>
      <c r="R297" s="6"/>
    </row>
    <row r="298" spans="17:18" x14ac:dyDescent="0.25">
      <c r="Q298" s="6"/>
      <c r="R298" s="6"/>
    </row>
    <row r="299" spans="17:18" x14ac:dyDescent="0.25">
      <c r="Q299" s="6"/>
      <c r="R299" s="6"/>
    </row>
    <row r="300" spans="17:18" x14ac:dyDescent="0.25">
      <c r="Q300" s="6"/>
      <c r="R300" s="6"/>
    </row>
    <row r="301" spans="17:18" x14ac:dyDescent="0.25">
      <c r="Q301" s="6"/>
      <c r="R301" s="6"/>
    </row>
    <row r="302" spans="17:18" x14ac:dyDescent="0.25">
      <c r="Q302" s="6"/>
      <c r="R302" s="6"/>
    </row>
    <row r="303" spans="17:18" x14ac:dyDescent="0.25">
      <c r="Q303" s="6"/>
      <c r="R303" s="6"/>
    </row>
    <row r="304" spans="17:18" x14ac:dyDescent="0.25">
      <c r="Q304" s="6"/>
      <c r="R304" s="6"/>
    </row>
    <row r="305" spans="17:18" x14ac:dyDescent="0.25">
      <c r="Q305" s="6"/>
      <c r="R305" s="6"/>
    </row>
    <row r="306" spans="17:18" x14ac:dyDescent="0.25">
      <c r="Q306" s="6"/>
      <c r="R306" s="6"/>
    </row>
    <row r="307" spans="17:18" x14ac:dyDescent="0.25">
      <c r="Q307" s="6"/>
      <c r="R307" s="6"/>
    </row>
    <row r="308" spans="17:18" x14ac:dyDescent="0.25">
      <c r="Q308" s="6"/>
      <c r="R308" s="6"/>
    </row>
    <row r="309" spans="17:18" x14ac:dyDescent="0.25">
      <c r="Q309" s="6"/>
      <c r="R309" s="6"/>
    </row>
    <row r="310" spans="17:18" x14ac:dyDescent="0.25">
      <c r="Q310" s="6"/>
      <c r="R310" s="6"/>
    </row>
    <row r="311" spans="17:18" x14ac:dyDescent="0.25">
      <c r="Q311" s="6"/>
      <c r="R311" s="6"/>
    </row>
    <row r="312" spans="17:18" x14ac:dyDescent="0.25">
      <c r="Q312" s="6"/>
      <c r="R312" s="6"/>
    </row>
    <row r="313" spans="17:18" x14ac:dyDescent="0.25">
      <c r="Q313" s="6"/>
      <c r="R313" s="6"/>
    </row>
    <row r="314" spans="17:18" x14ac:dyDescent="0.25">
      <c r="Q314" s="6"/>
      <c r="R314" s="6"/>
    </row>
    <row r="315" spans="17:18" x14ac:dyDescent="0.25">
      <c r="Q315" s="6"/>
      <c r="R315" s="6"/>
    </row>
    <row r="316" spans="17:18" x14ac:dyDescent="0.25">
      <c r="Q316" s="6"/>
      <c r="R316" s="6"/>
    </row>
    <row r="317" spans="17:18" x14ac:dyDescent="0.25">
      <c r="Q317" s="6"/>
      <c r="R317" s="6"/>
    </row>
    <row r="318" spans="17:18" x14ac:dyDescent="0.25">
      <c r="Q318" s="6"/>
      <c r="R318" s="6"/>
    </row>
    <row r="319" spans="17:18" x14ac:dyDescent="0.25">
      <c r="Q319" s="6"/>
      <c r="R319" s="6"/>
    </row>
    <row r="320" spans="17:18" x14ac:dyDescent="0.25">
      <c r="Q320" s="6"/>
      <c r="R320" s="6"/>
    </row>
    <row r="321" spans="17:18" x14ac:dyDescent="0.25">
      <c r="Q321" s="6"/>
      <c r="R321" s="6"/>
    </row>
    <row r="322" spans="17:18" x14ac:dyDescent="0.25">
      <c r="Q322" s="6"/>
      <c r="R322" s="6"/>
    </row>
    <row r="323" spans="17:18" x14ac:dyDescent="0.25">
      <c r="Q323" s="6"/>
      <c r="R323" s="6"/>
    </row>
    <row r="324" spans="17:18" x14ac:dyDescent="0.25">
      <c r="Q324" s="6"/>
      <c r="R324" s="6"/>
    </row>
    <row r="325" spans="17:18" x14ac:dyDescent="0.25">
      <c r="Q325" s="6"/>
      <c r="R325" s="6"/>
    </row>
    <row r="326" spans="17:18" x14ac:dyDescent="0.25">
      <c r="Q326" s="6"/>
      <c r="R326" s="6"/>
    </row>
    <row r="327" spans="17:18" x14ac:dyDescent="0.25">
      <c r="Q327" s="6"/>
      <c r="R327" s="6"/>
    </row>
    <row r="328" spans="17:18" x14ac:dyDescent="0.25">
      <c r="Q328" s="6"/>
      <c r="R328" s="6"/>
    </row>
    <row r="329" spans="17:18" x14ac:dyDescent="0.25">
      <c r="Q329" s="6"/>
      <c r="R329" s="6"/>
    </row>
    <row r="330" spans="17:18" x14ac:dyDescent="0.25">
      <c r="Q330" s="6"/>
      <c r="R330" s="6"/>
    </row>
    <row r="331" spans="17:18" x14ac:dyDescent="0.25">
      <c r="Q331" s="6"/>
      <c r="R331" s="6"/>
    </row>
    <row r="332" spans="17:18" x14ac:dyDescent="0.25">
      <c r="Q332" s="6"/>
      <c r="R332" s="6"/>
    </row>
    <row r="333" spans="17:18" x14ac:dyDescent="0.25">
      <c r="Q333" s="6"/>
      <c r="R333" s="6"/>
    </row>
    <row r="334" spans="17:18" x14ac:dyDescent="0.25">
      <c r="Q334" s="6"/>
      <c r="R334" s="6"/>
    </row>
    <row r="335" spans="17:18" x14ac:dyDescent="0.25">
      <c r="Q335" s="6"/>
      <c r="R335" s="6"/>
    </row>
    <row r="336" spans="17:18" x14ac:dyDescent="0.25">
      <c r="Q336" s="6"/>
      <c r="R336" s="6"/>
    </row>
    <row r="337" spans="17:18" x14ac:dyDescent="0.25">
      <c r="Q337" s="6"/>
      <c r="R337" s="6"/>
    </row>
    <row r="338" spans="17:18" x14ac:dyDescent="0.25">
      <c r="Q338" s="6"/>
      <c r="R338" s="6"/>
    </row>
    <row r="339" spans="17:18" x14ac:dyDescent="0.25">
      <c r="Q339" s="6"/>
      <c r="R339" s="6"/>
    </row>
    <row r="340" spans="17:18" x14ac:dyDescent="0.25">
      <c r="Q340" s="6"/>
      <c r="R340" s="6"/>
    </row>
    <row r="341" spans="17:18" x14ac:dyDescent="0.25">
      <c r="Q341" s="6"/>
      <c r="R341" s="6"/>
    </row>
    <row r="342" spans="17:18" x14ac:dyDescent="0.25">
      <c r="Q342" s="6"/>
      <c r="R342" s="6"/>
    </row>
    <row r="343" spans="17:18" x14ac:dyDescent="0.25">
      <c r="Q343" s="6"/>
      <c r="R343" s="6"/>
    </row>
    <row r="344" spans="17:18" x14ac:dyDescent="0.25">
      <c r="Q344" s="6"/>
      <c r="R344" s="6"/>
    </row>
    <row r="345" spans="17:18" x14ac:dyDescent="0.25">
      <c r="Q345" s="6"/>
      <c r="R345" s="6"/>
    </row>
    <row r="346" spans="17:18" x14ac:dyDescent="0.25">
      <c r="Q346" s="6"/>
      <c r="R346" s="6"/>
    </row>
    <row r="347" spans="17:18" x14ac:dyDescent="0.25">
      <c r="Q347" s="6"/>
      <c r="R347" s="6"/>
    </row>
    <row r="348" spans="17:18" x14ac:dyDescent="0.25">
      <c r="Q348" s="6"/>
      <c r="R348" s="6"/>
    </row>
    <row r="349" spans="17:18" x14ac:dyDescent="0.25">
      <c r="Q349" s="6"/>
      <c r="R349" s="6"/>
    </row>
    <row r="350" spans="17:18" x14ac:dyDescent="0.25">
      <c r="Q350" s="6"/>
      <c r="R350" s="6"/>
    </row>
    <row r="351" spans="17:18" x14ac:dyDescent="0.25">
      <c r="Q351" s="6"/>
      <c r="R351" s="6"/>
    </row>
    <row r="352" spans="17:18" x14ac:dyDescent="0.25">
      <c r="Q352" s="6"/>
      <c r="R352" s="6"/>
    </row>
    <row r="353" spans="17:18" x14ac:dyDescent="0.25">
      <c r="Q353" s="6"/>
      <c r="R353" s="6"/>
    </row>
    <row r="354" spans="17:18" x14ac:dyDescent="0.25">
      <c r="Q354" s="6"/>
      <c r="R354" s="6"/>
    </row>
    <row r="355" spans="17:18" x14ac:dyDescent="0.25">
      <c r="Q355" s="6"/>
      <c r="R355" s="6"/>
    </row>
    <row r="356" spans="17:18" x14ac:dyDescent="0.25">
      <c r="Q356" s="6"/>
      <c r="R356" s="6"/>
    </row>
    <row r="357" spans="17:18" x14ac:dyDescent="0.25">
      <c r="Q357" s="6"/>
      <c r="R357" s="6"/>
    </row>
    <row r="358" spans="17:18" x14ac:dyDescent="0.25">
      <c r="Q358" s="6"/>
      <c r="R358" s="6"/>
    </row>
    <row r="359" spans="17:18" x14ac:dyDescent="0.25">
      <c r="Q359" s="6"/>
      <c r="R359" s="6"/>
    </row>
    <row r="360" spans="17:18" x14ac:dyDescent="0.25">
      <c r="Q360" s="6"/>
      <c r="R360" s="6"/>
    </row>
    <row r="361" spans="17:18" x14ac:dyDescent="0.25">
      <c r="Q361" s="6"/>
      <c r="R361" s="6"/>
    </row>
    <row r="362" spans="17:18" x14ac:dyDescent="0.25">
      <c r="Q362" s="6"/>
      <c r="R362" s="6"/>
    </row>
    <row r="363" spans="17:18" x14ac:dyDescent="0.25">
      <c r="Q363" s="6"/>
      <c r="R363" s="6"/>
    </row>
    <row r="364" spans="17:18" x14ac:dyDescent="0.25">
      <c r="Q364" s="6"/>
      <c r="R364" s="6"/>
    </row>
    <row r="365" spans="17:18" x14ac:dyDescent="0.25">
      <c r="Q365" s="6"/>
      <c r="R365" s="6"/>
    </row>
    <row r="366" spans="17:18" x14ac:dyDescent="0.25">
      <c r="Q366" s="6"/>
      <c r="R366" s="6"/>
    </row>
    <row r="367" spans="17:18" x14ac:dyDescent="0.25">
      <c r="Q367" s="6"/>
      <c r="R367" s="6"/>
    </row>
    <row r="368" spans="17:18" x14ac:dyDescent="0.25">
      <c r="Q368" s="6"/>
      <c r="R368" s="6"/>
    </row>
    <row r="369" spans="17:18" x14ac:dyDescent="0.25">
      <c r="Q369" s="6"/>
      <c r="R369" s="6"/>
    </row>
    <row r="370" spans="17:18" x14ac:dyDescent="0.25">
      <c r="Q370" s="6"/>
      <c r="R370" s="6"/>
    </row>
    <row r="371" spans="17:18" x14ac:dyDescent="0.25">
      <c r="Q371" s="6"/>
      <c r="R371" s="6"/>
    </row>
    <row r="372" spans="17:18" x14ac:dyDescent="0.25">
      <c r="Q372" s="6"/>
      <c r="R372" s="6"/>
    </row>
    <row r="373" spans="17:18" x14ac:dyDescent="0.25">
      <c r="Q373" s="6"/>
      <c r="R373" s="6"/>
    </row>
    <row r="374" spans="17:18" x14ac:dyDescent="0.25">
      <c r="Q374" s="6"/>
      <c r="R374" s="6"/>
    </row>
    <row r="375" spans="17:18" x14ac:dyDescent="0.25">
      <c r="Q375" s="6"/>
      <c r="R375" s="6"/>
    </row>
    <row r="376" spans="17:18" x14ac:dyDescent="0.25">
      <c r="Q376" s="6"/>
      <c r="R376" s="6"/>
    </row>
    <row r="377" spans="17:18" x14ac:dyDescent="0.25">
      <c r="Q377" s="6"/>
      <c r="R377" s="6"/>
    </row>
    <row r="378" spans="17:18" x14ac:dyDescent="0.25">
      <c r="Q378" s="6"/>
      <c r="R378" s="6"/>
    </row>
    <row r="379" spans="17:18" x14ac:dyDescent="0.25">
      <c r="Q379" s="6"/>
      <c r="R379" s="6"/>
    </row>
    <row r="380" spans="17:18" x14ac:dyDescent="0.25">
      <c r="Q380" s="6"/>
      <c r="R380" s="6"/>
    </row>
    <row r="381" spans="17:18" x14ac:dyDescent="0.25">
      <c r="Q381" s="6"/>
      <c r="R381" s="6"/>
    </row>
    <row r="382" spans="17:18" x14ac:dyDescent="0.25">
      <c r="Q382" s="6"/>
      <c r="R382" s="6"/>
    </row>
    <row r="383" spans="17:18" x14ac:dyDescent="0.25">
      <c r="Q383" s="6"/>
      <c r="R383" s="6"/>
    </row>
    <row r="384" spans="17:18" x14ac:dyDescent="0.25">
      <c r="Q384" s="6"/>
      <c r="R384" s="6"/>
    </row>
    <row r="385" spans="17:18" x14ac:dyDescent="0.25">
      <c r="Q385" s="6"/>
      <c r="R385" s="6"/>
    </row>
    <row r="386" spans="17:18" x14ac:dyDescent="0.25">
      <c r="Q386" s="6"/>
      <c r="R386" s="6"/>
    </row>
    <row r="387" spans="17:18" x14ac:dyDescent="0.25">
      <c r="Q387" s="6"/>
      <c r="R387" s="6"/>
    </row>
    <row r="388" spans="17:18" x14ac:dyDescent="0.25">
      <c r="Q388" s="6"/>
      <c r="R388" s="6"/>
    </row>
    <row r="389" spans="17:18" x14ac:dyDescent="0.25">
      <c r="Q389" s="6"/>
      <c r="R389" s="6"/>
    </row>
    <row r="390" spans="17:18" x14ac:dyDescent="0.25">
      <c r="Q390" s="6"/>
      <c r="R390" s="6"/>
    </row>
    <row r="391" spans="17:18" x14ac:dyDescent="0.25">
      <c r="Q391" s="6"/>
      <c r="R391" s="6"/>
    </row>
    <row r="392" spans="17:18" x14ac:dyDescent="0.25">
      <c r="Q392" s="6"/>
      <c r="R392" s="6"/>
    </row>
    <row r="393" spans="17:18" x14ac:dyDescent="0.25">
      <c r="Q393" s="6"/>
      <c r="R393" s="6"/>
    </row>
    <row r="394" spans="17:18" x14ac:dyDescent="0.25">
      <c r="Q394" s="6"/>
      <c r="R394" s="6"/>
    </row>
    <row r="395" spans="17:18" x14ac:dyDescent="0.25">
      <c r="Q395" s="6"/>
      <c r="R395" s="6"/>
    </row>
    <row r="396" spans="17:18" x14ac:dyDescent="0.25">
      <c r="Q396" s="6"/>
      <c r="R396" s="6"/>
    </row>
    <row r="397" spans="17:18" x14ac:dyDescent="0.25">
      <c r="Q397" s="6"/>
      <c r="R397" s="6"/>
    </row>
    <row r="398" spans="17:18" x14ac:dyDescent="0.25">
      <c r="Q398" s="6"/>
      <c r="R398" s="6"/>
    </row>
    <row r="399" spans="17:18" x14ac:dyDescent="0.25">
      <c r="Q399" s="6"/>
      <c r="R399" s="6"/>
    </row>
    <row r="400" spans="17:18" x14ac:dyDescent="0.25">
      <c r="Q400" s="6"/>
      <c r="R400" s="6"/>
    </row>
    <row r="401" spans="17:18" x14ac:dyDescent="0.25">
      <c r="Q401" s="6"/>
      <c r="R401" s="6"/>
    </row>
    <row r="402" spans="17:18" x14ac:dyDescent="0.25">
      <c r="Q402" s="6"/>
      <c r="R402" s="6"/>
    </row>
    <row r="403" spans="17:18" x14ac:dyDescent="0.25">
      <c r="Q403" s="6"/>
      <c r="R403" s="6"/>
    </row>
    <row r="404" spans="17:18" x14ac:dyDescent="0.25">
      <c r="Q404" s="6"/>
      <c r="R404" s="6"/>
    </row>
    <row r="405" spans="17:18" x14ac:dyDescent="0.25">
      <c r="Q405" s="6"/>
      <c r="R405" s="6"/>
    </row>
    <row r="406" spans="17:18" x14ac:dyDescent="0.25">
      <c r="Q406" s="6"/>
      <c r="R406" s="6"/>
    </row>
    <row r="407" spans="17:18" x14ac:dyDescent="0.25">
      <c r="Q407" s="6"/>
      <c r="R407" s="6"/>
    </row>
    <row r="408" spans="17:18" x14ac:dyDescent="0.25">
      <c r="Q408" s="6"/>
      <c r="R408" s="6"/>
    </row>
    <row r="409" spans="17:18" x14ac:dyDescent="0.25">
      <c r="Q409" s="6"/>
      <c r="R409" s="6"/>
    </row>
    <row r="410" spans="17:18" x14ac:dyDescent="0.25">
      <c r="Q410" s="6"/>
      <c r="R410" s="6"/>
    </row>
    <row r="411" spans="17:18" x14ac:dyDescent="0.25">
      <c r="Q411" s="6"/>
      <c r="R411" s="6"/>
    </row>
    <row r="412" spans="17:18" x14ac:dyDescent="0.25">
      <c r="Q412" s="6"/>
      <c r="R412" s="6"/>
    </row>
    <row r="413" spans="17:18" x14ac:dyDescent="0.25">
      <c r="Q413" s="6"/>
      <c r="R413" s="6"/>
    </row>
    <row r="414" spans="17:18" x14ac:dyDescent="0.25">
      <c r="Q414" s="6"/>
      <c r="R414" s="6"/>
    </row>
    <row r="415" spans="17:18" x14ac:dyDescent="0.25">
      <c r="Q415" s="6"/>
      <c r="R415" s="6"/>
    </row>
    <row r="416" spans="17:18" x14ac:dyDescent="0.25">
      <c r="Q416" s="6"/>
      <c r="R416" s="6"/>
    </row>
    <row r="417" spans="17:18" x14ac:dyDescent="0.25">
      <c r="Q417" s="6"/>
      <c r="R417" s="6"/>
    </row>
    <row r="418" spans="17:18" x14ac:dyDescent="0.25">
      <c r="Q418" s="6"/>
      <c r="R418" s="6"/>
    </row>
    <row r="419" spans="17:18" x14ac:dyDescent="0.25">
      <c r="Q419" s="6"/>
      <c r="R419" s="6"/>
    </row>
    <row r="420" spans="17:18" x14ac:dyDescent="0.25">
      <c r="Q420" s="6"/>
      <c r="R420" s="6"/>
    </row>
    <row r="421" spans="17:18" x14ac:dyDescent="0.25">
      <c r="Q421" s="6"/>
      <c r="R421" s="6"/>
    </row>
    <row r="422" spans="17:18" x14ac:dyDescent="0.25">
      <c r="Q422" s="6"/>
      <c r="R422" s="6"/>
    </row>
    <row r="423" spans="17:18" x14ac:dyDescent="0.25">
      <c r="Q423" s="6"/>
      <c r="R423" s="6"/>
    </row>
    <row r="424" spans="17:18" x14ac:dyDescent="0.25">
      <c r="Q424" s="6"/>
      <c r="R424" s="6"/>
    </row>
    <row r="425" spans="17:18" x14ac:dyDescent="0.25">
      <c r="Q425" s="6"/>
      <c r="R425" s="6"/>
    </row>
    <row r="426" spans="17:18" x14ac:dyDescent="0.25">
      <c r="Q426" s="6"/>
      <c r="R426" s="6"/>
    </row>
    <row r="427" spans="17:18" x14ac:dyDescent="0.25">
      <c r="Q427" s="6"/>
      <c r="R427" s="6"/>
    </row>
    <row r="428" spans="17:18" x14ac:dyDescent="0.25">
      <c r="Q428" s="6"/>
      <c r="R428" s="6"/>
    </row>
    <row r="429" spans="17:18" x14ac:dyDescent="0.25">
      <c r="Q429" s="6"/>
      <c r="R429" s="6"/>
    </row>
    <row r="430" spans="17:18" x14ac:dyDescent="0.25">
      <c r="Q430" s="6"/>
      <c r="R430" s="6"/>
    </row>
    <row r="431" spans="17:18" x14ac:dyDescent="0.25">
      <c r="Q431" s="6"/>
      <c r="R431" s="6"/>
    </row>
    <row r="432" spans="17:18" x14ac:dyDescent="0.25">
      <c r="Q432" s="6"/>
      <c r="R432" s="6"/>
    </row>
    <row r="433" spans="17:18" x14ac:dyDescent="0.25">
      <c r="Q433" s="6"/>
      <c r="R433" s="6"/>
    </row>
    <row r="434" spans="17:18" x14ac:dyDescent="0.25">
      <c r="Q434" s="6"/>
      <c r="R434" s="6"/>
    </row>
    <row r="435" spans="17:18" x14ac:dyDescent="0.25">
      <c r="Q435" s="6"/>
      <c r="R435" s="6"/>
    </row>
    <row r="436" spans="17:18" x14ac:dyDescent="0.25">
      <c r="Q436" s="6"/>
      <c r="R436" s="6"/>
    </row>
    <row r="437" spans="17:18" x14ac:dyDescent="0.25">
      <c r="Q437" s="6"/>
      <c r="R437" s="6"/>
    </row>
    <row r="438" spans="17:18" x14ac:dyDescent="0.25">
      <c r="Q438" s="6"/>
      <c r="R438" s="6"/>
    </row>
    <row r="439" spans="17:18" x14ac:dyDescent="0.25">
      <c r="Q439" s="6"/>
      <c r="R439" s="6"/>
    </row>
    <row r="440" spans="17:18" x14ac:dyDescent="0.25">
      <c r="Q440" s="6"/>
      <c r="R440" s="6"/>
    </row>
    <row r="441" spans="17:18" x14ac:dyDescent="0.25">
      <c r="Q441" s="6"/>
      <c r="R441" s="6"/>
    </row>
    <row r="442" spans="17:18" x14ac:dyDescent="0.25">
      <c r="Q442" s="6"/>
      <c r="R442" s="6"/>
    </row>
    <row r="443" spans="17:18" x14ac:dyDescent="0.25">
      <c r="Q443" s="6"/>
      <c r="R443" s="6"/>
    </row>
    <row r="444" spans="17:18" x14ac:dyDescent="0.25">
      <c r="Q444" s="6"/>
      <c r="R444" s="6"/>
    </row>
    <row r="445" spans="17:18" x14ac:dyDescent="0.25">
      <c r="Q445" s="6"/>
      <c r="R445" s="6"/>
    </row>
    <row r="446" spans="17:18" x14ac:dyDescent="0.25">
      <c r="Q446" s="6"/>
      <c r="R446" s="6"/>
    </row>
    <row r="447" spans="17:18" x14ac:dyDescent="0.25">
      <c r="Q447" s="6"/>
      <c r="R447" s="6"/>
    </row>
    <row r="448" spans="17:18" x14ac:dyDescent="0.25">
      <c r="Q448" s="6"/>
      <c r="R448" s="6"/>
    </row>
    <row r="449" spans="17:18" x14ac:dyDescent="0.25">
      <c r="Q449" s="6"/>
      <c r="R449" s="6"/>
    </row>
    <row r="450" spans="17:18" x14ac:dyDescent="0.25">
      <c r="Q450" s="6"/>
      <c r="R450" s="6"/>
    </row>
    <row r="451" spans="17:18" x14ac:dyDescent="0.25">
      <c r="Q451" s="6"/>
      <c r="R451" s="6"/>
    </row>
    <row r="452" spans="17:18" x14ac:dyDescent="0.25">
      <c r="Q452" s="6"/>
      <c r="R452" s="6"/>
    </row>
    <row r="453" spans="17:18" x14ac:dyDescent="0.25">
      <c r="Q453" s="6"/>
      <c r="R453" s="6"/>
    </row>
    <row r="454" spans="17:18" x14ac:dyDescent="0.25">
      <c r="Q454" s="6"/>
      <c r="R454" s="6"/>
    </row>
    <row r="455" spans="17:18" x14ac:dyDescent="0.25">
      <c r="Q455" s="6"/>
      <c r="R455" s="6"/>
    </row>
    <row r="456" spans="17:18" x14ac:dyDescent="0.25">
      <c r="Q456" s="6"/>
      <c r="R456" s="6"/>
    </row>
    <row r="457" spans="17:18" x14ac:dyDescent="0.25">
      <c r="Q457" s="6"/>
      <c r="R457" s="6"/>
    </row>
    <row r="458" spans="17:18" x14ac:dyDescent="0.25">
      <c r="Q458" s="6"/>
      <c r="R458" s="6"/>
    </row>
    <row r="459" spans="17:18" x14ac:dyDescent="0.25">
      <c r="Q459" s="6"/>
      <c r="R459" s="6"/>
    </row>
    <row r="460" spans="17:18" x14ac:dyDescent="0.25">
      <c r="Q460" s="6"/>
      <c r="R460" s="6"/>
    </row>
    <row r="461" spans="17:18" x14ac:dyDescent="0.25">
      <c r="Q461" s="6"/>
      <c r="R461" s="6"/>
    </row>
    <row r="462" spans="17:18" x14ac:dyDescent="0.25">
      <c r="Q462" s="6"/>
      <c r="R462" s="6"/>
    </row>
    <row r="463" spans="17:18" x14ac:dyDescent="0.25">
      <c r="Q463" s="6"/>
      <c r="R463" s="6"/>
    </row>
    <row r="464" spans="17:18" x14ac:dyDescent="0.25">
      <c r="Q464" s="6"/>
      <c r="R464" s="6"/>
    </row>
    <row r="465" spans="17:18" x14ac:dyDescent="0.25">
      <c r="Q465" s="6"/>
      <c r="R465" s="6"/>
    </row>
    <row r="466" spans="17:18" x14ac:dyDescent="0.25">
      <c r="Q466" s="6"/>
      <c r="R466" s="6"/>
    </row>
    <row r="467" spans="17:18" x14ac:dyDescent="0.25">
      <c r="Q467" s="6"/>
      <c r="R467" s="6"/>
    </row>
    <row r="468" spans="17:18" x14ac:dyDescent="0.25">
      <c r="Q468" s="6"/>
      <c r="R468" s="6"/>
    </row>
    <row r="469" spans="17:18" x14ac:dyDescent="0.25">
      <c r="Q469" s="6"/>
      <c r="R469" s="6"/>
    </row>
    <row r="470" spans="17:18" x14ac:dyDescent="0.25">
      <c r="Q470" s="6"/>
      <c r="R470" s="6"/>
    </row>
    <row r="471" spans="17:18" x14ac:dyDescent="0.25">
      <c r="Q471" s="6"/>
      <c r="R471" s="6"/>
    </row>
    <row r="472" spans="17:18" x14ac:dyDescent="0.25">
      <c r="Q472" s="6"/>
      <c r="R472" s="6"/>
    </row>
    <row r="473" spans="17:18" x14ac:dyDescent="0.25">
      <c r="Q473" s="6"/>
      <c r="R473" s="6"/>
    </row>
    <row r="474" spans="17:18" x14ac:dyDescent="0.25">
      <c r="Q474" s="6"/>
      <c r="R474" s="6"/>
    </row>
    <row r="475" spans="17:18" x14ac:dyDescent="0.25">
      <c r="Q475" s="6"/>
      <c r="R475" s="6"/>
    </row>
    <row r="476" spans="17:18" x14ac:dyDescent="0.25">
      <c r="Q476" s="6"/>
      <c r="R476" s="6"/>
    </row>
    <row r="477" spans="17:18" x14ac:dyDescent="0.25">
      <c r="Q477" s="6"/>
      <c r="R477" s="6"/>
    </row>
    <row r="478" spans="17:18" x14ac:dyDescent="0.25">
      <c r="Q478" s="6"/>
      <c r="R478" s="6"/>
    </row>
    <row r="479" spans="17:18" x14ac:dyDescent="0.25">
      <c r="Q479" s="6"/>
      <c r="R479" s="6"/>
    </row>
    <row r="480" spans="17:18" x14ac:dyDescent="0.25">
      <c r="Q480" s="6"/>
      <c r="R480" s="6"/>
    </row>
    <row r="481" spans="17:18" x14ac:dyDescent="0.25">
      <c r="Q481" s="6"/>
      <c r="R481" s="6"/>
    </row>
    <row r="482" spans="17:18" x14ac:dyDescent="0.25">
      <c r="Q482" s="6"/>
      <c r="R482" s="6"/>
    </row>
    <row r="483" spans="17:18" x14ac:dyDescent="0.25">
      <c r="Q483" s="6"/>
      <c r="R483" s="6"/>
    </row>
    <row r="484" spans="17:18" x14ac:dyDescent="0.25">
      <c r="Q484" s="6"/>
      <c r="R484" s="6"/>
    </row>
    <row r="485" spans="17:18" x14ac:dyDescent="0.25">
      <c r="Q485" s="6"/>
      <c r="R485" s="6"/>
    </row>
    <row r="486" spans="17:18" x14ac:dyDescent="0.25">
      <c r="Q486" s="6"/>
      <c r="R486" s="6"/>
    </row>
    <row r="487" spans="17:18" x14ac:dyDescent="0.25">
      <c r="Q487" s="6"/>
      <c r="R487" s="6"/>
    </row>
    <row r="488" spans="17:18" x14ac:dyDescent="0.25">
      <c r="Q488" s="6"/>
      <c r="R488" s="6"/>
    </row>
    <row r="489" spans="17:18" x14ac:dyDescent="0.25">
      <c r="Q489" s="6"/>
      <c r="R489" s="6"/>
    </row>
    <row r="490" spans="17:18" x14ac:dyDescent="0.25">
      <c r="Q490" s="6"/>
      <c r="R490" s="6"/>
    </row>
    <row r="491" spans="17:18" x14ac:dyDescent="0.25">
      <c r="Q491" s="6"/>
      <c r="R491" s="6"/>
    </row>
    <row r="492" spans="17:18" x14ac:dyDescent="0.25">
      <c r="Q492" s="6"/>
      <c r="R492" s="6"/>
    </row>
    <row r="493" spans="17:18" x14ac:dyDescent="0.25">
      <c r="Q493" s="6"/>
      <c r="R493" s="6"/>
    </row>
    <row r="494" spans="17:18" x14ac:dyDescent="0.25">
      <c r="Q494" s="6"/>
      <c r="R494" s="6"/>
    </row>
    <row r="495" spans="17:18" x14ac:dyDescent="0.25">
      <c r="Q495" s="6"/>
      <c r="R495" s="6"/>
    </row>
    <row r="496" spans="17:18" x14ac:dyDescent="0.25">
      <c r="Q496" s="6"/>
      <c r="R496" s="6"/>
    </row>
    <row r="497" spans="17:18" x14ac:dyDescent="0.25">
      <c r="Q497" s="6"/>
      <c r="R497" s="6"/>
    </row>
    <row r="498" spans="17:18" x14ac:dyDescent="0.25">
      <c r="Q498" s="6"/>
      <c r="R498" s="6"/>
    </row>
    <row r="499" spans="17:18" x14ac:dyDescent="0.25">
      <c r="Q499" s="6"/>
      <c r="R499" s="6"/>
    </row>
    <row r="500" spans="17:18" x14ac:dyDescent="0.25">
      <c r="Q500" s="6"/>
      <c r="R500" s="6"/>
    </row>
    <row r="501" spans="17:18" x14ac:dyDescent="0.25">
      <c r="Q501" s="6"/>
      <c r="R501" s="6"/>
    </row>
    <row r="502" spans="17:18" x14ac:dyDescent="0.25">
      <c r="Q502" s="6"/>
      <c r="R502" s="6"/>
    </row>
    <row r="503" spans="17:18" x14ac:dyDescent="0.25">
      <c r="Q503" s="6"/>
      <c r="R503" s="6"/>
    </row>
    <row r="504" spans="17:18" x14ac:dyDescent="0.25">
      <c r="Q504" s="6"/>
      <c r="R504" s="6"/>
    </row>
    <row r="505" spans="17:18" x14ac:dyDescent="0.25">
      <c r="Q505" s="6"/>
      <c r="R505" s="6"/>
    </row>
    <row r="506" spans="17:18" x14ac:dyDescent="0.25">
      <c r="Q506" s="6"/>
      <c r="R506" s="6"/>
    </row>
    <row r="507" spans="17:18" x14ac:dyDescent="0.25">
      <c r="Q507" s="6"/>
      <c r="R507" s="6"/>
    </row>
    <row r="508" spans="17:18" x14ac:dyDescent="0.25">
      <c r="Q508" s="6"/>
      <c r="R508" s="6"/>
    </row>
    <row r="509" spans="17:18" x14ac:dyDescent="0.25">
      <c r="Q509" s="6"/>
      <c r="R509" s="6"/>
    </row>
    <row r="510" spans="17:18" x14ac:dyDescent="0.25">
      <c r="Q510" s="6"/>
      <c r="R510" s="6"/>
    </row>
    <row r="511" spans="17:18" x14ac:dyDescent="0.25">
      <c r="Q511" s="6"/>
      <c r="R511" s="6"/>
    </row>
    <row r="512" spans="17:18" x14ac:dyDescent="0.25">
      <c r="Q512" s="6"/>
      <c r="R512" s="6"/>
    </row>
    <row r="513" spans="17:18" x14ac:dyDescent="0.25">
      <c r="Q513" s="6"/>
      <c r="R513" s="6"/>
    </row>
    <row r="514" spans="17:18" x14ac:dyDescent="0.25">
      <c r="Q514" s="6"/>
      <c r="R514" s="6"/>
    </row>
    <row r="515" spans="17:18" x14ac:dyDescent="0.25">
      <c r="Q515" s="6"/>
      <c r="R515" s="6"/>
    </row>
    <row r="516" spans="17:18" x14ac:dyDescent="0.25">
      <c r="Q516" s="6"/>
      <c r="R516" s="6"/>
    </row>
    <row r="517" spans="17:18" x14ac:dyDescent="0.25">
      <c r="Q517" s="6"/>
      <c r="R517" s="6"/>
    </row>
    <row r="518" spans="17:18" x14ac:dyDescent="0.25">
      <c r="Q518" s="6"/>
      <c r="R518" s="6"/>
    </row>
    <row r="519" spans="17:18" x14ac:dyDescent="0.25">
      <c r="Q519" s="6"/>
      <c r="R519" s="6"/>
    </row>
    <row r="520" spans="17:18" x14ac:dyDescent="0.25">
      <c r="Q520" s="6"/>
      <c r="R520" s="6"/>
    </row>
    <row r="521" spans="17:18" x14ac:dyDescent="0.25">
      <c r="Q521" s="6"/>
      <c r="R521" s="6"/>
    </row>
    <row r="522" spans="17:18" x14ac:dyDescent="0.25">
      <c r="Q522" s="6"/>
      <c r="R522" s="6"/>
    </row>
    <row r="523" spans="17:18" x14ac:dyDescent="0.25">
      <c r="Q523" s="6"/>
      <c r="R523" s="6"/>
    </row>
    <row r="524" spans="17:18" x14ac:dyDescent="0.25">
      <c r="Q524" s="6"/>
      <c r="R524" s="6"/>
    </row>
    <row r="525" spans="17:18" x14ac:dyDescent="0.25">
      <c r="Q525" s="6"/>
      <c r="R525" s="6"/>
    </row>
    <row r="526" spans="17:18" x14ac:dyDescent="0.25">
      <c r="Q526" s="6"/>
      <c r="R526" s="6"/>
    </row>
    <row r="527" spans="17:18" x14ac:dyDescent="0.25">
      <c r="Q527" s="6"/>
      <c r="R527" s="6"/>
    </row>
    <row r="528" spans="17:18" x14ac:dyDescent="0.25">
      <c r="Q528" s="6"/>
      <c r="R528" s="6"/>
    </row>
    <row r="529" spans="17:18" x14ac:dyDescent="0.25">
      <c r="Q529" s="6"/>
      <c r="R529" s="6"/>
    </row>
    <row r="530" spans="17:18" x14ac:dyDescent="0.25">
      <c r="Q530" s="6"/>
      <c r="R530" s="6"/>
    </row>
    <row r="531" spans="17:18" x14ac:dyDescent="0.25">
      <c r="Q531" s="6"/>
      <c r="R531" s="6"/>
    </row>
    <row r="532" spans="17:18" x14ac:dyDescent="0.25">
      <c r="Q532" s="6"/>
      <c r="R532" s="6"/>
    </row>
    <row r="533" spans="17:18" x14ac:dyDescent="0.25">
      <c r="Q533" s="6"/>
      <c r="R533" s="6"/>
    </row>
    <row r="534" spans="17:18" x14ac:dyDescent="0.25">
      <c r="Q534" s="6"/>
      <c r="R534" s="6"/>
    </row>
    <row r="535" spans="17:18" x14ac:dyDescent="0.25">
      <c r="Q535" s="6"/>
      <c r="R535" s="6"/>
    </row>
    <row r="536" spans="17:18" x14ac:dyDescent="0.25">
      <c r="Q536" s="6"/>
      <c r="R536" s="6"/>
    </row>
    <row r="537" spans="17:18" x14ac:dyDescent="0.25">
      <c r="Q537" s="6"/>
      <c r="R537" s="6"/>
    </row>
    <row r="538" spans="17:18" x14ac:dyDescent="0.25">
      <c r="Q538" s="6"/>
      <c r="R538" s="6"/>
    </row>
    <row r="539" spans="17:18" x14ac:dyDescent="0.25">
      <c r="Q539" s="6"/>
      <c r="R539" s="6"/>
    </row>
    <row r="540" spans="17:18" x14ac:dyDescent="0.25">
      <c r="Q540" s="6"/>
      <c r="R540" s="6"/>
    </row>
    <row r="541" spans="17:18" x14ac:dyDescent="0.25">
      <c r="Q541" s="6"/>
      <c r="R541" s="6"/>
    </row>
    <row r="542" spans="17:18" x14ac:dyDescent="0.25">
      <c r="Q542" s="6"/>
      <c r="R542" s="6"/>
    </row>
    <row r="543" spans="17:18" x14ac:dyDescent="0.25">
      <c r="Q543" s="6"/>
      <c r="R543" s="6"/>
    </row>
    <row r="544" spans="17:18" x14ac:dyDescent="0.25">
      <c r="Q544" s="6"/>
      <c r="R544" s="6"/>
    </row>
    <row r="545" spans="17:18" x14ac:dyDescent="0.25">
      <c r="Q545" s="6"/>
      <c r="R545" s="6"/>
    </row>
    <row r="546" spans="17:18" x14ac:dyDescent="0.25">
      <c r="Q546" s="6"/>
      <c r="R546" s="6"/>
    </row>
    <row r="547" spans="17:18" x14ac:dyDescent="0.25">
      <c r="Q547" s="6"/>
      <c r="R547" s="6"/>
    </row>
    <row r="548" spans="17:18" x14ac:dyDescent="0.25">
      <c r="Q548" s="6"/>
      <c r="R548" s="6"/>
    </row>
    <row r="549" spans="17:18" x14ac:dyDescent="0.25">
      <c r="Q549" s="6"/>
      <c r="R549" s="6"/>
    </row>
    <row r="550" spans="17:18" x14ac:dyDescent="0.25">
      <c r="Q550" s="6"/>
      <c r="R550" s="6"/>
    </row>
    <row r="551" spans="17:18" x14ac:dyDescent="0.25">
      <c r="Q551" s="6"/>
      <c r="R551" s="6"/>
    </row>
    <row r="552" spans="17:18" x14ac:dyDescent="0.25">
      <c r="Q552" s="6"/>
      <c r="R552" s="6"/>
    </row>
    <row r="553" spans="17:18" x14ac:dyDescent="0.25">
      <c r="Q553" s="6"/>
      <c r="R553" s="6"/>
    </row>
    <row r="554" spans="17:18" x14ac:dyDescent="0.25">
      <c r="Q554" s="6"/>
      <c r="R554" s="6"/>
    </row>
    <row r="555" spans="17:18" x14ac:dyDescent="0.25">
      <c r="Q555" s="6"/>
      <c r="R555" s="6"/>
    </row>
    <row r="556" spans="17:18" x14ac:dyDescent="0.25">
      <c r="Q556" s="6"/>
      <c r="R556" s="6"/>
    </row>
    <row r="557" spans="17:18" x14ac:dyDescent="0.25">
      <c r="Q557" s="6"/>
      <c r="R557" s="6"/>
    </row>
    <row r="558" spans="17:18" x14ac:dyDescent="0.25">
      <c r="Q558" s="6"/>
      <c r="R558" s="6"/>
    </row>
    <row r="559" spans="17:18" x14ac:dyDescent="0.25">
      <c r="Q559" s="6"/>
      <c r="R559" s="6"/>
    </row>
    <row r="560" spans="17:18" x14ac:dyDescent="0.25">
      <c r="Q560" s="6"/>
      <c r="R560" s="6"/>
    </row>
    <row r="561" spans="17:18" x14ac:dyDescent="0.25">
      <c r="Q561" s="6"/>
      <c r="R561" s="6"/>
    </row>
    <row r="562" spans="17:18" x14ac:dyDescent="0.25">
      <c r="Q562" s="6"/>
      <c r="R562" s="6"/>
    </row>
    <row r="563" spans="17:18" x14ac:dyDescent="0.25">
      <c r="Q563" s="6"/>
      <c r="R563" s="6"/>
    </row>
    <row r="564" spans="17:18" x14ac:dyDescent="0.25">
      <c r="Q564" s="6"/>
      <c r="R564" s="6"/>
    </row>
    <row r="565" spans="17:18" x14ac:dyDescent="0.25">
      <c r="Q565" s="6"/>
      <c r="R565" s="6"/>
    </row>
    <row r="566" spans="17:18" x14ac:dyDescent="0.25">
      <c r="Q566" s="6"/>
      <c r="R566" s="6"/>
    </row>
    <row r="567" spans="17:18" x14ac:dyDescent="0.25">
      <c r="Q567" s="6"/>
      <c r="R567" s="6"/>
    </row>
    <row r="568" spans="17:18" x14ac:dyDescent="0.25">
      <c r="Q568" s="6"/>
      <c r="R568" s="6"/>
    </row>
    <row r="569" spans="17:18" x14ac:dyDescent="0.25">
      <c r="Q569" s="6"/>
      <c r="R569" s="6"/>
    </row>
    <row r="570" spans="17:18" x14ac:dyDescent="0.25">
      <c r="Q570" s="6"/>
      <c r="R570" s="6"/>
    </row>
    <row r="571" spans="17:18" x14ac:dyDescent="0.25">
      <c r="Q571" s="6"/>
      <c r="R571" s="6"/>
    </row>
    <row r="572" spans="17:18" x14ac:dyDescent="0.25">
      <c r="Q572" s="6"/>
      <c r="R572" s="6"/>
    </row>
    <row r="573" spans="17:18" x14ac:dyDescent="0.25">
      <c r="Q573" s="6"/>
      <c r="R573" s="6"/>
    </row>
    <row r="574" spans="17:18" x14ac:dyDescent="0.25">
      <c r="Q574" s="6"/>
      <c r="R574" s="6"/>
    </row>
    <row r="575" spans="17:18" x14ac:dyDescent="0.25">
      <c r="Q575" s="6"/>
      <c r="R575" s="6"/>
    </row>
    <row r="576" spans="17:18" x14ac:dyDescent="0.25">
      <c r="Q576" s="6"/>
      <c r="R576" s="6"/>
    </row>
    <row r="577" spans="17:18" x14ac:dyDescent="0.25">
      <c r="Q577" s="6"/>
      <c r="R577" s="6"/>
    </row>
    <row r="578" spans="17:18" x14ac:dyDescent="0.25">
      <c r="Q578" s="6"/>
      <c r="R578" s="6"/>
    </row>
    <row r="579" spans="17:18" x14ac:dyDescent="0.25">
      <c r="Q579" s="6"/>
      <c r="R579" s="6"/>
    </row>
    <row r="580" spans="17:18" x14ac:dyDescent="0.25">
      <c r="Q580" s="6"/>
      <c r="R580" s="6"/>
    </row>
    <row r="581" spans="17:18" x14ac:dyDescent="0.25">
      <c r="Q581" s="6"/>
      <c r="R581" s="6"/>
    </row>
    <row r="582" spans="17:18" x14ac:dyDescent="0.25">
      <c r="Q582" s="6"/>
      <c r="R582" s="6"/>
    </row>
    <row r="583" spans="17:18" x14ac:dyDescent="0.25">
      <c r="Q583" s="6"/>
      <c r="R583" s="6"/>
    </row>
    <row r="584" spans="17:18" x14ac:dyDescent="0.25">
      <c r="Q584" s="6"/>
      <c r="R584" s="6"/>
    </row>
    <row r="585" spans="17:18" x14ac:dyDescent="0.25">
      <c r="Q585" s="6"/>
      <c r="R585" s="6"/>
    </row>
    <row r="586" spans="17:18" x14ac:dyDescent="0.25">
      <c r="Q586" s="6"/>
      <c r="R586" s="6"/>
    </row>
    <row r="587" spans="17:18" x14ac:dyDescent="0.25">
      <c r="Q587" s="6"/>
      <c r="R587" s="6"/>
    </row>
    <row r="588" spans="17:18" x14ac:dyDescent="0.25">
      <c r="Q588" s="6"/>
      <c r="R588" s="6"/>
    </row>
    <row r="589" spans="17:18" x14ac:dyDescent="0.25">
      <c r="Q589" s="6"/>
      <c r="R589" s="6"/>
    </row>
    <row r="590" spans="17:18" x14ac:dyDescent="0.25">
      <c r="Q590" s="6"/>
      <c r="R590" s="6"/>
    </row>
    <row r="591" spans="17:18" x14ac:dyDescent="0.25">
      <c r="Q591" s="6"/>
      <c r="R591" s="6"/>
    </row>
    <row r="592" spans="17:18" x14ac:dyDescent="0.25">
      <c r="Q592" s="6"/>
      <c r="R592" s="6"/>
    </row>
    <row r="593" spans="17:18" x14ac:dyDescent="0.25">
      <c r="Q593" s="6"/>
      <c r="R593" s="6"/>
    </row>
    <row r="594" spans="17:18" x14ac:dyDescent="0.25">
      <c r="Q594" s="6"/>
      <c r="R594" s="6"/>
    </row>
    <row r="595" spans="17:18" x14ac:dyDescent="0.25">
      <c r="Q595" s="6"/>
      <c r="R595" s="6"/>
    </row>
    <row r="596" spans="17:18" x14ac:dyDescent="0.25">
      <c r="Q596" s="6"/>
      <c r="R596" s="6"/>
    </row>
    <row r="597" spans="17:18" x14ac:dyDescent="0.25">
      <c r="Q597" s="6"/>
      <c r="R597" s="6"/>
    </row>
    <row r="598" spans="17:18" x14ac:dyDescent="0.25">
      <c r="Q598" s="6"/>
      <c r="R598" s="6"/>
    </row>
    <row r="599" spans="17:18" x14ac:dyDescent="0.25">
      <c r="Q599" s="6"/>
      <c r="R599" s="6"/>
    </row>
    <row r="600" spans="17:18" x14ac:dyDescent="0.25">
      <c r="Q600" s="6"/>
      <c r="R600" s="6"/>
    </row>
    <row r="601" spans="17:18" x14ac:dyDescent="0.25">
      <c r="Q601" s="6"/>
      <c r="R601" s="6"/>
    </row>
    <row r="602" spans="17:18" x14ac:dyDescent="0.25">
      <c r="Q602" s="6"/>
      <c r="R602" s="6"/>
    </row>
    <row r="603" spans="17:18" x14ac:dyDescent="0.25">
      <c r="Q603" s="6"/>
      <c r="R603" s="6"/>
    </row>
    <row r="604" spans="17:18" x14ac:dyDescent="0.25">
      <c r="Q604" s="6"/>
      <c r="R604" s="6"/>
    </row>
    <row r="605" spans="17:18" x14ac:dyDescent="0.25">
      <c r="Q605" s="6"/>
      <c r="R605" s="6"/>
    </row>
    <row r="606" spans="17:18" x14ac:dyDescent="0.25">
      <c r="Q606" s="6"/>
      <c r="R606" s="6"/>
    </row>
    <row r="607" spans="17:18" x14ac:dyDescent="0.25">
      <c r="Q607" s="6"/>
      <c r="R607" s="6"/>
    </row>
    <row r="608" spans="17:18" x14ac:dyDescent="0.25">
      <c r="Q608" s="6"/>
      <c r="R608" s="6"/>
    </row>
    <row r="609" spans="17:18" x14ac:dyDescent="0.25">
      <c r="Q609" s="6"/>
      <c r="R609" s="6"/>
    </row>
    <row r="610" spans="17:18" x14ac:dyDescent="0.25">
      <c r="Q610" s="6"/>
      <c r="R610" s="6"/>
    </row>
    <row r="611" spans="17:18" x14ac:dyDescent="0.25">
      <c r="Q611" s="6"/>
      <c r="R611" s="6"/>
    </row>
    <row r="612" spans="17:18" x14ac:dyDescent="0.25">
      <c r="Q612" s="6"/>
      <c r="R612" s="6"/>
    </row>
    <row r="613" spans="17:18" x14ac:dyDescent="0.25">
      <c r="Q613" s="6"/>
      <c r="R613" s="6"/>
    </row>
    <row r="614" spans="17:18" x14ac:dyDescent="0.25">
      <c r="Q614" s="6"/>
      <c r="R614" s="6"/>
    </row>
    <row r="615" spans="17:18" x14ac:dyDescent="0.25">
      <c r="Q615" s="6"/>
      <c r="R615" s="6"/>
    </row>
    <row r="616" spans="17:18" x14ac:dyDescent="0.25">
      <c r="Q616" s="6"/>
      <c r="R616" s="6"/>
    </row>
    <row r="617" spans="17:18" x14ac:dyDescent="0.25">
      <c r="Q617" s="6"/>
      <c r="R617" s="6"/>
    </row>
    <row r="618" spans="17:18" x14ac:dyDescent="0.25">
      <c r="Q618" s="6"/>
      <c r="R618" s="6"/>
    </row>
    <row r="619" spans="17:18" x14ac:dyDescent="0.25">
      <c r="Q619" s="6"/>
      <c r="R619" s="6"/>
    </row>
    <row r="620" spans="17:18" x14ac:dyDescent="0.25">
      <c r="Q620" s="6"/>
      <c r="R620" s="6"/>
    </row>
    <row r="621" spans="17:18" x14ac:dyDescent="0.25">
      <c r="Q621" s="6"/>
      <c r="R621" s="6"/>
    </row>
    <row r="622" spans="17:18" x14ac:dyDescent="0.25">
      <c r="Q622" s="6"/>
      <c r="R622" s="6"/>
    </row>
    <row r="623" spans="17:18" x14ac:dyDescent="0.25">
      <c r="Q623" s="6"/>
      <c r="R623" s="6"/>
    </row>
    <row r="624" spans="17:18" x14ac:dyDescent="0.25">
      <c r="Q624" s="6"/>
      <c r="R624" s="6"/>
    </row>
    <row r="625" spans="17:18" x14ac:dyDescent="0.25">
      <c r="Q625" s="6"/>
      <c r="R625" s="6"/>
    </row>
    <row r="626" spans="17:18" x14ac:dyDescent="0.25">
      <c r="Q626" s="6"/>
      <c r="R626" s="6"/>
    </row>
    <row r="627" spans="17:18" x14ac:dyDescent="0.25">
      <c r="Q627" s="6"/>
      <c r="R627" s="6"/>
    </row>
    <row r="628" spans="17:18" x14ac:dyDescent="0.25">
      <c r="Q628" s="6"/>
      <c r="R628" s="6"/>
    </row>
    <row r="629" spans="17:18" x14ac:dyDescent="0.25">
      <c r="Q629" s="6"/>
      <c r="R629" s="6"/>
    </row>
    <row r="630" spans="17:18" x14ac:dyDescent="0.25">
      <c r="Q630" s="6"/>
      <c r="R630" s="6"/>
    </row>
    <row r="631" spans="17:18" x14ac:dyDescent="0.25">
      <c r="Q631" s="6"/>
      <c r="R631" s="6"/>
    </row>
    <row r="632" spans="17:18" x14ac:dyDescent="0.25">
      <c r="Q632" s="6"/>
      <c r="R632" s="6"/>
    </row>
    <row r="633" spans="17:18" x14ac:dyDescent="0.25">
      <c r="Q633" s="6"/>
      <c r="R633" s="6"/>
    </row>
  </sheetData>
  <mergeCells count="5">
    <mergeCell ref="L1:P1"/>
    <mergeCell ref="L20:N20"/>
    <mergeCell ref="L26:Q26"/>
    <mergeCell ref="L32:R32"/>
    <mergeCell ref="N148:N152"/>
  </mergeCells>
  <conditionalFormatting sqref="B2:H107">
    <cfRule type="expression" dxfId="1" priority="1">
      <formula>ISODD(LEFT($C2,FIND(".",$C2)-1))</formula>
    </cfRule>
    <cfRule type="expression" dxfId="0"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
  <cp:lastModifiedBy>Héloïse Bordeaux</cp:lastModifiedBy>
  <cp:lastPrinted>2013-06-03T14:54:24Z</cp:lastPrinted>
  <dcterms:created xsi:type="dcterms:W3CDTF">2013-05-22T15:37:01Z</dcterms:created>
  <dcterms:modified xsi:type="dcterms:W3CDTF">2023-04-27T08:55:27Z</dcterms:modified>
</cp:coreProperties>
</file>