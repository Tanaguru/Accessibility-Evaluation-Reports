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325"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jmoynat\Oceane Consulting\Fr�d�ric HALNA - Documents_r�f�rences\Grille d'audit\Français\"/>
    </mc:Choice>
  </mc:AlternateContent>
  <xr:revisionPtr revIDLastSave="700" documentId="13_ncr:1_{5E639AED-DAB5-4774-A783-4DBA4B673E13}" xr6:coauthVersionLast="45" xr6:coauthVersionMax="45" xr10:uidLastSave="{D1C6B707-744F-41DC-9100-46599DF4FCA2}"/>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Récapitulatif!$A$1:$K$1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0" i="8" l="1"/>
  <c r="M148" i="8"/>
  <c r="M149" i="8"/>
  <c r="H258" i="8" l="1"/>
  <c r="G258" i="8"/>
  <c r="F258" i="8"/>
  <c r="E258" i="8"/>
  <c r="D258" i="8"/>
  <c r="C258" i="8"/>
  <c r="B258" i="8"/>
  <c r="H257" i="8"/>
  <c r="G257" i="8"/>
  <c r="F257" i="8"/>
  <c r="E257" i="8"/>
  <c r="D257" i="8"/>
  <c r="C257" i="8"/>
  <c r="B257" i="8"/>
  <c r="H256" i="8"/>
  <c r="G256" i="8"/>
  <c r="F256" i="8"/>
  <c r="E256" i="8"/>
  <c r="D256" i="8"/>
  <c r="C256" i="8"/>
  <c r="B256" i="8"/>
  <c r="H255" i="8"/>
  <c r="G255" i="8"/>
  <c r="F255" i="8"/>
  <c r="E255" i="8"/>
  <c r="D255" i="8"/>
  <c r="C255" i="8"/>
  <c r="B255" i="8"/>
  <c r="H254" i="8"/>
  <c r="G254" i="8"/>
  <c r="F254" i="8"/>
  <c r="E254" i="8"/>
  <c r="D254" i="8"/>
  <c r="C254" i="8"/>
  <c r="B254" i="8"/>
  <c r="H253" i="8"/>
  <c r="G253" i="8"/>
  <c r="F253" i="8"/>
  <c r="E253" i="8"/>
  <c r="D253" i="8"/>
  <c r="C253" i="8"/>
  <c r="B253" i="8"/>
  <c r="H252" i="8"/>
  <c r="G252" i="8"/>
  <c r="F252" i="8"/>
  <c r="E252" i="8"/>
  <c r="D252" i="8"/>
  <c r="C252" i="8"/>
  <c r="B252" i="8"/>
  <c r="H251" i="8"/>
  <c r="G251" i="8"/>
  <c r="F251" i="8"/>
  <c r="E251" i="8"/>
  <c r="D251" i="8"/>
  <c r="C251" i="8"/>
  <c r="B251" i="8"/>
  <c r="H250" i="8"/>
  <c r="G250" i="8"/>
  <c r="F250" i="8"/>
  <c r="E250" i="8"/>
  <c r="D250" i="8"/>
  <c r="C250" i="8"/>
  <c r="B250" i="8"/>
  <c r="H249" i="8"/>
  <c r="G249" i="8"/>
  <c r="F249" i="8"/>
  <c r="E249" i="8"/>
  <c r="D249" i="8"/>
  <c r="C249" i="8"/>
  <c r="B249" i="8"/>
  <c r="H248" i="8"/>
  <c r="G248" i="8"/>
  <c r="F248" i="8"/>
  <c r="E248" i="8"/>
  <c r="D248" i="8"/>
  <c r="C248" i="8"/>
  <c r="B248" i="8"/>
  <c r="H247" i="8"/>
  <c r="G247" i="8"/>
  <c r="F247" i="8"/>
  <c r="E247" i="8"/>
  <c r="D247" i="8"/>
  <c r="C247" i="8"/>
  <c r="B247" i="8"/>
  <c r="H246" i="8"/>
  <c r="G246" i="8"/>
  <c r="F246" i="8"/>
  <c r="E246" i="8"/>
  <c r="D246" i="8"/>
  <c r="C246" i="8"/>
  <c r="B246" i="8"/>
  <c r="H245" i="8"/>
  <c r="G245" i="8"/>
  <c r="F245" i="8"/>
  <c r="E245" i="8"/>
  <c r="D245" i="8"/>
  <c r="C245" i="8"/>
  <c r="B245" i="8"/>
  <c r="H244" i="8"/>
  <c r="G244" i="8"/>
  <c r="F244" i="8"/>
  <c r="E244" i="8"/>
  <c r="D244" i="8"/>
  <c r="C244" i="8"/>
  <c r="B244" i="8"/>
  <c r="H243" i="8"/>
  <c r="G243" i="8"/>
  <c r="F243" i="8"/>
  <c r="E243" i="8"/>
  <c r="D243" i="8"/>
  <c r="C243" i="8"/>
  <c r="B243" i="8"/>
  <c r="H242" i="8"/>
  <c r="G242" i="8"/>
  <c r="F242" i="8"/>
  <c r="E242" i="8"/>
  <c r="D242" i="8"/>
  <c r="C242" i="8"/>
  <c r="B242" i="8"/>
  <c r="H241" i="8"/>
  <c r="G241" i="8"/>
  <c r="F241" i="8"/>
  <c r="E241" i="8"/>
  <c r="D241" i="8"/>
  <c r="C241" i="8"/>
  <c r="B241" i="8"/>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C2" i="8"/>
  <c r="B5" i="8"/>
  <c r="B4" i="8"/>
  <c r="B3" i="8"/>
  <c r="B2" i="8"/>
  <c r="R139" i="8" l="1"/>
  <c r="R138" i="8"/>
  <c r="R137" i="8"/>
  <c r="R135" i="8"/>
  <c r="R136" i="8"/>
  <c r="R134" i="8"/>
  <c r="R133" i="8"/>
  <c r="R132" i="8"/>
  <c r="R131" i="8"/>
  <c r="R130" i="8"/>
  <c r="R129" i="8"/>
  <c r="R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Q132" i="8"/>
  <c r="R35" i="8"/>
  <c r="Q112" i="8"/>
  <c r="Q137" i="8"/>
  <c r="Q131" i="8"/>
  <c r="Q136" i="8"/>
  <c r="Q139" i="8"/>
  <c r="Q138" i="8"/>
  <c r="Q135" i="8"/>
  <c r="Q134" i="8"/>
  <c r="Q133" i="8"/>
  <c r="Q129" i="8"/>
  <c r="Q130" i="8"/>
  <c r="Q126" i="8"/>
  <c r="Q128"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P137" i="8"/>
  <c r="Q48" i="8"/>
  <c r="Q46" i="8"/>
  <c r="Q45" i="8"/>
  <c r="Q43" i="8"/>
  <c r="Q42" i="8"/>
  <c r="Q41" i="8"/>
  <c r="Q40" i="8"/>
  <c r="Q39" i="8"/>
  <c r="Q38" i="8"/>
  <c r="Q37" i="8"/>
  <c r="Q36" i="8"/>
  <c r="Q35" i="8"/>
  <c r="Q34" i="8"/>
  <c r="R34" i="8"/>
  <c r="P124" i="8"/>
  <c r="P139" i="8"/>
  <c r="O138" i="8"/>
  <c r="P138" i="8"/>
  <c r="P136" i="8"/>
  <c r="O136" i="8"/>
  <c r="P135" i="8"/>
  <c r="P134" i="8"/>
  <c r="P128" i="8"/>
  <c r="O133" i="8"/>
  <c r="P133" i="8"/>
  <c r="O132" i="8"/>
  <c r="P132" i="8"/>
  <c r="O131" i="8"/>
  <c r="P131" i="8"/>
  <c r="O130" i="8"/>
  <c r="P130" i="8"/>
  <c r="O129" i="8"/>
  <c r="P129"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5" i="8"/>
  <c r="N11" i="8"/>
  <c r="N14" i="8"/>
  <c r="N13" i="8"/>
  <c r="N9" i="8"/>
  <c r="N12" i="8"/>
  <c r="N10" i="8"/>
  <c r="N8" i="8"/>
  <c r="N5" i="8"/>
  <c r="N7" i="8"/>
  <c r="M10" i="8"/>
  <c r="M13" i="8"/>
  <c r="N4" i="8"/>
  <c r="N3" i="8"/>
  <c r="M15" i="8"/>
  <c r="O117" i="8"/>
  <c r="M14" i="8"/>
  <c r="M12" i="8"/>
  <c r="M9" i="8"/>
  <c r="M11" i="8"/>
  <c r="M8" i="8"/>
  <c r="M5" i="8"/>
  <c r="M4" i="8"/>
  <c r="O36" i="8"/>
  <c r="O38" i="8"/>
  <c r="O40" i="8"/>
  <c r="O46" i="8"/>
  <c r="O53" i="8"/>
  <c r="O60" i="8"/>
  <c r="O69" i="8"/>
  <c r="O115" i="8"/>
  <c r="O139" i="8"/>
  <c r="O113" i="8"/>
  <c r="O134"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128" i="8"/>
  <c r="O43" i="8"/>
  <c r="O63" i="8"/>
  <c r="O34" i="8"/>
  <c r="O42" i="8"/>
  <c r="O50" i="8"/>
  <c r="O37" i="8"/>
  <c r="O47" i="8"/>
  <c r="O48" i="8"/>
  <c r="O64" i="8"/>
  <c r="O70" i="8"/>
  <c r="O72" i="8"/>
  <c r="O74" i="8"/>
  <c r="O76" i="8"/>
  <c r="O78" i="8"/>
  <c r="O82" i="8"/>
  <c r="O98" i="8"/>
  <c r="O99" i="8"/>
  <c r="O100" i="8"/>
  <c r="O104" i="8"/>
  <c r="O119" i="8"/>
  <c r="O111" i="8"/>
  <c r="O121" i="8"/>
  <c r="O123" i="8"/>
  <c r="O125" i="8"/>
  <c r="O135" i="8"/>
  <c r="O108" i="8"/>
  <c r="O114" i="8"/>
  <c r="O116" i="8"/>
  <c r="O122" i="8"/>
  <c r="O137" i="8"/>
  <c r="P4" i="8"/>
  <c r="O9" i="8"/>
  <c r="O11" i="8"/>
  <c r="P12" i="8"/>
  <c r="P14" i="8"/>
  <c r="O15" i="8"/>
  <c r="P3" i="8"/>
  <c r="P5" i="8"/>
  <c r="P7" i="8"/>
  <c r="P9" i="8"/>
  <c r="O10" i="8"/>
  <c r="P11" i="8"/>
  <c r="O13" i="8"/>
  <c r="P15"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42" i="8"/>
  <c r="I246" i="8"/>
  <c r="I250" i="8"/>
  <c r="I254" i="8"/>
  <c r="I25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241" i="8"/>
  <c r="I245" i="8"/>
  <c r="I249" i="8"/>
  <c r="I253" i="8"/>
  <c r="I25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256"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240" i="8"/>
  <c r="I244" i="8"/>
  <c r="I248" i="8"/>
  <c r="I252" i="8"/>
  <c r="I175" i="8"/>
  <c r="I179" i="8"/>
  <c r="I183" i="8"/>
  <c r="I187" i="8"/>
  <c r="I191" i="8"/>
  <c r="I195" i="8"/>
  <c r="I199" i="8"/>
  <c r="I203" i="8"/>
  <c r="I207" i="8"/>
  <c r="I211" i="8"/>
  <c r="I215" i="8"/>
  <c r="I219" i="8"/>
  <c r="I223" i="8"/>
  <c r="I227" i="8"/>
  <c r="I231" i="8"/>
  <c r="I235" i="8"/>
  <c r="I239" i="8"/>
  <c r="I243" i="8"/>
  <c r="I247" i="8"/>
  <c r="I251" i="8"/>
  <c r="I255" i="8"/>
  <c r="A1" i="1"/>
  <c r="Q140" i="8" l="1"/>
  <c r="O140" i="8"/>
  <c r="P140" i="8"/>
  <c r="Q29" i="8"/>
  <c r="Q28" i="8"/>
  <c r="M29" i="8"/>
  <c r="M28" i="8"/>
  <c r="P29" i="8"/>
  <c r="O28" i="8"/>
  <c r="O29" i="8"/>
  <c r="P28" i="8"/>
  <c r="N28" i="8"/>
  <c r="N29" i="8"/>
  <c r="G268" i="1"/>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P2" i="8"/>
  <c r="AP16" i="8" s="1"/>
  <c r="AO2" i="8"/>
  <c r="AN2" i="8"/>
  <c r="AN10" i="8" s="1"/>
  <c r="AM2" i="8"/>
  <c r="AL2" i="8"/>
  <c r="AL10" i="8" s="1"/>
  <c r="AK2" i="8"/>
  <c r="AJ2" i="8"/>
  <c r="AJ16" i="8" s="1"/>
  <c r="AI2" i="8"/>
  <c r="AH2" i="8"/>
  <c r="AH16" i="8" s="1"/>
  <c r="AG2" i="8"/>
  <c r="AG10" i="8" l="1"/>
  <c r="AG14" i="8" s="1"/>
  <c r="AO10" i="8"/>
  <c r="AO13" i="8" s="1"/>
  <c r="AI16" i="8"/>
  <c r="AQ16" i="8"/>
  <c r="AF9" i="8"/>
  <c r="AM10" i="8"/>
  <c r="AM14" i="8" s="1"/>
  <c r="AF4" i="8"/>
  <c r="AF5" i="8"/>
  <c r="AF6" i="8"/>
  <c r="AF7" i="8"/>
  <c r="AF8" i="8"/>
  <c r="AK10" i="8"/>
  <c r="AK15" i="8" s="1"/>
  <c r="AF3" i="8"/>
  <c r="AL15" i="8"/>
  <c r="AL13" i="8"/>
  <c r="AL14" i="8"/>
  <c r="AN15" i="8"/>
  <c r="AN13" i="8"/>
  <c r="AN14" i="8"/>
  <c r="AG15" i="8"/>
  <c r="AG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AO14" i="8" l="1"/>
  <c r="AO15" i="8"/>
  <c r="AM13" i="8"/>
  <c r="AM15" i="8"/>
  <c r="AK14" i="8"/>
  <c r="AK13" i="8"/>
  <c r="AR14" i="8"/>
  <c r="AR15" i="8"/>
  <c r="AR13" i="8"/>
  <c r="AP14" i="8"/>
  <c r="AP15" i="8"/>
  <c r="AP13" i="8"/>
  <c r="AJ14" i="8"/>
  <c r="AJ15" i="8"/>
  <c r="AJ13" i="8"/>
  <c r="AH14" i="8"/>
  <c r="AH15" i="8"/>
  <c r="AH13" i="8"/>
  <c r="AF10" i="8"/>
  <c r="AF11" i="8"/>
  <c r="AQ14" i="8"/>
  <c r="AQ15" i="8"/>
  <c r="AQ13" i="8"/>
  <c r="AI14" i="8"/>
  <c r="AI15" i="8"/>
  <c r="AI13" i="8"/>
  <c r="I6" i="1"/>
  <c r="I268" i="1"/>
  <c r="H6" i="1"/>
  <c r="H268" i="1"/>
  <c r="I3" i="1" l="1"/>
  <c r="I4" i="1"/>
  <c r="I5" i="1"/>
  <c r="H3" i="1"/>
  <c r="H4" i="1"/>
  <c r="H5" i="1"/>
  <c r="H261" i="109" l="1"/>
  <c r="M145" i="8" l="1"/>
  <c r="M144" i="8"/>
  <c r="M143" i="8"/>
  <c r="J6" i="1" l="1"/>
  <c r="J3" i="1" l="1"/>
  <c r="J5" i="1" l="1"/>
  <c r="J4" i="1"/>
  <c r="H261" i="2"/>
  <c r="M268" i="1" l="1"/>
  <c r="O6" i="1" l="1"/>
  <c r="J268" i="1"/>
  <c r="L268" i="1"/>
  <c r="K268" i="1"/>
  <c r="M6" i="1" l="1"/>
  <c r="N6" i="1"/>
  <c r="K6" i="1"/>
  <c r="L6" i="1"/>
  <c r="L5" i="1" l="1"/>
  <c r="K3" i="1" l="1"/>
  <c r="K4" i="1"/>
  <c r="K5" i="1"/>
  <c r="M4" i="1"/>
  <c r="M5" i="1"/>
  <c r="M3" i="1"/>
  <c r="O3" i="1"/>
  <c r="O4" i="1"/>
  <c r="O5" i="1"/>
  <c r="L3" i="1"/>
  <c r="L4" i="1"/>
  <c r="N3" i="1"/>
  <c r="N4" i="1"/>
  <c r="N5" i="1"/>
  <c r="M151" i="8"/>
  <c r="M142" i="8"/>
  <c r="P268" i="1" l="1"/>
  <c r="O268" i="1"/>
  <c r="N268" i="1"/>
  <c r="Q6" i="1" l="1"/>
  <c r="P6" i="1"/>
  <c r="R6" i="1"/>
  <c r="G6" i="1" l="1"/>
  <c r="Q3" i="1" l="1"/>
  <c r="Q4" i="1"/>
  <c r="Q5" i="1"/>
  <c r="P3" i="1"/>
  <c r="P4" i="1"/>
  <c r="P5" i="1"/>
  <c r="R3" i="1"/>
  <c r="R4" i="1"/>
  <c r="R5" i="1"/>
  <c r="N23" i="8"/>
  <c r="N22" i="8"/>
  <c r="H259" i="8"/>
  <c r="G259" i="8"/>
  <c r="F259" i="8"/>
  <c r="E259" i="8"/>
  <c r="R140" i="8" l="1"/>
  <c r="O145" i="8"/>
  <c r="P142" i="8"/>
  <c r="P144" i="8"/>
  <c r="P143" i="8"/>
  <c r="P145" i="8"/>
  <c r="O143" i="8"/>
  <c r="O144" i="8"/>
  <c r="O142" i="8"/>
  <c r="Q143" i="8" l="1"/>
  <c r="Q142" i="8"/>
  <c r="Q145" i="8"/>
  <c r="Q144" i="8"/>
  <c r="P152" i="8"/>
  <c r="P151" i="8"/>
  <c r="P148" i="8"/>
  <c r="P141" i="8"/>
  <c r="O141" i="8"/>
  <c r="A5" i="1" s="1"/>
  <c r="M22" i="8"/>
  <c r="O17" i="8"/>
  <c r="N17" i="8"/>
  <c r="P17" i="8"/>
  <c r="M17" i="8"/>
  <c r="P150" i="8"/>
  <c r="G2" i="9" l="1"/>
  <c r="N30" i="8"/>
  <c r="Q30" i="8"/>
  <c r="P30" i="8"/>
  <c r="O30" i="8"/>
  <c r="M30" i="8"/>
  <c r="M23" i="8"/>
  <c r="N18" i="8"/>
  <c r="M18" i="8"/>
  <c r="G5" i="1" l="1"/>
  <c r="G4" i="1"/>
  <c r="G3" i="1"/>
  <c r="M146" i="8"/>
  <c r="P149" i="8" l="1"/>
</calcChain>
</file>

<file path=xl/sharedStrings.xml><?xml version="1.0" encoding="utf-8"?>
<sst xmlns="http://schemas.openxmlformats.org/spreadsheetml/2006/main" count="5178" uniqueCount="1184">
  <si>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</si>
  <si>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</si>
  <si>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</si>
  <si>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</si>
  <si>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</si>
  <si>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</si>
  <si>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</si>
  <si>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</si>
  <si>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</si>
  <si>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</si>
  <si>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</si>
  <si>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</si>
  <si>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</si>
  <si>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</si>
  <si>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</si>
  <si>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</si>
  <si>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</si>
  <si>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</si>
  <si>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</si>
  <si>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</si>
  <si>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</si>
  <si>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</si>
  <si>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</si>
  <si>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</si>
  <si>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</si>
  <si>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</si>
  <si>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</si>
  <si>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</si>
  <si>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</si>
  <si>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</si>
  <si>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</si>
  <si>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</si>
  <si>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</si>
  <si>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</si>
  <si>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</si>
  <si>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</si>
  <si>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</si>
  <si>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</si>
  <si>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</si>
  <si>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</si>
  <si>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</si>
  <si>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</si>
  <si>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</si>
  <si>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</si>
  <si>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</si>
  <si>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</si>
  <si>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</si>
  <si>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</si>
  <si>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</si>
  <si>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</si>
  <si>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</si>
  <si>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</si>
  <si>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</si>
  <si>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</si>
  <si>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</si>
  <si>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</si>
  <si>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</si>
  <si>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</si>
  <si>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</si>
  <si>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</si>
  <si>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</si>
  <si>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</si>
  <si>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</si>
  <si>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</si>
  <si>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</si>
  <si>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</si>
  <si>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</si>
  <si>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</si>
  <si>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</si>
  <si>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</si>
  <si>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</si>
  <si>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</si>
  <si>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</si>
  <si>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</si>
  <si>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</si>
  <si>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</si>
  <si>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</si>
  <si>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</si>
  <si>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</si>
  <si>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</si>
  <si>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</si>
  <si>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</si>
  <si>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</si>
  <si>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</si>
  <si>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</si>
  <si>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</si>
  <si>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</si>
  <si>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</si>
  <si>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</si>
  <si>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</si>
  <si>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</si>
  <si>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</si>
  <si>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</si>
  <si>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</si>
  <si>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</si>
  <si>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</si>
  <si>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</si>
  <si>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</si>
  <si>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</si>
  <si>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</si>
  <si>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</si>
  <si>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</si>
  <si>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</si>
  <si>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</si>
  <si>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</si>
  <si>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</si>
  <si>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</si>
  <si>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</si>
  <si>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</si>
  <si>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</si>
  <si>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</si>
  <si>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</si>
  <si>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</si>
  <si>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</si>
  <si>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</si>
  <si>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</si>
  <si>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</si>
  <si>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</si>
  <si>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</si>
  <si>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</si>
  <si>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</si>
  <si>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</si>
  <si>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</si>
  <si>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</si>
  <si>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</si>
  <si>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</si>
  <si>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</si>
  <si>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</si>
  <si>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</si>
  <si>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</si>
  <si>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</si>
  <si>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</si>
  <si>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</si>
  <si>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</si>
  <si>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</si>
  <si>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</si>
  <si>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</si>
  <si>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</si>
  <si>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</si>
  <si>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</si>
  <si>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</si>
  <si>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</si>
  <si>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</si>
  <si>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</si>
  <si>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</si>
  <si>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</si>
  <si>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</si>
  <si>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</si>
  <si>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</si>
  <si>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</si>
  <si>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</si>
  <si>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</si>
  <si>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</si>
  <si>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</si>
  <si>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</si>
  <si>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</si>
  <si>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</si>
  <si>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</si>
  <si>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</si>
  <si>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</si>
  <si>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</si>
  <si>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</si>
  <si>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</si>
  <si>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</si>
  <si>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</si>
  <si>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</si>
  <si>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</si>
  <si>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</si>
  <si>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</si>
  <si>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</si>
  <si>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</si>
  <si>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</si>
  <si>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</si>
  <si>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</si>
  <si>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</si>
  <si>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</si>
  <si>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</si>
  <si>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</si>
  <si>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</si>
  <si>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</si>
  <si>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</si>
  <si>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</si>
  <si>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</si>
  <si>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</si>
  <si>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</si>
  <si>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</si>
  <si>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</si>
  <si>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</si>
  <si>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</si>
  <si>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</si>
  <si>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</si>
  <si>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</si>
  <si>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</si>
  <si>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</si>
  <si>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</si>
  <si>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</si>
  <si>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</si>
  <si>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</si>
  <si>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</si>
  <si>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</si>
  <si>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</si>
  <si>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</si>
  <si>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</si>
  <si>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</si>
  <si>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</si>
  <si>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</si>
  <si>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</si>
  <si>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</si>
  <si>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</si>
  <si>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</si>
  <si>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</si>
  <si>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</si>
  <si>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</si>
  <si>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</si>
  <si>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</si>
  <si>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</si>
  <si>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</si>
  <si>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</si>
  <si>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</si>
  <si>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</si>
  <si>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</si>
  <si>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</si>
  <si>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</si>
  <si>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</si>
  <si>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</si>
  <si>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</si>
  <si>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</si>
  <si>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</si>
  <si>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</si>
  <si>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</si>
  <si>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</si>
  <si>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</si>
  <si>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</si>
  <si>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</si>
  <si>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</si>
  <si>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</si>
  <si>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</si>
  <si>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</si>
  <si>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</si>
  <si>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</si>
  <si>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</si>
  <si>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</si>
  <si>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</si>
  <si>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</si>
  <si>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</si>
  <si>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</si>
  <si>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</si>
  <si>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</si>
  <si>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</si>
  <si>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</si>
  <si>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</si>
  <si>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</si>
  <si>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</si>
  <si>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</si>
  <si>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</si>
  <si>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</si>
  <si>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</si>
  <si>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</si>
  <si>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</si>
  <si>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</si>
  <si>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</si>
  <si>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</si>
  <si>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</si>
  <si>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</si>
  <si>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</si>
  <si>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</si>
  <si>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</si>
  <si>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</si>
  <si>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</si>
  <si>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</si>
  <si>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</si>
  <si>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</si>
  <si>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</si>
  <si>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</si>
  <si>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</si>
  <si>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</si>
  <si>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</si>
  <si>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</si>
  <si>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</si>
  <si>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</si>
  <si>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</si>
  <si>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</si>
  <si>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</si>
  <si>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</si>
  <si>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</si>
  <si>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</si>
  <si>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</si>
  <si>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</si>
  <si>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</si>
  <si>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</si>
  <si>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</si>
  <si>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</si>
  <si>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</si>
  <si>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</si>
  <si>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</si>
  <si>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</si>
  <si>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</si>
  <si>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</si>
  <si>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</si>
  <si>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</si>
  <si>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</si>
  <si>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</si>
  <si>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</si>
  <si>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</si>
  <si>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</si>
  <si>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</si>
  <si>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</si>
  <si>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</si>
  <si>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</si>
  <si>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</si>
  <si>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</si>
  <si>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</si>
  <si>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</si>
  <si>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</si>
  <si>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</si>
  <si>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</si>
  <si>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</si>
  <si>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</si>
  <si>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</si>
  <si>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</si>
  <si>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</si>
  <si>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</si>
  <si>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</si>
  <si>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</si>
  <si>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</si>
  <si>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</si>
  <si>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</si>
  <si>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</si>
  <si>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</si>
  <si>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</si>
  <si>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</si>
  <si>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</si>
  <si>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</si>
  <si>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</si>
  <si>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</si>
  <si>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</si>
  <si>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</si>
  <si>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</si>
  <si>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</si>
  <si>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</si>
  <si>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</si>
  <si>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</si>
  <si>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</si>
  <si>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</si>
  <si>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</si>
  <si>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</si>
  <si>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</si>
  <si>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</si>
  <si>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</si>
  <si>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</si>
  <si>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</si>
  <si>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</si>
  <si>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</si>
  <si>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</si>
  <si>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</si>
  <si>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</si>
  <si>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</si>
  <si>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</si>
  <si>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</si>
  <si>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</si>
  <si>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</si>
  <si>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</si>
  <si>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</si>
  <si>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</si>
  <si>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</si>
  <si>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</si>
  <si>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</si>
  <si>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</si>
  <si>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</si>
  <si>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</si>
  <si>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</si>
  <si>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</si>
  <si>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</si>
  <si>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</si>
  <si>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</si>
  <si>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</si>
  <si>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</si>
  <si>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</si>
  <si>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</si>
  <si>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</si>
  <si>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</si>
  <si>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</si>
  <si>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</si>
  <si>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</si>
  <si>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</si>
  <si>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</si>
  <si>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</si>
  <si>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</si>
  <si>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</si>
  <si>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</si>
  <si>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</si>
  <si>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</si>
  <si>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</si>
  <si>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</si>
  <si>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</si>
  <si>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</si>
  <si>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</si>
  <si>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</si>
  <si>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</si>
  <si>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</si>
  <si>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</si>
  <si>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</si>
  <si>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</si>
  <si>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</si>
  <si>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</si>
  <si>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</si>
  <si>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</si>
  <si>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</si>
  <si>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</si>
  <si>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</si>
  <si>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</si>
  <si>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</si>
  <si>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</si>
  <si>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</si>
  <si>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</si>
  <si>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</si>
  <si>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</si>
  <si>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</si>
  <si>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</si>
  <si>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</si>
  <si>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</si>
  <si>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</si>
  <si>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</si>
  <si>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</si>
  <si>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</si>
  <si>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</si>
  <si>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</si>
  <si>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</si>
  <si>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</si>
  <si>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</si>
  <si>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</si>
  <si>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</si>
  <si>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</si>
  <si>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</si>
  <si>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</si>
  <si>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</si>
  <si>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</si>
  <si>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</si>
  <si>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</si>
  <si>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</si>
  <si>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</si>
  <si>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</si>
  <si>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</si>
  <si>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</si>
  <si>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</si>
  <si>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</si>
  <si>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</si>
  <si>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</si>
  <si>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</si>
  <si>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</si>
  <si>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</si>
  <si>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</si>
  <si>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</si>
  <si>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</si>
  <si>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</si>
  <si>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</si>
  <si>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</si>
  <si>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</si>
  <si>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</si>
  <si>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</si>
  <si>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</si>
  <si>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</si>
  <si>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</si>
  <si>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</si>
  <si>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</si>
  <si>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</si>
  <si>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</si>
  <si>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</si>
  <si>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</si>
  <si>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</si>
  <si>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</si>
  <si>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</si>
  <si>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</si>
  <si>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</si>
  <si>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</si>
  <si>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</si>
  <si>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</si>
  <si>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</si>
  <si>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</si>
  <si>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</si>
  <si>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</si>
  <si>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</si>
  <si>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</si>
  <si>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</si>
  <si>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</si>
  <si>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</si>
  <si>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</si>
  <si>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</si>
  <si>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</si>
  <si>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</si>
  <si>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</si>
  <si>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Éléments Ogligatoires</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</si>
  <si>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</si>
  <si>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</si>
  <si>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</si>
  <si>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</si>
  <si>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</si>
  <si>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</si>
  <si>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</si>
  <si>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</si>
  <si>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</si>
  <si>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</si>
  <si>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</si>
  <si>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</si>
  <si>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</si>
  <si>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</si>
  <si>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</si>
  <si>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</si>
  <si>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</si>
  <si>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</si>
  <si>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</si>
  <si>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</si>
  <si>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</si>
  <si>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</si>
  <si>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</si>
  <si>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</si>
  <si>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</si>
  <si>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</si>
  <si>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</si>
  <si>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</si>
  <si>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</si>
  <si>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</si>
  <si>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</si>
  <si>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</si>
  <si>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</si>
  <si>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</si>
  <si>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</si>
  <si>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</si>
  <si>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</si>
  <si>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</si>
  <si>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</si>
  <si>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</si>
  <si>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</si>
  <si>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</si>
  <si>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</si>
  <si>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</si>
  <si>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</si>
  <si>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</si>
  <si>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</si>
  <si>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</si>
  <si>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</si>
  <si>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</si>
  <si>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</si>
  <si>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</si>
  <si>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</si>
  <si>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</si>
  <si>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</si>
  <si>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</si>
  <si>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</si>
  <si>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</si>
  <si>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</si>
  <si>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</si>
  <si>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</si>
  <si>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</si>
  <si>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</si>
  <si>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</si>
  <si>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</si>
  <si>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</si>
  <si>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</si>
  <si>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</si>
  <si>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</si>
  <si>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</si>
  <si>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</si>
  <si>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</si>
  <si>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</si>
  <si>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</si>
  <si>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</si>
  <si>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</si>
  <si>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</si>
  <si>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</si>
  <si>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</si>
  <si>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</si>
  <si>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</si>
  <si>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</si>
  <si>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</si>
  <si>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</si>
  <si>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</si>
  <si>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</si>
  <si>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</si>
  <si>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</si>
  <si>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</si>
  <si>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</si>
  <si>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</si>
  <si>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</si>
  <si>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</si>
  <si>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</si>
  <si>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</si>
  <si>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</si>
  <si>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</si>
  <si>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</si>
  <si>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</si>
  <si>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</si>
  <si>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</si>
  <si>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</si>
  <si>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</si>
  <si>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</si>
  <si>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</si>
  <si>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</si>
  <si>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</si>
  <si>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</si>
  <si>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</si>
  <si>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</si>
  <si>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</si>
  <si>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</si>
  <si>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</si>
  <si>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</si>
  <si>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</si>
  <si>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</si>
  <si>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</si>
  <si>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</si>
  <si>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</si>
  <si>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</si>
  <si>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</si>
  <si>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</si>
  <si>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</si>
  <si>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</si>
  <si>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</si>
  <si>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</si>
  <si>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</si>
  <si>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</si>
  <si>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</si>
  <si>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</si>
  <si>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</si>
  <si>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</si>
  <si>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</si>
  <si>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</si>
  <si>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</si>
  <si>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</si>
  <si>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</si>
  <si>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</si>
  <si>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</si>
  <si>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</si>
  <si>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</si>
  <si>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</si>
  <si>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</si>
  <si>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</si>
  <si>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</si>
  <si>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</si>
  <si>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</si>
  <si>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</si>
  <si>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</si>
  <si>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</si>
  <si>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</si>
  <si>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</si>
  <si>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</si>
  <si>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</si>
  <si>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</si>
  <si>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</si>
  <si>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</si>
  <si>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</si>
  <si>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</si>
  <si>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</si>
  <si>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</si>
  <si>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</si>
  <si>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</si>
  <si>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</si>
  <si>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</si>
  <si>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</si>
  <si>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</si>
  <si>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</si>
  <si>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</si>
  <si>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</si>
  <si>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</si>
  <si>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Renseigner ensuite les pages que vous allez auditer en renseignant pour chacune les informations suivantes :</t>
  </si>
  <si>
    <t xml:space="preserve"> - Le numéro de la page ;</t>
  </si>
  <si>
    <t xml:space="preserve"> - Le nom de la page ;</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</si>
  <si>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</si>
  <si>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</si>
  <si>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</si>
  <si>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</si>
  <si>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</si>
  <si>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</si>
  <si>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</si>
  <si>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</si>
  <si>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t>Dans chaque page web, chaque texte dont le sens de lecture est différent du sens de lecture par défaut est contenu dans une balise possédant un attribut dir ?</t>
  </si>
  <si>
    <t>Exemple de code</t>
  </si>
  <si>
    <t>Erreur transverse</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</si>
  <si>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</si>
  <si>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</si>
  <si>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</si>
  <si>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</si>
  <si>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</si>
  <si>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</si>
  <si>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</si>
  <si>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</si>
  <si>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</si>
  <si>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</si>
  <si>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</si>
  <si>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</si>
  <si>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</si>
  <si>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</si>
  <si>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</si>
  <si>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</si>
  <si>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</si>
  <si>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</si>
  <si>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</si>
  <si>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</si>
  <si>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</si>
  <si>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</si>
  <si>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</si>
  <si>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</si>
  <si>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</si>
  <si>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</si>
  <si>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</si>
  <si>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</si>
  <si>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</si>
  <si>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</si>
  <si>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</si>
  <si>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</si>
  <si>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</si>
  <si>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</si>
  <si>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</si>
  <si>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</si>
  <si>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</si>
  <si>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</si>
  <si>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</si>
  <si>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</si>
  <si>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</si>
  <si>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</si>
  <si>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</si>
  <si>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</si>
  <si>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</si>
  <si>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</si>
  <si>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</si>
  <si>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</si>
  <si>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</si>
  <si>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</si>
  <si>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</si>
  <si>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</si>
  <si>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</si>
  <si>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</si>
  <si>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</si>
  <si>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</si>
  <si>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</si>
  <si>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</si>
  <si>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</si>
  <si>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</si>
  <si>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</si>
  <si>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</si>
  <si>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</si>
  <si>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</si>
  <si>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</si>
  <si>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</si>
  <si>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</si>
  <si>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</si>
  <si>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</si>
  <si>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</si>
  <si>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</si>
  <si>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</si>
  <si>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</si>
  <si>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</si>
  <si>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</si>
  <si>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</si>
  <si>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</si>
  <si>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</si>
  <si>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</si>
  <si>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</si>
  <si>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</si>
  <si>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</si>
  <si>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Audit RGAA 4.0 2019 - Tanaguru</t>
  </si>
  <si>
    <t>Nom du site - Conformité légale RGAA 4.0 2019</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</si>
  <si>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</si>
  <si>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</si>
  <si>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</si>
  <si>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</si>
  <si>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</si>
  <si>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</si>
  <si>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</si>
  <si>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</si>
  <si>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</si>
  <si>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</si>
  <si>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</si>
  <si>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</si>
  <si>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</si>
  <si>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</si>
  <si>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</si>
  <si>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</si>
  <si>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</si>
  <si>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</si>
  <si>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</si>
  <si>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</si>
  <si>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</si>
  <si>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</si>
  <si>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</si>
  <si>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</si>
  <si>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</si>
  <si>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</si>
  <si>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</si>
  <si>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</si>
  <si>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</si>
  <si>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</si>
  <si>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</si>
  <si>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</si>
  <si>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</si>
  <si>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</si>
  <si>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</si>
  <si>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</si>
  <si>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</si>
  <si>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</si>
  <si>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</si>
  <si>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</si>
  <si>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</si>
  <si>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</si>
  <si>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</si>
  <si>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</si>
  <si>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</si>
  <si>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</si>
  <si>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</si>
  <si>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</si>
  <si>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</si>
  <si>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</si>
  <si>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</si>
  <si>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</si>
  <si>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</si>
  <si>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</si>
  <si>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</si>
  <si>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</si>
  <si>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</si>
  <si>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</si>
  <si>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</si>
  <si>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</si>
  <si>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</si>
  <si>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</si>
  <si>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</si>
  <si>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</si>
  <si>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</si>
  <si>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</si>
  <si>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</si>
  <si>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</si>
  <si>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</si>
  <si>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</si>
  <si>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</si>
  <si>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</si>
  <si>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</si>
  <si>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</si>
  <si>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</si>
  <si>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</si>
  <si>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</si>
  <si>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</si>
  <si>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</si>
  <si>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</si>
  <si>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</si>
  <si>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</si>
  <si>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</si>
  <si>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</si>
  <si>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</si>
  <si>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</si>
  <si>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</si>
  <si>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</si>
  <si>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</si>
  <si>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</si>
  <si>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</si>
  <si>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</si>
  <si>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</si>
  <si>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</si>
  <si>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Renseigner les éléments transverses dans le tableau dédié. Celui-ci permettra d'avoir une vision claire de ce qui est audité dans l'onglet "Transverse" de ce fichier.</t>
  </si>
  <si>
    <t>Cliquer sur le bouton "Générer les onglets" pour simplement créer les pages.</t>
  </si>
  <si>
    <t>Dans l'onglet "Récapitulatif"</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</si>
  <si>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</si>
  <si>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</si>
  <si>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Tests par critère</t>
  </si>
  <si>
    <t>Conformité label e-accessible</t>
  </si>
  <si>
    <t>Calcul de la conformité RGAA par critères</t>
  </si>
  <si>
    <t>Données de conformité</t>
  </si>
  <si>
    <t>85</t>
  </si>
  <si>
    <t>93</t>
  </si>
  <si>
    <t>94</t>
  </si>
  <si>
    <t>102</t>
  </si>
  <si>
    <t>103</t>
  </si>
  <si>
    <t>104</t>
  </si>
  <si>
    <t xml:space="preserve"> - L'url de la page ;</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</si>
  <si>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</si>
  <si>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</si>
  <si>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</si>
  <si>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</si>
  <si>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</si>
  <si>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</si>
  <si>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</si>
  <si>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</si>
  <si>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</si>
  <si>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</si>
  <si>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</si>
  <si>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</si>
  <si>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</si>
  <si>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</si>
  <si>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</si>
  <si>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</si>
  <si>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</si>
  <si>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</si>
  <si>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</si>
  <si>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</si>
  <si>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</si>
  <si>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</si>
  <si>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</si>
  <si>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</si>
  <si>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</si>
  <si>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</si>
  <si>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</si>
  <si>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</si>
  <si>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</si>
  <si>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</si>
  <si>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</si>
  <si>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</si>
  <si>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</si>
  <si>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</si>
  <si>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</si>
  <si>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</si>
  <si>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</si>
  <si>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</si>
  <si>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</si>
  <si>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</si>
  <si>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</si>
  <si>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</si>
  <si>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</si>
  <si>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</si>
  <si>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</si>
  <si>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</si>
  <si>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</si>
  <si>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</si>
  <si>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</si>
  <si>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</si>
  <si>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</si>
  <si>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</si>
  <si>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</si>
  <si>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</si>
  <si>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</si>
  <si>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</si>
  <si>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</si>
  <si>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</si>
  <si>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</si>
  <si>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</si>
  <si>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</si>
  <si>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</si>
  <si>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</si>
  <si>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</si>
  <si>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</si>
  <si>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</si>
  <si>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</si>
  <si>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</si>
  <si>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</si>
  <si>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</si>
  <si>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</si>
  <si>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</si>
  <si>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</si>
  <si>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</si>
  <si>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</si>
  <si>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</si>
  <si>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</si>
  <si>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</si>
  <si>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</si>
  <si>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</si>
  <si>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</si>
  <si>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</si>
  <si>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</si>
  <si>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</si>
  <si>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</si>
  <si>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</si>
  <si>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</si>
  <si>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</si>
  <si>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</si>
  <si>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</si>
  <si>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</si>
  <si>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</si>
  <si>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</si>
  <si>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</si>
  <si>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</si>
  <si>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</si>
  <si>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</si>
  <si>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</si>
  <si>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</si>
  <si>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</si>
  <si>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</si>
  <si>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</si>
  <si>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</si>
  <si>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</si>
  <si>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</si>
  <si>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</si>
  <si>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</si>
  <si>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</si>
  <si>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</si>
  <si>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</si>
  <si>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</si>
  <si>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</si>
  <si>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</si>
  <si>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</si>
  <si>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</si>
  <si>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</si>
  <si>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</si>
  <si>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</si>
  <si>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</si>
  <si>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</si>
  <si>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</si>
  <si>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</si>
  <si>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</si>
  <si>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</si>
  <si>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</si>
  <si>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</si>
  <si>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</si>
  <si>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</si>
  <si>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</si>
  <si>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</si>
  <si>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</si>
  <si>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</si>
  <si>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</si>
  <si>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</si>
  <si>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</si>
  <si>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</si>
  <si>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</si>
  <si>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</si>
  <si>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</si>
  <si>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</si>
  <si>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</si>
  <si>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</si>
  <si>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</si>
  <si>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</si>
  <si>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</si>
  <si>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</si>
  <si>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</si>
  <si>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</si>
  <si>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</si>
  <si>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</si>
  <si>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</si>
  <si>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</si>
  <si>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</si>
  <si>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</si>
  <si>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</si>
  <si>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</si>
  <si>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</si>
  <si>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</si>
  <si>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</si>
  <si>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</si>
  <si>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</si>
  <si>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</si>
  <si>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</si>
  <si>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</si>
  <si>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</si>
  <si>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</si>
  <si>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</si>
  <si>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</si>
  <si>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</si>
  <si>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</si>
  <si>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</si>
  <si>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</si>
  <si>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</si>
  <si>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</si>
  <si>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</si>
  <si>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</si>
  <si>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</si>
  <si>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</si>
  <si>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</si>
  <si>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</si>
  <si>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</si>
  <si>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</si>
  <si>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</si>
  <si>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</si>
  <si>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</si>
  <si>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</si>
  <si>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</si>
  <si>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</si>
  <si>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</si>
  <si>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</si>
  <si>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</si>
  <si>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</si>
  <si>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</si>
  <si>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</si>
  <si>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</si>
  <si>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</si>
  <si>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</si>
  <si>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</si>
  <si>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</si>
  <si>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</si>
  <si>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</si>
  <si>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</si>
  <si>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</si>
  <si>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</si>
  <si>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</si>
  <si>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</si>
  <si>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</si>
  <si>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</si>
  <si>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</si>
  <si>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</si>
  <si>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</si>
  <si>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</si>
  <si>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</si>
  <si>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</si>
  <si>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</si>
  <si>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</si>
  <si>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</si>
  <si>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</si>
  <si>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</si>
  <si>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</si>
  <si>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</si>
  <si>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</si>
  <si>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</si>
  <si>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</si>
  <si>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</si>
  <si>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</si>
  <si>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</si>
  <si>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</si>
  <si>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</si>
  <si>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</si>
  <si>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</si>
  <si>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</si>
  <si>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</si>
  <si>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</si>
  <si>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</si>
  <si>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</si>
  <si>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</si>
  <si>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</si>
  <si>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</si>
  <si>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</si>
  <si>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</si>
  <si>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</si>
  <si>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</si>
  <si>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</si>
  <si>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</si>
  <si>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</si>
  <si>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</si>
  <si>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</si>
  <si>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</si>
  <si>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</si>
  <si>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</si>
  <si>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</si>
  <si>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</si>
  <si>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</si>
  <si>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</si>
  <si>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</si>
  <si>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</si>
  <si>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</si>
  <si>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</si>
  <si>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</si>
  <si>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</si>
  <si>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</si>
  <si>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</si>
  <si>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</si>
  <si>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</si>
  <si>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</si>
  <si>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</si>
  <si>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</si>
  <si>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</si>
  <si>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</si>
  <si>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</si>
  <si>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</si>
  <si>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</si>
  <si>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</si>
  <si>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</si>
  <si>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</si>
  <si>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</si>
  <si>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</si>
  <si>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</si>
  <si>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</si>
  <si>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</si>
  <si>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</si>
  <si>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</si>
  <si>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</si>
  <si>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</si>
  <si>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</si>
  <si>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</si>
  <si>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</si>
  <si>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</si>
  <si>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</si>
  <si>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</si>
  <si>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</si>
  <si>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</si>
  <si>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</si>
  <si>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</si>
  <si>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</si>
  <si>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</si>
  <si>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</si>
  <si>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</si>
  <si>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</si>
  <si>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</si>
  <si>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</si>
  <si>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</si>
  <si>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</si>
  <si>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</si>
  <si>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</si>
  <si>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</si>
  <si>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</si>
  <si>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 xml:space="preserve"> - L'url du site.</t>
  </si>
  <si>
    <t xml:space="preserve"> - Les éléments significatifs.</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</si>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</sst>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69">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10" fillId="7" borderId="1" xfId="0" applyFont="1" applyFill="1" applyBorder="1" applyAlignment="1">
      <alignment horizontal="center" vertical="center"/>
    </xf>
    <xf numFmtId="0" fontId="10" fillId="3" borderId="1" xfId="0" applyFont="1" applyFill="1" applyBorder="1" applyAlignment="1">
      <alignment horizontal="center" vertical="center"/>
    </xf>
    <xf numFmtId="0" fontId="7" fillId="0" borderId="0" xfId="0" applyFont="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3" fillId="3" borderId="1" xfId="1" applyFont="1" applyFill="1" applyBorder="1" applyAlignment="1" applyProtection="1">
      <alignment vertical="center"/>
      <protection locked="0"/>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3" fillId="7" borderId="27" xfId="1" applyFont="1" applyFill="1" applyBorder="1" applyAlignment="1">
      <alignment vertical="top" wrapText="1"/>
    </xf>
    <xf numFmtId="0" fontId="3" fillId="7" borderId="27" xfId="1" applyFont="1" applyFill="1" applyBorder="1" applyAlignment="1">
      <alignment vertical="top"/>
    </xf>
    <xf numFmtId="0" fontId="3" fillId="7" borderId="27" xfId="1" applyFont="1" applyFill="1" applyBorder="1" applyAlignment="1">
      <alignment horizontal="center" vertical="top"/>
    </xf>
    <xf numFmtId="0" fontId="3" fillId="3" borderId="27" xfId="1" applyFont="1" applyFill="1" applyBorder="1" applyAlignment="1">
      <alignment vertical="top" wrapText="1"/>
    </xf>
    <xf numFmtId="0" fontId="3" fillId="3" borderId="27" xfId="1" applyFont="1" applyFill="1" applyBorder="1" applyAlignment="1">
      <alignment vertical="top"/>
    </xf>
    <xf numFmtId="0" fontId="3" fillId="3" borderId="27" xfId="1" applyFont="1" applyFill="1" applyBorder="1" applyAlignment="1">
      <alignment horizontal="center" vertical="top"/>
    </xf>
    <xf numFmtId="0" fontId="3" fillId="0" borderId="27" xfId="1" applyFont="1" applyBorder="1" applyAlignment="1">
      <alignment horizontal="left" vertical="top" wrapText="1"/>
    </xf>
    <xf numFmtId="0" fontId="6" fillId="0" borderId="8" xfId="1" applyFont="1" applyBorder="1" applyAlignment="1">
      <alignment horizontal="left" vertical="top" wrapText="1"/>
    </xf>
    <xf numFmtId="0" fontId="3" fillId="3" borderId="27" xfId="1" applyFont="1" applyFill="1" applyBorder="1" applyAlignment="1">
      <alignment horizontal="left" vertical="top" wrapText="1"/>
    </xf>
    <xf numFmtId="0" fontId="3" fillId="0" borderId="8" xfId="1" applyFont="1" applyBorder="1" applyAlignment="1">
      <alignment horizontal="left" vertical="top" wrapText="1"/>
    </xf>
    <xf numFmtId="0" fontId="3" fillId="0" borderId="27" xfId="1" applyFont="1" applyBorder="1" applyAlignment="1">
      <alignment vertical="top" wrapText="1"/>
    </xf>
    <xf numFmtId="0" fontId="3" fillId="0" borderId="27" xfId="1" applyFont="1" applyBorder="1" applyAlignment="1">
      <alignment vertical="top"/>
    </xf>
    <xf numFmtId="0" fontId="3" fillId="0" borderId="27" xfId="1" applyFont="1" applyBorder="1" applyAlignment="1">
      <alignment horizontal="center" vertical="top"/>
    </xf>
    <xf numFmtId="0" fontId="3" fillId="3" borderId="27" xfId="1" applyFont="1" applyFill="1" applyBorder="1" applyAlignment="1">
      <alignment horizontal="center" vertical="top" wrapText="1"/>
    </xf>
    <xf numFmtId="0" fontId="3" fillId="7" borderId="27" xfId="1" applyFont="1" applyFill="1" applyBorder="1" applyAlignment="1">
      <alignment horizontal="center" vertical="top" wrapText="1"/>
    </xf>
    <xf numFmtId="0" fontId="3" fillId="7" borderId="27" xfId="1" applyFont="1" applyFill="1" applyBorder="1" applyAlignment="1">
      <alignment horizontal="left" vertical="top" wrapText="1"/>
    </xf>
    <xf numFmtId="0" fontId="33" fillId="24" borderId="0" xfId="0" applyFont="1" applyFill="1" applyAlignment="1">
      <alignment horizontal="center" vertical="center"/>
    </xf>
    <xf numFmtId="0" fontId="6" fillId="7" borderId="7" xfId="1" applyFont="1" applyFill="1" applyBorder="1" applyAlignment="1">
      <alignment horizontal="left" vertical="top" wrapText="1"/>
    </xf>
    <xf numFmtId="0" fontId="6" fillId="7" borderId="27" xfId="1" applyFont="1" applyFill="1" applyBorder="1" applyAlignment="1">
      <alignment vertical="top" wrapText="1"/>
    </xf>
    <xf numFmtId="0" fontId="6" fillId="7" borderId="23" xfId="1" applyFont="1" applyFill="1" applyBorder="1" applyAlignment="1">
      <alignment horizontal="left" vertical="top" wrapText="1"/>
    </xf>
    <xf numFmtId="0" fontId="6" fillId="3" borderId="27" xfId="1" applyFont="1" applyFill="1" applyBorder="1" applyAlignment="1">
      <alignment horizontal="left" vertical="top" wrapText="1"/>
    </xf>
    <xf numFmtId="0" fontId="6" fillId="7" borderId="27" xfId="1" applyFont="1" applyFill="1" applyBorder="1" applyAlignment="1">
      <alignment horizontal="left" vertical="top" wrapText="1"/>
    </xf>
    <xf numFmtId="0" fontId="3" fillId="7" borderId="7" xfId="1" applyFont="1" applyFill="1" applyBorder="1" applyAlignment="1">
      <alignment horizontal="left" vertical="top" wrapText="1"/>
    </xf>
    <xf numFmtId="0" fontId="6" fillId="7" borderId="0" xfId="0" applyFont="1" applyFill="1" applyAlignment="1">
      <alignment vertical="top" wrapText="1"/>
    </xf>
    <xf numFmtId="0" fontId="6" fillId="3" borderId="7" xfId="1" applyFont="1" applyFill="1" applyBorder="1" applyAlignment="1">
      <alignment horizontal="left" vertical="top" wrapText="1"/>
    </xf>
    <xf numFmtId="0" fontId="6" fillId="7" borderId="6" xfId="1" applyFont="1" applyFill="1" applyBorder="1" applyAlignment="1">
      <alignment horizontal="left" vertical="top" wrapText="1"/>
    </xf>
    <xf numFmtId="0" fontId="6" fillId="3" borderId="8" xfId="1" applyFont="1" applyFill="1" applyBorder="1" applyAlignment="1">
      <alignment horizontal="left" vertical="top" wrapText="1"/>
    </xf>
    <xf numFmtId="0" fontId="6" fillId="3" borderId="23" xfId="1" applyFont="1" applyFill="1" applyBorder="1" applyAlignment="1">
      <alignment horizontal="left" vertical="top" wrapText="1"/>
    </xf>
    <xf numFmtId="0" fontId="3" fillId="7" borderId="8" xfId="1" applyFont="1" applyFill="1" applyBorder="1" applyAlignment="1">
      <alignment horizontal="left" vertical="top" wrapText="1"/>
    </xf>
    <xf numFmtId="0" fontId="3" fillId="3" borderId="8" xfId="1" applyFont="1" applyFill="1" applyBorder="1" applyAlignment="1">
      <alignment horizontal="left" vertical="top" wrapText="1"/>
    </xf>
    <xf numFmtId="0" fontId="6" fillId="7" borderId="8" xfId="1" applyFont="1" applyFill="1" applyBorder="1" applyAlignment="1">
      <alignment horizontal="left" vertical="top" wrapText="1"/>
    </xf>
    <xf numFmtId="0" fontId="3" fillId="3" borderId="7" xfId="1" applyFont="1" applyFill="1" applyBorder="1" applyAlignment="1">
      <alignment horizontal="left" vertical="top" wrapText="1"/>
    </xf>
    <xf numFmtId="0" fontId="6" fillId="7" borderId="3" xfId="1" applyFont="1" applyFill="1" applyBorder="1" applyAlignment="1">
      <alignment horizontal="left" vertical="top" wrapText="1"/>
    </xf>
    <xf numFmtId="0" fontId="3" fillId="7" borderId="23" xfId="1" applyFont="1" applyFill="1" applyBorder="1" applyAlignment="1">
      <alignment horizontal="left" vertical="top" wrapText="1"/>
    </xf>
    <xf numFmtId="0" fontId="3" fillId="3" borderId="23" xfId="1" applyFont="1" applyFill="1" applyBorder="1" applyAlignment="1">
      <alignment horizontal="left" vertical="top" wrapText="1"/>
    </xf>
    <xf numFmtId="0" fontId="3" fillId="3" borderId="3" xfId="1" applyFont="1" applyFill="1" applyBorder="1" applyAlignment="1">
      <alignment horizontal="left" vertical="top" wrapText="1"/>
    </xf>
    <xf numFmtId="0" fontId="54" fillId="32" borderId="27" xfId="1" applyFont="1" applyFill="1" applyBorder="1" applyAlignment="1">
      <alignment horizontal="center" vertical="center" wrapText="1"/>
    </xf>
    <xf numFmtId="0" fontId="55" fillId="34" borderId="27"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30" xfId="0" applyFill="1" applyBorder="1" applyAlignment="1">
      <alignment vertical="center"/>
    </xf>
    <xf numFmtId="0" fontId="0" fillId="6" borderId="30" xfId="0" applyFill="1" applyBorder="1" applyAlignment="1">
      <alignment horizontal="center" vertical="center"/>
    </xf>
    <xf numFmtId="0" fontId="0" fillId="9" borderId="30" xfId="0" applyFill="1" applyBorder="1" applyAlignment="1">
      <alignment vertical="center" wrapText="1"/>
    </xf>
    <xf numFmtId="0" fontId="3" fillId="7" borderId="0" xfId="1" applyNumberFormat="1" applyFont="1" applyFill="1" applyBorder="1" applyAlignment="1">
      <alignment horizontal="right" vertical="center"/>
    </xf>
    <xf numFmtId="0" fontId="3" fillId="3" borderId="0" xfId="1" applyNumberFormat="1" applyFont="1" applyFill="1" applyBorder="1" applyAlignment="1">
      <alignment horizontal="right" vertical="center"/>
    </xf>
    <xf numFmtId="0" fontId="3" fillId="7" borderId="0" xfId="1" applyNumberFormat="1" applyFont="1" applyFill="1" applyBorder="1" applyAlignment="1">
      <alignment horizontal="right" vertical="center" wrapText="1"/>
    </xf>
    <xf numFmtId="0" fontId="3" fillId="3" borderId="0" xfId="1" applyNumberFormat="1" applyFont="1" applyFill="1" applyBorder="1" applyAlignment="1">
      <alignment horizontal="right" vertical="center" wrapText="1"/>
    </xf>
    <xf numFmtId="0" fontId="0" fillId="13" borderId="31" xfId="0" applyFill="1" applyBorder="1" applyAlignment="1">
      <alignment vertical="center"/>
    </xf>
    <xf numFmtId="0" fontId="0" fillId="13" borderId="31" xfId="0" applyFill="1" applyBorder="1" applyAlignment="1">
      <alignment horizontal="right" vertical="center"/>
    </xf>
    <xf numFmtId="0" fontId="0" fillId="18" borderId="31" xfId="0" applyFill="1" applyBorder="1" applyAlignment="1">
      <alignment vertical="center"/>
    </xf>
    <xf numFmtId="0" fontId="0" fillId="18" borderId="31" xfId="0" applyFill="1" applyBorder="1" applyAlignment="1">
      <alignment horizontal="right" vertical="center"/>
    </xf>
    <xf numFmtId="0" fontId="30" fillId="15" borderId="0" xfId="0" applyFont="1" applyFill="1" applyAlignment="1">
      <alignment vertical="center"/>
    </xf>
    <xf numFmtId="0" fontId="30" fillId="15" borderId="0" xfId="0" applyFont="1" applyFill="1" applyAlignment="1">
      <alignment horizontal="right" vertical="center"/>
    </xf>
    <xf numFmtId="0" fontId="12"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49" fontId="0" fillId="0" borderId="0" xfId="4" applyNumberFormat="1" applyFont="1" applyAlignment="1">
      <alignment horizontal="center" vertical="center" wrapTex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5" borderId="0" xfId="0" applyFont="1" applyFill="1" applyAlignment="1">
      <alignment horizontal="center" vertical="center"/>
    </xf>
    <xf numFmtId="0" fontId="12"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260" totalsRowShown="0" headerRowDxfId="302" dataDxfId="300" headerRowBorderDxfId="301" tableBorderDxfId="299" headerRowCellStyle="Normal 2" dataCellStyle="Normal 2">
  <autoFilter ref="B3:Q260" xr:uid="{00000000-0009-0000-0100-000004000000}"/>
  <tableColumns count="16">
    <tableColumn id="1" xr3:uid="{00000000-0010-0000-0100-000001000000}" name="Thématique" dataDxfId="298" dataCellStyle="Normal 2"/>
    <tableColumn id="12" xr3:uid="{00000000-0010-0000-0100-00000C000000}" name="Intitulé du critère" dataDxfId="297" dataCellStyle="Normal 2"/>
    <tableColumn id="2" xr3:uid="{00000000-0010-0000-0100-000002000000}" name="Test" dataDxfId="296" dataCellStyle="Normal 2"/>
    <tableColumn id="4" xr3:uid="{00000000-0010-0000-0100-000004000000}" name="Niveau" dataDxfId="295" dataCellStyle="Normal 2"/>
    <tableColumn id="5" xr3:uid="{00000000-0010-0000-0100-000005000000}" name="Intitulé du test" dataDxfId="294" dataCellStyle="Normal 2"/>
    <tableColumn id="6" xr3:uid="{00000000-0010-0000-0100-000006000000}" name="Méthode" dataDxfId="293" dataCellStyle="Normal 2"/>
    <tableColumn id="7" xr3:uid="{00000000-0010-0000-0100-000007000000}" name="État" dataDxfId="292"/>
    <tableColumn id="3" xr3:uid="{00000000-0010-0000-0100-000003000000}" name="Label e-accessible" dataDxfId="291" dataCellStyle="Normal 2"/>
    <tableColumn id="8" xr3:uid="{00000000-0010-0000-0100-000008000000}" name="Date" dataDxfId="290" dataCellStyle="Normal 2"/>
    <tableColumn id="9" xr3:uid="{00000000-0010-0000-0100-000009000000}" name="Correctif" dataDxfId="289" dataCellStyle="Normal 2"/>
    <tableColumn id="14" xr3:uid="{00000000-0010-0000-0100-00000E000000}" name="Exemple de code" dataDxfId="288" dataCellStyle="Normal 2"/>
    <tableColumn id="15" xr3:uid="{00000000-0010-0000-0100-00000F000000}" name="Commentaires" dataDxfId="287" dataCellStyle="Normal 2"/>
    <tableColumn id="16" xr3:uid="{00000000-0010-0000-0100-000010000000}" name="Erreur transverse" dataDxfId="286" dataCellStyle="Normal 2"/>
    <tableColumn id="10" xr3:uid="{00000000-0010-0000-0100-00000A000000}" name="Difficulté" dataDxfId="285" dataCellStyle="Normal 2"/>
    <tableColumn id="11" xr3:uid="{00000000-0010-0000-0100-00000B000000}" name="Reproductibilité" dataDxfId="284" dataCellStyle="Normal 2"/>
    <tableColumn id="13" xr3:uid="{00000000-0010-0000-0100-00000D000000}" name="Priorité" dataDxfId="283"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267" totalsRowShown="0" headerRowDxfId="227" dataDxfId="225" headerRowBorderDxfId="226" tableBorderDxfId="224" headerRowCellStyle="Normal 2">
  <autoFilter ref="A10:GJ267" xr:uid="{00000000-0009-0000-0100-000001000000}"/>
  <tableColumns count="192">
    <tableColumn id="1" xr3:uid="{00000000-0010-0000-0500-000001000000}" name="Thématique" dataDxfId="223" dataCellStyle="Normal 2"/>
    <tableColumn id="7" xr3:uid="{00000000-0010-0000-0500-000007000000}" name="Intitulé du critère" dataDxfId="222" dataCellStyle="Normal 2"/>
    <tableColumn id="2" xr3:uid="{00000000-0010-0000-0500-000002000000}" name="Test" dataDxfId="221" dataCellStyle="Normal 2"/>
    <tableColumn id="3" xr3:uid="{00000000-0010-0000-0500-000003000000}" name="Niveau" dataDxfId="220" dataCellStyle="Normal 2"/>
    <tableColumn id="4" xr3:uid="{00000000-0010-0000-0500-000004000000}" name="Intitulé du test" dataDxfId="219" dataCellStyle="Normal 2"/>
    <tableColumn id="15" xr3:uid="{00000000-0010-0000-0500-00000F000000}" name="Commentaire Général" dataDxfId="218" dataCellStyle="Normal 2"/>
    <tableColumn id="8" xr3:uid="{00000000-0010-0000-0500-000008000000}" name="Colonne1" dataDxfId="217" dataCellStyle="Normal 2"/>
    <tableColumn id="9" xr3:uid="{00000000-0010-0000-0500-000009000000}" name="Colonne2" dataDxfId="216" dataCellStyle="Normal 2"/>
    <tableColumn id="10" xr3:uid="{00000000-0010-0000-0500-00000A000000}" name="Colonne3" dataDxfId="215" dataCellStyle="Normal 2"/>
    <tableColumn id="11" xr3:uid="{00000000-0010-0000-0500-00000B000000}" name="Colonne4" dataDxfId="214" dataCellStyle="Normal 2"/>
    <tableColumn id="12" xr3:uid="{00000000-0010-0000-0500-00000C000000}" name="Colonne5" dataDxfId="213" dataCellStyle="Normal 2"/>
    <tableColumn id="13" xr3:uid="{00000000-0010-0000-0500-00000D000000}" name="Colonne6" dataDxfId="212" dataCellStyle="Normal 2"/>
    <tableColumn id="14" xr3:uid="{00000000-0010-0000-0500-00000E000000}" name="Colonne7" dataDxfId="211" dataCellStyle="Normal 2"/>
    <tableColumn id="16" xr3:uid="{00000000-0010-0000-0500-000010000000}" name="Colonne8" dataDxfId="210" dataCellStyle="Normal 2"/>
    <tableColumn id="17" xr3:uid="{00000000-0010-0000-0500-000011000000}" name="Colonne9" dataDxfId="209" dataCellStyle="Normal 2"/>
    <tableColumn id="18" xr3:uid="{00000000-0010-0000-0500-000012000000}" name="Colonne10" dataDxfId="208" dataCellStyle="Normal 2"/>
    <tableColumn id="19" xr3:uid="{00000000-0010-0000-0500-000013000000}" name="Colonne11" dataDxfId="207" dataCellStyle="Normal 2"/>
    <tableColumn id="20" xr3:uid="{00000000-0010-0000-0500-000014000000}" name="Colonne12" dataDxfId="206" dataCellStyle="Normal 2"/>
    <tableColumn id="21" xr3:uid="{00000000-0010-0000-0500-000015000000}" name="Colonne13" dataDxfId="205" dataCellStyle="Normal 2"/>
    <tableColumn id="22" xr3:uid="{00000000-0010-0000-0500-000016000000}" name="Colonne14" dataDxfId="204" dataCellStyle="Normal 2"/>
    <tableColumn id="23" xr3:uid="{00000000-0010-0000-0500-000017000000}" name="Colonne15" dataDxfId="203" dataCellStyle="Normal 2"/>
    <tableColumn id="24" xr3:uid="{00000000-0010-0000-0500-000018000000}" name="Colonne16" dataDxfId="202" dataCellStyle="Normal 2"/>
    <tableColumn id="25" xr3:uid="{00000000-0010-0000-0500-000019000000}" name="Colonne17" dataDxfId="201" dataCellStyle="Normal 2"/>
    <tableColumn id="26" xr3:uid="{00000000-0010-0000-0500-00001A000000}" name="Colonne18" dataDxfId="200" dataCellStyle="Normal 2"/>
    <tableColumn id="27" xr3:uid="{00000000-0010-0000-0500-00001B000000}" name="Colonne19" dataDxfId="199" dataCellStyle="Normal 2"/>
    <tableColumn id="28" xr3:uid="{00000000-0010-0000-0500-00001C000000}" name="Colonne20" dataDxfId="198" dataCellStyle="Normal 2"/>
    <tableColumn id="29" xr3:uid="{00000000-0010-0000-0500-00001D000000}" name="Colonne21" dataDxfId="197" dataCellStyle="Normal 2"/>
    <tableColumn id="30" xr3:uid="{00000000-0010-0000-0500-00001E000000}" name="Colonne22" dataDxfId="196" dataCellStyle="Normal 2"/>
    <tableColumn id="31" xr3:uid="{00000000-0010-0000-0500-00001F000000}" name="Colonne23" dataDxfId="195" dataCellStyle="Normal 2"/>
    <tableColumn id="32" xr3:uid="{00000000-0010-0000-0500-000020000000}" name="Colonne24" dataDxfId="194" dataCellStyle="Normal 2"/>
    <tableColumn id="33" xr3:uid="{00000000-0010-0000-0500-000021000000}" name="Colonne25" dataDxfId="193" dataCellStyle="Normal 2"/>
    <tableColumn id="34" xr3:uid="{00000000-0010-0000-0500-000022000000}" name="Colonne26" dataDxfId="192" dataCellStyle="Normal 2"/>
    <tableColumn id="35" xr3:uid="{00000000-0010-0000-0500-000023000000}" name="Colonne27" dataDxfId="191" dataCellStyle="Normal 2"/>
    <tableColumn id="36" xr3:uid="{00000000-0010-0000-0500-000024000000}" name="Colonne28" dataDxfId="190" dataCellStyle="Normal 2"/>
    <tableColumn id="37" xr3:uid="{00000000-0010-0000-0500-000025000000}" name="Colonne29" dataDxfId="189" dataCellStyle="Normal 2"/>
    <tableColumn id="38" xr3:uid="{00000000-0010-0000-0500-000026000000}" name="Colonne30" dataDxfId="188" dataCellStyle="Normal 2"/>
    <tableColumn id="39" xr3:uid="{00000000-0010-0000-0500-000027000000}" name="Colonne31" dataDxfId="187" dataCellStyle="Normal 2"/>
    <tableColumn id="40" xr3:uid="{00000000-0010-0000-0500-000028000000}" name="Colonne32" dataDxfId="186" dataCellStyle="Normal 2"/>
    <tableColumn id="41" xr3:uid="{00000000-0010-0000-0500-000029000000}" name="Colonne33" dataDxfId="185" dataCellStyle="Normal 2"/>
    <tableColumn id="42" xr3:uid="{00000000-0010-0000-0500-00002A000000}" name="Colonne34" dataDxfId="184" dataCellStyle="Normal 2"/>
    <tableColumn id="43" xr3:uid="{00000000-0010-0000-0500-00002B000000}" name="Colonne35" dataDxfId="183" dataCellStyle="Normal 2"/>
    <tableColumn id="44" xr3:uid="{00000000-0010-0000-0500-00002C000000}" name="Colonne36" dataDxfId="182" dataCellStyle="Normal 2"/>
    <tableColumn id="45" xr3:uid="{00000000-0010-0000-0500-00002D000000}" name="Colonne37" dataDxfId="181" dataCellStyle="Normal 2"/>
    <tableColumn id="46" xr3:uid="{00000000-0010-0000-0500-00002E000000}" name="Colonne38" dataDxfId="180" dataCellStyle="Normal 2"/>
    <tableColumn id="47" xr3:uid="{00000000-0010-0000-0500-00002F000000}" name="Colonne39" dataDxfId="179" dataCellStyle="Normal 2"/>
    <tableColumn id="48" xr3:uid="{00000000-0010-0000-0500-000030000000}" name="Colonne40" dataDxfId="178" dataCellStyle="Normal 2"/>
    <tableColumn id="49" xr3:uid="{00000000-0010-0000-0500-000031000000}" name="Colonne41" dataDxfId="177" dataCellStyle="Normal 2"/>
    <tableColumn id="50" xr3:uid="{00000000-0010-0000-0500-000032000000}" name="Colonne42" dataDxfId="176" dataCellStyle="Normal 2"/>
    <tableColumn id="51" xr3:uid="{00000000-0010-0000-0500-000033000000}" name="Colonne43" dataDxfId="175" dataCellStyle="Normal 2"/>
    <tableColumn id="52" xr3:uid="{00000000-0010-0000-0500-000034000000}" name="Colonne44" dataDxfId="174" dataCellStyle="Normal 2"/>
    <tableColumn id="53" xr3:uid="{00000000-0010-0000-0500-000035000000}" name="Colonne45" dataDxfId="173" dataCellStyle="Normal 2"/>
    <tableColumn id="54" xr3:uid="{00000000-0010-0000-0500-000036000000}" name="Colonne46" dataDxfId="172" dataCellStyle="Normal 2"/>
    <tableColumn id="55" xr3:uid="{00000000-0010-0000-0500-000037000000}" name="Colonne47" dataDxfId="171" dataCellStyle="Normal 2"/>
    <tableColumn id="56" xr3:uid="{00000000-0010-0000-0500-000038000000}" name="Colonne48" dataDxfId="170" dataCellStyle="Normal 2"/>
    <tableColumn id="57" xr3:uid="{00000000-0010-0000-0500-000039000000}" name="Colonne49" dataDxfId="169" dataCellStyle="Normal 2"/>
    <tableColumn id="58" xr3:uid="{00000000-0010-0000-0500-00003A000000}" name="Colonne50" dataDxfId="168" dataCellStyle="Normal 2"/>
    <tableColumn id="59" xr3:uid="{00000000-0010-0000-0500-00003B000000}" name="Colonne51" dataDxfId="167" dataCellStyle="Normal 2"/>
    <tableColumn id="60" xr3:uid="{00000000-0010-0000-0500-00003C000000}" name="Colonne52" dataDxfId="166" dataCellStyle="Normal 2"/>
    <tableColumn id="61" xr3:uid="{00000000-0010-0000-0500-00003D000000}" name="Colonne53" dataDxfId="165" dataCellStyle="Normal 2"/>
    <tableColumn id="62" xr3:uid="{00000000-0010-0000-0500-00003E000000}" name="Colonne54" dataDxfId="164" dataCellStyle="Normal 2"/>
    <tableColumn id="63" xr3:uid="{00000000-0010-0000-0500-00003F000000}" name="Colonne55" dataDxfId="163" dataCellStyle="Normal 2"/>
    <tableColumn id="64" xr3:uid="{00000000-0010-0000-0500-000040000000}" name="Colonne56" dataDxfId="162" dataCellStyle="Normal 2"/>
    <tableColumn id="65" xr3:uid="{00000000-0010-0000-0500-000041000000}" name="Colonne57" dataDxfId="161" dataCellStyle="Normal 2"/>
    <tableColumn id="66" xr3:uid="{00000000-0010-0000-0500-000042000000}" name="Colonne58" dataDxfId="160" dataCellStyle="Normal 2"/>
    <tableColumn id="67" xr3:uid="{00000000-0010-0000-0500-000043000000}" name="Colonne59" dataDxfId="159" dataCellStyle="Normal 2"/>
    <tableColumn id="68" xr3:uid="{00000000-0010-0000-0500-000044000000}" name="Colonne60" dataDxfId="158" dataCellStyle="Normal 2"/>
    <tableColumn id="69" xr3:uid="{00000000-0010-0000-0500-000045000000}" name="Colonne61" dataDxfId="157" dataCellStyle="Normal 2"/>
    <tableColumn id="70" xr3:uid="{00000000-0010-0000-0500-000046000000}" name="Colonne62" dataDxfId="156" dataCellStyle="Normal 2"/>
    <tableColumn id="71" xr3:uid="{00000000-0010-0000-0500-000047000000}" name="Colonne63" dataDxfId="155" dataCellStyle="Normal 2"/>
    <tableColumn id="72" xr3:uid="{00000000-0010-0000-0500-000048000000}" name="Colonne64" dataDxfId="154" dataCellStyle="Normal 2"/>
    <tableColumn id="73" xr3:uid="{00000000-0010-0000-0500-000049000000}" name="Colonne65" dataDxfId="153" dataCellStyle="Normal 2"/>
    <tableColumn id="74" xr3:uid="{00000000-0010-0000-0500-00004A000000}" name="Colonne66" dataDxfId="152" dataCellStyle="Normal 2"/>
    <tableColumn id="75" xr3:uid="{00000000-0010-0000-0500-00004B000000}" name="Colonne67" dataDxfId="151" dataCellStyle="Normal 2"/>
    <tableColumn id="76" xr3:uid="{00000000-0010-0000-0500-00004C000000}" name="Colonne68" dataDxfId="150" dataCellStyle="Normal 2"/>
    <tableColumn id="77" xr3:uid="{00000000-0010-0000-0500-00004D000000}" name="Colonne69" dataDxfId="149" dataCellStyle="Normal 2"/>
    <tableColumn id="78" xr3:uid="{00000000-0010-0000-0500-00004E000000}" name="Colonne70" dataDxfId="148" dataCellStyle="Normal 2"/>
    <tableColumn id="79" xr3:uid="{00000000-0010-0000-0500-00004F000000}" name="Colonne71" dataDxfId="147" dataCellStyle="Normal 2"/>
    <tableColumn id="80" xr3:uid="{00000000-0010-0000-0500-000050000000}" name="Colonne72" dataDxfId="146" dataCellStyle="Normal 2"/>
    <tableColumn id="81" xr3:uid="{00000000-0010-0000-0500-000051000000}" name="Colonne73" dataDxfId="145" dataCellStyle="Normal 2"/>
    <tableColumn id="82" xr3:uid="{00000000-0010-0000-0500-000052000000}" name="Colonne74" dataDxfId="144" dataCellStyle="Normal 2"/>
    <tableColumn id="83" xr3:uid="{00000000-0010-0000-0500-000053000000}" name="Colonne75" dataDxfId="143" dataCellStyle="Normal 2"/>
    <tableColumn id="84" xr3:uid="{00000000-0010-0000-0500-000054000000}" name="Colonne76" dataDxfId="142" dataCellStyle="Normal 2"/>
    <tableColumn id="85" xr3:uid="{00000000-0010-0000-0500-000055000000}" name="Colonne77" dataDxfId="141" dataCellStyle="Normal 2"/>
    <tableColumn id="86" xr3:uid="{00000000-0010-0000-0500-000056000000}" name="Colonne78" dataDxfId="140" dataCellStyle="Normal 2"/>
    <tableColumn id="87" xr3:uid="{00000000-0010-0000-0500-000057000000}" name="Colonne79" dataDxfId="139" dataCellStyle="Normal 2"/>
    <tableColumn id="88" xr3:uid="{00000000-0010-0000-0500-000058000000}" name="Colonne80" dataDxfId="138" dataCellStyle="Normal 2"/>
    <tableColumn id="89" xr3:uid="{00000000-0010-0000-0500-000059000000}" name="Colonne81" dataDxfId="137" dataCellStyle="Normal 2"/>
    <tableColumn id="90" xr3:uid="{00000000-0010-0000-0500-00005A000000}" name="Colonne82" dataDxfId="136" dataCellStyle="Normal 2"/>
    <tableColumn id="91" xr3:uid="{00000000-0010-0000-0500-00005B000000}" name="Colonne83" dataDxfId="135" dataCellStyle="Normal 2"/>
    <tableColumn id="92" xr3:uid="{00000000-0010-0000-0500-00005C000000}" name="Colonne84" dataDxfId="134" dataCellStyle="Normal 2"/>
    <tableColumn id="93" xr3:uid="{00000000-0010-0000-0500-00005D000000}" name="Colonne85" dataDxfId="133" dataCellStyle="Normal 2"/>
    <tableColumn id="94" xr3:uid="{00000000-0010-0000-0500-00005E000000}" name="Colonne86" dataDxfId="132" dataCellStyle="Normal 2"/>
    <tableColumn id="95" xr3:uid="{00000000-0010-0000-0500-00005F000000}" name="Colonne87" dataDxfId="131" dataCellStyle="Normal 2"/>
    <tableColumn id="96" xr3:uid="{00000000-0010-0000-0500-000060000000}" name="Colonne88" dataDxfId="130" dataCellStyle="Normal 2"/>
    <tableColumn id="97" xr3:uid="{00000000-0010-0000-0500-000061000000}" name="Colonne89" dataDxfId="129" dataCellStyle="Normal 2"/>
    <tableColumn id="98" xr3:uid="{00000000-0010-0000-0500-000062000000}" name="Colonne90" dataDxfId="128" dataCellStyle="Normal 2"/>
    <tableColumn id="99" xr3:uid="{00000000-0010-0000-0500-000063000000}" name="Colonne91" dataDxfId="127" dataCellStyle="Normal 2"/>
    <tableColumn id="100" xr3:uid="{00000000-0010-0000-0500-000064000000}" name="Colonne92" dataDxfId="126" dataCellStyle="Normal 2"/>
    <tableColumn id="101" xr3:uid="{00000000-0010-0000-0500-000065000000}" name="Colonne93" dataDxfId="125" dataCellStyle="Normal 2"/>
    <tableColumn id="102" xr3:uid="{00000000-0010-0000-0500-000066000000}" name="Colonne94" dataDxfId="124" dataCellStyle="Normal 2"/>
    <tableColumn id="103" xr3:uid="{00000000-0010-0000-0500-000067000000}" name="Colonne95" dataDxfId="123" dataCellStyle="Normal 2"/>
    <tableColumn id="104" xr3:uid="{00000000-0010-0000-0500-000068000000}" name="Colonne96" dataDxfId="122" dataCellStyle="Normal 2"/>
    <tableColumn id="105" xr3:uid="{00000000-0010-0000-0500-000069000000}" name="Colonne97" dataDxfId="121" dataCellStyle="Normal 2"/>
    <tableColumn id="106" xr3:uid="{00000000-0010-0000-0500-00006A000000}" name="Colonne98" dataDxfId="120" dataCellStyle="Normal 2"/>
    <tableColumn id="107" xr3:uid="{00000000-0010-0000-0500-00006B000000}" name="Colonne99" dataDxfId="119" dataCellStyle="Normal 2"/>
    <tableColumn id="108" xr3:uid="{00000000-0010-0000-0500-00006C000000}" name="Colonne100" dataDxfId="118" dataCellStyle="Normal 2"/>
    <tableColumn id="109" xr3:uid="{00000000-0010-0000-0500-00006D000000}" name="Colonne101" dataDxfId="117" dataCellStyle="Normal 2"/>
    <tableColumn id="110" xr3:uid="{00000000-0010-0000-0500-00006E000000}" name="Colonne102" dataDxfId="116" dataCellStyle="Normal 2"/>
    <tableColumn id="111" xr3:uid="{00000000-0010-0000-0500-00006F000000}" name="Colonne103" dataDxfId="115" dataCellStyle="Normal 2"/>
    <tableColumn id="112" xr3:uid="{00000000-0010-0000-0500-000070000000}" name="Colonne104" dataDxfId="114" dataCellStyle="Normal 2"/>
    <tableColumn id="113" xr3:uid="{00000000-0010-0000-0500-000071000000}" name="Colonne105" dataDxfId="113" dataCellStyle="Normal 2"/>
    <tableColumn id="114" xr3:uid="{00000000-0010-0000-0500-000072000000}" name="Colonne106" dataDxfId="112" dataCellStyle="Normal 2"/>
    <tableColumn id="115" xr3:uid="{00000000-0010-0000-0500-000073000000}" name="Colonne107" dataDxfId="111" dataCellStyle="Normal 2"/>
    <tableColumn id="116" xr3:uid="{00000000-0010-0000-0500-000074000000}" name="Colonne108" dataDxfId="110" dataCellStyle="Normal 2"/>
    <tableColumn id="117" xr3:uid="{00000000-0010-0000-0500-000075000000}" name="Colonne109" dataDxfId="109" dataCellStyle="Normal 2"/>
    <tableColumn id="118" xr3:uid="{00000000-0010-0000-0500-000076000000}" name="Colonne110" dataDxfId="108" dataCellStyle="Normal 2"/>
    <tableColumn id="119" xr3:uid="{00000000-0010-0000-0500-000077000000}" name="Colonne111" dataDxfId="107" dataCellStyle="Normal 2"/>
    <tableColumn id="120" xr3:uid="{00000000-0010-0000-0500-000078000000}" name="Colonne112" dataDxfId="106" dataCellStyle="Normal 2"/>
    <tableColumn id="121" xr3:uid="{00000000-0010-0000-0500-000079000000}" name="Colonne113" dataDxfId="105" dataCellStyle="Normal 2"/>
    <tableColumn id="122" xr3:uid="{00000000-0010-0000-0500-00007A000000}" name="Colonne114" dataDxfId="104" dataCellStyle="Normal 2"/>
    <tableColumn id="123" xr3:uid="{00000000-0010-0000-0500-00007B000000}" name="Colonne115" dataDxfId="103" dataCellStyle="Normal 2"/>
    <tableColumn id="124" xr3:uid="{00000000-0010-0000-0500-00007C000000}" name="Colonne116" dataDxfId="102" dataCellStyle="Normal 2"/>
    <tableColumn id="125" xr3:uid="{00000000-0010-0000-0500-00007D000000}" name="Colonne117" dataDxfId="101" dataCellStyle="Normal 2"/>
    <tableColumn id="126" xr3:uid="{00000000-0010-0000-0500-00007E000000}" name="Colonne118" dataDxfId="100" dataCellStyle="Normal 2"/>
    <tableColumn id="127" xr3:uid="{00000000-0010-0000-0500-00007F000000}" name="Colonne119" dataDxfId="99" dataCellStyle="Normal 2"/>
    <tableColumn id="128" xr3:uid="{00000000-0010-0000-0500-000080000000}" name="Colonne120" dataDxfId="98" dataCellStyle="Normal 2"/>
    <tableColumn id="129" xr3:uid="{00000000-0010-0000-0500-000081000000}" name="Colonne121" dataDxfId="97" dataCellStyle="Normal 2"/>
    <tableColumn id="130" xr3:uid="{00000000-0010-0000-0500-000082000000}" name="Colonne122" dataDxfId="96" dataCellStyle="Normal 2"/>
    <tableColumn id="131" xr3:uid="{00000000-0010-0000-0500-000083000000}" name="Colonne123" dataDxfId="95" dataCellStyle="Normal 2"/>
    <tableColumn id="132" xr3:uid="{00000000-0010-0000-0500-000084000000}" name="Colonne124" dataDxfId="94" dataCellStyle="Normal 2"/>
    <tableColumn id="133" xr3:uid="{00000000-0010-0000-0500-000085000000}" name="Colonne125" dataDxfId="93" dataCellStyle="Normal 2"/>
    <tableColumn id="134" xr3:uid="{00000000-0010-0000-0500-000086000000}" name="Colonne126" dataDxfId="92" dataCellStyle="Normal 2"/>
    <tableColumn id="135" xr3:uid="{00000000-0010-0000-0500-000087000000}" name="Colonne127" dataDxfId="91" dataCellStyle="Normal 2"/>
    <tableColumn id="136" xr3:uid="{00000000-0010-0000-0500-000088000000}" name="Colonne128" dataDxfId="90" dataCellStyle="Normal 2"/>
    <tableColumn id="137" xr3:uid="{00000000-0010-0000-0500-000089000000}" name="Colonne129" dataDxfId="89" dataCellStyle="Normal 2"/>
    <tableColumn id="138" xr3:uid="{00000000-0010-0000-0500-00008A000000}" name="Colonne130" dataDxfId="88" dataCellStyle="Normal 2"/>
    <tableColumn id="139" xr3:uid="{00000000-0010-0000-0500-00008B000000}" name="Colonne131" dataDxfId="87" dataCellStyle="Normal 2"/>
    <tableColumn id="140" xr3:uid="{00000000-0010-0000-0500-00008C000000}" name="Colonne132" dataDxfId="86" dataCellStyle="Normal 2"/>
    <tableColumn id="141" xr3:uid="{00000000-0010-0000-0500-00008D000000}" name="Colonne133" dataDxfId="85" dataCellStyle="Normal 2"/>
    <tableColumn id="142" xr3:uid="{00000000-0010-0000-0500-00008E000000}" name="Colonne134" dataDxfId="84" dataCellStyle="Normal 2"/>
    <tableColumn id="143" xr3:uid="{00000000-0010-0000-0500-00008F000000}" name="Colonne135" dataDxfId="83" dataCellStyle="Normal 2"/>
    <tableColumn id="144" xr3:uid="{00000000-0010-0000-0500-000090000000}" name="Colonne136" dataDxfId="82" dataCellStyle="Normal 2"/>
    <tableColumn id="145" xr3:uid="{00000000-0010-0000-0500-000091000000}" name="Colonne137" dataDxfId="81" dataCellStyle="Normal 2"/>
    <tableColumn id="146" xr3:uid="{00000000-0010-0000-0500-000092000000}" name="Colonne138" dataDxfId="80" dataCellStyle="Normal 2"/>
    <tableColumn id="147" xr3:uid="{00000000-0010-0000-0500-000093000000}" name="Colonne139" dataDxfId="79" dataCellStyle="Normal 2"/>
    <tableColumn id="148" xr3:uid="{00000000-0010-0000-0500-000094000000}" name="Colonne140" dataDxfId="78" dataCellStyle="Normal 2"/>
    <tableColumn id="149" xr3:uid="{00000000-0010-0000-0500-000095000000}" name="Colonne141" dataDxfId="77" dataCellStyle="Normal 2"/>
    <tableColumn id="150" xr3:uid="{00000000-0010-0000-0500-000096000000}" name="Colonne142" dataDxfId="76" dataCellStyle="Normal 2"/>
    <tableColumn id="151" xr3:uid="{00000000-0010-0000-0500-000097000000}" name="Colonne143" dataDxfId="75" dataCellStyle="Normal 2"/>
    <tableColumn id="152" xr3:uid="{00000000-0010-0000-0500-000098000000}" name="Colonne144" dataDxfId="74" dataCellStyle="Normal 2"/>
    <tableColumn id="153" xr3:uid="{00000000-0010-0000-0500-000099000000}" name="Colonne145" dataDxfId="73" dataCellStyle="Normal 2"/>
    <tableColumn id="154" xr3:uid="{00000000-0010-0000-0500-00009A000000}" name="Colonne146" dataDxfId="72" dataCellStyle="Normal 2"/>
    <tableColumn id="155" xr3:uid="{00000000-0010-0000-0500-00009B000000}" name="Colonne147" dataDxfId="71" dataCellStyle="Normal 2"/>
    <tableColumn id="156" xr3:uid="{00000000-0010-0000-0500-00009C000000}" name="Colonne148" dataDxfId="70" dataCellStyle="Normal 2"/>
    <tableColumn id="157" xr3:uid="{00000000-0010-0000-0500-00009D000000}" name="Colonne149" dataDxfId="69" dataCellStyle="Normal 2"/>
    <tableColumn id="158" xr3:uid="{00000000-0010-0000-0500-00009E000000}" name="Colonne150" dataDxfId="68" dataCellStyle="Normal 2"/>
    <tableColumn id="159" xr3:uid="{00000000-0010-0000-0500-00009F000000}" name="Colonne151" dataDxfId="67" dataCellStyle="Normal 2"/>
    <tableColumn id="160" xr3:uid="{00000000-0010-0000-0500-0000A0000000}" name="Colonne152" dataDxfId="66" dataCellStyle="Normal 2"/>
    <tableColumn id="161" xr3:uid="{00000000-0010-0000-0500-0000A1000000}" name="Colonne153" dataDxfId="65" dataCellStyle="Normal 2"/>
    <tableColumn id="162" xr3:uid="{00000000-0010-0000-0500-0000A2000000}" name="Colonne154" dataDxfId="64" dataCellStyle="Normal 2"/>
    <tableColumn id="163" xr3:uid="{00000000-0010-0000-0500-0000A3000000}" name="Colonne155" dataDxfId="63" dataCellStyle="Normal 2"/>
    <tableColumn id="164" xr3:uid="{00000000-0010-0000-0500-0000A4000000}" name="Colonne156" dataDxfId="62" dataCellStyle="Normal 2"/>
    <tableColumn id="165" xr3:uid="{00000000-0010-0000-0500-0000A5000000}" name="Colonne157" dataDxfId="61" dataCellStyle="Normal 2"/>
    <tableColumn id="166" xr3:uid="{00000000-0010-0000-0500-0000A6000000}" name="Colonne158" dataDxfId="60" dataCellStyle="Normal 2"/>
    <tableColumn id="167" xr3:uid="{00000000-0010-0000-0500-0000A7000000}" name="Colonne159" dataDxfId="59" dataCellStyle="Normal 2"/>
    <tableColumn id="168" xr3:uid="{00000000-0010-0000-0500-0000A8000000}" name="Colonne160" dataDxfId="58" dataCellStyle="Normal 2"/>
    <tableColumn id="169" xr3:uid="{00000000-0010-0000-0500-0000A9000000}" name="Colonne161" dataDxfId="57" dataCellStyle="Normal 2"/>
    <tableColumn id="170" xr3:uid="{00000000-0010-0000-0500-0000AA000000}" name="Colonne162" dataDxfId="56" dataCellStyle="Normal 2"/>
    <tableColumn id="171" xr3:uid="{00000000-0010-0000-0500-0000AB000000}" name="Colonne163" dataDxfId="55" dataCellStyle="Normal 2"/>
    <tableColumn id="172" xr3:uid="{00000000-0010-0000-0500-0000AC000000}" name="Colonne164" dataDxfId="54" dataCellStyle="Normal 2"/>
    <tableColumn id="173" xr3:uid="{00000000-0010-0000-0500-0000AD000000}" name="Colonne165" dataDxfId="53" dataCellStyle="Normal 2"/>
    <tableColumn id="174" xr3:uid="{00000000-0010-0000-0500-0000AE000000}" name="Colonne166" dataDxfId="52" dataCellStyle="Normal 2"/>
    <tableColumn id="175" xr3:uid="{00000000-0010-0000-0500-0000AF000000}" name="Colonne167" dataDxfId="51" dataCellStyle="Normal 2"/>
    <tableColumn id="176" xr3:uid="{00000000-0010-0000-0500-0000B0000000}" name="Colonne168" dataDxfId="50" dataCellStyle="Normal 2"/>
    <tableColumn id="177" xr3:uid="{00000000-0010-0000-0500-0000B1000000}" name="Colonne169" dataDxfId="49" dataCellStyle="Normal 2"/>
    <tableColumn id="178" xr3:uid="{00000000-0010-0000-0500-0000B2000000}" name="Colonne170" dataDxfId="48" dataCellStyle="Normal 2"/>
    <tableColumn id="179" xr3:uid="{00000000-0010-0000-0500-0000B3000000}" name="Colonne171" dataDxfId="47" dataCellStyle="Normal 2"/>
    <tableColumn id="180" xr3:uid="{00000000-0010-0000-0500-0000B4000000}" name="Colonne172" dataDxfId="46" dataCellStyle="Normal 2"/>
    <tableColumn id="181" xr3:uid="{00000000-0010-0000-0500-0000B5000000}" name="Colonne173" dataDxfId="45" dataCellStyle="Normal 2"/>
    <tableColumn id="182" xr3:uid="{00000000-0010-0000-0500-0000B6000000}" name="Colonne174" dataDxfId="44" dataCellStyle="Normal 2"/>
    <tableColumn id="183" xr3:uid="{00000000-0010-0000-0500-0000B7000000}" name="Colonne175" dataDxfId="43" dataCellStyle="Normal 2"/>
    <tableColumn id="184" xr3:uid="{00000000-0010-0000-0500-0000B8000000}" name="Colonne176" dataDxfId="42" dataCellStyle="Normal 2"/>
    <tableColumn id="185" xr3:uid="{00000000-0010-0000-0500-0000B9000000}" name="Colonne177" dataDxfId="41" dataCellStyle="Normal 2"/>
    <tableColumn id="186" xr3:uid="{00000000-0010-0000-0500-0000BA000000}" name="Colonne178" dataDxfId="40" dataCellStyle="Normal 2"/>
    <tableColumn id="187" xr3:uid="{00000000-0010-0000-0500-0000BB000000}" name="Colonne179" dataDxfId="39" dataCellStyle="Normal 2"/>
    <tableColumn id="188" xr3:uid="{00000000-0010-0000-0500-0000BC000000}" name="Colonne180" dataDxfId="38" dataCellStyle="Normal 2"/>
    <tableColumn id="189" xr3:uid="{00000000-0010-0000-0500-0000BD000000}" name="Colonne181" dataDxfId="37" dataCellStyle="Normal 2"/>
    <tableColumn id="190" xr3:uid="{00000000-0010-0000-0500-0000BE000000}" name="Colonne182" dataDxfId="36" dataCellStyle="Normal 2"/>
    <tableColumn id="191" xr3:uid="{00000000-0010-0000-0500-0000BF000000}" name="Colonne183" dataDxfId="35" dataCellStyle="Normal 2"/>
    <tableColumn id="192" xr3:uid="{00000000-0010-0000-0500-0000C0000000}" name="Colonne184" dataDxfId="34" dataCellStyle="Normal 2"/>
    <tableColumn id="193" xr3:uid="{00000000-0010-0000-0500-0000C1000000}" name="Colonne185" dataDxfId="33" dataCellStyle="Normal 2"/>
    <tableColumn id="194" xr3:uid="{00000000-0010-0000-0500-0000C2000000}" name="Colonne186" dataDxfId="3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19" dataDxfId="17" headerRowBorderDxfId="18" tableBorderDxfId="16" headerRowCellStyle="Normal 2">
  <autoFilter ref="B3:Q260"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5" xr3:uid="{00000000-0010-0000-0600-00000F000000}" name="Erreur transverse" dataDxfId="3" dataCellStyle="Normal 2"/>
    <tableColumn id="10" xr3:uid="{00000000-0010-0000-0600-00000A000000}" name="Difficulté" dataDxfId="2" dataCellStyle="Normal 2"/>
    <tableColumn id="11" xr3:uid="{00000000-0010-0000-0600-00000B000000}" name="Reproductibili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49" t="s">
        <v>759</v>
      </c>
      <c r="B1" s="249"/>
      <c r="C1" s="249"/>
      <c r="D1" s="249"/>
    </row>
    <row r="2" spans="1:53" s="4" customFormat="1" ht="28.5" x14ac:dyDescent="0.65">
      <c r="A2" s="250" t="s">
        <v>760</v>
      </c>
      <c r="B2" s="250"/>
      <c r="C2" s="250"/>
      <c r="D2" s="250"/>
      <c r="E2" s="6"/>
      <c r="F2" s="6"/>
      <c r="G2" s="6"/>
      <c r="H2" s="6"/>
      <c r="I2" s="6"/>
      <c r="J2" s="6"/>
      <c r="K2" s="6"/>
      <c r="L2" s="6"/>
      <c r="M2" s="6"/>
      <c r="N2" s="6"/>
      <c r="O2" s="6"/>
      <c r="P2" s="6"/>
      <c r="Q2" s="6"/>
      <c r="R2" s="6"/>
      <c r="S2" s="6"/>
      <c r="T2" s="6"/>
      <c r="U2" s="5"/>
      <c r="W2" s="6"/>
      <c r="AC2" s="6"/>
      <c r="AJ2" s="6"/>
      <c r="AR2" s="6"/>
      <c r="BA2" s="6"/>
    </row>
    <row r="3" spans="1:53" s="4" customFormat="1" ht="21" x14ac:dyDescent="0.5">
      <c r="A3" s="251"/>
      <c r="B3" s="251"/>
      <c r="C3" s="251"/>
      <c r="D3" s="251"/>
      <c r="E3" s="119"/>
      <c r="F3" s="119"/>
      <c r="G3" s="119"/>
      <c r="H3" s="119"/>
      <c r="I3" s="119"/>
      <c r="J3" s="119"/>
      <c r="K3" s="119"/>
      <c r="L3" s="119"/>
      <c r="M3" s="119"/>
      <c r="N3" s="119"/>
      <c r="O3" s="119"/>
      <c r="P3" s="119"/>
      <c r="Q3" s="119"/>
      <c r="R3" s="119"/>
      <c r="S3" s="119"/>
      <c r="T3" s="119"/>
      <c r="U3" s="118"/>
    </row>
    <row r="4" spans="1:53" s="13" customFormat="1" ht="21" x14ac:dyDescent="0.35">
      <c r="A4" s="251"/>
      <c r="B4" s="251"/>
      <c r="C4" s="251"/>
      <c r="D4" s="251"/>
      <c r="E4" s="151"/>
      <c r="F4" s="151"/>
      <c r="G4" s="151"/>
      <c r="H4" s="151"/>
      <c r="I4" s="151"/>
      <c r="J4" s="151"/>
      <c r="K4" s="151"/>
      <c r="L4" s="151"/>
      <c r="M4" s="151"/>
      <c r="N4" s="151"/>
      <c r="O4" s="151"/>
      <c r="P4" s="151"/>
      <c r="Q4" s="151"/>
      <c r="R4" s="151"/>
      <c r="S4" s="151"/>
      <c r="T4" s="151"/>
      <c r="U4" s="152"/>
    </row>
    <row r="5" spans="1:53" s="13" customFormat="1" ht="25" customHeight="1" x14ac:dyDescent="0.35">
      <c r="A5" s="251"/>
      <c r="B5" s="251"/>
      <c r="C5" s="251"/>
      <c r="D5" s="251"/>
    </row>
    <row r="6" spans="1:53" s="13" customFormat="1" x14ac:dyDescent="0.35">
      <c r="A6" s="251"/>
      <c r="B6" s="251"/>
      <c r="C6" s="251"/>
      <c r="D6" s="251"/>
    </row>
    <row r="7" spans="1:53" s="13" customFormat="1" ht="25" customHeight="1" x14ac:dyDescent="0.35">
      <c r="A7" s="247" t="s">
        <v>626</v>
      </c>
      <c r="B7" s="248"/>
      <c r="C7" s="248"/>
      <c r="D7" s="248"/>
    </row>
    <row r="8" spans="1:53" s="10" customFormat="1" ht="21" customHeight="1" x14ac:dyDescent="0.35">
      <c r="A8" s="20" t="s">
        <v>14</v>
      </c>
      <c r="B8" s="20" t="s">
        <v>15</v>
      </c>
      <c r="C8" s="20" t="s">
        <v>16</v>
      </c>
      <c r="D8" s="153" t="s">
        <v>17</v>
      </c>
    </row>
    <row r="9" spans="1:53" s="10" customFormat="1" ht="21" customHeight="1" x14ac:dyDescent="0.35">
      <c r="A9" s="167" t="s">
        <v>48</v>
      </c>
      <c r="B9" s="168" t="s">
        <v>690</v>
      </c>
      <c r="C9" s="174" t="s">
        <v>694</v>
      </c>
      <c r="D9" s="170"/>
    </row>
    <row r="10" spans="1:53" s="10" customFormat="1" ht="21" customHeight="1" x14ac:dyDescent="0.35">
      <c r="A10" s="167" t="s">
        <v>49</v>
      </c>
      <c r="B10" s="168" t="s">
        <v>695</v>
      </c>
      <c r="C10" s="173" t="s">
        <v>694</v>
      </c>
      <c r="D10" s="170"/>
    </row>
    <row r="11" spans="1:53" s="13" customFormat="1" ht="21" customHeight="1" x14ac:dyDescent="0.35">
      <c r="A11" s="167" t="s">
        <v>50</v>
      </c>
      <c r="B11" s="168" t="s">
        <v>696</v>
      </c>
      <c r="C11" s="169" t="s">
        <v>694</v>
      </c>
      <c r="D11" s="170"/>
    </row>
    <row r="12" spans="1:53" s="13" customFormat="1" x14ac:dyDescent="0.35">
      <c r="A12" s="12"/>
      <c r="B12" s="12"/>
      <c r="C12" s="12"/>
      <c r="D12" s="12"/>
    </row>
    <row r="13" spans="1:53" s="20" customFormat="1" x14ac:dyDescent="0.35">
      <c r="A13" s="12"/>
      <c r="B13" s="12"/>
      <c r="C13" s="12"/>
      <c r="D13" s="12"/>
      <c r="E13" s="133"/>
      <c r="F13" s="133"/>
      <c r="G13" s="133"/>
    </row>
    <row r="14" spans="1:53" s="12" customFormat="1" ht="15.75" customHeight="1" x14ac:dyDescent="0.35">
      <c r="E14" s="13"/>
      <c r="F14" s="13"/>
    </row>
    <row r="15" spans="1:53" s="12" customFormat="1" x14ac:dyDescent="0.35">
      <c r="E15" s="13"/>
      <c r="F15" s="13"/>
    </row>
    <row r="16" spans="1:53" s="12" customFormat="1" x14ac:dyDescent="0.35">
      <c r="C16" s="150" t="s">
        <v>689</v>
      </c>
      <c r="D16" s="150"/>
      <c r="E16" s="13"/>
      <c r="F16" s="13"/>
      <c r="G16" s="13"/>
      <c r="H16" s="13"/>
      <c r="I16" s="13"/>
      <c r="J16" s="13"/>
      <c r="K16" s="13"/>
      <c r="L16" s="13"/>
      <c r="N16" s="13"/>
      <c r="R16" s="13"/>
      <c r="W16" s="13"/>
      <c r="AC16" s="13"/>
      <c r="AJ16" s="13"/>
      <c r="AR16" s="13"/>
      <c r="BA16" s="13"/>
    </row>
    <row r="17" spans="3:53" s="12" customFormat="1" x14ac:dyDescent="0.35">
      <c r="C17" s="154" t="s">
        <v>15</v>
      </c>
      <c r="D17" s="155" t="s">
        <v>634</v>
      </c>
      <c r="E17" s="13"/>
      <c r="F17" s="13"/>
      <c r="G17" s="13"/>
      <c r="H17" s="13"/>
      <c r="I17" s="13"/>
      <c r="J17" s="13"/>
      <c r="K17" s="13"/>
      <c r="L17" s="13"/>
      <c r="N17" s="13"/>
      <c r="R17" s="13"/>
      <c r="W17" s="13"/>
      <c r="AC17" s="13"/>
      <c r="AJ17" s="13"/>
      <c r="AR17" s="13"/>
      <c r="BA17" s="13"/>
    </row>
    <row r="18" spans="3:53" s="12" customFormat="1" x14ac:dyDescent="0.35">
      <c r="C18" s="165"/>
      <c r="D18" s="165"/>
      <c r="E18" s="13"/>
      <c r="F18" s="13"/>
      <c r="G18" s="13"/>
      <c r="H18" s="13"/>
      <c r="I18" s="13"/>
      <c r="J18" s="13"/>
      <c r="K18" s="13"/>
      <c r="L18" s="13"/>
      <c r="N18" s="13"/>
      <c r="R18" s="13"/>
      <c r="W18" s="13"/>
      <c r="AC18" s="13"/>
      <c r="AJ18" s="13"/>
      <c r="AR18" s="13"/>
      <c r="BA18" s="13"/>
    </row>
    <row r="19" spans="3:53" s="12" customFormat="1" x14ac:dyDescent="0.35">
      <c r="C19" s="166"/>
      <c r="D19" s="166"/>
      <c r="E19" s="13"/>
      <c r="F19" s="13"/>
      <c r="G19" s="13"/>
      <c r="H19" s="13"/>
      <c r="I19" s="13"/>
      <c r="J19" s="13"/>
      <c r="K19" s="13"/>
      <c r="L19" s="13"/>
      <c r="N19" s="13"/>
      <c r="R19" s="13"/>
      <c r="W19" s="13"/>
      <c r="AC19" s="13"/>
      <c r="AJ19" s="13"/>
      <c r="AR19" s="13"/>
      <c r="BA19" s="13"/>
    </row>
    <row r="20" spans="3:53" s="12" customFormat="1" x14ac:dyDescent="0.35">
      <c r="C20" s="165"/>
      <c r="D20" s="165"/>
      <c r="E20" s="13"/>
      <c r="F20" s="13"/>
      <c r="G20" s="13"/>
      <c r="H20" s="13"/>
      <c r="I20" s="13"/>
      <c r="J20" s="13"/>
      <c r="K20" s="13"/>
      <c r="L20" s="13"/>
      <c r="N20" s="13"/>
      <c r="R20" s="13"/>
      <c r="W20" s="13"/>
      <c r="AC20" s="13"/>
      <c r="AJ20" s="13"/>
      <c r="AR20" s="13"/>
      <c r="BA20" s="13"/>
    </row>
    <row r="21" spans="3:53" s="12" customFormat="1" x14ac:dyDescent="0.35">
      <c r="C21" s="166"/>
      <c r="D21" s="166"/>
      <c r="E21" s="13"/>
      <c r="F21" s="13"/>
      <c r="G21" s="13"/>
      <c r="H21" s="13"/>
      <c r="I21" s="13"/>
      <c r="J21" s="13"/>
      <c r="K21" s="13"/>
      <c r="L21" s="13"/>
      <c r="N21" s="13"/>
      <c r="R21" s="13"/>
      <c r="W21" s="13"/>
      <c r="AC21" s="13"/>
      <c r="AJ21" s="13"/>
      <c r="AR21" s="13"/>
      <c r="BA21" s="13"/>
    </row>
    <row r="22" spans="3:53" s="12" customFormat="1" x14ac:dyDescent="0.35">
      <c r="C22" s="165"/>
      <c r="D22" s="165"/>
      <c r="E22" s="13"/>
      <c r="F22" s="13"/>
      <c r="G22" s="13"/>
      <c r="H22" s="13"/>
      <c r="I22" s="13"/>
      <c r="J22" s="13"/>
      <c r="K22" s="13"/>
      <c r="L22" s="13"/>
      <c r="N22" s="13"/>
      <c r="R22" s="13"/>
      <c r="W22" s="13"/>
      <c r="AC22" s="13"/>
      <c r="AJ22" s="13"/>
      <c r="AR22" s="13"/>
      <c r="BA22" s="13"/>
    </row>
    <row r="23" spans="3:53" s="12" customFormat="1" x14ac:dyDescent="0.35">
      <c r="C23" s="166"/>
      <c r="D23" s="166"/>
      <c r="E23" s="13"/>
      <c r="F23" s="13"/>
      <c r="G23" s="13"/>
      <c r="H23" s="13"/>
      <c r="I23" s="13"/>
      <c r="J23" s="13"/>
      <c r="K23" s="13"/>
      <c r="L23" s="13"/>
      <c r="N23" s="13"/>
      <c r="R23" s="13"/>
      <c r="W23" s="13"/>
      <c r="AC23" s="13"/>
      <c r="AJ23" s="13"/>
      <c r="AR23" s="13"/>
      <c r="BA23" s="13"/>
    </row>
    <row r="24" spans="3:53" s="12" customFormat="1" x14ac:dyDescent="0.35">
      <c r="C24" s="165"/>
      <c r="D24" s="165"/>
      <c r="E24" s="13"/>
      <c r="F24" s="13"/>
      <c r="G24" s="13"/>
      <c r="H24" s="13"/>
      <c r="I24" s="13"/>
      <c r="J24" s="13"/>
      <c r="K24" s="13"/>
      <c r="L24" s="13"/>
      <c r="N24" s="13"/>
      <c r="R24" s="13"/>
      <c r="W24" s="13"/>
      <c r="AC24" s="13"/>
      <c r="AJ24" s="13"/>
      <c r="AR24" s="13"/>
      <c r="BA24" s="13"/>
    </row>
    <row r="25" spans="3:53" s="12" customFormat="1" x14ac:dyDescent="0.35">
      <c r="C25" s="166"/>
      <c r="D25" s="166"/>
      <c r="E25" s="13"/>
      <c r="F25" s="13"/>
      <c r="G25" s="13"/>
      <c r="H25" s="13"/>
      <c r="I25" s="13"/>
      <c r="J25" s="13"/>
      <c r="K25" s="13"/>
      <c r="L25" s="13"/>
      <c r="N25" s="13"/>
      <c r="R25" s="13"/>
      <c r="W25" s="13"/>
      <c r="AC25" s="13"/>
      <c r="AJ25" s="13"/>
      <c r="AR25" s="13"/>
      <c r="BA25" s="13"/>
    </row>
    <row r="26" spans="3:53" s="12" customFormat="1" x14ac:dyDescent="0.35">
      <c r="C26" s="165"/>
      <c r="D26" s="165"/>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17"/>
  <sheetViews>
    <sheetView zoomScaleNormal="100" workbookViewId="0">
      <pane ySplit="3" topLeftCell="A4" activePane="bottomLeft" state="frozen"/>
      <selection pane="bottomLeft" activeCell="F4" sqref="F4"/>
    </sheetView>
  </sheetViews>
  <sheetFormatPr baseColWidth="10" defaultColWidth="11.54296875" defaultRowHeight="10.5" x14ac:dyDescent="0.35"/>
  <cols>
    <col min="1" max="1" width="3.26953125" style="76" customWidth="1"/>
    <col min="2" max="2" width="11.26953125" style="72" customWidth="1"/>
    <col min="3" max="3" width="32" style="72" customWidth="1"/>
    <col min="4" max="4" width="6.26953125" style="16" customWidth="1"/>
    <col min="5" max="5" width="5" style="76" customWidth="1"/>
    <col min="6" max="6" width="37.453125" style="72" customWidth="1"/>
    <col min="7" max="7" width="9" style="16" customWidth="1"/>
    <col min="8" max="8" width="9.453125" style="16" bestFit="1" customWidth="1"/>
    <col min="9" max="9" width="9.453125" style="16" customWidth="1"/>
    <col min="10" max="10" width="10.81640625" style="76" customWidth="1"/>
    <col min="11" max="11" width="36.26953125" style="76" customWidth="1"/>
    <col min="12" max="12" width="24.1796875" style="76" customWidth="1"/>
    <col min="13" max="13" width="36.26953125" style="76" customWidth="1"/>
    <col min="14" max="14" width="12.7265625" style="76" customWidth="1"/>
    <col min="15" max="15" width="11.54296875" style="76"/>
    <col min="16" max="16" width="14.1796875" style="76" customWidth="1"/>
    <col min="17" max="16384" width="11.54296875" style="76"/>
  </cols>
  <sheetData>
    <row r="1" spans="2:17" ht="21" x14ac:dyDescent="0.35">
      <c r="B1" s="59"/>
      <c r="C1" s="70"/>
      <c r="D1" s="55"/>
      <c r="E1" s="56"/>
      <c r="F1" s="56"/>
      <c r="G1" s="55"/>
      <c r="H1" s="56"/>
      <c r="I1" s="56"/>
      <c r="J1" s="56"/>
      <c r="K1" s="56"/>
      <c r="L1" s="56"/>
      <c r="M1" s="56"/>
      <c r="N1" s="56"/>
      <c r="O1" s="57" t="s">
        <v>20</v>
      </c>
      <c r="P1" s="58"/>
      <c r="Q1" s="58"/>
    </row>
    <row r="2" spans="2:17" x14ac:dyDescent="0.35">
      <c r="B2" s="76"/>
      <c r="C2" s="71"/>
      <c r="F2" s="76"/>
      <c r="H2" s="17"/>
      <c r="I2" s="17"/>
    </row>
    <row r="3" spans="2:17" s="15" customFormat="1" ht="21.5" thickBot="1" x14ac:dyDescent="0.4">
      <c r="B3" s="7" t="s">
        <v>0</v>
      </c>
      <c r="C3" s="7" t="s">
        <v>244</v>
      </c>
      <c r="D3" s="8" t="s">
        <v>1</v>
      </c>
      <c r="E3" s="9" t="s">
        <v>23</v>
      </c>
      <c r="F3" s="8" t="s">
        <v>2</v>
      </c>
      <c r="G3" s="8" t="s">
        <v>32</v>
      </c>
      <c r="H3" s="8" t="s">
        <v>21</v>
      </c>
      <c r="I3" s="89" t="s">
        <v>500</v>
      </c>
      <c r="J3" s="89" t="s">
        <v>22</v>
      </c>
      <c r="K3" s="8" t="s">
        <v>677</v>
      </c>
      <c r="L3" s="8" t="s">
        <v>675</v>
      </c>
      <c r="M3" s="8" t="s">
        <v>634</v>
      </c>
      <c r="N3" s="8" t="s">
        <v>676</v>
      </c>
      <c r="O3" s="8" t="s">
        <v>27</v>
      </c>
      <c r="P3" s="8" t="s">
        <v>28</v>
      </c>
      <c r="Q3" s="90" t="s">
        <v>501</v>
      </c>
    </row>
    <row r="4" spans="2:17" ht="32" thickTop="1" x14ac:dyDescent="0.35">
      <c r="B4" s="225" t="s">
        <v>5</v>
      </c>
      <c r="C4" s="189" t="s">
        <v>874</v>
      </c>
      <c r="D4" s="190" t="s">
        <v>245</v>
      </c>
      <c r="E4" s="191" t="s">
        <v>24</v>
      </c>
      <c r="F4" s="206" t="s">
        <v>875</v>
      </c>
      <c r="G4" s="79" t="s">
        <v>33</v>
      </c>
      <c r="H4" s="74" t="s">
        <v>43</v>
      </c>
      <c r="I4" s="80"/>
      <c r="J4" s="79"/>
      <c r="K4" s="77"/>
      <c r="L4" s="77"/>
      <c r="M4" s="77"/>
      <c r="N4" s="77"/>
      <c r="O4" s="79"/>
      <c r="P4" s="79"/>
      <c r="Q4" s="79"/>
    </row>
    <row r="5" spans="2:17" ht="31.5" x14ac:dyDescent="0.35">
      <c r="B5" s="225" t="s">
        <v>5</v>
      </c>
      <c r="C5" s="189"/>
      <c r="D5" s="190" t="s">
        <v>246</v>
      </c>
      <c r="E5" s="191" t="s">
        <v>24</v>
      </c>
      <c r="F5" s="206" t="s">
        <v>876</v>
      </c>
      <c r="G5" s="79" t="s">
        <v>33</v>
      </c>
      <c r="H5" s="74" t="s">
        <v>43</v>
      </c>
      <c r="I5" s="78"/>
      <c r="J5" s="79"/>
      <c r="K5" s="77"/>
      <c r="L5" s="77"/>
      <c r="M5" s="77"/>
      <c r="N5" s="77"/>
      <c r="O5" s="79"/>
      <c r="P5" s="79"/>
      <c r="Q5" s="79"/>
    </row>
    <row r="6" spans="2:17" ht="31.5" x14ac:dyDescent="0.35">
      <c r="B6" s="225" t="s">
        <v>5</v>
      </c>
      <c r="C6" s="189"/>
      <c r="D6" s="190" t="s">
        <v>247</v>
      </c>
      <c r="E6" s="191" t="s">
        <v>24</v>
      </c>
      <c r="F6" s="206" t="s">
        <v>697</v>
      </c>
      <c r="G6" s="79" t="s">
        <v>33</v>
      </c>
      <c r="H6" s="74" t="s">
        <v>43</v>
      </c>
      <c r="I6" s="78"/>
      <c r="J6" s="79"/>
      <c r="K6" s="77"/>
      <c r="L6" s="77"/>
      <c r="M6" s="77"/>
      <c r="N6" s="77"/>
      <c r="O6" s="79"/>
      <c r="P6" s="79"/>
      <c r="Q6" s="79"/>
    </row>
    <row r="7" spans="2:17" ht="21" x14ac:dyDescent="0.35">
      <c r="B7" s="225" t="s">
        <v>5</v>
      </c>
      <c r="C7" s="189"/>
      <c r="D7" s="190" t="s">
        <v>248</v>
      </c>
      <c r="E7" s="191" t="s">
        <v>24</v>
      </c>
      <c r="F7" s="207" t="s">
        <v>877</v>
      </c>
      <c r="G7" s="79" t="s">
        <v>33</v>
      </c>
      <c r="H7" s="74" t="s">
        <v>43</v>
      </c>
      <c r="I7" s="78"/>
      <c r="J7" s="79"/>
      <c r="K7" s="77"/>
      <c r="L7" s="77"/>
      <c r="M7" s="77"/>
      <c r="N7" s="77"/>
      <c r="O7" s="79"/>
      <c r="P7" s="79"/>
      <c r="Q7" s="79"/>
    </row>
    <row r="8" spans="2:17" ht="64" customHeight="1" x14ac:dyDescent="0.35">
      <c r="B8" s="225" t="s">
        <v>5</v>
      </c>
      <c r="C8" s="189"/>
      <c r="D8" s="190" t="s">
        <v>698</v>
      </c>
      <c r="E8" s="191" t="s">
        <v>24</v>
      </c>
      <c r="F8" s="208" t="s">
        <v>878</v>
      </c>
      <c r="G8" s="79" t="s">
        <v>33</v>
      </c>
      <c r="H8" s="74" t="s">
        <v>43</v>
      </c>
      <c r="I8" s="78"/>
      <c r="J8" s="79"/>
      <c r="K8" s="77"/>
      <c r="L8" s="77"/>
      <c r="M8" s="77"/>
      <c r="N8" s="77"/>
      <c r="O8" s="79"/>
      <c r="P8" s="79"/>
      <c r="Q8" s="79"/>
    </row>
    <row r="9" spans="2:17" ht="104.5" customHeight="1" x14ac:dyDescent="0.35">
      <c r="B9" s="225" t="s">
        <v>5</v>
      </c>
      <c r="C9" s="189"/>
      <c r="D9" s="190" t="s">
        <v>699</v>
      </c>
      <c r="E9" s="191" t="s">
        <v>24</v>
      </c>
      <c r="F9" s="208" t="s">
        <v>879</v>
      </c>
      <c r="G9" s="79" t="s">
        <v>33</v>
      </c>
      <c r="H9" s="74" t="s">
        <v>43</v>
      </c>
      <c r="I9" s="78"/>
      <c r="J9" s="79"/>
      <c r="K9" s="77"/>
      <c r="L9" s="77"/>
      <c r="M9" s="77"/>
      <c r="N9" s="77"/>
      <c r="O9" s="79"/>
      <c r="P9" s="79"/>
      <c r="Q9" s="79"/>
    </row>
    <row r="10" spans="2:17" ht="102" customHeight="1" x14ac:dyDescent="0.35">
      <c r="B10" s="225" t="s">
        <v>5</v>
      </c>
      <c r="C10" s="189"/>
      <c r="D10" s="190" t="s">
        <v>700</v>
      </c>
      <c r="E10" s="191" t="s">
        <v>24</v>
      </c>
      <c r="F10" s="208" t="s">
        <v>880</v>
      </c>
      <c r="G10" s="79" t="s">
        <v>33</v>
      </c>
      <c r="H10" s="74" t="s">
        <v>43</v>
      </c>
      <c r="I10" s="78"/>
      <c r="J10" s="79"/>
      <c r="K10" s="77"/>
      <c r="L10" s="77"/>
      <c r="M10" s="77"/>
      <c r="N10" s="77"/>
      <c r="O10" s="79"/>
      <c r="P10" s="79"/>
      <c r="Q10" s="79"/>
    </row>
    <row r="11" spans="2:17" ht="114" customHeight="1" x14ac:dyDescent="0.35">
      <c r="B11" s="225" t="s">
        <v>5</v>
      </c>
      <c r="C11" s="189"/>
      <c r="D11" s="190" t="s">
        <v>701</v>
      </c>
      <c r="E11" s="191" t="s">
        <v>24</v>
      </c>
      <c r="F11" s="208" t="s">
        <v>881</v>
      </c>
      <c r="G11" s="79" t="s">
        <v>33</v>
      </c>
      <c r="H11" s="74" t="s">
        <v>43</v>
      </c>
      <c r="I11" s="78"/>
      <c r="J11" s="79"/>
      <c r="K11" s="77"/>
      <c r="L11" s="77"/>
      <c r="M11" s="77"/>
      <c r="N11" s="77"/>
      <c r="O11" s="79"/>
      <c r="P11" s="79"/>
      <c r="Q11" s="79"/>
    </row>
    <row r="12" spans="2:17" ht="87" customHeight="1" x14ac:dyDescent="0.35">
      <c r="B12" s="225" t="s">
        <v>5</v>
      </c>
      <c r="C12" s="192" t="s">
        <v>882</v>
      </c>
      <c r="D12" s="193" t="s">
        <v>249</v>
      </c>
      <c r="E12" s="194" t="s">
        <v>24</v>
      </c>
      <c r="F12" s="209" t="s">
        <v>883</v>
      </c>
      <c r="G12" s="83" t="s">
        <v>33</v>
      </c>
      <c r="H12" s="75" t="s">
        <v>43</v>
      </c>
      <c r="I12" s="82"/>
      <c r="J12" s="83"/>
      <c r="K12" s="81"/>
      <c r="L12" s="81"/>
      <c r="M12" s="81"/>
      <c r="N12" s="81"/>
      <c r="O12" s="83"/>
      <c r="P12" s="83"/>
      <c r="Q12" s="83"/>
    </row>
    <row r="13" spans="2:17" ht="81.5" x14ac:dyDescent="0.35">
      <c r="B13" s="225" t="s">
        <v>5</v>
      </c>
      <c r="C13" s="192"/>
      <c r="D13" s="193" t="s">
        <v>250</v>
      </c>
      <c r="E13" s="194" t="s">
        <v>24</v>
      </c>
      <c r="F13" s="209" t="s">
        <v>884</v>
      </c>
      <c r="G13" s="83" t="s">
        <v>33</v>
      </c>
      <c r="H13" s="75" t="s">
        <v>43</v>
      </c>
      <c r="I13" s="82"/>
      <c r="J13" s="83"/>
      <c r="K13" s="81"/>
      <c r="L13" s="81"/>
      <c r="M13" s="81"/>
      <c r="N13" s="81"/>
      <c r="O13" s="83"/>
      <c r="P13" s="83"/>
      <c r="Q13" s="83"/>
    </row>
    <row r="14" spans="2:17" ht="81.5" x14ac:dyDescent="0.35">
      <c r="B14" s="225" t="s">
        <v>5</v>
      </c>
      <c r="C14" s="192"/>
      <c r="D14" s="193" t="s">
        <v>251</v>
      </c>
      <c r="E14" s="194" t="s">
        <v>24</v>
      </c>
      <c r="F14" s="209" t="s">
        <v>885</v>
      </c>
      <c r="G14" s="83" t="s">
        <v>33</v>
      </c>
      <c r="H14" s="75" t="s">
        <v>43</v>
      </c>
      <c r="I14" s="82"/>
      <c r="J14" s="83"/>
      <c r="K14" s="81"/>
      <c r="L14" s="81"/>
      <c r="M14" s="81"/>
      <c r="N14" s="81"/>
      <c r="O14" s="83"/>
      <c r="P14" s="83"/>
      <c r="Q14" s="83"/>
    </row>
    <row r="15" spans="2:17" ht="101.5" x14ac:dyDescent="0.35">
      <c r="B15" s="225" t="s">
        <v>5</v>
      </c>
      <c r="C15" s="192"/>
      <c r="D15" s="193" t="s">
        <v>252</v>
      </c>
      <c r="E15" s="194" t="s">
        <v>24</v>
      </c>
      <c r="F15" s="209" t="s">
        <v>886</v>
      </c>
      <c r="G15" s="83" t="s">
        <v>33</v>
      </c>
      <c r="H15" s="75" t="s">
        <v>43</v>
      </c>
      <c r="I15" s="82"/>
      <c r="J15" s="83"/>
      <c r="K15" s="81"/>
      <c r="L15" s="81"/>
      <c r="M15" s="81"/>
      <c r="N15" s="81"/>
      <c r="O15" s="83"/>
      <c r="P15" s="83"/>
      <c r="Q15" s="83"/>
    </row>
    <row r="16" spans="2:17" ht="91.5" x14ac:dyDescent="0.35">
      <c r="B16" s="225" t="s">
        <v>5</v>
      </c>
      <c r="C16" s="192"/>
      <c r="D16" s="193" t="s">
        <v>253</v>
      </c>
      <c r="E16" s="194" t="s">
        <v>24</v>
      </c>
      <c r="F16" s="209" t="s">
        <v>887</v>
      </c>
      <c r="G16" s="83" t="s">
        <v>33</v>
      </c>
      <c r="H16" s="75" t="s">
        <v>43</v>
      </c>
      <c r="I16" s="82"/>
      <c r="J16" s="83"/>
      <c r="K16" s="81"/>
      <c r="L16" s="81"/>
      <c r="M16" s="81"/>
      <c r="N16" s="81"/>
      <c r="O16" s="83"/>
      <c r="P16" s="83"/>
      <c r="Q16" s="83"/>
    </row>
    <row r="17" spans="2:17" ht="71.5" x14ac:dyDescent="0.35">
      <c r="B17" s="225" t="s">
        <v>5</v>
      </c>
      <c r="C17" s="192"/>
      <c r="D17" s="193" t="s">
        <v>494</v>
      </c>
      <c r="E17" s="194" t="s">
        <v>24</v>
      </c>
      <c r="F17" s="209" t="s">
        <v>888</v>
      </c>
      <c r="G17" s="83" t="s">
        <v>33</v>
      </c>
      <c r="H17" s="75" t="s">
        <v>43</v>
      </c>
      <c r="I17" s="82"/>
      <c r="J17" s="83"/>
      <c r="K17" s="81"/>
      <c r="L17" s="81"/>
      <c r="M17" s="81"/>
      <c r="N17" s="81"/>
      <c r="O17" s="83"/>
      <c r="P17" s="83"/>
      <c r="Q17" s="83"/>
    </row>
    <row r="18" spans="2:17" ht="135.5" customHeight="1" x14ac:dyDescent="0.35">
      <c r="B18" s="225" t="s">
        <v>5</v>
      </c>
      <c r="C18" s="189" t="s">
        <v>889</v>
      </c>
      <c r="D18" s="190" t="s">
        <v>256</v>
      </c>
      <c r="E18" s="191" t="s">
        <v>24</v>
      </c>
      <c r="F18" s="204" t="s">
        <v>890</v>
      </c>
      <c r="G18" s="79" t="s">
        <v>33</v>
      </c>
      <c r="H18" s="74" t="s">
        <v>43</v>
      </c>
      <c r="I18" s="78"/>
      <c r="J18" s="79"/>
      <c r="K18" s="77"/>
      <c r="L18" s="77"/>
      <c r="M18" s="77"/>
      <c r="N18" s="77"/>
      <c r="O18" s="79"/>
      <c r="P18" s="79"/>
      <c r="Q18" s="79"/>
    </row>
    <row r="19" spans="2:17" ht="122" customHeight="1" x14ac:dyDescent="0.35">
      <c r="B19" s="225" t="s">
        <v>5</v>
      </c>
      <c r="C19" s="189"/>
      <c r="D19" s="190" t="s">
        <v>257</v>
      </c>
      <c r="E19" s="191" t="s">
        <v>24</v>
      </c>
      <c r="F19" s="210" t="s">
        <v>891</v>
      </c>
      <c r="G19" s="79" t="s">
        <v>33</v>
      </c>
      <c r="H19" s="74" t="s">
        <v>43</v>
      </c>
      <c r="I19" s="78"/>
      <c r="J19" s="79"/>
      <c r="K19" s="77"/>
      <c r="L19" s="77"/>
      <c r="M19" s="77"/>
      <c r="N19" s="77"/>
      <c r="O19" s="79"/>
      <c r="P19" s="79"/>
      <c r="Q19" s="79"/>
    </row>
    <row r="20" spans="2:17" ht="125.5" customHeight="1" x14ac:dyDescent="0.35">
      <c r="B20" s="225" t="s">
        <v>5</v>
      </c>
      <c r="C20" s="189"/>
      <c r="D20" s="190" t="s">
        <v>258</v>
      </c>
      <c r="E20" s="191" t="s">
        <v>24</v>
      </c>
      <c r="F20" s="204" t="s">
        <v>892</v>
      </c>
      <c r="G20" s="79" t="s">
        <v>33</v>
      </c>
      <c r="H20" s="74" t="s">
        <v>43</v>
      </c>
      <c r="I20" s="78"/>
      <c r="J20" s="79"/>
      <c r="K20" s="77"/>
      <c r="L20" s="77"/>
      <c r="M20" s="77"/>
      <c r="N20" s="77"/>
      <c r="O20" s="79"/>
      <c r="P20" s="79"/>
      <c r="Q20" s="79"/>
    </row>
    <row r="21" spans="2:17" ht="122.5" customHeight="1" x14ac:dyDescent="0.35">
      <c r="B21" s="225" t="s">
        <v>5</v>
      </c>
      <c r="C21" s="189"/>
      <c r="D21" s="190" t="s">
        <v>259</v>
      </c>
      <c r="E21" s="191" t="s">
        <v>24</v>
      </c>
      <c r="F21" s="204" t="s">
        <v>893</v>
      </c>
      <c r="G21" s="79" t="s">
        <v>33</v>
      </c>
      <c r="H21" s="74" t="s">
        <v>43</v>
      </c>
      <c r="I21" s="78"/>
      <c r="J21" s="79"/>
      <c r="K21" s="77"/>
      <c r="L21" s="77"/>
      <c r="M21" s="77"/>
      <c r="N21" s="77"/>
      <c r="O21" s="79"/>
      <c r="P21" s="79"/>
      <c r="Q21" s="79"/>
    </row>
    <row r="22" spans="2:17" ht="112.5" x14ac:dyDescent="0.35">
      <c r="B22" s="225" t="s">
        <v>5</v>
      </c>
      <c r="C22" s="189"/>
      <c r="D22" s="190" t="s">
        <v>254</v>
      </c>
      <c r="E22" s="191" t="s">
        <v>24</v>
      </c>
      <c r="F22" s="210" t="s">
        <v>894</v>
      </c>
      <c r="G22" s="79" t="s">
        <v>33</v>
      </c>
      <c r="H22" s="74" t="s">
        <v>43</v>
      </c>
      <c r="I22" s="78"/>
      <c r="J22" s="79"/>
      <c r="K22" s="77"/>
      <c r="L22" s="77"/>
      <c r="M22" s="77"/>
      <c r="N22" s="77"/>
      <c r="O22" s="79"/>
      <c r="P22" s="79"/>
      <c r="Q22" s="79"/>
    </row>
    <row r="23" spans="2:17" ht="92" x14ac:dyDescent="0.35">
      <c r="B23" s="225" t="s">
        <v>5</v>
      </c>
      <c r="C23" s="189"/>
      <c r="D23" s="190" t="s">
        <v>260</v>
      </c>
      <c r="E23" s="191" t="s">
        <v>24</v>
      </c>
      <c r="F23" s="204" t="s">
        <v>895</v>
      </c>
      <c r="G23" s="79" t="s">
        <v>33</v>
      </c>
      <c r="H23" s="74" t="s">
        <v>43</v>
      </c>
      <c r="I23" s="78"/>
      <c r="J23" s="79"/>
      <c r="K23" s="77"/>
      <c r="L23" s="77"/>
      <c r="M23" s="77"/>
      <c r="N23" s="77"/>
      <c r="O23" s="79"/>
      <c r="P23" s="79"/>
      <c r="Q23" s="79"/>
    </row>
    <row r="24" spans="2:17" ht="123.5" customHeight="1" x14ac:dyDescent="0.35">
      <c r="B24" s="225" t="s">
        <v>5</v>
      </c>
      <c r="C24" s="189"/>
      <c r="D24" s="190" t="s">
        <v>261</v>
      </c>
      <c r="E24" s="191" t="s">
        <v>24</v>
      </c>
      <c r="F24" s="210" t="s">
        <v>896</v>
      </c>
      <c r="G24" s="79" t="s">
        <v>33</v>
      </c>
      <c r="H24" s="74" t="s">
        <v>43</v>
      </c>
      <c r="I24" s="78"/>
      <c r="J24" s="79"/>
      <c r="K24" s="77"/>
      <c r="L24" s="77"/>
      <c r="M24" s="77"/>
      <c r="N24" s="77"/>
      <c r="O24" s="79"/>
      <c r="P24" s="79"/>
      <c r="Q24" s="79"/>
    </row>
    <row r="25" spans="2:17" ht="52.5" x14ac:dyDescent="0.35">
      <c r="B25" s="225" t="s">
        <v>5</v>
      </c>
      <c r="C25" s="189"/>
      <c r="D25" s="190" t="s">
        <v>262</v>
      </c>
      <c r="E25" s="191" t="s">
        <v>24</v>
      </c>
      <c r="F25" s="210" t="s">
        <v>897</v>
      </c>
      <c r="G25" s="79" t="s">
        <v>33</v>
      </c>
      <c r="H25" s="74" t="s">
        <v>43</v>
      </c>
      <c r="I25" s="78"/>
      <c r="J25" s="79"/>
      <c r="K25" s="77"/>
      <c r="L25" s="77"/>
      <c r="M25" s="77"/>
      <c r="N25" s="77"/>
      <c r="O25" s="79"/>
      <c r="P25" s="79"/>
      <c r="Q25" s="79"/>
    </row>
    <row r="26" spans="2:17" ht="43" customHeight="1" x14ac:dyDescent="0.35">
      <c r="B26" s="225" t="s">
        <v>5</v>
      </c>
      <c r="C26" s="189"/>
      <c r="D26" s="190" t="s">
        <v>263</v>
      </c>
      <c r="E26" s="191" t="s">
        <v>24</v>
      </c>
      <c r="F26" s="210" t="s">
        <v>255</v>
      </c>
      <c r="G26" s="79" t="s">
        <v>33</v>
      </c>
      <c r="H26" s="74" t="s">
        <v>43</v>
      </c>
      <c r="I26" s="78"/>
      <c r="J26" s="79"/>
      <c r="K26" s="77"/>
      <c r="L26" s="77"/>
      <c r="M26" s="77"/>
      <c r="N26" s="77"/>
      <c r="O26" s="79"/>
      <c r="P26" s="79"/>
      <c r="Q26" s="79"/>
    </row>
    <row r="27" spans="2:17" ht="120.5" customHeight="1" x14ac:dyDescent="0.35">
      <c r="B27" s="225" t="s">
        <v>5</v>
      </c>
      <c r="C27" s="192" t="s">
        <v>243</v>
      </c>
      <c r="D27" s="193" t="s">
        <v>264</v>
      </c>
      <c r="E27" s="194" t="s">
        <v>24</v>
      </c>
      <c r="F27" s="197" t="s">
        <v>898</v>
      </c>
      <c r="G27" s="83" t="s">
        <v>33</v>
      </c>
      <c r="H27" s="75" t="s">
        <v>43</v>
      </c>
      <c r="I27" s="82"/>
      <c r="J27" s="83"/>
      <c r="K27" s="81"/>
      <c r="L27" s="81"/>
      <c r="M27" s="81"/>
      <c r="N27" s="81"/>
      <c r="O27" s="83"/>
      <c r="P27" s="83"/>
      <c r="Q27" s="83"/>
    </row>
    <row r="28" spans="2:17" ht="122" customHeight="1" x14ac:dyDescent="0.35">
      <c r="B28" s="225" t="s">
        <v>5</v>
      </c>
      <c r="C28" s="192"/>
      <c r="D28" s="193" t="s">
        <v>265</v>
      </c>
      <c r="E28" s="194" t="s">
        <v>24</v>
      </c>
      <c r="F28" s="197" t="s">
        <v>899</v>
      </c>
      <c r="G28" s="83" t="s">
        <v>33</v>
      </c>
      <c r="H28" s="75" t="s">
        <v>43</v>
      </c>
      <c r="I28" s="82"/>
      <c r="J28" s="83"/>
      <c r="K28" s="81"/>
      <c r="L28" s="81"/>
      <c r="M28" s="81"/>
      <c r="N28" s="81"/>
      <c r="O28" s="83"/>
      <c r="P28" s="83"/>
      <c r="Q28" s="83"/>
    </row>
    <row r="29" spans="2:17" ht="136" customHeight="1" x14ac:dyDescent="0.35">
      <c r="B29" s="225" t="s">
        <v>5</v>
      </c>
      <c r="C29" s="192"/>
      <c r="D29" s="193" t="s">
        <v>266</v>
      </c>
      <c r="E29" s="194" t="s">
        <v>24</v>
      </c>
      <c r="F29" s="197" t="s">
        <v>900</v>
      </c>
      <c r="G29" s="83" t="s">
        <v>33</v>
      </c>
      <c r="H29" s="75" t="s">
        <v>43</v>
      </c>
      <c r="I29" s="82"/>
      <c r="J29" s="83"/>
      <c r="K29" s="81"/>
      <c r="L29" s="81"/>
      <c r="M29" s="81"/>
      <c r="N29" s="81"/>
      <c r="O29" s="83"/>
      <c r="P29" s="83"/>
      <c r="Q29" s="83"/>
    </row>
    <row r="30" spans="2:17" ht="112.5" x14ac:dyDescent="0.35">
      <c r="B30" s="225" t="s">
        <v>5</v>
      </c>
      <c r="C30" s="192"/>
      <c r="D30" s="193" t="s">
        <v>267</v>
      </c>
      <c r="E30" s="194" t="s">
        <v>24</v>
      </c>
      <c r="F30" s="197" t="s">
        <v>901</v>
      </c>
      <c r="G30" s="83" t="s">
        <v>33</v>
      </c>
      <c r="H30" s="75" t="s">
        <v>43</v>
      </c>
      <c r="I30" s="82"/>
      <c r="J30" s="83"/>
      <c r="K30" s="81"/>
      <c r="L30" s="81"/>
      <c r="M30" s="81"/>
      <c r="N30" s="81"/>
      <c r="O30" s="83"/>
      <c r="P30" s="83"/>
      <c r="Q30" s="83"/>
    </row>
    <row r="31" spans="2:17" ht="112.5" x14ac:dyDescent="0.35">
      <c r="B31" s="225" t="s">
        <v>5</v>
      </c>
      <c r="C31" s="192"/>
      <c r="D31" s="193" t="s">
        <v>268</v>
      </c>
      <c r="E31" s="194" t="s">
        <v>24</v>
      </c>
      <c r="F31" s="197" t="s">
        <v>902</v>
      </c>
      <c r="G31" s="83" t="s">
        <v>33</v>
      </c>
      <c r="H31" s="75" t="s">
        <v>43</v>
      </c>
      <c r="I31" s="82"/>
      <c r="J31" s="83"/>
      <c r="K31" s="81"/>
      <c r="L31" s="81"/>
      <c r="M31" s="81"/>
      <c r="N31" s="81"/>
      <c r="O31" s="83"/>
      <c r="P31" s="83"/>
      <c r="Q31" s="83"/>
    </row>
    <row r="32" spans="2:17" ht="92" x14ac:dyDescent="0.35">
      <c r="B32" s="225" t="s">
        <v>5</v>
      </c>
      <c r="C32" s="192"/>
      <c r="D32" s="193" t="s">
        <v>269</v>
      </c>
      <c r="E32" s="194" t="s">
        <v>24</v>
      </c>
      <c r="F32" s="197" t="s">
        <v>903</v>
      </c>
      <c r="G32" s="83" t="s">
        <v>33</v>
      </c>
      <c r="H32" s="75" t="s">
        <v>43</v>
      </c>
      <c r="I32" s="82"/>
      <c r="J32" s="83"/>
      <c r="K32" s="81"/>
      <c r="L32" s="81"/>
      <c r="M32" s="81"/>
      <c r="N32" s="81"/>
      <c r="O32" s="83"/>
      <c r="P32" s="83"/>
      <c r="Q32" s="83"/>
    </row>
    <row r="33" spans="2:17" ht="102" x14ac:dyDescent="0.35">
      <c r="B33" s="225" t="s">
        <v>5</v>
      </c>
      <c r="C33" s="192"/>
      <c r="D33" s="193" t="s">
        <v>270</v>
      </c>
      <c r="E33" s="194" t="s">
        <v>24</v>
      </c>
      <c r="F33" s="209" t="s">
        <v>904</v>
      </c>
      <c r="G33" s="83" t="s">
        <v>33</v>
      </c>
      <c r="H33" s="75" t="s">
        <v>43</v>
      </c>
      <c r="I33" s="82"/>
      <c r="J33" s="83"/>
      <c r="K33" s="81"/>
      <c r="L33" s="81"/>
      <c r="M33" s="81"/>
      <c r="N33" s="81"/>
      <c r="O33" s="83"/>
      <c r="P33" s="83"/>
      <c r="Q33" s="83"/>
    </row>
    <row r="34" spans="2:17" ht="82" x14ac:dyDescent="0.35">
      <c r="B34" s="225" t="s">
        <v>5</v>
      </c>
      <c r="C34" s="189" t="s">
        <v>905</v>
      </c>
      <c r="D34" s="190" t="s">
        <v>271</v>
      </c>
      <c r="E34" s="191" t="s">
        <v>24</v>
      </c>
      <c r="F34" s="211" t="s">
        <v>906</v>
      </c>
      <c r="G34" s="79" t="s">
        <v>33</v>
      </c>
      <c r="H34" s="74" t="s">
        <v>43</v>
      </c>
      <c r="I34" s="78"/>
      <c r="J34" s="79"/>
      <c r="K34" s="77"/>
      <c r="L34" s="77"/>
      <c r="M34" s="77"/>
      <c r="N34" s="77"/>
      <c r="O34" s="79"/>
      <c r="P34" s="79"/>
      <c r="Q34" s="79"/>
    </row>
    <row r="35" spans="2:17" ht="71.5" x14ac:dyDescent="0.35">
      <c r="B35" s="225" t="s">
        <v>5</v>
      </c>
      <c r="C35" s="189"/>
      <c r="D35" s="190" t="s">
        <v>272</v>
      </c>
      <c r="E35" s="191" t="s">
        <v>24</v>
      </c>
      <c r="F35" s="211" t="s">
        <v>907</v>
      </c>
      <c r="G35" s="79" t="s">
        <v>33</v>
      </c>
      <c r="H35" s="74" t="s">
        <v>43</v>
      </c>
      <c r="I35" s="78"/>
      <c r="J35" s="79"/>
      <c r="K35" s="77"/>
      <c r="L35" s="77"/>
      <c r="M35" s="77"/>
      <c r="N35" s="77"/>
      <c r="O35" s="79"/>
      <c r="P35" s="79"/>
      <c r="Q35" s="79"/>
    </row>
    <row r="36" spans="2:17" ht="111.5" customHeight="1" x14ac:dyDescent="0.35">
      <c r="B36" s="225" t="s">
        <v>5</v>
      </c>
      <c r="C36" s="192" t="s">
        <v>908</v>
      </c>
      <c r="D36" s="193" t="s">
        <v>273</v>
      </c>
      <c r="E36" s="194" t="s">
        <v>24</v>
      </c>
      <c r="F36" s="209" t="s">
        <v>909</v>
      </c>
      <c r="G36" s="83" t="s">
        <v>33</v>
      </c>
      <c r="H36" s="75" t="s">
        <v>43</v>
      </c>
      <c r="I36" s="82"/>
      <c r="J36" s="83"/>
      <c r="K36" s="81"/>
      <c r="L36" s="81"/>
      <c r="M36" s="81"/>
      <c r="N36" s="81"/>
      <c r="O36" s="83"/>
      <c r="P36" s="83"/>
      <c r="Q36" s="83"/>
    </row>
    <row r="37" spans="2:17" ht="95" customHeight="1" x14ac:dyDescent="0.35">
      <c r="B37" s="225" t="s">
        <v>5</v>
      </c>
      <c r="C37" s="192"/>
      <c r="D37" s="193" t="s">
        <v>274</v>
      </c>
      <c r="E37" s="194" t="s">
        <v>24</v>
      </c>
      <c r="F37" s="209" t="s">
        <v>910</v>
      </c>
      <c r="G37" s="83" t="s">
        <v>33</v>
      </c>
      <c r="H37" s="75" t="s">
        <v>43</v>
      </c>
      <c r="I37" s="82"/>
      <c r="J37" s="83"/>
      <c r="K37" s="81"/>
      <c r="L37" s="81"/>
      <c r="M37" s="81"/>
      <c r="N37" s="81"/>
      <c r="O37" s="83"/>
      <c r="P37" s="83"/>
      <c r="Q37" s="83"/>
    </row>
    <row r="38" spans="2:17" ht="94" customHeight="1" x14ac:dyDescent="0.35">
      <c r="B38" s="225" t="s">
        <v>5</v>
      </c>
      <c r="C38" s="192"/>
      <c r="D38" s="193" t="s">
        <v>275</v>
      </c>
      <c r="E38" s="194" t="s">
        <v>24</v>
      </c>
      <c r="F38" s="197" t="s">
        <v>911</v>
      </c>
      <c r="G38" s="83" t="s">
        <v>33</v>
      </c>
      <c r="H38" s="75" t="s">
        <v>43</v>
      </c>
      <c r="I38" s="82"/>
      <c r="J38" s="83"/>
      <c r="K38" s="81"/>
      <c r="L38" s="81"/>
      <c r="M38" s="81"/>
      <c r="N38" s="81"/>
      <c r="O38" s="83"/>
      <c r="P38" s="83"/>
      <c r="Q38" s="83"/>
    </row>
    <row r="39" spans="2:17" ht="122" customHeight="1" x14ac:dyDescent="0.35">
      <c r="B39" s="225" t="s">
        <v>5</v>
      </c>
      <c r="C39" s="192"/>
      <c r="D39" s="193" t="s">
        <v>276</v>
      </c>
      <c r="E39" s="194" t="s">
        <v>24</v>
      </c>
      <c r="F39" s="197" t="s">
        <v>912</v>
      </c>
      <c r="G39" s="83" t="s">
        <v>33</v>
      </c>
      <c r="H39" s="75" t="s">
        <v>43</v>
      </c>
      <c r="I39" s="82"/>
      <c r="J39" s="83"/>
      <c r="K39" s="81"/>
      <c r="L39" s="81"/>
      <c r="M39" s="81"/>
      <c r="N39" s="81"/>
      <c r="O39" s="83"/>
      <c r="P39" s="83"/>
      <c r="Q39" s="83"/>
    </row>
    <row r="40" spans="2:17" ht="141.5" x14ac:dyDescent="0.35">
      <c r="B40" s="225" t="s">
        <v>5</v>
      </c>
      <c r="C40" s="192"/>
      <c r="D40" s="193" t="s">
        <v>277</v>
      </c>
      <c r="E40" s="194" t="s">
        <v>24</v>
      </c>
      <c r="F40" s="209" t="s">
        <v>913</v>
      </c>
      <c r="G40" s="83" t="s">
        <v>33</v>
      </c>
      <c r="H40" s="75" t="s">
        <v>43</v>
      </c>
      <c r="I40" s="82"/>
      <c r="J40" s="83"/>
      <c r="K40" s="81"/>
      <c r="L40" s="81"/>
      <c r="M40" s="81"/>
      <c r="N40" s="81"/>
      <c r="O40" s="83"/>
      <c r="P40" s="83"/>
      <c r="Q40" s="83"/>
    </row>
    <row r="41" spans="2:17" ht="87" customHeight="1" x14ac:dyDescent="0.35">
      <c r="B41" s="225" t="s">
        <v>5</v>
      </c>
      <c r="C41" s="192"/>
      <c r="D41" s="193" t="s">
        <v>278</v>
      </c>
      <c r="E41" s="194" t="s">
        <v>24</v>
      </c>
      <c r="F41" s="209" t="s">
        <v>914</v>
      </c>
      <c r="G41" s="83" t="s">
        <v>33</v>
      </c>
      <c r="H41" s="75" t="s">
        <v>43</v>
      </c>
      <c r="I41" s="84"/>
      <c r="J41" s="83"/>
      <c r="K41" s="81"/>
      <c r="L41" s="81"/>
      <c r="M41" s="81"/>
      <c r="N41" s="81"/>
      <c r="O41" s="83"/>
      <c r="P41" s="83"/>
      <c r="Q41" s="83"/>
    </row>
    <row r="42" spans="2:17" ht="161.5" x14ac:dyDescent="0.35">
      <c r="B42" s="225" t="s">
        <v>5</v>
      </c>
      <c r="C42" s="192"/>
      <c r="D42" s="193" t="s">
        <v>279</v>
      </c>
      <c r="E42" s="194" t="s">
        <v>24</v>
      </c>
      <c r="F42" s="209" t="s">
        <v>915</v>
      </c>
      <c r="G42" s="83" t="s">
        <v>33</v>
      </c>
      <c r="H42" s="75" t="s">
        <v>43</v>
      </c>
      <c r="I42" s="82"/>
      <c r="J42" s="83"/>
      <c r="K42" s="81"/>
      <c r="L42" s="81"/>
      <c r="M42" s="81"/>
      <c r="N42" s="81"/>
      <c r="O42" s="83"/>
      <c r="P42" s="83"/>
      <c r="Q42" s="83"/>
    </row>
    <row r="43" spans="2:17" ht="52.5" x14ac:dyDescent="0.35">
      <c r="B43" s="225" t="s">
        <v>5</v>
      </c>
      <c r="C43" s="192"/>
      <c r="D43" s="193" t="s">
        <v>280</v>
      </c>
      <c r="E43" s="194" t="s">
        <v>24</v>
      </c>
      <c r="F43" s="209" t="s">
        <v>702</v>
      </c>
      <c r="G43" s="83" t="s">
        <v>33</v>
      </c>
      <c r="H43" s="75" t="s">
        <v>43</v>
      </c>
      <c r="I43" s="82"/>
      <c r="J43" s="83"/>
      <c r="K43" s="81"/>
      <c r="L43" s="81"/>
      <c r="M43" s="81"/>
      <c r="N43" s="81"/>
      <c r="O43" s="83"/>
      <c r="P43" s="83"/>
      <c r="Q43" s="83"/>
    </row>
    <row r="44" spans="2:17" ht="95.5" customHeight="1" x14ac:dyDescent="0.35">
      <c r="B44" s="225" t="s">
        <v>5</v>
      </c>
      <c r="C44" s="192"/>
      <c r="D44" s="193" t="s">
        <v>495</v>
      </c>
      <c r="E44" s="194" t="s">
        <v>24</v>
      </c>
      <c r="F44" s="209" t="s">
        <v>916</v>
      </c>
      <c r="G44" s="83" t="s">
        <v>33</v>
      </c>
      <c r="H44" s="75" t="s">
        <v>43</v>
      </c>
      <c r="I44" s="82"/>
      <c r="J44" s="83"/>
      <c r="K44" s="81"/>
      <c r="L44" s="81"/>
      <c r="M44" s="81"/>
      <c r="N44" s="81"/>
      <c r="O44" s="83"/>
      <c r="P44" s="83"/>
      <c r="Q44" s="83"/>
    </row>
    <row r="45" spans="2:17" ht="167" customHeight="1" x14ac:dyDescent="0.35">
      <c r="B45" s="225" t="s">
        <v>5</v>
      </c>
      <c r="C45" s="192"/>
      <c r="D45" s="193" t="s">
        <v>496</v>
      </c>
      <c r="E45" s="194" t="s">
        <v>24</v>
      </c>
      <c r="F45" s="209" t="s">
        <v>917</v>
      </c>
      <c r="G45" s="83" t="s">
        <v>33</v>
      </c>
      <c r="H45" s="75" t="s">
        <v>43</v>
      </c>
      <c r="I45" s="82"/>
      <c r="J45" s="83"/>
      <c r="K45" s="81"/>
      <c r="L45" s="81"/>
      <c r="M45" s="81"/>
      <c r="N45" s="81"/>
      <c r="O45" s="83"/>
      <c r="P45" s="83"/>
      <c r="Q45" s="83"/>
    </row>
    <row r="46" spans="2:17" ht="111.5" x14ac:dyDescent="0.35">
      <c r="B46" s="225" t="s">
        <v>5</v>
      </c>
      <c r="C46" s="189" t="s">
        <v>918</v>
      </c>
      <c r="D46" s="190" t="s">
        <v>281</v>
      </c>
      <c r="E46" s="191" t="s">
        <v>24</v>
      </c>
      <c r="F46" s="204" t="s">
        <v>919</v>
      </c>
      <c r="G46" s="79" t="s">
        <v>33</v>
      </c>
      <c r="H46" s="74" t="s">
        <v>43</v>
      </c>
      <c r="I46" s="78"/>
      <c r="J46" s="79"/>
      <c r="K46" s="77"/>
      <c r="L46" s="77"/>
      <c r="M46" s="77"/>
      <c r="N46" s="77"/>
      <c r="O46" s="79"/>
      <c r="P46" s="79"/>
      <c r="Q46" s="79"/>
    </row>
    <row r="47" spans="2:17" ht="102" x14ac:dyDescent="0.35">
      <c r="B47" s="225" t="s">
        <v>5</v>
      </c>
      <c r="C47" s="189"/>
      <c r="D47" s="190" t="s">
        <v>282</v>
      </c>
      <c r="E47" s="191" t="s">
        <v>24</v>
      </c>
      <c r="F47" s="210" t="s">
        <v>920</v>
      </c>
      <c r="G47" s="79" t="s">
        <v>33</v>
      </c>
      <c r="H47" s="74" t="s">
        <v>43</v>
      </c>
      <c r="I47" s="78"/>
      <c r="J47" s="79"/>
      <c r="K47" s="77"/>
      <c r="L47" s="77"/>
      <c r="M47" s="77"/>
      <c r="N47" s="77"/>
      <c r="O47" s="79"/>
      <c r="P47" s="79"/>
      <c r="Q47" s="79"/>
    </row>
    <row r="48" spans="2:17" ht="120" customHeight="1" x14ac:dyDescent="0.35">
      <c r="B48" s="225" t="s">
        <v>5</v>
      </c>
      <c r="C48" s="189"/>
      <c r="D48" s="190" t="s">
        <v>283</v>
      </c>
      <c r="E48" s="191" t="s">
        <v>24</v>
      </c>
      <c r="F48" s="204" t="s">
        <v>921</v>
      </c>
      <c r="G48" s="79" t="s">
        <v>33</v>
      </c>
      <c r="H48" s="74" t="s">
        <v>43</v>
      </c>
      <c r="I48" s="78"/>
      <c r="J48" s="79"/>
      <c r="K48" s="77"/>
      <c r="L48" s="77"/>
      <c r="M48" s="77"/>
      <c r="N48" s="77"/>
      <c r="O48" s="79"/>
      <c r="P48" s="79"/>
      <c r="Q48" s="79"/>
    </row>
    <row r="49" spans="2:17" ht="122" x14ac:dyDescent="0.35">
      <c r="B49" s="225" t="s">
        <v>5</v>
      </c>
      <c r="C49" s="189"/>
      <c r="D49" s="190" t="s">
        <v>284</v>
      </c>
      <c r="E49" s="191" t="s">
        <v>24</v>
      </c>
      <c r="F49" s="210" t="s">
        <v>922</v>
      </c>
      <c r="G49" s="79" t="s">
        <v>33</v>
      </c>
      <c r="H49" s="74" t="s">
        <v>43</v>
      </c>
      <c r="I49" s="78"/>
      <c r="J49" s="79"/>
      <c r="K49" s="77"/>
      <c r="L49" s="77"/>
      <c r="M49" s="77"/>
      <c r="N49" s="77"/>
      <c r="O49" s="79"/>
      <c r="P49" s="79"/>
      <c r="Q49" s="79"/>
    </row>
    <row r="50" spans="2:17" ht="141.5" x14ac:dyDescent="0.35">
      <c r="B50" s="225" t="s">
        <v>5</v>
      </c>
      <c r="C50" s="189"/>
      <c r="D50" s="190" t="s">
        <v>285</v>
      </c>
      <c r="E50" s="191" t="s">
        <v>24</v>
      </c>
      <c r="F50" s="204" t="s">
        <v>923</v>
      </c>
      <c r="G50" s="79" t="s">
        <v>33</v>
      </c>
      <c r="H50" s="74" t="s">
        <v>43</v>
      </c>
      <c r="I50" s="78"/>
      <c r="J50" s="79"/>
      <c r="K50" s="77"/>
      <c r="L50" s="77"/>
      <c r="M50" s="77"/>
      <c r="N50" s="77"/>
      <c r="O50" s="79"/>
      <c r="P50" s="79"/>
      <c r="Q50" s="79"/>
    </row>
    <row r="51" spans="2:17" ht="151.5" x14ac:dyDescent="0.35">
      <c r="B51" s="225" t="s">
        <v>5</v>
      </c>
      <c r="C51" s="189"/>
      <c r="D51" s="190" t="s">
        <v>286</v>
      </c>
      <c r="E51" s="191" t="s">
        <v>24</v>
      </c>
      <c r="F51" s="210" t="s">
        <v>924</v>
      </c>
      <c r="G51" s="79" t="s">
        <v>33</v>
      </c>
      <c r="H51" s="74" t="s">
        <v>43</v>
      </c>
      <c r="I51" s="78"/>
      <c r="J51" s="79"/>
      <c r="K51" s="77"/>
      <c r="L51" s="77"/>
      <c r="M51" s="77"/>
      <c r="N51" s="77"/>
      <c r="O51" s="79"/>
      <c r="P51" s="79"/>
      <c r="Q51" s="79"/>
    </row>
    <row r="52" spans="2:17" ht="63" x14ac:dyDescent="0.35">
      <c r="B52" s="225" t="s">
        <v>5</v>
      </c>
      <c r="C52" s="192" t="s">
        <v>925</v>
      </c>
      <c r="D52" s="193" t="s">
        <v>287</v>
      </c>
      <c r="E52" s="194" t="s">
        <v>25</v>
      </c>
      <c r="F52" s="209" t="s">
        <v>703</v>
      </c>
      <c r="G52" s="83" t="s">
        <v>33</v>
      </c>
      <c r="H52" s="75" t="s">
        <v>43</v>
      </c>
      <c r="I52" s="82"/>
      <c r="J52" s="83"/>
      <c r="K52" s="81"/>
      <c r="L52" s="81"/>
      <c r="M52" s="81"/>
      <c r="N52" s="81"/>
      <c r="O52" s="83"/>
      <c r="P52" s="83"/>
      <c r="Q52" s="83"/>
    </row>
    <row r="53" spans="2:17" ht="66" customHeight="1" x14ac:dyDescent="0.35">
      <c r="B53" s="225" t="s">
        <v>5</v>
      </c>
      <c r="C53" s="192"/>
      <c r="D53" s="193" t="s">
        <v>288</v>
      </c>
      <c r="E53" s="194" t="s">
        <v>25</v>
      </c>
      <c r="F53" s="209" t="s">
        <v>926</v>
      </c>
      <c r="G53" s="83" t="s">
        <v>33</v>
      </c>
      <c r="H53" s="75" t="s">
        <v>43</v>
      </c>
      <c r="I53" s="82"/>
      <c r="J53" s="83"/>
      <c r="K53" s="81"/>
      <c r="L53" s="81"/>
      <c r="M53" s="81"/>
      <c r="N53" s="81"/>
      <c r="O53" s="83"/>
      <c r="P53" s="83"/>
      <c r="Q53" s="83"/>
    </row>
    <row r="54" spans="2:17" ht="52.5" x14ac:dyDescent="0.35">
      <c r="B54" s="225" t="s">
        <v>5</v>
      </c>
      <c r="C54" s="192"/>
      <c r="D54" s="193" t="s">
        <v>289</v>
      </c>
      <c r="E54" s="194" t="s">
        <v>25</v>
      </c>
      <c r="F54" s="209" t="s">
        <v>704</v>
      </c>
      <c r="G54" s="83" t="s">
        <v>33</v>
      </c>
      <c r="H54" s="75" t="s">
        <v>43</v>
      </c>
      <c r="I54" s="82"/>
      <c r="J54" s="83"/>
      <c r="K54" s="81"/>
      <c r="L54" s="81"/>
      <c r="M54" s="81"/>
      <c r="N54" s="81"/>
      <c r="O54" s="83"/>
      <c r="P54" s="83"/>
      <c r="Q54" s="83"/>
    </row>
    <row r="55" spans="2:17" ht="63" x14ac:dyDescent="0.35">
      <c r="B55" s="225" t="s">
        <v>5</v>
      </c>
      <c r="C55" s="192"/>
      <c r="D55" s="193" t="s">
        <v>290</v>
      </c>
      <c r="E55" s="194" t="s">
        <v>25</v>
      </c>
      <c r="F55" s="209" t="s">
        <v>705</v>
      </c>
      <c r="G55" s="83" t="s">
        <v>33</v>
      </c>
      <c r="H55" s="75" t="s">
        <v>43</v>
      </c>
      <c r="I55" s="82"/>
      <c r="J55" s="83"/>
      <c r="K55" s="81"/>
      <c r="L55" s="81"/>
      <c r="M55" s="81"/>
      <c r="N55" s="81"/>
      <c r="O55" s="83"/>
      <c r="P55" s="83"/>
      <c r="Q55" s="83"/>
    </row>
    <row r="56" spans="2:17" ht="52.5" x14ac:dyDescent="0.35">
      <c r="B56" s="225" t="s">
        <v>5</v>
      </c>
      <c r="C56" s="192"/>
      <c r="D56" s="193" t="s">
        <v>291</v>
      </c>
      <c r="E56" s="194" t="s">
        <v>25</v>
      </c>
      <c r="F56" s="209" t="s">
        <v>706</v>
      </c>
      <c r="G56" s="83" t="s">
        <v>33</v>
      </c>
      <c r="H56" s="75" t="s">
        <v>43</v>
      </c>
      <c r="I56" s="82"/>
      <c r="J56" s="83"/>
      <c r="K56" s="81"/>
      <c r="L56" s="81"/>
      <c r="M56" s="81"/>
      <c r="N56" s="81"/>
      <c r="O56" s="83"/>
      <c r="P56" s="83"/>
      <c r="Q56" s="83"/>
    </row>
    <row r="57" spans="2:17" ht="166" customHeight="1" x14ac:dyDescent="0.35">
      <c r="B57" s="225" t="s">
        <v>5</v>
      </c>
      <c r="C57" s="189" t="s">
        <v>927</v>
      </c>
      <c r="D57" s="190" t="s">
        <v>292</v>
      </c>
      <c r="E57" s="191" t="s">
        <v>24</v>
      </c>
      <c r="F57" s="210" t="s">
        <v>928</v>
      </c>
      <c r="G57" s="79" t="s">
        <v>33</v>
      </c>
      <c r="H57" s="74" t="s">
        <v>43</v>
      </c>
      <c r="I57" s="78"/>
      <c r="J57" s="79"/>
      <c r="K57" s="77"/>
      <c r="L57" s="77"/>
      <c r="M57" s="77"/>
      <c r="N57" s="77"/>
      <c r="O57" s="79"/>
      <c r="P57" s="79"/>
      <c r="Q57" s="79"/>
    </row>
    <row r="58" spans="2:17" ht="136.5" customHeight="1" x14ac:dyDescent="0.35">
      <c r="B58" s="225" t="s">
        <v>5</v>
      </c>
      <c r="C58" s="189"/>
      <c r="D58" s="190" t="s">
        <v>293</v>
      </c>
      <c r="E58" s="191" t="s">
        <v>24</v>
      </c>
      <c r="F58" s="210" t="s">
        <v>929</v>
      </c>
      <c r="G58" s="79" t="s">
        <v>33</v>
      </c>
      <c r="H58" s="74" t="s">
        <v>43</v>
      </c>
      <c r="I58" s="78"/>
      <c r="J58" s="79"/>
      <c r="K58" s="77"/>
      <c r="L58" s="77"/>
      <c r="M58" s="77"/>
      <c r="N58" s="77"/>
      <c r="O58" s="79"/>
      <c r="P58" s="79"/>
      <c r="Q58" s="79"/>
    </row>
    <row r="59" spans="2:17" ht="132.5" customHeight="1" x14ac:dyDescent="0.35">
      <c r="B59" s="225" t="s">
        <v>5</v>
      </c>
      <c r="C59" s="189"/>
      <c r="D59" s="190" t="s">
        <v>294</v>
      </c>
      <c r="E59" s="191" t="s">
        <v>24</v>
      </c>
      <c r="F59" s="212" t="s">
        <v>930</v>
      </c>
      <c r="G59" s="79" t="s">
        <v>33</v>
      </c>
      <c r="H59" s="74" t="s">
        <v>43</v>
      </c>
      <c r="I59" s="78"/>
      <c r="J59" s="79"/>
      <c r="K59" s="77"/>
      <c r="L59" s="77"/>
      <c r="M59" s="77"/>
      <c r="N59" s="77"/>
      <c r="O59" s="79"/>
      <c r="P59" s="79"/>
      <c r="Q59" s="79"/>
    </row>
    <row r="60" spans="2:17" ht="132.5" customHeight="1" x14ac:dyDescent="0.35">
      <c r="B60" s="225" t="s">
        <v>5</v>
      </c>
      <c r="C60" s="189"/>
      <c r="D60" s="190" t="s">
        <v>295</v>
      </c>
      <c r="E60" s="191" t="s">
        <v>24</v>
      </c>
      <c r="F60" s="204" t="s">
        <v>931</v>
      </c>
      <c r="G60" s="79" t="s">
        <v>33</v>
      </c>
      <c r="H60" s="74" t="s">
        <v>43</v>
      </c>
      <c r="I60" s="78"/>
      <c r="J60" s="79"/>
      <c r="K60" s="77"/>
      <c r="L60" s="77"/>
      <c r="M60" s="77"/>
      <c r="N60" s="77"/>
      <c r="O60" s="79"/>
      <c r="P60" s="79"/>
      <c r="Q60" s="79"/>
    </row>
    <row r="61" spans="2:17" ht="131" customHeight="1" x14ac:dyDescent="0.35">
      <c r="B61" s="225" t="s">
        <v>5</v>
      </c>
      <c r="C61" s="189"/>
      <c r="D61" s="190" t="s">
        <v>296</v>
      </c>
      <c r="E61" s="191" t="s">
        <v>24</v>
      </c>
      <c r="F61" s="204" t="s">
        <v>932</v>
      </c>
      <c r="G61" s="79" t="s">
        <v>33</v>
      </c>
      <c r="H61" s="74" t="s">
        <v>43</v>
      </c>
      <c r="I61" s="78"/>
      <c r="J61" s="79"/>
      <c r="K61" s="77"/>
      <c r="L61" s="77"/>
      <c r="M61" s="77"/>
      <c r="N61" s="77"/>
      <c r="O61" s="79"/>
      <c r="P61" s="79"/>
      <c r="Q61" s="79"/>
    </row>
    <row r="62" spans="2:17" ht="21" x14ac:dyDescent="0.35">
      <c r="B62" s="226" t="s">
        <v>39</v>
      </c>
      <c r="C62" s="192" t="s">
        <v>707</v>
      </c>
      <c r="D62" s="193" t="s">
        <v>297</v>
      </c>
      <c r="E62" s="194" t="s">
        <v>24</v>
      </c>
      <c r="F62" s="213" t="s">
        <v>708</v>
      </c>
      <c r="G62" s="83" t="s">
        <v>33</v>
      </c>
      <c r="H62" s="75" t="s">
        <v>43</v>
      </c>
      <c r="I62" s="82"/>
      <c r="J62" s="83"/>
      <c r="K62" s="81"/>
      <c r="L62" s="81"/>
      <c r="M62" s="81"/>
      <c r="N62" s="81"/>
      <c r="O62" s="83"/>
      <c r="P62" s="83"/>
      <c r="Q62" s="83"/>
    </row>
    <row r="63" spans="2:17" ht="32" thickBot="1" x14ac:dyDescent="0.4">
      <c r="B63" s="226" t="s">
        <v>39</v>
      </c>
      <c r="C63" s="189" t="s">
        <v>709</v>
      </c>
      <c r="D63" s="190" t="s">
        <v>298</v>
      </c>
      <c r="E63" s="191" t="s">
        <v>24</v>
      </c>
      <c r="F63" s="214" t="s">
        <v>710</v>
      </c>
      <c r="G63" s="79" t="s">
        <v>33</v>
      </c>
      <c r="H63" s="74" t="s">
        <v>43</v>
      </c>
      <c r="I63" s="78"/>
      <c r="J63" s="79"/>
      <c r="K63" s="77"/>
      <c r="L63" s="77"/>
      <c r="M63" s="77"/>
      <c r="N63" s="77"/>
      <c r="O63" s="79"/>
      <c r="P63" s="79"/>
      <c r="Q63" s="79"/>
    </row>
    <row r="64" spans="2:17" ht="53" customHeight="1" thickTop="1" x14ac:dyDescent="0.35">
      <c r="B64" s="225" t="s">
        <v>3</v>
      </c>
      <c r="C64" s="192" t="s">
        <v>933</v>
      </c>
      <c r="D64" s="193" t="s">
        <v>299</v>
      </c>
      <c r="E64" s="194" t="s">
        <v>24</v>
      </c>
      <c r="F64" s="213" t="s">
        <v>300</v>
      </c>
      <c r="G64" s="83" t="s">
        <v>33</v>
      </c>
      <c r="H64" s="75" t="s">
        <v>43</v>
      </c>
      <c r="I64" s="82"/>
      <c r="J64" s="83"/>
      <c r="K64" s="81"/>
      <c r="L64" s="81"/>
      <c r="M64" s="81"/>
      <c r="N64" s="81"/>
      <c r="O64" s="83"/>
      <c r="P64" s="83"/>
      <c r="Q64" s="83"/>
    </row>
    <row r="65" spans="2:17" ht="42" x14ac:dyDescent="0.35">
      <c r="B65" s="225" t="s">
        <v>3</v>
      </c>
      <c r="C65" s="192"/>
      <c r="D65" s="193" t="s">
        <v>305</v>
      </c>
      <c r="E65" s="194" t="s">
        <v>24</v>
      </c>
      <c r="F65" s="213" t="s">
        <v>301</v>
      </c>
      <c r="G65" s="83" t="s">
        <v>33</v>
      </c>
      <c r="H65" s="75" t="s">
        <v>43</v>
      </c>
      <c r="I65" s="82"/>
      <c r="J65" s="83"/>
      <c r="K65" s="81"/>
      <c r="L65" s="81"/>
      <c r="M65" s="81"/>
      <c r="N65" s="81"/>
      <c r="O65" s="83"/>
      <c r="P65" s="83"/>
      <c r="Q65" s="83"/>
    </row>
    <row r="66" spans="2:17" ht="46" customHeight="1" x14ac:dyDescent="0.35">
      <c r="B66" s="225" t="s">
        <v>3</v>
      </c>
      <c r="C66" s="192"/>
      <c r="D66" s="193" t="s">
        <v>306</v>
      </c>
      <c r="E66" s="194" t="s">
        <v>24</v>
      </c>
      <c r="F66" s="213" t="s">
        <v>934</v>
      </c>
      <c r="G66" s="83" t="s">
        <v>33</v>
      </c>
      <c r="H66" s="75" t="s">
        <v>43</v>
      </c>
      <c r="I66" s="82"/>
      <c r="J66" s="83"/>
      <c r="K66" s="81"/>
      <c r="L66" s="81"/>
      <c r="M66" s="81"/>
      <c r="N66" s="81"/>
      <c r="O66" s="83"/>
      <c r="P66" s="83"/>
      <c r="Q66" s="83"/>
    </row>
    <row r="67" spans="2:17" ht="42" x14ac:dyDescent="0.35">
      <c r="B67" s="225" t="s">
        <v>3</v>
      </c>
      <c r="C67" s="192"/>
      <c r="D67" s="193" t="s">
        <v>307</v>
      </c>
      <c r="E67" s="194" t="s">
        <v>24</v>
      </c>
      <c r="F67" s="213" t="s">
        <v>302</v>
      </c>
      <c r="G67" s="83" t="s">
        <v>33</v>
      </c>
      <c r="H67" s="75" t="s">
        <v>43</v>
      </c>
      <c r="I67" s="82"/>
      <c r="J67" s="83"/>
      <c r="K67" s="81"/>
      <c r="L67" s="81"/>
      <c r="M67" s="81"/>
      <c r="N67" s="81"/>
      <c r="O67" s="83"/>
      <c r="P67" s="83"/>
      <c r="Q67" s="83"/>
    </row>
    <row r="68" spans="2:17" ht="42" x14ac:dyDescent="0.35">
      <c r="B68" s="225" t="s">
        <v>3</v>
      </c>
      <c r="C68" s="192"/>
      <c r="D68" s="193" t="s">
        <v>308</v>
      </c>
      <c r="E68" s="194" t="s">
        <v>24</v>
      </c>
      <c r="F68" s="213" t="s">
        <v>303</v>
      </c>
      <c r="G68" s="83" t="s">
        <v>33</v>
      </c>
      <c r="H68" s="75" t="s">
        <v>43</v>
      </c>
      <c r="I68" s="82"/>
      <c r="J68" s="83"/>
      <c r="K68" s="81"/>
      <c r="L68" s="81"/>
      <c r="M68" s="81"/>
      <c r="N68" s="81"/>
      <c r="O68" s="83"/>
      <c r="P68" s="83"/>
      <c r="Q68" s="83"/>
    </row>
    <row r="69" spans="2:17" ht="42" x14ac:dyDescent="0.35">
      <c r="B69" s="225" t="s">
        <v>3</v>
      </c>
      <c r="C69" s="192"/>
      <c r="D69" s="193" t="s">
        <v>309</v>
      </c>
      <c r="E69" s="194" t="s">
        <v>24</v>
      </c>
      <c r="F69" s="213" t="s">
        <v>304</v>
      </c>
      <c r="G69" s="83" t="s">
        <v>33</v>
      </c>
      <c r="H69" s="75" t="s">
        <v>43</v>
      </c>
      <c r="I69" s="82"/>
      <c r="J69" s="83"/>
      <c r="K69" s="81"/>
      <c r="L69" s="81"/>
      <c r="M69" s="81"/>
      <c r="N69" s="81"/>
      <c r="O69" s="83"/>
      <c r="P69" s="83"/>
      <c r="Q69" s="83"/>
    </row>
    <row r="70" spans="2:17" ht="82" x14ac:dyDescent="0.35">
      <c r="B70" s="225" t="s">
        <v>3</v>
      </c>
      <c r="C70" s="189" t="s">
        <v>935</v>
      </c>
      <c r="D70" s="190" t="s">
        <v>310</v>
      </c>
      <c r="E70" s="191" t="s">
        <v>25</v>
      </c>
      <c r="F70" s="211" t="s">
        <v>936</v>
      </c>
      <c r="G70" s="79" t="s">
        <v>33</v>
      </c>
      <c r="H70" s="74" t="s">
        <v>43</v>
      </c>
      <c r="I70" s="78"/>
      <c r="J70" s="79"/>
      <c r="K70" s="77"/>
      <c r="L70" s="77"/>
      <c r="M70" s="77"/>
      <c r="N70" s="77"/>
      <c r="O70" s="79"/>
      <c r="P70" s="79"/>
      <c r="Q70" s="79"/>
    </row>
    <row r="71" spans="2:17" ht="82" x14ac:dyDescent="0.35">
      <c r="B71" s="225" t="s">
        <v>3</v>
      </c>
      <c r="C71" s="189"/>
      <c r="D71" s="190" t="s">
        <v>311</v>
      </c>
      <c r="E71" s="191" t="s">
        <v>25</v>
      </c>
      <c r="F71" s="211" t="s">
        <v>937</v>
      </c>
      <c r="G71" s="79" t="s">
        <v>33</v>
      </c>
      <c r="H71" s="74" t="s">
        <v>43</v>
      </c>
      <c r="I71" s="78"/>
      <c r="J71" s="79"/>
      <c r="K71" s="77"/>
      <c r="L71" s="77"/>
      <c r="M71" s="77"/>
      <c r="N71" s="77"/>
      <c r="O71" s="79"/>
      <c r="P71" s="79"/>
      <c r="Q71" s="79"/>
    </row>
    <row r="72" spans="2:17" ht="82" x14ac:dyDescent="0.35">
      <c r="B72" s="225" t="s">
        <v>3</v>
      </c>
      <c r="C72" s="189"/>
      <c r="D72" s="190" t="s">
        <v>312</v>
      </c>
      <c r="E72" s="191" t="s">
        <v>25</v>
      </c>
      <c r="F72" s="211" t="s">
        <v>938</v>
      </c>
      <c r="G72" s="79" t="s">
        <v>33</v>
      </c>
      <c r="H72" s="74" t="s">
        <v>43</v>
      </c>
      <c r="I72" s="78"/>
      <c r="J72" s="79"/>
      <c r="K72" s="77"/>
      <c r="L72" s="77"/>
      <c r="M72" s="77"/>
      <c r="N72" s="77"/>
      <c r="O72" s="79"/>
      <c r="P72" s="79"/>
      <c r="Q72" s="79"/>
    </row>
    <row r="73" spans="2:17" ht="82" x14ac:dyDescent="0.35">
      <c r="B73" s="225" t="s">
        <v>3</v>
      </c>
      <c r="C73" s="189"/>
      <c r="D73" s="190" t="s">
        <v>313</v>
      </c>
      <c r="E73" s="191" t="s">
        <v>25</v>
      </c>
      <c r="F73" s="211" t="s">
        <v>939</v>
      </c>
      <c r="G73" s="79" t="s">
        <v>33</v>
      </c>
      <c r="H73" s="74" t="s">
        <v>43</v>
      </c>
      <c r="I73" s="78"/>
      <c r="J73" s="79"/>
      <c r="K73" s="77"/>
      <c r="L73" s="77"/>
      <c r="M73" s="77"/>
      <c r="N73" s="77"/>
      <c r="O73" s="79"/>
      <c r="P73" s="79"/>
      <c r="Q73" s="79"/>
    </row>
    <row r="74" spans="2:17" ht="42" x14ac:dyDescent="0.35">
      <c r="B74" s="225" t="s">
        <v>3</v>
      </c>
      <c r="C74" s="189"/>
      <c r="D74" s="190" t="s">
        <v>314</v>
      </c>
      <c r="E74" s="191" t="s">
        <v>25</v>
      </c>
      <c r="F74" s="206" t="s">
        <v>711</v>
      </c>
      <c r="G74" s="79" t="s">
        <v>33</v>
      </c>
      <c r="H74" s="74" t="s">
        <v>43</v>
      </c>
      <c r="I74" s="78"/>
      <c r="J74" s="79"/>
      <c r="K74" s="77"/>
      <c r="L74" s="77"/>
      <c r="M74" s="77"/>
      <c r="N74" s="77"/>
      <c r="O74" s="79"/>
      <c r="P74" s="79"/>
      <c r="Q74" s="79"/>
    </row>
    <row r="75" spans="2:17" ht="82.5" x14ac:dyDescent="0.35">
      <c r="B75" s="225" t="s">
        <v>3</v>
      </c>
      <c r="C75" s="192" t="s">
        <v>940</v>
      </c>
      <c r="D75" s="193" t="s">
        <v>315</v>
      </c>
      <c r="E75" s="194" t="s">
        <v>25</v>
      </c>
      <c r="F75" s="215" t="s">
        <v>941</v>
      </c>
      <c r="G75" s="83" t="s">
        <v>33</v>
      </c>
      <c r="H75" s="75" t="s">
        <v>43</v>
      </c>
      <c r="I75" s="82"/>
      <c r="J75" s="83"/>
      <c r="K75" s="81"/>
      <c r="L75" s="81"/>
      <c r="M75" s="81"/>
      <c r="N75" s="81"/>
      <c r="O75" s="83"/>
      <c r="P75" s="83"/>
      <c r="Q75" s="83"/>
    </row>
    <row r="76" spans="2:17" ht="93" x14ac:dyDescent="0.35">
      <c r="B76" s="225" t="s">
        <v>3</v>
      </c>
      <c r="C76" s="197"/>
      <c r="D76" s="193" t="s">
        <v>316</v>
      </c>
      <c r="E76" s="194" t="s">
        <v>25</v>
      </c>
      <c r="F76" s="216" t="s">
        <v>942</v>
      </c>
      <c r="G76" s="83" t="s">
        <v>33</v>
      </c>
      <c r="H76" s="75" t="s">
        <v>43</v>
      </c>
      <c r="I76" s="82"/>
      <c r="J76" s="83"/>
      <c r="K76" s="81"/>
      <c r="L76" s="81"/>
      <c r="M76" s="81"/>
      <c r="N76" s="81"/>
      <c r="O76" s="83"/>
      <c r="P76" s="83"/>
      <c r="Q76" s="83"/>
    </row>
    <row r="77" spans="2:17" ht="82.5" x14ac:dyDescent="0.35">
      <c r="B77" s="225" t="s">
        <v>3</v>
      </c>
      <c r="C77" s="197"/>
      <c r="D77" s="193" t="s">
        <v>317</v>
      </c>
      <c r="E77" s="194" t="s">
        <v>25</v>
      </c>
      <c r="F77" s="216" t="s">
        <v>943</v>
      </c>
      <c r="G77" s="83" t="s">
        <v>33</v>
      </c>
      <c r="H77" s="75" t="s">
        <v>43</v>
      </c>
      <c r="I77" s="82"/>
      <c r="J77" s="83"/>
      <c r="K77" s="81"/>
      <c r="L77" s="81"/>
      <c r="M77" s="81"/>
      <c r="N77" s="81"/>
      <c r="O77" s="83"/>
      <c r="P77" s="83"/>
      <c r="Q77" s="83"/>
    </row>
    <row r="78" spans="2:17" ht="52.5" x14ac:dyDescent="0.35">
      <c r="B78" s="225" t="s">
        <v>3</v>
      </c>
      <c r="C78" s="197"/>
      <c r="D78" s="193" t="s">
        <v>318</v>
      </c>
      <c r="E78" s="194" t="s">
        <v>25</v>
      </c>
      <c r="F78" s="216" t="s">
        <v>712</v>
      </c>
      <c r="G78" s="83" t="s">
        <v>33</v>
      </c>
      <c r="H78" s="75" t="s">
        <v>43</v>
      </c>
      <c r="I78" s="82"/>
      <c r="J78" s="83"/>
      <c r="K78" s="81"/>
      <c r="L78" s="81"/>
      <c r="M78" s="81"/>
      <c r="N78" s="81"/>
      <c r="O78" s="83"/>
      <c r="P78" s="83"/>
      <c r="Q78" s="83"/>
    </row>
    <row r="79" spans="2:17" ht="71.5" x14ac:dyDescent="0.35">
      <c r="B79" s="226" t="s">
        <v>6</v>
      </c>
      <c r="C79" s="189" t="s">
        <v>944</v>
      </c>
      <c r="D79" s="190" t="s">
        <v>319</v>
      </c>
      <c r="E79" s="191" t="s">
        <v>24</v>
      </c>
      <c r="F79" s="217" t="s">
        <v>945</v>
      </c>
      <c r="G79" s="79" t="s">
        <v>33</v>
      </c>
      <c r="H79" s="74" t="s">
        <v>43</v>
      </c>
      <c r="I79" s="78"/>
      <c r="J79" s="79"/>
      <c r="K79" s="77"/>
      <c r="L79" s="77"/>
      <c r="M79" s="77"/>
      <c r="N79" s="77"/>
      <c r="O79" s="79"/>
      <c r="P79" s="79"/>
      <c r="Q79" s="79"/>
    </row>
    <row r="80" spans="2:17" ht="151.5" x14ac:dyDescent="0.35">
      <c r="B80" s="226" t="s">
        <v>6</v>
      </c>
      <c r="C80" s="189"/>
      <c r="D80" s="190" t="s">
        <v>320</v>
      </c>
      <c r="E80" s="191" t="s">
        <v>24</v>
      </c>
      <c r="F80" s="217" t="s">
        <v>946</v>
      </c>
      <c r="G80" s="79" t="s">
        <v>33</v>
      </c>
      <c r="H80" s="74" t="s">
        <v>43</v>
      </c>
      <c r="I80" s="78"/>
      <c r="J80" s="79"/>
      <c r="K80" s="77"/>
      <c r="L80" s="77"/>
      <c r="M80" s="77"/>
      <c r="N80" s="77"/>
      <c r="O80" s="79"/>
      <c r="P80" s="79"/>
      <c r="Q80" s="79"/>
    </row>
    <row r="81" spans="2:17" ht="111.5" x14ac:dyDescent="0.35">
      <c r="B81" s="226" t="s">
        <v>6</v>
      </c>
      <c r="C81" s="189"/>
      <c r="D81" s="190" t="s">
        <v>321</v>
      </c>
      <c r="E81" s="191" t="s">
        <v>24</v>
      </c>
      <c r="F81" s="217" t="s">
        <v>947</v>
      </c>
      <c r="G81" s="79" t="s">
        <v>33</v>
      </c>
      <c r="H81" s="74" t="s">
        <v>43</v>
      </c>
      <c r="I81" s="78"/>
      <c r="J81" s="79"/>
      <c r="K81" s="77"/>
      <c r="L81" s="77"/>
      <c r="M81" s="77"/>
      <c r="N81" s="77"/>
      <c r="O81" s="79"/>
      <c r="P81" s="79"/>
      <c r="Q81" s="79"/>
    </row>
    <row r="82" spans="2:17" ht="47" customHeight="1" x14ac:dyDescent="0.35">
      <c r="B82" s="226" t="s">
        <v>6</v>
      </c>
      <c r="C82" s="192" t="s">
        <v>948</v>
      </c>
      <c r="D82" s="193" t="s">
        <v>322</v>
      </c>
      <c r="E82" s="194" t="s">
        <v>24</v>
      </c>
      <c r="F82" s="215" t="s">
        <v>949</v>
      </c>
      <c r="G82" s="83" t="s">
        <v>33</v>
      </c>
      <c r="H82" s="75" t="s">
        <v>43</v>
      </c>
      <c r="I82" s="82"/>
      <c r="J82" s="83"/>
      <c r="K82" s="81"/>
      <c r="L82" s="81"/>
      <c r="M82" s="81"/>
      <c r="N82" s="81"/>
      <c r="O82" s="83"/>
      <c r="P82" s="83"/>
      <c r="Q82" s="83"/>
    </row>
    <row r="83" spans="2:17" ht="91.5" x14ac:dyDescent="0.35">
      <c r="B83" s="226" t="s">
        <v>6</v>
      </c>
      <c r="C83" s="192"/>
      <c r="D83" s="193" t="s">
        <v>323</v>
      </c>
      <c r="E83" s="194" t="s">
        <v>24</v>
      </c>
      <c r="F83" s="218" t="s">
        <v>950</v>
      </c>
      <c r="G83" s="83" t="s">
        <v>33</v>
      </c>
      <c r="H83" s="75" t="s">
        <v>43</v>
      </c>
      <c r="I83" s="82"/>
      <c r="J83" s="83"/>
      <c r="K83" s="81"/>
      <c r="L83" s="81"/>
      <c r="M83" s="81"/>
      <c r="N83" s="81"/>
      <c r="O83" s="83"/>
      <c r="P83" s="83"/>
      <c r="Q83" s="83"/>
    </row>
    <row r="84" spans="2:17" ht="71.5" x14ac:dyDescent="0.35">
      <c r="B84" s="226" t="s">
        <v>6</v>
      </c>
      <c r="C84" s="192"/>
      <c r="D84" s="193" t="s">
        <v>324</v>
      </c>
      <c r="E84" s="194" t="s">
        <v>24</v>
      </c>
      <c r="F84" s="218" t="s">
        <v>951</v>
      </c>
      <c r="G84" s="83" t="s">
        <v>33</v>
      </c>
      <c r="H84" s="75" t="s">
        <v>43</v>
      </c>
      <c r="I84" s="82"/>
      <c r="J84" s="83"/>
      <c r="K84" s="81"/>
      <c r="L84" s="81"/>
      <c r="M84" s="81"/>
      <c r="N84" s="81"/>
      <c r="O84" s="83"/>
      <c r="P84" s="83"/>
      <c r="Q84" s="83"/>
    </row>
    <row r="85" spans="2:17" ht="81.5" x14ac:dyDescent="0.35">
      <c r="B85" s="226" t="s">
        <v>6</v>
      </c>
      <c r="C85" s="189" t="s">
        <v>952</v>
      </c>
      <c r="D85" s="190" t="s">
        <v>325</v>
      </c>
      <c r="E85" s="191" t="s">
        <v>24</v>
      </c>
      <c r="F85" s="217" t="s">
        <v>953</v>
      </c>
      <c r="G85" s="79" t="s">
        <v>33</v>
      </c>
      <c r="H85" s="74" t="s">
        <v>43</v>
      </c>
      <c r="I85" s="78"/>
      <c r="J85" s="79"/>
      <c r="K85" s="77"/>
      <c r="L85" s="77"/>
      <c r="M85" s="77"/>
      <c r="N85" s="77"/>
      <c r="O85" s="79"/>
      <c r="P85" s="79"/>
      <c r="Q85" s="79"/>
    </row>
    <row r="86" spans="2:17" ht="53.5" customHeight="1" x14ac:dyDescent="0.35">
      <c r="B86" s="226" t="s">
        <v>6</v>
      </c>
      <c r="C86" s="189"/>
      <c r="D86" s="190" t="s">
        <v>326</v>
      </c>
      <c r="E86" s="191" t="s">
        <v>24</v>
      </c>
      <c r="F86" s="219" t="s">
        <v>713</v>
      </c>
      <c r="G86" s="79" t="s">
        <v>33</v>
      </c>
      <c r="H86" s="74" t="s">
        <v>43</v>
      </c>
      <c r="I86" s="78"/>
      <c r="J86" s="79"/>
      <c r="K86" s="77"/>
      <c r="L86" s="77"/>
      <c r="M86" s="77"/>
      <c r="N86" s="77"/>
      <c r="O86" s="79"/>
      <c r="P86" s="79"/>
      <c r="Q86" s="79"/>
    </row>
    <row r="87" spans="2:17" ht="31.5" x14ac:dyDescent="0.35">
      <c r="B87" s="226" t="s">
        <v>6</v>
      </c>
      <c r="C87" s="199" t="s">
        <v>954</v>
      </c>
      <c r="D87" s="200" t="s">
        <v>327</v>
      </c>
      <c r="E87" s="201" t="s">
        <v>24</v>
      </c>
      <c r="F87" s="196" t="s">
        <v>954</v>
      </c>
      <c r="G87" s="83" t="s">
        <v>33</v>
      </c>
      <c r="H87" s="74" t="s">
        <v>43</v>
      </c>
      <c r="I87" s="82"/>
      <c r="J87" s="83"/>
      <c r="K87" s="81"/>
      <c r="L87" s="81"/>
      <c r="M87" s="81"/>
      <c r="N87" s="81"/>
      <c r="O87" s="83"/>
      <c r="P87" s="83"/>
      <c r="Q87" s="83"/>
    </row>
    <row r="88" spans="2:17" ht="61.5" x14ac:dyDescent="0.35">
      <c r="B88" s="226" t="s">
        <v>6</v>
      </c>
      <c r="C88" s="189" t="s">
        <v>955</v>
      </c>
      <c r="D88" s="190" t="s">
        <v>328</v>
      </c>
      <c r="E88" s="191" t="s">
        <v>25</v>
      </c>
      <c r="F88" s="217" t="s">
        <v>956</v>
      </c>
      <c r="G88" s="79" t="s">
        <v>33</v>
      </c>
      <c r="H88" s="74" t="s">
        <v>43</v>
      </c>
      <c r="I88" s="78"/>
      <c r="J88" s="79"/>
      <c r="K88" s="77"/>
      <c r="L88" s="77"/>
      <c r="M88" s="77"/>
      <c r="N88" s="77"/>
      <c r="O88" s="79"/>
      <c r="P88" s="79"/>
      <c r="Q88" s="79"/>
    </row>
    <row r="89" spans="2:17" ht="61.5" x14ac:dyDescent="0.35">
      <c r="B89" s="226" t="s">
        <v>6</v>
      </c>
      <c r="C89" s="189"/>
      <c r="D89" s="190" t="s">
        <v>329</v>
      </c>
      <c r="E89" s="191" t="s">
        <v>25</v>
      </c>
      <c r="F89" s="217" t="s">
        <v>957</v>
      </c>
      <c r="G89" s="79" t="s">
        <v>33</v>
      </c>
      <c r="H89" s="74" t="s">
        <v>43</v>
      </c>
      <c r="I89" s="78"/>
      <c r="J89" s="79"/>
      <c r="K89" s="77"/>
      <c r="L89" s="77"/>
      <c r="M89" s="77"/>
      <c r="N89" s="77"/>
      <c r="O89" s="79"/>
      <c r="P89" s="79"/>
      <c r="Q89" s="79"/>
    </row>
    <row r="90" spans="2:17" ht="31.5" x14ac:dyDescent="0.35">
      <c r="B90" s="226" t="s">
        <v>6</v>
      </c>
      <c r="C90" s="192" t="s">
        <v>958</v>
      </c>
      <c r="D90" s="193" t="s">
        <v>330</v>
      </c>
      <c r="E90" s="194" t="s">
        <v>25</v>
      </c>
      <c r="F90" s="215" t="s">
        <v>959</v>
      </c>
      <c r="G90" s="83" t="s">
        <v>33</v>
      </c>
      <c r="H90" s="75" t="s">
        <v>43</v>
      </c>
      <c r="I90" s="82"/>
      <c r="J90" s="83"/>
      <c r="K90" s="81"/>
      <c r="L90" s="81"/>
      <c r="M90" s="81"/>
      <c r="N90" s="81"/>
      <c r="O90" s="83"/>
      <c r="P90" s="83"/>
      <c r="Q90" s="83"/>
    </row>
    <row r="91" spans="2:17" ht="31.5" x14ac:dyDescent="0.35">
      <c r="B91" s="226" t="s">
        <v>6</v>
      </c>
      <c r="C91" s="192"/>
      <c r="D91" s="193" t="s">
        <v>331</v>
      </c>
      <c r="E91" s="194" t="s">
        <v>25</v>
      </c>
      <c r="F91" s="215" t="s">
        <v>960</v>
      </c>
      <c r="G91" s="83" t="s">
        <v>33</v>
      </c>
      <c r="H91" s="75" t="s">
        <v>43</v>
      </c>
      <c r="I91" s="82"/>
      <c r="J91" s="83"/>
      <c r="K91" s="81"/>
      <c r="L91" s="81"/>
      <c r="M91" s="81"/>
      <c r="N91" s="81"/>
      <c r="O91" s="83"/>
      <c r="P91" s="83"/>
      <c r="Q91" s="83"/>
    </row>
    <row r="92" spans="2:17" ht="42" x14ac:dyDescent="0.35">
      <c r="B92" s="226" t="s">
        <v>6</v>
      </c>
      <c r="C92" s="199" t="s">
        <v>961</v>
      </c>
      <c r="D92" s="200" t="s">
        <v>332</v>
      </c>
      <c r="E92" s="201" t="s">
        <v>24</v>
      </c>
      <c r="F92" s="196" t="s">
        <v>343</v>
      </c>
      <c r="G92" s="79" t="s">
        <v>33</v>
      </c>
      <c r="H92" s="74" t="s">
        <v>43</v>
      </c>
      <c r="I92" s="78"/>
      <c r="J92" s="79"/>
      <c r="K92" s="77"/>
      <c r="L92" s="77"/>
      <c r="M92" s="77"/>
      <c r="N92" s="77"/>
      <c r="O92" s="79"/>
      <c r="P92" s="79"/>
      <c r="Q92" s="79"/>
    </row>
    <row r="93" spans="2:17" ht="81.5" x14ac:dyDescent="0.35">
      <c r="B93" s="226" t="s">
        <v>6</v>
      </c>
      <c r="C93" s="192" t="s">
        <v>962</v>
      </c>
      <c r="D93" s="193" t="s">
        <v>333</v>
      </c>
      <c r="E93" s="194" t="s">
        <v>24</v>
      </c>
      <c r="F93" s="198" t="s">
        <v>963</v>
      </c>
      <c r="G93" s="83" t="s">
        <v>33</v>
      </c>
      <c r="H93" s="74" t="s">
        <v>43</v>
      </c>
      <c r="I93" s="82"/>
      <c r="J93" s="83"/>
      <c r="K93" s="81"/>
      <c r="L93" s="81"/>
      <c r="M93" s="81"/>
      <c r="N93" s="81"/>
      <c r="O93" s="83"/>
      <c r="P93" s="83"/>
      <c r="Q93" s="83"/>
    </row>
    <row r="94" spans="2:17" ht="71.5" x14ac:dyDescent="0.35">
      <c r="B94" s="226" t="s">
        <v>6</v>
      </c>
      <c r="C94" s="192"/>
      <c r="D94" s="193" t="s">
        <v>334</v>
      </c>
      <c r="E94" s="194" t="s">
        <v>24</v>
      </c>
      <c r="F94" s="218" t="s">
        <v>964</v>
      </c>
      <c r="G94" s="83" t="s">
        <v>33</v>
      </c>
      <c r="H94" s="74" t="s">
        <v>43</v>
      </c>
      <c r="I94" s="82"/>
      <c r="J94" s="83"/>
      <c r="K94" s="81"/>
      <c r="L94" s="81"/>
      <c r="M94" s="81"/>
      <c r="N94" s="81"/>
      <c r="O94" s="83"/>
      <c r="P94" s="83"/>
      <c r="Q94" s="83"/>
    </row>
    <row r="95" spans="2:17" ht="31.5" x14ac:dyDescent="0.35">
      <c r="B95" s="226" t="s">
        <v>6</v>
      </c>
      <c r="C95" s="189" t="s">
        <v>965</v>
      </c>
      <c r="D95" s="190" t="s">
        <v>335</v>
      </c>
      <c r="E95" s="191" t="s">
        <v>24</v>
      </c>
      <c r="F95" s="219" t="s">
        <v>344</v>
      </c>
      <c r="G95" s="79" t="s">
        <v>33</v>
      </c>
      <c r="H95" s="74" t="s">
        <v>43</v>
      </c>
      <c r="I95" s="78"/>
      <c r="J95" s="79"/>
      <c r="K95" s="77"/>
      <c r="L95" s="77"/>
      <c r="M95" s="77"/>
      <c r="N95" s="77"/>
      <c r="O95" s="79"/>
      <c r="P95" s="79"/>
      <c r="Q95" s="79"/>
    </row>
    <row r="96" spans="2:17" ht="127" customHeight="1" x14ac:dyDescent="0.35">
      <c r="B96" s="226" t="s">
        <v>6</v>
      </c>
      <c r="C96" s="192" t="s">
        <v>966</v>
      </c>
      <c r="D96" s="193" t="s">
        <v>336</v>
      </c>
      <c r="E96" s="194" t="s">
        <v>24</v>
      </c>
      <c r="F96" s="197" t="s">
        <v>967</v>
      </c>
      <c r="G96" s="83" t="s">
        <v>33</v>
      </c>
      <c r="H96" s="74" t="s">
        <v>43</v>
      </c>
      <c r="I96" s="82"/>
      <c r="J96" s="83"/>
      <c r="K96" s="81"/>
      <c r="L96" s="81"/>
      <c r="M96" s="81"/>
      <c r="N96" s="81"/>
      <c r="O96" s="83"/>
      <c r="P96" s="83"/>
      <c r="Q96" s="83"/>
    </row>
    <row r="97" spans="2:17" ht="30" x14ac:dyDescent="0.35">
      <c r="B97" s="226" t="s">
        <v>6</v>
      </c>
      <c r="C97" s="189" t="s">
        <v>968</v>
      </c>
      <c r="D97" s="190" t="s">
        <v>337</v>
      </c>
      <c r="E97" s="191" t="s">
        <v>24</v>
      </c>
      <c r="F97" s="219" t="s">
        <v>345</v>
      </c>
      <c r="G97" s="79" t="s">
        <v>33</v>
      </c>
      <c r="H97" s="74" t="s">
        <v>43</v>
      </c>
      <c r="I97" s="78"/>
      <c r="J97" s="79"/>
      <c r="K97" s="77"/>
      <c r="L97" s="77"/>
      <c r="M97" s="77"/>
      <c r="N97" s="77"/>
      <c r="O97" s="79"/>
      <c r="P97" s="79"/>
      <c r="Q97" s="79"/>
    </row>
    <row r="98" spans="2:17" ht="86" customHeight="1" x14ac:dyDescent="0.35">
      <c r="B98" s="226" t="s">
        <v>6</v>
      </c>
      <c r="C98" s="189"/>
      <c r="D98" s="190" t="s">
        <v>338</v>
      </c>
      <c r="E98" s="191" t="s">
        <v>24</v>
      </c>
      <c r="F98" s="219" t="s">
        <v>969</v>
      </c>
      <c r="G98" s="79" t="s">
        <v>33</v>
      </c>
      <c r="H98" s="74" t="s">
        <v>43</v>
      </c>
      <c r="I98" s="78"/>
      <c r="J98" s="79"/>
      <c r="K98" s="77"/>
      <c r="L98" s="77"/>
      <c r="M98" s="77"/>
      <c r="N98" s="77"/>
      <c r="O98" s="79"/>
      <c r="P98" s="79"/>
      <c r="Q98" s="79"/>
    </row>
    <row r="99" spans="2:17" ht="81" customHeight="1" x14ac:dyDescent="0.35">
      <c r="B99" s="226" t="s">
        <v>6</v>
      </c>
      <c r="C99" s="189"/>
      <c r="D99" s="190" t="s">
        <v>714</v>
      </c>
      <c r="E99" s="191" t="s">
        <v>24</v>
      </c>
      <c r="F99" s="219" t="s">
        <v>970</v>
      </c>
      <c r="G99" s="79" t="s">
        <v>33</v>
      </c>
      <c r="H99" s="74" t="s">
        <v>43</v>
      </c>
      <c r="I99" s="78"/>
      <c r="J99" s="79"/>
      <c r="K99" s="77"/>
      <c r="L99" s="77"/>
      <c r="M99" s="77"/>
      <c r="N99" s="77"/>
      <c r="O99" s="79"/>
      <c r="P99" s="79"/>
      <c r="Q99" s="79"/>
    </row>
    <row r="100" spans="2:17" ht="82.5" customHeight="1" x14ac:dyDescent="0.35">
      <c r="B100" s="226" t="s">
        <v>6</v>
      </c>
      <c r="C100" s="192" t="s">
        <v>971</v>
      </c>
      <c r="D100" s="193" t="s">
        <v>339</v>
      </c>
      <c r="E100" s="194" t="s">
        <v>24</v>
      </c>
      <c r="F100" s="215" t="s">
        <v>972</v>
      </c>
      <c r="G100" s="83" t="s">
        <v>33</v>
      </c>
      <c r="H100" s="75" t="s">
        <v>43</v>
      </c>
      <c r="I100" s="82"/>
      <c r="J100" s="83"/>
      <c r="K100" s="81"/>
      <c r="L100" s="81"/>
      <c r="M100" s="81"/>
      <c r="N100" s="81"/>
      <c r="O100" s="83"/>
      <c r="P100" s="83"/>
      <c r="Q100" s="83"/>
    </row>
    <row r="101" spans="2:17" ht="84.5" customHeight="1" x14ac:dyDescent="0.35">
      <c r="B101" s="226" t="s">
        <v>6</v>
      </c>
      <c r="C101" s="192"/>
      <c r="D101" s="193" t="s">
        <v>340</v>
      </c>
      <c r="E101" s="194" t="s">
        <v>24</v>
      </c>
      <c r="F101" s="215" t="s">
        <v>973</v>
      </c>
      <c r="G101" s="83" t="s">
        <v>33</v>
      </c>
      <c r="H101" s="74" t="s">
        <v>43</v>
      </c>
      <c r="I101" s="82"/>
      <c r="J101" s="83"/>
      <c r="K101" s="81"/>
      <c r="L101" s="81"/>
      <c r="M101" s="81"/>
      <c r="N101" s="81"/>
      <c r="O101" s="83"/>
      <c r="P101" s="83"/>
      <c r="Q101" s="83"/>
    </row>
    <row r="102" spans="2:17" ht="101.5" customHeight="1" x14ac:dyDescent="0.35">
      <c r="B102" s="226" t="s">
        <v>6</v>
      </c>
      <c r="C102" s="189" t="s">
        <v>974</v>
      </c>
      <c r="D102" s="190" t="s">
        <v>341</v>
      </c>
      <c r="E102" s="191" t="s">
        <v>24</v>
      </c>
      <c r="F102" s="217" t="s">
        <v>975</v>
      </c>
      <c r="G102" s="79" t="s">
        <v>33</v>
      </c>
      <c r="H102" s="74" t="s">
        <v>43</v>
      </c>
      <c r="I102" s="78"/>
      <c r="J102" s="79"/>
      <c r="K102" s="77"/>
      <c r="L102" s="77"/>
      <c r="M102" s="77"/>
      <c r="N102" s="77"/>
      <c r="O102" s="79"/>
      <c r="P102" s="79"/>
      <c r="Q102" s="79"/>
    </row>
    <row r="103" spans="2:17" ht="102" x14ac:dyDescent="0.35">
      <c r="B103" s="226" t="s">
        <v>6</v>
      </c>
      <c r="C103" s="189"/>
      <c r="D103" s="190" t="s">
        <v>342</v>
      </c>
      <c r="E103" s="191" t="s">
        <v>24</v>
      </c>
      <c r="F103" s="217" t="s">
        <v>976</v>
      </c>
      <c r="G103" s="79" t="s">
        <v>33</v>
      </c>
      <c r="H103" s="74" t="s">
        <v>43</v>
      </c>
      <c r="I103" s="78"/>
      <c r="J103" s="79"/>
      <c r="K103" s="77"/>
      <c r="L103" s="77"/>
      <c r="M103" s="77"/>
      <c r="N103" s="77"/>
      <c r="O103" s="79"/>
      <c r="P103" s="79"/>
      <c r="Q103" s="79"/>
    </row>
    <row r="104" spans="2:17" ht="21" x14ac:dyDescent="0.35">
      <c r="B104" s="225" t="s">
        <v>9</v>
      </c>
      <c r="C104" s="192" t="s">
        <v>977</v>
      </c>
      <c r="D104" s="193" t="s">
        <v>346</v>
      </c>
      <c r="E104" s="194" t="s">
        <v>24</v>
      </c>
      <c r="F104" s="213" t="s">
        <v>715</v>
      </c>
      <c r="G104" s="83" t="s">
        <v>33</v>
      </c>
      <c r="H104" s="75" t="s">
        <v>43</v>
      </c>
      <c r="I104" s="82"/>
      <c r="J104" s="83"/>
      <c r="K104" s="81"/>
      <c r="L104" s="81"/>
      <c r="M104" s="81"/>
      <c r="N104" s="81"/>
      <c r="O104" s="83"/>
      <c r="P104" s="83"/>
      <c r="Q104" s="83"/>
    </row>
    <row r="105" spans="2:17" ht="21" x14ac:dyDescent="0.35">
      <c r="B105" s="225" t="s">
        <v>9</v>
      </c>
      <c r="C105" s="189" t="s">
        <v>978</v>
      </c>
      <c r="D105" s="190" t="s">
        <v>347</v>
      </c>
      <c r="E105" s="191" t="s">
        <v>24</v>
      </c>
      <c r="F105" s="219" t="s">
        <v>978</v>
      </c>
      <c r="G105" s="79" t="s">
        <v>33</v>
      </c>
      <c r="H105" s="74" t="s">
        <v>43</v>
      </c>
      <c r="I105" s="78"/>
      <c r="J105" s="79"/>
      <c r="K105" s="77"/>
      <c r="L105" s="77"/>
      <c r="M105" s="77"/>
      <c r="N105" s="77"/>
      <c r="O105" s="79"/>
      <c r="P105" s="79"/>
      <c r="Q105" s="79"/>
    </row>
    <row r="106" spans="2:17" ht="51" x14ac:dyDescent="0.35">
      <c r="B106" s="225" t="s">
        <v>9</v>
      </c>
      <c r="C106" s="192" t="s">
        <v>716</v>
      </c>
      <c r="D106" s="193" t="s">
        <v>348</v>
      </c>
      <c r="E106" s="194" t="s">
        <v>24</v>
      </c>
      <c r="F106" s="218" t="s">
        <v>979</v>
      </c>
      <c r="G106" s="83" t="s">
        <v>33</v>
      </c>
      <c r="H106" s="74" t="s">
        <v>43</v>
      </c>
      <c r="I106" s="82"/>
      <c r="J106" s="83"/>
      <c r="K106" s="81"/>
      <c r="L106" s="81"/>
      <c r="M106" s="81"/>
      <c r="N106" s="81"/>
      <c r="O106" s="83"/>
      <c r="P106" s="83"/>
      <c r="Q106" s="83"/>
    </row>
    <row r="107" spans="2:17" ht="31.5" x14ac:dyDescent="0.35">
      <c r="B107" s="225" t="s">
        <v>9</v>
      </c>
      <c r="C107" s="189" t="s">
        <v>980</v>
      </c>
      <c r="D107" s="190" t="s">
        <v>349</v>
      </c>
      <c r="E107" s="191" t="s">
        <v>24</v>
      </c>
      <c r="F107" s="219" t="s">
        <v>980</v>
      </c>
      <c r="G107" s="79" t="s">
        <v>33</v>
      </c>
      <c r="H107" s="74" t="s">
        <v>43</v>
      </c>
      <c r="I107" s="78"/>
      <c r="J107" s="79"/>
      <c r="K107" s="77"/>
      <c r="L107" s="77"/>
      <c r="M107" s="77"/>
      <c r="N107" s="77"/>
      <c r="O107" s="79"/>
      <c r="P107" s="79"/>
      <c r="Q107" s="79"/>
    </row>
    <row r="108" spans="2:17" ht="31.5" x14ac:dyDescent="0.35">
      <c r="B108" s="225" t="s">
        <v>9</v>
      </c>
      <c r="C108" s="192" t="s">
        <v>981</v>
      </c>
      <c r="D108" s="193" t="s">
        <v>350</v>
      </c>
      <c r="E108" s="194" t="s">
        <v>24</v>
      </c>
      <c r="F108" s="215" t="s">
        <v>982</v>
      </c>
      <c r="G108" s="83" t="s">
        <v>33</v>
      </c>
      <c r="H108" s="75" t="s">
        <v>43</v>
      </c>
      <c r="I108" s="82"/>
      <c r="J108" s="83"/>
      <c r="K108" s="81"/>
      <c r="L108" s="81"/>
      <c r="M108" s="81"/>
      <c r="N108" s="81"/>
      <c r="O108" s="83"/>
      <c r="P108" s="83"/>
      <c r="Q108" s="83"/>
    </row>
    <row r="109" spans="2:17" ht="81.5" x14ac:dyDescent="0.35">
      <c r="B109" s="225" t="s">
        <v>9</v>
      </c>
      <c r="C109" s="189" t="s">
        <v>351</v>
      </c>
      <c r="D109" s="190" t="s">
        <v>352</v>
      </c>
      <c r="E109" s="191" t="s">
        <v>24</v>
      </c>
      <c r="F109" s="219" t="s">
        <v>983</v>
      </c>
      <c r="G109" s="79" t="s">
        <v>33</v>
      </c>
      <c r="H109" s="74" t="s">
        <v>43</v>
      </c>
      <c r="I109" s="78"/>
      <c r="J109" s="79"/>
      <c r="K109" s="77"/>
      <c r="L109" s="77"/>
      <c r="M109" s="77"/>
      <c r="N109" s="77"/>
      <c r="O109" s="79"/>
      <c r="P109" s="79"/>
      <c r="Q109" s="79"/>
    </row>
    <row r="110" spans="2:17" ht="82" customHeight="1" x14ac:dyDescent="0.35">
      <c r="B110" s="225" t="s">
        <v>9</v>
      </c>
      <c r="C110" s="189"/>
      <c r="D110" s="190" t="s">
        <v>353</v>
      </c>
      <c r="E110" s="191" t="s">
        <v>24</v>
      </c>
      <c r="F110" s="219" t="s">
        <v>984</v>
      </c>
      <c r="G110" s="79" t="s">
        <v>33</v>
      </c>
      <c r="H110" s="74" t="s">
        <v>43</v>
      </c>
      <c r="I110" s="78"/>
      <c r="J110" s="79"/>
      <c r="K110" s="77"/>
      <c r="L110" s="77"/>
      <c r="M110" s="77"/>
      <c r="N110" s="77"/>
      <c r="O110" s="79"/>
      <c r="P110" s="79"/>
      <c r="Q110" s="79"/>
    </row>
    <row r="111" spans="2:17" ht="42" x14ac:dyDescent="0.35">
      <c r="B111" s="225" t="s">
        <v>9</v>
      </c>
      <c r="C111" s="189"/>
      <c r="D111" s="190" t="s">
        <v>717</v>
      </c>
      <c r="E111" s="191" t="s">
        <v>24</v>
      </c>
      <c r="F111" s="219" t="s">
        <v>985</v>
      </c>
      <c r="G111" s="79" t="s">
        <v>33</v>
      </c>
      <c r="H111" s="74" t="s">
        <v>43</v>
      </c>
      <c r="I111" s="78"/>
      <c r="J111" s="79"/>
      <c r="K111" s="77"/>
      <c r="L111" s="77"/>
      <c r="M111" s="77"/>
      <c r="N111" s="77"/>
      <c r="O111" s="79"/>
      <c r="P111" s="79"/>
      <c r="Q111" s="79"/>
    </row>
    <row r="112" spans="2:17" ht="82" x14ac:dyDescent="0.35">
      <c r="B112" s="225" t="s">
        <v>9</v>
      </c>
      <c r="C112" s="192" t="s">
        <v>986</v>
      </c>
      <c r="D112" s="193" t="s">
        <v>354</v>
      </c>
      <c r="E112" s="194" t="s">
        <v>24</v>
      </c>
      <c r="F112" s="215" t="s">
        <v>987</v>
      </c>
      <c r="G112" s="83" t="s">
        <v>33</v>
      </c>
      <c r="H112" s="75" t="s">
        <v>43</v>
      </c>
      <c r="I112" s="82"/>
      <c r="J112" s="83"/>
      <c r="K112" s="81"/>
      <c r="L112" s="81"/>
      <c r="M112" s="81"/>
      <c r="N112" s="81"/>
      <c r="O112" s="83"/>
      <c r="P112" s="83"/>
      <c r="Q112" s="83"/>
    </row>
    <row r="113" spans="2:17" ht="82" x14ac:dyDescent="0.35">
      <c r="B113" s="225" t="s">
        <v>9</v>
      </c>
      <c r="C113" s="192"/>
      <c r="D113" s="193" t="s">
        <v>355</v>
      </c>
      <c r="E113" s="194" t="s">
        <v>24</v>
      </c>
      <c r="F113" s="215" t="s">
        <v>988</v>
      </c>
      <c r="G113" s="83" t="s">
        <v>33</v>
      </c>
      <c r="H113" s="75" t="s">
        <v>43</v>
      </c>
      <c r="I113" s="82"/>
      <c r="J113" s="83"/>
      <c r="K113" s="81"/>
      <c r="L113" s="81"/>
      <c r="M113" s="81"/>
      <c r="N113" s="81"/>
      <c r="O113" s="83"/>
      <c r="P113" s="83"/>
      <c r="Q113" s="83"/>
    </row>
    <row r="114" spans="2:17" ht="71.5" x14ac:dyDescent="0.35">
      <c r="B114" s="225" t="s">
        <v>9</v>
      </c>
      <c r="C114" s="192"/>
      <c r="D114" s="193" t="s">
        <v>356</v>
      </c>
      <c r="E114" s="194" t="s">
        <v>24</v>
      </c>
      <c r="F114" s="215" t="s">
        <v>989</v>
      </c>
      <c r="G114" s="83" t="s">
        <v>33</v>
      </c>
      <c r="H114" s="75" t="s">
        <v>43</v>
      </c>
      <c r="I114" s="82"/>
      <c r="J114" s="83"/>
      <c r="K114" s="81"/>
      <c r="L114" s="81"/>
      <c r="M114" s="81"/>
      <c r="N114" s="81"/>
      <c r="O114" s="83"/>
      <c r="P114" s="83"/>
      <c r="Q114" s="83"/>
    </row>
    <row r="115" spans="2:17" ht="76.5" customHeight="1" x14ac:dyDescent="0.35">
      <c r="B115" s="225" t="s">
        <v>9</v>
      </c>
      <c r="C115" s="192"/>
      <c r="D115" s="193" t="s">
        <v>357</v>
      </c>
      <c r="E115" s="194" t="s">
        <v>24</v>
      </c>
      <c r="F115" s="215" t="s">
        <v>990</v>
      </c>
      <c r="G115" s="83" t="s">
        <v>33</v>
      </c>
      <c r="H115" s="75" t="s">
        <v>43</v>
      </c>
      <c r="I115" s="82"/>
      <c r="J115" s="83"/>
      <c r="K115" s="81"/>
      <c r="L115" s="81"/>
      <c r="M115" s="81"/>
      <c r="N115" s="81"/>
      <c r="O115" s="83"/>
      <c r="P115" s="83"/>
      <c r="Q115" s="83"/>
    </row>
    <row r="116" spans="2:17" ht="92.5" x14ac:dyDescent="0.35">
      <c r="B116" s="225" t="s">
        <v>9</v>
      </c>
      <c r="C116" s="192"/>
      <c r="D116" s="193" t="s">
        <v>718</v>
      </c>
      <c r="E116" s="194" t="s">
        <v>24</v>
      </c>
      <c r="F116" s="215" t="s">
        <v>991</v>
      </c>
      <c r="G116" s="83" t="s">
        <v>33</v>
      </c>
      <c r="H116" s="75" t="s">
        <v>43</v>
      </c>
      <c r="I116" s="82"/>
      <c r="J116" s="83"/>
      <c r="K116" s="81"/>
      <c r="L116" s="81"/>
      <c r="M116" s="81"/>
      <c r="N116" s="81"/>
      <c r="O116" s="83"/>
      <c r="P116" s="83"/>
      <c r="Q116" s="83"/>
    </row>
    <row r="117" spans="2:17" ht="98.5" customHeight="1" x14ac:dyDescent="0.35">
      <c r="B117" s="225" t="s">
        <v>9</v>
      </c>
      <c r="C117" s="189" t="s">
        <v>992</v>
      </c>
      <c r="D117" s="190" t="s">
        <v>358</v>
      </c>
      <c r="E117" s="191" t="s">
        <v>24</v>
      </c>
      <c r="F117" s="217" t="s">
        <v>993</v>
      </c>
      <c r="G117" s="79" t="s">
        <v>33</v>
      </c>
      <c r="H117" s="74" t="s">
        <v>43</v>
      </c>
      <c r="I117" s="78"/>
      <c r="J117" s="79"/>
      <c r="K117" s="77"/>
      <c r="L117" s="77"/>
      <c r="M117" s="77"/>
      <c r="N117" s="77"/>
      <c r="O117" s="79"/>
      <c r="P117" s="79"/>
      <c r="Q117" s="79"/>
    </row>
    <row r="118" spans="2:17" ht="61" x14ac:dyDescent="0.35">
      <c r="B118" s="226" t="s">
        <v>359</v>
      </c>
      <c r="C118" s="192" t="s">
        <v>994</v>
      </c>
      <c r="D118" s="193" t="s">
        <v>360</v>
      </c>
      <c r="E118" s="194" t="s">
        <v>24</v>
      </c>
      <c r="F118" s="209" t="s">
        <v>995</v>
      </c>
      <c r="G118" s="83" t="s">
        <v>33</v>
      </c>
      <c r="H118" s="75" t="s">
        <v>43</v>
      </c>
      <c r="I118" s="82"/>
      <c r="J118" s="83"/>
      <c r="K118" s="81"/>
      <c r="L118" s="81"/>
      <c r="M118" s="81"/>
      <c r="N118" s="81"/>
      <c r="O118" s="83"/>
      <c r="P118" s="83"/>
      <c r="Q118" s="83"/>
    </row>
    <row r="119" spans="2:17" ht="61" x14ac:dyDescent="0.35">
      <c r="B119" s="226" t="s">
        <v>359</v>
      </c>
      <c r="C119" s="192"/>
      <c r="D119" s="193" t="s">
        <v>361</v>
      </c>
      <c r="E119" s="194" t="s">
        <v>24</v>
      </c>
      <c r="F119" s="209" t="s">
        <v>996</v>
      </c>
      <c r="G119" s="83" t="s">
        <v>33</v>
      </c>
      <c r="H119" s="75" t="s">
        <v>43</v>
      </c>
      <c r="I119" s="82"/>
      <c r="J119" s="83"/>
      <c r="K119" s="81"/>
      <c r="L119" s="81"/>
      <c r="M119" s="81"/>
      <c r="N119" s="81"/>
      <c r="O119" s="83"/>
      <c r="P119" s="83"/>
      <c r="Q119" s="83"/>
    </row>
    <row r="120" spans="2:17" ht="61" x14ac:dyDescent="0.35">
      <c r="B120" s="226" t="s">
        <v>359</v>
      </c>
      <c r="C120" s="192"/>
      <c r="D120" s="193" t="s">
        <v>362</v>
      </c>
      <c r="E120" s="194" t="s">
        <v>24</v>
      </c>
      <c r="F120" s="209" t="s">
        <v>997</v>
      </c>
      <c r="G120" s="83" t="s">
        <v>33</v>
      </c>
      <c r="H120" s="75" t="s">
        <v>43</v>
      </c>
      <c r="I120" s="82"/>
      <c r="J120" s="83"/>
      <c r="K120" s="81"/>
      <c r="L120" s="81"/>
      <c r="M120" s="81"/>
      <c r="N120" s="81"/>
      <c r="O120" s="83"/>
      <c r="P120" s="83"/>
      <c r="Q120" s="83"/>
    </row>
    <row r="121" spans="2:17" ht="61" x14ac:dyDescent="0.35">
      <c r="B121" s="226" t="s">
        <v>359</v>
      </c>
      <c r="C121" s="192"/>
      <c r="D121" s="193" t="s">
        <v>719</v>
      </c>
      <c r="E121" s="194" t="s">
        <v>24</v>
      </c>
      <c r="F121" s="209" t="s">
        <v>998</v>
      </c>
      <c r="G121" s="83" t="s">
        <v>33</v>
      </c>
      <c r="H121" s="75" t="s">
        <v>43</v>
      </c>
      <c r="I121" s="82"/>
      <c r="J121" s="83"/>
      <c r="K121" s="81"/>
      <c r="L121" s="81"/>
      <c r="M121" s="81"/>
      <c r="N121" s="81"/>
      <c r="O121" s="83"/>
      <c r="P121" s="83"/>
      <c r="Q121" s="83"/>
    </row>
    <row r="122" spans="2:17" ht="31.5" x14ac:dyDescent="0.35">
      <c r="B122" s="226" t="s">
        <v>359</v>
      </c>
      <c r="C122" s="192"/>
      <c r="D122" s="193" t="s">
        <v>720</v>
      </c>
      <c r="E122" s="194" t="s">
        <v>24</v>
      </c>
      <c r="F122" s="209" t="s">
        <v>999</v>
      </c>
      <c r="G122" s="83" t="s">
        <v>33</v>
      </c>
      <c r="H122" s="75" t="s">
        <v>43</v>
      </c>
      <c r="I122" s="82"/>
      <c r="J122" s="83"/>
      <c r="K122" s="81"/>
      <c r="L122" s="81"/>
      <c r="M122" s="81"/>
      <c r="N122" s="81"/>
      <c r="O122" s="83"/>
      <c r="P122" s="83"/>
      <c r="Q122" s="83"/>
    </row>
    <row r="123" spans="2:17" ht="34.5" customHeight="1" x14ac:dyDescent="0.35">
      <c r="B123" s="226" t="s">
        <v>359</v>
      </c>
      <c r="C123" s="189" t="s">
        <v>1000</v>
      </c>
      <c r="D123" s="190" t="s">
        <v>363</v>
      </c>
      <c r="E123" s="191" t="s">
        <v>24</v>
      </c>
      <c r="F123" s="219" t="s">
        <v>721</v>
      </c>
      <c r="G123" s="79" t="s">
        <v>33</v>
      </c>
      <c r="H123" s="74" t="s">
        <v>43</v>
      </c>
      <c r="I123" s="78"/>
      <c r="J123" s="79"/>
      <c r="K123" s="77"/>
      <c r="L123" s="77"/>
      <c r="M123" s="77"/>
      <c r="N123" s="77"/>
      <c r="O123" s="79"/>
      <c r="P123" s="79"/>
      <c r="Q123" s="79"/>
    </row>
    <row r="124" spans="2:17" ht="111.5" x14ac:dyDescent="0.35">
      <c r="B124" s="225" t="s">
        <v>8</v>
      </c>
      <c r="C124" s="192" t="s">
        <v>1001</v>
      </c>
      <c r="D124" s="193" t="s">
        <v>364</v>
      </c>
      <c r="E124" s="194" t="s">
        <v>24</v>
      </c>
      <c r="F124" s="220" t="s">
        <v>1002</v>
      </c>
      <c r="G124" s="83" t="s">
        <v>33</v>
      </c>
      <c r="H124" s="75" t="s">
        <v>43</v>
      </c>
      <c r="I124" s="82"/>
      <c r="J124" s="83"/>
      <c r="K124" s="81"/>
      <c r="L124" s="81"/>
      <c r="M124" s="81"/>
      <c r="N124" s="81"/>
      <c r="O124" s="83"/>
      <c r="P124" s="83"/>
      <c r="Q124" s="83"/>
    </row>
    <row r="125" spans="2:17" ht="61" x14ac:dyDescent="0.35">
      <c r="B125" s="225" t="s">
        <v>8</v>
      </c>
      <c r="C125" s="192"/>
      <c r="D125" s="193" t="s">
        <v>365</v>
      </c>
      <c r="E125" s="194" t="s">
        <v>24</v>
      </c>
      <c r="F125" s="215" t="s">
        <v>1003</v>
      </c>
      <c r="G125" s="83" t="s">
        <v>33</v>
      </c>
      <c r="H125" s="75" t="s">
        <v>43</v>
      </c>
      <c r="I125" s="82"/>
      <c r="J125" s="83"/>
      <c r="K125" s="81"/>
      <c r="L125" s="81"/>
      <c r="M125" s="81"/>
      <c r="N125" s="81"/>
      <c r="O125" s="83"/>
      <c r="P125" s="83"/>
      <c r="Q125" s="83"/>
    </row>
    <row r="126" spans="2:17" ht="71.5" x14ac:dyDescent="0.35">
      <c r="B126" s="225" t="s">
        <v>8</v>
      </c>
      <c r="C126" s="192"/>
      <c r="D126" s="193" t="s">
        <v>366</v>
      </c>
      <c r="E126" s="194" t="s">
        <v>24</v>
      </c>
      <c r="F126" s="218" t="s">
        <v>1004</v>
      </c>
      <c r="G126" s="83" t="s">
        <v>33</v>
      </c>
      <c r="H126" s="75" t="s">
        <v>43</v>
      </c>
      <c r="I126" s="82"/>
      <c r="J126" s="83"/>
      <c r="K126" s="81"/>
      <c r="L126" s="81"/>
      <c r="M126" s="81"/>
      <c r="N126" s="81"/>
      <c r="O126" s="83"/>
      <c r="P126" s="83"/>
      <c r="Q126" s="83"/>
    </row>
    <row r="127" spans="2:17" ht="151.5" x14ac:dyDescent="0.35">
      <c r="B127" s="225" t="s">
        <v>8</v>
      </c>
      <c r="C127" s="189" t="s">
        <v>1005</v>
      </c>
      <c r="D127" s="190" t="s">
        <v>367</v>
      </c>
      <c r="E127" s="191" t="s">
        <v>24</v>
      </c>
      <c r="F127" s="217" t="s">
        <v>1006</v>
      </c>
      <c r="G127" s="79" t="s">
        <v>33</v>
      </c>
      <c r="H127" s="74" t="s">
        <v>43</v>
      </c>
      <c r="I127" s="78"/>
      <c r="J127" s="79"/>
      <c r="K127" s="77"/>
      <c r="L127" s="77"/>
      <c r="M127" s="77"/>
      <c r="N127" s="77"/>
      <c r="O127" s="79"/>
      <c r="P127" s="79"/>
      <c r="Q127" s="79"/>
    </row>
    <row r="128" spans="2:17" ht="51.5" x14ac:dyDescent="0.35">
      <c r="B128" s="225" t="s">
        <v>8</v>
      </c>
      <c r="C128" s="189"/>
      <c r="D128" s="190" t="s">
        <v>368</v>
      </c>
      <c r="E128" s="191" t="s">
        <v>24</v>
      </c>
      <c r="F128" s="198" t="s">
        <v>1007</v>
      </c>
      <c r="G128" s="79" t="s">
        <v>33</v>
      </c>
      <c r="H128" s="74" t="s">
        <v>43</v>
      </c>
      <c r="I128" s="78"/>
      <c r="J128" s="79"/>
      <c r="K128" s="77"/>
      <c r="L128" s="77"/>
      <c r="M128" s="77"/>
      <c r="N128" s="77"/>
      <c r="O128" s="79"/>
      <c r="P128" s="79"/>
      <c r="Q128" s="79"/>
    </row>
    <row r="129" spans="2:17" ht="81.5" x14ac:dyDescent="0.35">
      <c r="B129" s="225" t="s">
        <v>8</v>
      </c>
      <c r="C129" s="192" t="s">
        <v>1008</v>
      </c>
      <c r="D129" s="193" t="s">
        <v>369</v>
      </c>
      <c r="E129" s="194" t="s">
        <v>24</v>
      </c>
      <c r="F129" s="195" t="s">
        <v>1009</v>
      </c>
      <c r="G129" s="83" t="s">
        <v>33</v>
      </c>
      <c r="H129" s="74" t="s">
        <v>43</v>
      </c>
      <c r="I129" s="82"/>
      <c r="J129" s="83"/>
      <c r="K129" s="81"/>
      <c r="L129" s="81"/>
      <c r="M129" s="81"/>
      <c r="N129" s="81"/>
      <c r="O129" s="83"/>
      <c r="P129" s="83"/>
      <c r="Q129" s="83"/>
    </row>
    <row r="130" spans="2:17" ht="31.5" x14ac:dyDescent="0.35">
      <c r="B130" s="225" t="s">
        <v>8</v>
      </c>
      <c r="C130" s="192"/>
      <c r="D130" s="193" t="s">
        <v>371</v>
      </c>
      <c r="E130" s="194" t="s">
        <v>24</v>
      </c>
      <c r="F130" s="209" t="s">
        <v>370</v>
      </c>
      <c r="G130" s="83" t="s">
        <v>33</v>
      </c>
      <c r="H130" s="74" t="s">
        <v>43</v>
      </c>
      <c r="I130" s="82"/>
      <c r="J130" s="83"/>
      <c r="K130" s="81"/>
      <c r="L130" s="81"/>
      <c r="M130" s="81"/>
      <c r="N130" s="81"/>
      <c r="O130" s="83"/>
      <c r="P130" s="83"/>
      <c r="Q130" s="83"/>
    </row>
    <row r="131" spans="2:17" ht="91.5" x14ac:dyDescent="0.35">
      <c r="B131" s="225" t="s">
        <v>8</v>
      </c>
      <c r="C131" s="189" t="s">
        <v>1010</v>
      </c>
      <c r="D131" s="190" t="s">
        <v>372</v>
      </c>
      <c r="E131" s="191" t="s">
        <v>24</v>
      </c>
      <c r="F131" s="217" t="s">
        <v>1011</v>
      </c>
      <c r="G131" s="79" t="s">
        <v>33</v>
      </c>
      <c r="H131" s="74" t="s">
        <v>43</v>
      </c>
      <c r="I131" s="78"/>
      <c r="J131" s="79"/>
      <c r="K131" s="77"/>
      <c r="L131" s="77"/>
      <c r="M131" s="77"/>
      <c r="N131" s="77"/>
      <c r="O131" s="79"/>
      <c r="P131" s="79"/>
      <c r="Q131" s="79"/>
    </row>
    <row r="132" spans="2:17" ht="42" x14ac:dyDescent="0.35">
      <c r="B132" s="225" t="s">
        <v>8</v>
      </c>
      <c r="C132" s="192" t="s">
        <v>1012</v>
      </c>
      <c r="D132" s="193" t="s">
        <v>373</v>
      </c>
      <c r="E132" s="194" t="s">
        <v>25</v>
      </c>
      <c r="F132" s="215" t="s">
        <v>1013</v>
      </c>
      <c r="G132" s="83" t="s">
        <v>33</v>
      </c>
      <c r="H132" s="75" t="s">
        <v>43</v>
      </c>
      <c r="I132" s="82"/>
      <c r="J132" s="83"/>
      <c r="K132" s="81"/>
      <c r="L132" s="81"/>
      <c r="M132" s="81"/>
      <c r="N132" s="81"/>
      <c r="O132" s="83"/>
      <c r="P132" s="83"/>
      <c r="Q132" s="83"/>
    </row>
    <row r="133" spans="2:17" ht="31.5" x14ac:dyDescent="0.35">
      <c r="B133" s="225" t="s">
        <v>8</v>
      </c>
      <c r="C133" s="197"/>
      <c r="D133" s="193" t="s">
        <v>722</v>
      </c>
      <c r="E133" s="194" t="s">
        <v>25</v>
      </c>
      <c r="F133" s="216" t="s">
        <v>1014</v>
      </c>
      <c r="G133" s="83" t="s">
        <v>33</v>
      </c>
      <c r="H133" s="75" t="s">
        <v>43</v>
      </c>
      <c r="I133" s="82"/>
      <c r="J133" s="83"/>
      <c r="K133" s="81"/>
      <c r="L133" s="81"/>
      <c r="M133" s="81"/>
      <c r="N133" s="81"/>
      <c r="O133" s="83"/>
      <c r="P133" s="83"/>
      <c r="Q133" s="83"/>
    </row>
    <row r="134" spans="2:17" ht="42" x14ac:dyDescent="0.35">
      <c r="B134" s="225" t="s">
        <v>8</v>
      </c>
      <c r="C134" s="197"/>
      <c r="D134" s="193" t="s">
        <v>723</v>
      </c>
      <c r="E134" s="202" t="s">
        <v>25</v>
      </c>
      <c r="F134" s="216" t="s">
        <v>1015</v>
      </c>
      <c r="G134" s="83" t="s">
        <v>33</v>
      </c>
      <c r="H134" s="75" t="s">
        <v>43</v>
      </c>
      <c r="I134" s="82"/>
      <c r="J134" s="83"/>
      <c r="K134" s="81"/>
      <c r="L134" s="81"/>
      <c r="M134" s="81"/>
      <c r="N134" s="81"/>
      <c r="O134" s="83"/>
      <c r="P134" s="83"/>
      <c r="Q134" s="83"/>
    </row>
    <row r="135" spans="2:17" ht="21" x14ac:dyDescent="0.35">
      <c r="B135" s="226" t="s">
        <v>374</v>
      </c>
      <c r="C135" s="189" t="s">
        <v>1016</v>
      </c>
      <c r="D135" s="189" t="s">
        <v>375</v>
      </c>
      <c r="E135" s="203" t="s">
        <v>24</v>
      </c>
      <c r="F135" s="219" t="s">
        <v>1017</v>
      </c>
      <c r="G135" s="79" t="s">
        <v>33</v>
      </c>
      <c r="H135" s="74" t="s">
        <v>43</v>
      </c>
      <c r="I135" s="78"/>
      <c r="J135" s="79"/>
      <c r="K135" s="77"/>
      <c r="L135" s="77"/>
      <c r="M135" s="77"/>
      <c r="N135" s="77"/>
      <c r="O135" s="79"/>
      <c r="P135" s="79"/>
      <c r="Q135" s="79"/>
    </row>
    <row r="136" spans="2:17" ht="21" x14ac:dyDescent="0.35">
      <c r="B136" s="226" t="s">
        <v>374</v>
      </c>
      <c r="C136" s="189"/>
      <c r="D136" s="189" t="s">
        <v>376</v>
      </c>
      <c r="E136" s="203" t="s">
        <v>24</v>
      </c>
      <c r="F136" s="219" t="s">
        <v>1018</v>
      </c>
      <c r="G136" s="79" t="s">
        <v>33</v>
      </c>
      <c r="H136" s="74" t="s">
        <v>43</v>
      </c>
      <c r="I136" s="78"/>
      <c r="J136" s="79"/>
      <c r="K136" s="77"/>
      <c r="L136" s="77"/>
      <c r="M136" s="77"/>
      <c r="N136" s="77"/>
      <c r="O136" s="79"/>
      <c r="P136" s="79"/>
      <c r="Q136" s="79"/>
    </row>
    <row r="137" spans="2:17" ht="43" customHeight="1" x14ac:dyDescent="0.35">
      <c r="B137" s="226" t="s">
        <v>374</v>
      </c>
      <c r="C137" s="189"/>
      <c r="D137" s="189" t="s">
        <v>377</v>
      </c>
      <c r="E137" s="203" t="s">
        <v>24</v>
      </c>
      <c r="F137" s="219" t="s">
        <v>1019</v>
      </c>
      <c r="G137" s="79" t="s">
        <v>33</v>
      </c>
      <c r="H137" s="74" t="s">
        <v>43</v>
      </c>
      <c r="I137" s="78"/>
      <c r="J137" s="79"/>
      <c r="K137" s="77"/>
      <c r="L137" s="77"/>
      <c r="M137" s="77"/>
      <c r="N137" s="77"/>
      <c r="O137" s="79"/>
      <c r="P137" s="79"/>
      <c r="Q137" s="79"/>
    </row>
    <row r="138" spans="2:17" ht="91.5" x14ac:dyDescent="0.35">
      <c r="B138" s="226" t="s">
        <v>374</v>
      </c>
      <c r="C138" s="192" t="s">
        <v>1020</v>
      </c>
      <c r="D138" s="192" t="s">
        <v>378</v>
      </c>
      <c r="E138" s="202" t="s">
        <v>24</v>
      </c>
      <c r="F138" s="215" t="s">
        <v>1021</v>
      </c>
      <c r="G138" s="83" t="s">
        <v>33</v>
      </c>
      <c r="H138" s="75" t="s">
        <v>43</v>
      </c>
      <c r="I138" s="82"/>
      <c r="J138" s="83"/>
      <c r="K138" s="81"/>
      <c r="L138" s="81"/>
      <c r="M138" s="81"/>
      <c r="N138" s="81"/>
      <c r="O138" s="83"/>
      <c r="P138" s="83"/>
      <c r="Q138" s="83"/>
    </row>
    <row r="139" spans="2:17" ht="71" x14ac:dyDescent="0.35">
      <c r="B139" s="226" t="s">
        <v>374</v>
      </c>
      <c r="C139" s="189" t="s">
        <v>1022</v>
      </c>
      <c r="D139" s="189" t="s">
        <v>379</v>
      </c>
      <c r="E139" s="203" t="s">
        <v>24</v>
      </c>
      <c r="F139" s="217" t="s">
        <v>1023</v>
      </c>
      <c r="G139" s="79" t="s">
        <v>33</v>
      </c>
      <c r="H139" s="74" t="s">
        <v>43</v>
      </c>
      <c r="I139" s="78"/>
      <c r="J139" s="79"/>
      <c r="K139" s="77"/>
      <c r="L139" s="77"/>
      <c r="M139" s="77"/>
      <c r="N139" s="77"/>
      <c r="O139" s="79"/>
      <c r="P139" s="79"/>
      <c r="Q139" s="79"/>
    </row>
    <row r="140" spans="2:17" ht="41" x14ac:dyDescent="0.35">
      <c r="B140" s="226" t="s">
        <v>374</v>
      </c>
      <c r="C140" s="192" t="s">
        <v>1024</v>
      </c>
      <c r="D140" s="192" t="s">
        <v>380</v>
      </c>
      <c r="E140" s="202" t="s">
        <v>24</v>
      </c>
      <c r="F140" s="218" t="s">
        <v>1025</v>
      </c>
      <c r="G140" s="83" t="s">
        <v>33</v>
      </c>
      <c r="H140" s="74" t="s">
        <v>43</v>
      </c>
      <c r="I140" s="82"/>
      <c r="J140" s="83"/>
      <c r="K140" s="81"/>
      <c r="L140" s="81"/>
      <c r="M140" s="81"/>
      <c r="N140" s="81"/>
      <c r="O140" s="83"/>
      <c r="P140" s="83"/>
      <c r="Q140" s="83"/>
    </row>
    <row r="141" spans="2:17" ht="21" x14ac:dyDescent="0.35">
      <c r="B141" s="226" t="s">
        <v>374</v>
      </c>
      <c r="C141" s="189" t="s">
        <v>1026</v>
      </c>
      <c r="D141" s="189" t="s">
        <v>381</v>
      </c>
      <c r="E141" s="203" t="s">
        <v>24</v>
      </c>
      <c r="F141" s="219" t="s">
        <v>1027</v>
      </c>
      <c r="G141" s="79" t="s">
        <v>33</v>
      </c>
      <c r="H141" s="74" t="s">
        <v>43</v>
      </c>
      <c r="I141" s="78"/>
      <c r="J141" s="79"/>
      <c r="K141" s="77"/>
      <c r="L141" s="77"/>
      <c r="M141" s="77"/>
      <c r="N141" s="77"/>
      <c r="O141" s="79"/>
      <c r="P141" s="79"/>
      <c r="Q141" s="79"/>
    </row>
    <row r="142" spans="2:17" ht="21" x14ac:dyDescent="0.35">
      <c r="B142" s="226" t="s">
        <v>374</v>
      </c>
      <c r="C142" s="192" t="s">
        <v>1028</v>
      </c>
      <c r="D142" s="192" t="s">
        <v>382</v>
      </c>
      <c r="E142" s="202" t="s">
        <v>24</v>
      </c>
      <c r="F142" s="215" t="s">
        <v>1029</v>
      </c>
      <c r="G142" s="83" t="s">
        <v>33</v>
      </c>
      <c r="H142" s="74" t="s">
        <v>43</v>
      </c>
      <c r="I142" s="82"/>
      <c r="J142" s="83"/>
      <c r="K142" s="81"/>
      <c r="L142" s="81"/>
      <c r="M142" s="81"/>
      <c r="N142" s="81"/>
      <c r="O142" s="83"/>
      <c r="P142" s="83"/>
      <c r="Q142" s="83"/>
    </row>
    <row r="143" spans="2:17" ht="83" customHeight="1" x14ac:dyDescent="0.35">
      <c r="B143" s="226" t="s">
        <v>374</v>
      </c>
      <c r="C143" s="204" t="s">
        <v>1030</v>
      </c>
      <c r="D143" s="204" t="s">
        <v>383</v>
      </c>
      <c r="E143" s="203" t="s">
        <v>25</v>
      </c>
      <c r="F143" s="217" t="s">
        <v>1031</v>
      </c>
      <c r="G143" s="79" t="s">
        <v>33</v>
      </c>
      <c r="H143" s="74" t="s">
        <v>43</v>
      </c>
      <c r="I143" s="78"/>
      <c r="J143" s="79"/>
      <c r="K143" s="77"/>
      <c r="L143" s="77"/>
      <c r="M143" s="77"/>
      <c r="N143" s="77"/>
      <c r="O143" s="79"/>
      <c r="P143" s="79"/>
      <c r="Q143" s="79"/>
    </row>
    <row r="144" spans="2:17" ht="51.5" x14ac:dyDescent="0.35">
      <c r="B144" s="226" t="s">
        <v>374</v>
      </c>
      <c r="C144" s="197" t="s">
        <v>724</v>
      </c>
      <c r="D144" s="197" t="s">
        <v>384</v>
      </c>
      <c r="E144" s="202" t="s">
        <v>25</v>
      </c>
      <c r="F144" s="215" t="s">
        <v>1032</v>
      </c>
      <c r="G144" s="83" t="s">
        <v>33</v>
      </c>
      <c r="H144" s="74" t="s">
        <v>43</v>
      </c>
      <c r="I144" s="82"/>
      <c r="J144" s="83"/>
      <c r="K144" s="81"/>
      <c r="L144" s="81"/>
      <c r="M144" s="81"/>
      <c r="N144" s="81"/>
      <c r="O144" s="83"/>
      <c r="P144" s="83"/>
      <c r="Q144" s="83"/>
    </row>
    <row r="145" spans="2:17" ht="42" x14ac:dyDescent="0.35">
      <c r="B145" s="226" t="s">
        <v>374</v>
      </c>
      <c r="C145" s="204" t="s">
        <v>1033</v>
      </c>
      <c r="D145" s="204" t="s">
        <v>385</v>
      </c>
      <c r="E145" s="203" t="s">
        <v>24</v>
      </c>
      <c r="F145" s="219" t="s">
        <v>1034</v>
      </c>
      <c r="G145" s="79" t="s">
        <v>33</v>
      </c>
      <c r="H145" s="74" t="s">
        <v>43</v>
      </c>
      <c r="I145" s="78"/>
      <c r="J145" s="79"/>
      <c r="K145" s="77"/>
      <c r="L145" s="77"/>
      <c r="M145" s="77"/>
      <c r="N145" s="77"/>
      <c r="O145" s="79"/>
      <c r="P145" s="79"/>
      <c r="Q145" s="79"/>
    </row>
    <row r="146" spans="2:17" ht="42" x14ac:dyDescent="0.35">
      <c r="B146" s="226" t="s">
        <v>374</v>
      </c>
      <c r="C146" s="197" t="s">
        <v>1035</v>
      </c>
      <c r="D146" s="197" t="s">
        <v>386</v>
      </c>
      <c r="E146" s="202" t="s">
        <v>24</v>
      </c>
      <c r="F146" s="215" t="s">
        <v>674</v>
      </c>
      <c r="G146" s="83" t="s">
        <v>33</v>
      </c>
      <c r="H146" s="74" t="s">
        <v>43</v>
      </c>
      <c r="I146" s="82"/>
      <c r="J146" s="83"/>
      <c r="K146" s="81"/>
      <c r="L146" s="81"/>
      <c r="M146" s="81"/>
      <c r="N146" s="81"/>
      <c r="O146" s="83"/>
      <c r="P146" s="83"/>
      <c r="Q146" s="83"/>
    </row>
    <row r="147" spans="2:17" ht="52" x14ac:dyDescent="0.35">
      <c r="B147" s="226" t="s">
        <v>374</v>
      </c>
      <c r="C147" s="197"/>
      <c r="D147" s="197" t="s">
        <v>499</v>
      </c>
      <c r="E147" s="202" t="s">
        <v>24</v>
      </c>
      <c r="F147" s="209" t="s">
        <v>1036</v>
      </c>
      <c r="G147" s="83" t="s">
        <v>33</v>
      </c>
      <c r="H147" s="74" t="s">
        <v>43</v>
      </c>
      <c r="I147" s="82"/>
      <c r="J147" s="83"/>
      <c r="K147" s="81"/>
      <c r="L147" s="81"/>
      <c r="M147" s="81"/>
      <c r="N147" s="81"/>
      <c r="O147" s="83"/>
      <c r="P147" s="83"/>
      <c r="Q147" s="83"/>
    </row>
    <row r="148" spans="2:17" ht="42" x14ac:dyDescent="0.35">
      <c r="B148" s="225" t="s">
        <v>387</v>
      </c>
      <c r="C148" s="204" t="s">
        <v>1037</v>
      </c>
      <c r="D148" s="204" t="s">
        <v>388</v>
      </c>
      <c r="E148" s="203" t="s">
        <v>24</v>
      </c>
      <c r="F148" s="208" t="s">
        <v>725</v>
      </c>
      <c r="G148" s="79" t="s">
        <v>33</v>
      </c>
      <c r="H148" s="74" t="s">
        <v>43</v>
      </c>
      <c r="I148" s="78"/>
      <c r="J148" s="79"/>
      <c r="K148" s="77"/>
      <c r="L148" s="77"/>
      <c r="M148" s="77"/>
      <c r="N148" s="77"/>
      <c r="O148" s="79"/>
      <c r="P148" s="79"/>
      <c r="Q148" s="79"/>
    </row>
    <row r="149" spans="2:17" ht="42" x14ac:dyDescent="0.35">
      <c r="B149" s="225" t="s">
        <v>387</v>
      </c>
      <c r="C149" s="204"/>
      <c r="D149" s="204" t="s">
        <v>389</v>
      </c>
      <c r="E149" s="203" t="s">
        <v>24</v>
      </c>
      <c r="F149" s="208" t="s">
        <v>1038</v>
      </c>
      <c r="G149" s="79" t="s">
        <v>33</v>
      </c>
      <c r="H149" s="74" t="s">
        <v>43</v>
      </c>
      <c r="I149" s="78"/>
      <c r="J149" s="79"/>
      <c r="K149" s="77"/>
      <c r="L149" s="77"/>
      <c r="M149" s="77"/>
      <c r="N149" s="77"/>
      <c r="O149" s="79"/>
      <c r="P149" s="79"/>
      <c r="Q149" s="79"/>
    </row>
    <row r="150" spans="2:17" ht="52.5" x14ac:dyDescent="0.35">
      <c r="B150" s="225" t="s">
        <v>387</v>
      </c>
      <c r="C150" s="204"/>
      <c r="D150" s="204" t="s">
        <v>390</v>
      </c>
      <c r="E150" s="203" t="s">
        <v>24</v>
      </c>
      <c r="F150" s="208" t="s">
        <v>726</v>
      </c>
      <c r="G150" s="79" t="s">
        <v>33</v>
      </c>
      <c r="H150" s="74" t="s">
        <v>43</v>
      </c>
      <c r="I150" s="78"/>
      <c r="J150" s="79"/>
      <c r="K150" s="77"/>
      <c r="L150" s="77"/>
      <c r="M150" s="77"/>
      <c r="N150" s="77"/>
      <c r="O150" s="79"/>
      <c r="P150" s="79"/>
      <c r="Q150" s="79"/>
    </row>
    <row r="151" spans="2:17" ht="151.5" customHeight="1" x14ac:dyDescent="0.35">
      <c r="B151" s="225" t="s">
        <v>387</v>
      </c>
      <c r="C151" s="197" t="s">
        <v>1039</v>
      </c>
      <c r="D151" s="197" t="s">
        <v>391</v>
      </c>
      <c r="E151" s="202" t="s">
        <v>24</v>
      </c>
      <c r="F151" s="216" t="s">
        <v>1040</v>
      </c>
      <c r="G151" s="83" t="s">
        <v>33</v>
      </c>
      <c r="H151" s="75" t="s">
        <v>43</v>
      </c>
      <c r="I151" s="82"/>
      <c r="J151" s="83"/>
      <c r="K151" s="81"/>
      <c r="L151" s="81"/>
      <c r="M151" s="81"/>
      <c r="N151" s="81"/>
      <c r="O151" s="83"/>
      <c r="P151" s="83"/>
      <c r="Q151" s="83"/>
    </row>
    <row r="152" spans="2:17" ht="75" customHeight="1" x14ac:dyDescent="0.35">
      <c r="B152" s="225" t="s">
        <v>387</v>
      </c>
      <c r="C152" s="204" t="s">
        <v>1041</v>
      </c>
      <c r="D152" s="204" t="s">
        <v>392</v>
      </c>
      <c r="E152" s="203" t="s">
        <v>24</v>
      </c>
      <c r="F152" s="208" t="s">
        <v>1042</v>
      </c>
      <c r="G152" s="79" t="s">
        <v>33</v>
      </c>
      <c r="H152" s="74" t="s">
        <v>43</v>
      </c>
      <c r="I152" s="78"/>
      <c r="J152" s="79"/>
      <c r="K152" s="77"/>
      <c r="L152" s="77"/>
      <c r="M152" s="77"/>
      <c r="N152" s="77"/>
      <c r="O152" s="79"/>
      <c r="P152" s="79"/>
      <c r="Q152" s="79"/>
    </row>
    <row r="153" spans="2:17" ht="61.5" x14ac:dyDescent="0.35">
      <c r="B153" s="225" t="s">
        <v>387</v>
      </c>
      <c r="C153" s="204"/>
      <c r="D153" s="204" t="s">
        <v>393</v>
      </c>
      <c r="E153" s="203" t="s">
        <v>24</v>
      </c>
      <c r="F153" s="208" t="s">
        <v>1043</v>
      </c>
      <c r="G153" s="79" t="s">
        <v>33</v>
      </c>
      <c r="H153" s="74" t="s">
        <v>43</v>
      </c>
      <c r="I153" s="78"/>
      <c r="J153" s="79"/>
      <c r="K153" s="77"/>
      <c r="L153" s="77"/>
      <c r="M153" s="77"/>
      <c r="N153" s="77"/>
      <c r="O153" s="79"/>
      <c r="P153" s="79"/>
      <c r="Q153" s="79"/>
    </row>
    <row r="154" spans="2:17" ht="31.5" x14ac:dyDescent="0.35">
      <c r="B154" s="225" t="s">
        <v>387</v>
      </c>
      <c r="C154" s="204"/>
      <c r="D154" s="204" t="s">
        <v>394</v>
      </c>
      <c r="E154" s="203" t="s">
        <v>24</v>
      </c>
      <c r="F154" s="208" t="s">
        <v>1044</v>
      </c>
      <c r="G154" s="79" t="s">
        <v>33</v>
      </c>
      <c r="H154" s="74" t="s">
        <v>43</v>
      </c>
      <c r="I154" s="78"/>
      <c r="J154" s="79"/>
      <c r="K154" s="77"/>
      <c r="L154" s="77"/>
      <c r="M154" s="77"/>
      <c r="N154" s="77"/>
      <c r="O154" s="79"/>
      <c r="P154" s="79"/>
      <c r="Q154" s="79"/>
    </row>
    <row r="155" spans="2:17" ht="31.5" x14ac:dyDescent="0.35">
      <c r="B155" s="225" t="s">
        <v>387</v>
      </c>
      <c r="C155" s="197" t="s">
        <v>1045</v>
      </c>
      <c r="D155" s="197" t="s">
        <v>395</v>
      </c>
      <c r="E155" s="202" t="s">
        <v>24</v>
      </c>
      <c r="F155" s="216" t="s">
        <v>1046</v>
      </c>
      <c r="G155" s="83" t="s">
        <v>33</v>
      </c>
      <c r="H155" s="75" t="s">
        <v>43</v>
      </c>
      <c r="I155" s="82"/>
      <c r="J155" s="83"/>
      <c r="K155" s="81"/>
      <c r="L155" s="81"/>
      <c r="M155" s="81"/>
      <c r="N155" s="81"/>
      <c r="O155" s="83"/>
      <c r="P155" s="83"/>
      <c r="Q155" s="83"/>
    </row>
    <row r="156" spans="2:17" ht="31.5" x14ac:dyDescent="0.35">
      <c r="B156" s="225" t="s">
        <v>387</v>
      </c>
      <c r="C156" s="197"/>
      <c r="D156" s="197" t="s">
        <v>727</v>
      </c>
      <c r="E156" s="202" t="s">
        <v>24</v>
      </c>
      <c r="F156" s="215" t="s">
        <v>1047</v>
      </c>
      <c r="G156" s="83" t="s">
        <v>33</v>
      </c>
      <c r="H156" s="75" t="s">
        <v>43</v>
      </c>
      <c r="I156" s="82"/>
      <c r="J156" s="83"/>
      <c r="K156" s="81"/>
      <c r="L156" s="81"/>
      <c r="M156" s="81"/>
      <c r="N156" s="81"/>
      <c r="O156" s="83"/>
      <c r="P156" s="83"/>
      <c r="Q156" s="83"/>
    </row>
    <row r="157" spans="2:17" ht="42" x14ac:dyDescent="0.35">
      <c r="B157" s="226" t="s">
        <v>396</v>
      </c>
      <c r="C157" s="204" t="s">
        <v>1048</v>
      </c>
      <c r="D157" s="204" t="s">
        <v>397</v>
      </c>
      <c r="E157" s="203" t="s">
        <v>24</v>
      </c>
      <c r="F157" s="221" t="s">
        <v>1049</v>
      </c>
      <c r="G157" s="79" t="s">
        <v>33</v>
      </c>
      <c r="H157" s="74" t="s">
        <v>43</v>
      </c>
      <c r="I157" s="78"/>
      <c r="J157" s="79"/>
      <c r="K157" s="77"/>
      <c r="L157" s="77"/>
      <c r="M157" s="77"/>
      <c r="N157" s="77"/>
      <c r="O157" s="79"/>
      <c r="P157" s="79"/>
      <c r="Q157" s="79"/>
    </row>
    <row r="158" spans="2:17" ht="42" x14ac:dyDescent="0.35">
      <c r="B158" s="226" t="s">
        <v>396</v>
      </c>
      <c r="C158" s="204"/>
      <c r="D158" s="204" t="s">
        <v>398</v>
      </c>
      <c r="E158" s="203" t="s">
        <v>24</v>
      </c>
      <c r="F158" s="208" t="s">
        <v>1050</v>
      </c>
      <c r="G158" s="79" t="s">
        <v>33</v>
      </c>
      <c r="H158" s="74" t="s">
        <v>43</v>
      </c>
      <c r="I158" s="78"/>
      <c r="J158" s="79"/>
      <c r="K158" s="77"/>
      <c r="L158" s="77"/>
      <c r="M158" s="77"/>
      <c r="N158" s="77"/>
      <c r="O158" s="79"/>
      <c r="P158" s="79"/>
      <c r="Q158" s="79"/>
    </row>
    <row r="159" spans="2:17" ht="81" x14ac:dyDescent="0.35">
      <c r="B159" s="226" t="s">
        <v>396</v>
      </c>
      <c r="C159" s="204"/>
      <c r="D159" s="204" t="s">
        <v>399</v>
      </c>
      <c r="E159" s="203" t="s">
        <v>24</v>
      </c>
      <c r="F159" s="222" t="s">
        <v>1051</v>
      </c>
      <c r="G159" s="79" t="s">
        <v>33</v>
      </c>
      <c r="H159" s="74" t="s">
        <v>43</v>
      </c>
      <c r="I159" s="78"/>
      <c r="J159" s="79"/>
      <c r="K159" s="77"/>
      <c r="L159" s="77"/>
      <c r="M159" s="77"/>
      <c r="N159" s="77"/>
      <c r="O159" s="79"/>
      <c r="P159" s="79"/>
      <c r="Q159" s="79"/>
    </row>
    <row r="160" spans="2:17" ht="31.5" x14ac:dyDescent="0.35">
      <c r="B160" s="226" t="s">
        <v>396</v>
      </c>
      <c r="C160" s="197" t="s">
        <v>1052</v>
      </c>
      <c r="D160" s="197" t="s">
        <v>400</v>
      </c>
      <c r="E160" s="202" t="s">
        <v>24</v>
      </c>
      <c r="F160" s="216" t="s">
        <v>1053</v>
      </c>
      <c r="G160" s="83" t="s">
        <v>33</v>
      </c>
      <c r="H160" s="75" t="s">
        <v>43</v>
      </c>
      <c r="I160" s="82"/>
      <c r="J160" s="83"/>
      <c r="K160" s="81"/>
      <c r="L160" s="81"/>
      <c r="M160" s="81"/>
      <c r="N160" s="81"/>
      <c r="O160" s="83"/>
      <c r="P160" s="83"/>
      <c r="Q160" s="83"/>
    </row>
    <row r="161" spans="2:17" ht="31.5" x14ac:dyDescent="0.35">
      <c r="B161" s="226" t="s">
        <v>396</v>
      </c>
      <c r="C161" s="204" t="s">
        <v>1054</v>
      </c>
      <c r="D161" s="204" t="s">
        <v>401</v>
      </c>
      <c r="E161" s="203" t="s">
        <v>24</v>
      </c>
      <c r="F161" s="208" t="s">
        <v>1054</v>
      </c>
      <c r="G161" s="79" t="s">
        <v>33</v>
      </c>
      <c r="H161" s="74" t="s">
        <v>43</v>
      </c>
      <c r="I161" s="78"/>
      <c r="J161" s="79"/>
      <c r="K161" s="77"/>
      <c r="L161" s="77"/>
      <c r="M161" s="77"/>
      <c r="N161" s="77"/>
      <c r="O161" s="79"/>
      <c r="P161" s="79"/>
      <c r="Q161" s="79"/>
    </row>
    <row r="162" spans="2:17" ht="52.5" x14ac:dyDescent="0.35">
      <c r="B162" s="226" t="s">
        <v>396</v>
      </c>
      <c r="C162" s="197" t="s">
        <v>1055</v>
      </c>
      <c r="D162" s="197" t="s">
        <v>402</v>
      </c>
      <c r="E162" s="202" t="s">
        <v>25</v>
      </c>
      <c r="F162" s="216" t="s">
        <v>1056</v>
      </c>
      <c r="G162" s="83" t="s">
        <v>33</v>
      </c>
      <c r="H162" s="74" t="s">
        <v>43</v>
      </c>
      <c r="I162" s="82"/>
      <c r="J162" s="83"/>
      <c r="K162" s="81"/>
      <c r="L162" s="81"/>
      <c r="M162" s="81"/>
      <c r="N162" s="81"/>
      <c r="O162" s="83"/>
      <c r="P162" s="83"/>
      <c r="Q162" s="83"/>
    </row>
    <row r="163" spans="2:17" ht="113" x14ac:dyDescent="0.35">
      <c r="B163" s="226" t="s">
        <v>396</v>
      </c>
      <c r="C163" s="197"/>
      <c r="D163" s="197" t="s">
        <v>404</v>
      </c>
      <c r="E163" s="202" t="s">
        <v>25</v>
      </c>
      <c r="F163" s="216" t="s">
        <v>1057</v>
      </c>
      <c r="G163" s="83" t="s">
        <v>33</v>
      </c>
      <c r="H163" s="74" t="s">
        <v>43</v>
      </c>
      <c r="I163" s="82"/>
      <c r="J163" s="83"/>
      <c r="K163" s="81"/>
      <c r="L163" s="81"/>
      <c r="M163" s="81"/>
      <c r="N163" s="81"/>
      <c r="O163" s="83"/>
      <c r="P163" s="83"/>
      <c r="Q163" s="83"/>
    </row>
    <row r="164" spans="2:17" ht="112.5" x14ac:dyDescent="0.35">
      <c r="B164" s="226" t="s">
        <v>396</v>
      </c>
      <c r="C164" s="197"/>
      <c r="D164" s="197" t="s">
        <v>405</v>
      </c>
      <c r="E164" s="202" t="s">
        <v>25</v>
      </c>
      <c r="F164" s="216" t="s">
        <v>1058</v>
      </c>
      <c r="G164" s="83" t="s">
        <v>33</v>
      </c>
      <c r="H164" s="74" t="s">
        <v>43</v>
      </c>
      <c r="I164" s="82"/>
      <c r="J164" s="83"/>
      <c r="K164" s="81"/>
      <c r="L164" s="81"/>
      <c r="M164" s="81"/>
      <c r="N164" s="81"/>
      <c r="O164" s="83"/>
      <c r="P164" s="83"/>
      <c r="Q164" s="83"/>
    </row>
    <row r="165" spans="2:17" ht="52.5" x14ac:dyDescent="0.35">
      <c r="B165" s="226" t="s">
        <v>396</v>
      </c>
      <c r="C165" s="204" t="s">
        <v>1059</v>
      </c>
      <c r="D165" s="204" t="s">
        <v>403</v>
      </c>
      <c r="E165" s="203" t="s">
        <v>25</v>
      </c>
      <c r="F165" s="208" t="s">
        <v>1060</v>
      </c>
      <c r="G165" s="79" t="s">
        <v>33</v>
      </c>
      <c r="H165" s="74" t="s">
        <v>43</v>
      </c>
      <c r="I165" s="78"/>
      <c r="J165" s="79"/>
      <c r="K165" s="77"/>
      <c r="L165" s="77"/>
      <c r="M165" s="77"/>
      <c r="N165" s="77"/>
      <c r="O165" s="79"/>
      <c r="P165" s="79"/>
      <c r="Q165" s="79"/>
    </row>
    <row r="166" spans="2:17" ht="64.5" customHeight="1" x14ac:dyDescent="0.35">
      <c r="B166" s="226" t="s">
        <v>396</v>
      </c>
      <c r="C166" s="204"/>
      <c r="D166" s="204" t="s">
        <v>406</v>
      </c>
      <c r="E166" s="203" t="s">
        <v>25</v>
      </c>
      <c r="F166" s="208" t="s">
        <v>1061</v>
      </c>
      <c r="G166" s="79" t="s">
        <v>33</v>
      </c>
      <c r="H166" s="74" t="s">
        <v>43</v>
      </c>
      <c r="I166" s="78"/>
      <c r="J166" s="79"/>
      <c r="K166" s="77"/>
      <c r="L166" s="77"/>
      <c r="M166" s="77"/>
      <c r="N166" s="77"/>
      <c r="O166" s="79"/>
      <c r="P166" s="79"/>
      <c r="Q166" s="79"/>
    </row>
    <row r="167" spans="2:17" ht="73.5" x14ac:dyDescent="0.35">
      <c r="B167" s="226" t="s">
        <v>396</v>
      </c>
      <c r="C167" s="204"/>
      <c r="D167" s="204" t="s">
        <v>407</v>
      </c>
      <c r="E167" s="203" t="s">
        <v>25</v>
      </c>
      <c r="F167" s="208" t="s">
        <v>1062</v>
      </c>
      <c r="G167" s="79" t="s">
        <v>33</v>
      </c>
      <c r="H167" s="74" t="s">
        <v>43</v>
      </c>
      <c r="I167" s="78"/>
      <c r="J167" s="79"/>
      <c r="K167" s="77"/>
      <c r="L167" s="77"/>
      <c r="M167" s="77"/>
      <c r="N167" s="77"/>
      <c r="O167" s="79"/>
      <c r="P167" s="79"/>
      <c r="Q167" s="79"/>
    </row>
    <row r="168" spans="2:17" ht="91.5" x14ac:dyDescent="0.35">
      <c r="B168" s="226" t="s">
        <v>396</v>
      </c>
      <c r="C168" s="197" t="s">
        <v>1063</v>
      </c>
      <c r="D168" s="197" t="s">
        <v>408</v>
      </c>
      <c r="E168" s="202" t="s">
        <v>24</v>
      </c>
      <c r="F168" s="216" t="s">
        <v>1064</v>
      </c>
      <c r="G168" s="83" t="s">
        <v>33</v>
      </c>
      <c r="H168" s="74" t="s">
        <v>43</v>
      </c>
      <c r="I168" s="82"/>
      <c r="J168" s="83"/>
      <c r="K168" s="81"/>
      <c r="L168" s="81"/>
      <c r="M168" s="81"/>
      <c r="N168" s="81"/>
      <c r="O168" s="83"/>
      <c r="P168" s="83"/>
      <c r="Q168" s="83"/>
    </row>
    <row r="169" spans="2:17" ht="51.5" x14ac:dyDescent="0.35">
      <c r="B169" s="226" t="s">
        <v>396</v>
      </c>
      <c r="C169" s="204" t="s">
        <v>1065</v>
      </c>
      <c r="D169" s="204" t="s">
        <v>409</v>
      </c>
      <c r="E169" s="203" t="s">
        <v>24</v>
      </c>
      <c r="F169" s="208" t="s">
        <v>1066</v>
      </c>
      <c r="G169" s="79" t="s">
        <v>33</v>
      </c>
      <c r="H169" s="74" t="s">
        <v>43</v>
      </c>
      <c r="I169" s="78"/>
      <c r="J169" s="79"/>
      <c r="K169" s="77"/>
      <c r="L169" s="77"/>
      <c r="M169" s="77"/>
      <c r="N169" s="77"/>
      <c r="O169" s="79"/>
      <c r="P169" s="79"/>
      <c r="Q169" s="79"/>
    </row>
    <row r="170" spans="2:17" ht="101" x14ac:dyDescent="0.35">
      <c r="B170" s="226" t="s">
        <v>396</v>
      </c>
      <c r="C170" s="197" t="s">
        <v>728</v>
      </c>
      <c r="D170" s="197" t="s">
        <v>410</v>
      </c>
      <c r="E170" s="202" t="s">
        <v>24</v>
      </c>
      <c r="F170" s="223" t="s">
        <v>1067</v>
      </c>
      <c r="G170" s="83" t="s">
        <v>33</v>
      </c>
      <c r="H170" s="74" t="s">
        <v>43</v>
      </c>
      <c r="I170" s="82"/>
      <c r="J170" s="83"/>
      <c r="K170" s="81"/>
      <c r="L170" s="81"/>
      <c r="M170" s="81"/>
      <c r="N170" s="81"/>
      <c r="O170" s="83"/>
      <c r="P170" s="83"/>
      <c r="Q170" s="83"/>
    </row>
    <row r="171" spans="2:17" ht="42" x14ac:dyDescent="0.35">
      <c r="B171" s="226" t="s">
        <v>396</v>
      </c>
      <c r="C171" s="204" t="s">
        <v>1068</v>
      </c>
      <c r="D171" s="204" t="s">
        <v>411</v>
      </c>
      <c r="E171" s="203" t="s">
        <v>24</v>
      </c>
      <c r="F171" s="208" t="s">
        <v>1070</v>
      </c>
      <c r="G171" s="79" t="s">
        <v>33</v>
      </c>
      <c r="H171" s="74" t="s">
        <v>43</v>
      </c>
      <c r="I171" s="78"/>
      <c r="J171" s="79"/>
      <c r="K171" s="77"/>
      <c r="L171" s="77"/>
      <c r="M171" s="77"/>
      <c r="N171" s="77"/>
      <c r="O171" s="79"/>
      <c r="P171" s="79"/>
      <c r="Q171" s="79"/>
    </row>
    <row r="172" spans="2:17" ht="42" x14ac:dyDescent="0.35">
      <c r="B172" s="226" t="s">
        <v>396</v>
      </c>
      <c r="C172" s="204"/>
      <c r="D172" s="204" t="s">
        <v>729</v>
      </c>
      <c r="E172" s="203" t="s">
        <v>24</v>
      </c>
      <c r="F172" s="208" t="s">
        <v>1071</v>
      </c>
      <c r="G172" s="79" t="s">
        <v>33</v>
      </c>
      <c r="H172" s="74" t="s">
        <v>43</v>
      </c>
      <c r="I172" s="78"/>
      <c r="J172" s="79"/>
      <c r="K172" s="77"/>
      <c r="L172" s="77"/>
      <c r="M172" s="77"/>
      <c r="N172" s="77"/>
      <c r="O172" s="79"/>
      <c r="P172" s="79"/>
      <c r="Q172" s="79"/>
    </row>
    <row r="173" spans="2:17" ht="42" x14ac:dyDescent="0.35">
      <c r="B173" s="226" t="s">
        <v>396</v>
      </c>
      <c r="C173" s="204"/>
      <c r="D173" s="204" t="s">
        <v>730</v>
      </c>
      <c r="E173" s="203" t="s">
        <v>24</v>
      </c>
      <c r="F173" s="208" t="s">
        <v>1072</v>
      </c>
      <c r="G173" s="79" t="s">
        <v>33</v>
      </c>
      <c r="H173" s="74" t="s">
        <v>43</v>
      </c>
      <c r="I173" s="78"/>
      <c r="J173" s="79"/>
      <c r="K173" s="77"/>
      <c r="L173" s="77"/>
      <c r="M173" s="77"/>
      <c r="N173" s="77"/>
      <c r="O173" s="79"/>
      <c r="P173" s="79"/>
      <c r="Q173" s="79"/>
    </row>
    <row r="174" spans="2:17" ht="42" x14ac:dyDescent="0.35">
      <c r="B174" s="226" t="s">
        <v>396</v>
      </c>
      <c r="C174" s="204"/>
      <c r="D174" s="204" t="s">
        <v>731</v>
      </c>
      <c r="E174" s="203" t="s">
        <v>24</v>
      </c>
      <c r="F174" s="208" t="s">
        <v>1073</v>
      </c>
      <c r="G174" s="79" t="s">
        <v>33</v>
      </c>
      <c r="H174" s="74" t="s">
        <v>43</v>
      </c>
      <c r="I174" s="78"/>
      <c r="J174" s="79"/>
      <c r="K174" s="77"/>
      <c r="L174" s="77"/>
      <c r="M174" s="77"/>
      <c r="N174" s="77"/>
      <c r="O174" s="79"/>
      <c r="P174" s="79"/>
      <c r="Q174" s="79"/>
    </row>
    <row r="175" spans="2:17" ht="52.5" x14ac:dyDescent="0.35">
      <c r="B175" s="226" t="s">
        <v>396</v>
      </c>
      <c r="C175" s="197" t="s">
        <v>1069</v>
      </c>
      <c r="D175" s="197" t="s">
        <v>412</v>
      </c>
      <c r="E175" s="202" t="s">
        <v>24</v>
      </c>
      <c r="F175" s="216" t="s">
        <v>1074</v>
      </c>
      <c r="G175" s="83" t="s">
        <v>33</v>
      </c>
      <c r="H175" s="75" t="s">
        <v>43</v>
      </c>
      <c r="I175" s="82"/>
      <c r="J175" s="83"/>
      <c r="K175" s="81"/>
      <c r="L175" s="81"/>
      <c r="M175" s="81"/>
      <c r="N175" s="81"/>
      <c r="O175" s="83"/>
      <c r="P175" s="83"/>
      <c r="Q175" s="83"/>
    </row>
    <row r="176" spans="2:17" ht="52.5" x14ac:dyDescent="0.35">
      <c r="B176" s="226" t="s">
        <v>396</v>
      </c>
      <c r="C176" s="197"/>
      <c r="D176" s="197" t="s">
        <v>732</v>
      </c>
      <c r="E176" s="202" t="s">
        <v>24</v>
      </c>
      <c r="F176" s="216" t="s">
        <v>1075</v>
      </c>
      <c r="G176" s="83" t="s">
        <v>33</v>
      </c>
      <c r="H176" s="75" t="s">
        <v>43</v>
      </c>
      <c r="I176" s="82"/>
      <c r="J176" s="83"/>
      <c r="K176" s="81"/>
      <c r="L176" s="81"/>
      <c r="M176" s="81"/>
      <c r="N176" s="81"/>
      <c r="O176" s="83"/>
      <c r="P176" s="83"/>
      <c r="Q176" s="83"/>
    </row>
    <row r="177" spans="2:17" ht="54" customHeight="1" x14ac:dyDescent="0.35">
      <c r="B177" s="226" t="s">
        <v>396</v>
      </c>
      <c r="C177" s="197"/>
      <c r="D177" s="197" t="s">
        <v>733</v>
      </c>
      <c r="E177" s="202" t="s">
        <v>24</v>
      </c>
      <c r="F177" s="216" t="s">
        <v>1076</v>
      </c>
      <c r="G177" s="83" t="s">
        <v>33</v>
      </c>
      <c r="H177" s="75" t="s">
        <v>43</v>
      </c>
      <c r="I177" s="82"/>
      <c r="J177" s="83"/>
      <c r="K177" s="81"/>
      <c r="L177" s="81"/>
      <c r="M177" s="81"/>
      <c r="N177" s="81"/>
      <c r="O177" s="83"/>
      <c r="P177" s="83"/>
      <c r="Q177" s="83"/>
    </row>
    <row r="178" spans="2:17" ht="54" customHeight="1" x14ac:dyDescent="0.35">
      <c r="B178" s="226" t="s">
        <v>396</v>
      </c>
      <c r="C178" s="197"/>
      <c r="D178" s="197" t="s">
        <v>734</v>
      </c>
      <c r="E178" s="202" t="s">
        <v>24</v>
      </c>
      <c r="F178" s="215" t="s">
        <v>1077</v>
      </c>
      <c r="G178" s="83" t="s">
        <v>33</v>
      </c>
      <c r="H178" s="75" t="s">
        <v>43</v>
      </c>
      <c r="I178" s="82"/>
      <c r="J178" s="83"/>
      <c r="K178" s="81"/>
      <c r="L178" s="81"/>
      <c r="M178" s="81"/>
      <c r="N178" s="81"/>
      <c r="O178" s="83"/>
      <c r="P178" s="83"/>
      <c r="Q178" s="83"/>
    </row>
    <row r="179" spans="2:17" ht="77.5" customHeight="1" x14ac:dyDescent="0.35">
      <c r="B179" s="226" t="s">
        <v>396</v>
      </c>
      <c r="C179" s="204" t="s">
        <v>1078</v>
      </c>
      <c r="D179" s="204" t="s">
        <v>413</v>
      </c>
      <c r="E179" s="203" t="s">
        <v>25</v>
      </c>
      <c r="F179" s="219" t="s">
        <v>1079</v>
      </c>
      <c r="G179" s="79" t="s">
        <v>33</v>
      </c>
      <c r="H179" s="74" t="s">
        <v>43</v>
      </c>
      <c r="I179" s="78"/>
      <c r="J179" s="79"/>
      <c r="K179" s="77"/>
      <c r="L179" s="77"/>
      <c r="M179" s="77"/>
      <c r="N179" s="77"/>
      <c r="O179" s="79"/>
      <c r="P179" s="79"/>
      <c r="Q179" s="79"/>
    </row>
    <row r="180" spans="2:17" ht="79" customHeight="1" x14ac:dyDescent="0.35">
      <c r="B180" s="226" t="s">
        <v>396</v>
      </c>
      <c r="C180" s="204"/>
      <c r="D180" s="204" t="s">
        <v>735</v>
      </c>
      <c r="E180" s="203" t="s">
        <v>25</v>
      </c>
      <c r="F180" s="219" t="s">
        <v>1080</v>
      </c>
      <c r="G180" s="85" t="s">
        <v>33</v>
      </c>
      <c r="H180" s="74" t="s">
        <v>43</v>
      </c>
      <c r="I180" s="77"/>
      <c r="J180" s="85"/>
      <c r="K180" s="77"/>
      <c r="L180" s="77"/>
      <c r="M180" s="77"/>
      <c r="N180" s="77"/>
      <c r="O180" s="85"/>
      <c r="P180" s="85"/>
      <c r="Q180" s="85"/>
    </row>
    <row r="181" spans="2:17" ht="111.5" x14ac:dyDescent="0.35">
      <c r="B181" s="226" t="s">
        <v>396</v>
      </c>
      <c r="C181" s="197" t="s">
        <v>1081</v>
      </c>
      <c r="D181" s="197" t="s">
        <v>414</v>
      </c>
      <c r="E181" s="202" t="s">
        <v>25</v>
      </c>
      <c r="F181" s="215" t="s">
        <v>1082</v>
      </c>
      <c r="G181" s="86" t="s">
        <v>33</v>
      </c>
      <c r="H181" s="75" t="s">
        <v>43</v>
      </c>
      <c r="I181" s="81"/>
      <c r="J181" s="86"/>
      <c r="K181" s="81"/>
      <c r="L181" s="81"/>
      <c r="M181" s="81"/>
      <c r="N181" s="81"/>
      <c r="O181" s="86"/>
      <c r="P181" s="86"/>
      <c r="Q181" s="86"/>
    </row>
    <row r="182" spans="2:17" ht="52.5" x14ac:dyDescent="0.35">
      <c r="B182" s="226" t="s">
        <v>396</v>
      </c>
      <c r="C182" s="204" t="s">
        <v>1083</v>
      </c>
      <c r="D182" s="204" t="s">
        <v>415</v>
      </c>
      <c r="E182" s="203" t="s">
        <v>25</v>
      </c>
      <c r="F182" s="219" t="s">
        <v>1084</v>
      </c>
      <c r="G182" s="85" t="s">
        <v>33</v>
      </c>
      <c r="H182" s="74" t="s">
        <v>43</v>
      </c>
      <c r="I182" s="77"/>
      <c r="J182" s="85"/>
      <c r="K182" s="77"/>
      <c r="L182" s="77"/>
      <c r="M182" s="77"/>
      <c r="N182" s="77"/>
      <c r="O182" s="85"/>
      <c r="P182" s="85"/>
      <c r="Q182" s="85"/>
    </row>
    <row r="183" spans="2:17" ht="42" x14ac:dyDescent="0.35">
      <c r="B183" s="226" t="s">
        <v>396</v>
      </c>
      <c r="C183" s="204"/>
      <c r="D183" s="204" t="s">
        <v>736</v>
      </c>
      <c r="E183" s="203" t="s">
        <v>25</v>
      </c>
      <c r="F183" s="219" t="s">
        <v>1085</v>
      </c>
      <c r="G183" s="85" t="s">
        <v>33</v>
      </c>
      <c r="H183" s="74" t="s">
        <v>43</v>
      </c>
      <c r="I183" s="77"/>
      <c r="J183" s="85"/>
      <c r="K183" s="77"/>
      <c r="L183" s="77"/>
      <c r="M183" s="77"/>
      <c r="N183" s="77"/>
      <c r="O183" s="85"/>
      <c r="P183" s="85"/>
      <c r="Q183" s="85"/>
    </row>
    <row r="184" spans="2:17" ht="142" x14ac:dyDescent="0.35">
      <c r="B184" s="226" t="s">
        <v>396</v>
      </c>
      <c r="C184" s="204"/>
      <c r="D184" s="204" t="s">
        <v>737</v>
      </c>
      <c r="E184" s="203" t="s">
        <v>25</v>
      </c>
      <c r="F184" s="219" t="s">
        <v>1086</v>
      </c>
      <c r="G184" s="85" t="s">
        <v>33</v>
      </c>
      <c r="H184" s="74" t="s">
        <v>43</v>
      </c>
      <c r="I184" s="77"/>
      <c r="J184" s="85"/>
      <c r="K184" s="77"/>
      <c r="L184" s="77"/>
      <c r="M184" s="77"/>
      <c r="N184" s="77"/>
      <c r="O184" s="85"/>
      <c r="P184" s="85"/>
      <c r="Q184" s="85"/>
    </row>
    <row r="185" spans="2:17" ht="133.5" customHeight="1" x14ac:dyDescent="0.35">
      <c r="B185" s="226" t="s">
        <v>396</v>
      </c>
      <c r="C185" s="197" t="s">
        <v>738</v>
      </c>
      <c r="D185" s="197" t="s">
        <v>416</v>
      </c>
      <c r="E185" s="202" t="s">
        <v>24</v>
      </c>
      <c r="F185" s="215" t="s">
        <v>1087</v>
      </c>
      <c r="G185" s="86" t="s">
        <v>33</v>
      </c>
      <c r="H185" s="75" t="s">
        <v>43</v>
      </c>
      <c r="I185" s="81"/>
      <c r="J185" s="86"/>
      <c r="K185" s="81"/>
      <c r="L185" s="81"/>
      <c r="M185" s="81"/>
      <c r="N185" s="81"/>
      <c r="O185" s="86"/>
      <c r="P185" s="86"/>
      <c r="Q185" s="86"/>
    </row>
    <row r="186" spans="2:17" ht="134" customHeight="1" x14ac:dyDescent="0.35">
      <c r="B186" s="226" t="s">
        <v>396</v>
      </c>
      <c r="C186" s="197"/>
      <c r="D186" s="197" t="s">
        <v>417</v>
      </c>
      <c r="E186" s="202" t="s">
        <v>24</v>
      </c>
      <c r="F186" s="215" t="s">
        <v>1088</v>
      </c>
      <c r="G186" s="86" t="s">
        <v>33</v>
      </c>
      <c r="H186" s="75" t="s">
        <v>43</v>
      </c>
      <c r="I186" s="81"/>
      <c r="J186" s="86"/>
      <c r="K186" s="81"/>
      <c r="L186" s="81"/>
      <c r="M186" s="81"/>
      <c r="N186" s="81"/>
      <c r="O186" s="86"/>
      <c r="P186" s="86"/>
      <c r="Q186" s="86"/>
    </row>
    <row r="187" spans="2:17" ht="132.5" customHeight="1" x14ac:dyDescent="0.35">
      <c r="B187" s="225" t="s">
        <v>4</v>
      </c>
      <c r="C187" s="204" t="s">
        <v>1089</v>
      </c>
      <c r="D187" s="204" t="s">
        <v>418</v>
      </c>
      <c r="E187" s="203" t="s">
        <v>24</v>
      </c>
      <c r="F187" s="204" t="s">
        <v>1090</v>
      </c>
      <c r="G187" s="85" t="s">
        <v>33</v>
      </c>
      <c r="H187" s="74" t="s">
        <v>43</v>
      </c>
      <c r="I187" s="77"/>
      <c r="J187" s="85"/>
      <c r="K187" s="77"/>
      <c r="L187" s="77"/>
      <c r="M187" s="77"/>
      <c r="N187" s="77"/>
      <c r="O187" s="85"/>
      <c r="P187" s="85"/>
      <c r="Q187" s="85"/>
    </row>
    <row r="188" spans="2:17" ht="61.5" x14ac:dyDescent="0.35">
      <c r="B188" s="225" t="s">
        <v>4</v>
      </c>
      <c r="C188" s="204"/>
      <c r="D188" s="204" t="s">
        <v>419</v>
      </c>
      <c r="E188" s="203" t="s">
        <v>24</v>
      </c>
      <c r="F188" s="204" t="s">
        <v>1091</v>
      </c>
      <c r="G188" s="85" t="s">
        <v>33</v>
      </c>
      <c r="H188" s="74" t="s">
        <v>43</v>
      </c>
      <c r="I188" s="77"/>
      <c r="J188" s="85"/>
      <c r="K188" s="77"/>
      <c r="L188" s="77"/>
      <c r="M188" s="77"/>
      <c r="N188" s="77"/>
      <c r="O188" s="85"/>
      <c r="P188" s="85"/>
      <c r="Q188" s="85"/>
    </row>
    <row r="189" spans="2:17" ht="152.5" x14ac:dyDescent="0.35">
      <c r="B189" s="225" t="s">
        <v>4</v>
      </c>
      <c r="C189" s="204"/>
      <c r="D189" s="204" t="s">
        <v>420</v>
      </c>
      <c r="E189" s="203" t="s">
        <v>24</v>
      </c>
      <c r="F189" s="204" t="s">
        <v>1092</v>
      </c>
      <c r="G189" s="85" t="s">
        <v>33</v>
      </c>
      <c r="H189" s="74" t="s">
        <v>43</v>
      </c>
      <c r="I189" s="78"/>
      <c r="J189" s="85"/>
      <c r="K189" s="87"/>
      <c r="L189" s="87"/>
      <c r="M189" s="87"/>
      <c r="N189" s="87"/>
      <c r="O189" s="85"/>
      <c r="P189" s="85"/>
      <c r="Q189" s="85"/>
    </row>
    <row r="190" spans="2:17" ht="31.5" x14ac:dyDescent="0.35">
      <c r="B190" s="225" t="s">
        <v>4</v>
      </c>
      <c r="C190" s="197" t="s">
        <v>1093</v>
      </c>
      <c r="D190" s="197" t="s">
        <v>421</v>
      </c>
      <c r="E190" s="202" t="s">
        <v>24</v>
      </c>
      <c r="F190" s="216" t="s">
        <v>739</v>
      </c>
      <c r="G190" s="86" t="s">
        <v>33</v>
      </c>
      <c r="H190" s="75" t="s">
        <v>43</v>
      </c>
      <c r="I190" s="82"/>
      <c r="J190" s="86"/>
      <c r="K190" s="88"/>
      <c r="L190" s="88"/>
      <c r="M190" s="88"/>
      <c r="N190" s="88"/>
      <c r="O190" s="86"/>
      <c r="P190" s="86"/>
      <c r="Q190" s="86"/>
    </row>
    <row r="191" spans="2:17" ht="31.5" x14ac:dyDescent="0.35">
      <c r="B191" s="225" t="s">
        <v>4</v>
      </c>
      <c r="C191" s="197"/>
      <c r="D191" s="197" t="s">
        <v>423</v>
      </c>
      <c r="E191" s="202" t="s">
        <v>24</v>
      </c>
      <c r="F191" s="216" t="s">
        <v>427</v>
      </c>
      <c r="G191" s="86" t="s">
        <v>33</v>
      </c>
      <c r="H191" s="75" t="s">
        <v>43</v>
      </c>
      <c r="I191" s="82"/>
      <c r="J191" s="86"/>
      <c r="K191" s="88"/>
      <c r="L191" s="88"/>
      <c r="M191" s="88"/>
      <c r="N191" s="88"/>
      <c r="O191" s="86"/>
      <c r="P191" s="86"/>
      <c r="Q191" s="86"/>
    </row>
    <row r="192" spans="2:17" ht="42" x14ac:dyDescent="0.35">
      <c r="B192" s="225" t="s">
        <v>4</v>
      </c>
      <c r="C192" s="197"/>
      <c r="D192" s="197" t="s">
        <v>424</v>
      </c>
      <c r="E192" s="202" t="s">
        <v>24</v>
      </c>
      <c r="F192" s="216" t="s">
        <v>1094</v>
      </c>
      <c r="G192" s="86" t="s">
        <v>33</v>
      </c>
      <c r="H192" s="75" t="s">
        <v>43</v>
      </c>
      <c r="I192" s="88"/>
      <c r="J192" s="86"/>
      <c r="K192" s="88"/>
      <c r="L192" s="88"/>
      <c r="M192" s="88"/>
      <c r="N192" s="88"/>
      <c r="O192" s="86"/>
      <c r="P192" s="86"/>
      <c r="Q192" s="86"/>
    </row>
    <row r="193" spans="2:17" ht="42" x14ac:dyDescent="0.35">
      <c r="B193" s="225" t="s">
        <v>4</v>
      </c>
      <c r="C193" s="197"/>
      <c r="D193" s="197" t="s">
        <v>425</v>
      </c>
      <c r="E193" s="202" t="s">
        <v>24</v>
      </c>
      <c r="F193" s="216" t="s">
        <v>1095</v>
      </c>
      <c r="G193" s="86" t="s">
        <v>33</v>
      </c>
      <c r="H193" s="75" t="s">
        <v>43</v>
      </c>
      <c r="I193" s="88"/>
      <c r="J193" s="86"/>
      <c r="K193" s="88"/>
      <c r="L193" s="88"/>
      <c r="M193" s="88"/>
      <c r="N193" s="88"/>
      <c r="O193" s="86"/>
      <c r="P193" s="86"/>
      <c r="Q193" s="86"/>
    </row>
    <row r="194" spans="2:17" ht="121" x14ac:dyDescent="0.35">
      <c r="B194" s="225" t="s">
        <v>4</v>
      </c>
      <c r="C194" s="197"/>
      <c r="D194" s="197" t="s">
        <v>740</v>
      </c>
      <c r="E194" s="202" t="s">
        <v>24</v>
      </c>
      <c r="F194" s="216" t="s">
        <v>1096</v>
      </c>
      <c r="G194" s="86" t="s">
        <v>33</v>
      </c>
      <c r="H194" s="75" t="s">
        <v>43</v>
      </c>
      <c r="I194" s="88"/>
      <c r="J194" s="86"/>
      <c r="K194" s="88"/>
      <c r="L194" s="88"/>
      <c r="M194" s="88"/>
      <c r="N194" s="88"/>
      <c r="O194" s="86"/>
      <c r="P194" s="86"/>
      <c r="Q194" s="86"/>
    </row>
    <row r="195" spans="2:17" ht="42" x14ac:dyDescent="0.35">
      <c r="B195" s="225" t="s">
        <v>4</v>
      </c>
      <c r="C195" s="197"/>
      <c r="D195" s="197" t="s">
        <v>741</v>
      </c>
      <c r="E195" s="202" t="s">
        <v>24</v>
      </c>
      <c r="F195" s="216" t="s">
        <v>742</v>
      </c>
      <c r="G195" s="86" t="s">
        <v>33</v>
      </c>
      <c r="H195" s="75" t="s">
        <v>43</v>
      </c>
      <c r="I195" s="88"/>
      <c r="J195" s="86"/>
      <c r="K195" s="88"/>
      <c r="L195" s="88"/>
      <c r="M195" s="88"/>
      <c r="N195" s="88"/>
      <c r="O195" s="86"/>
      <c r="P195" s="86"/>
      <c r="Q195" s="86"/>
    </row>
    <row r="196" spans="2:17" ht="50" x14ac:dyDescent="0.35">
      <c r="B196" s="225" t="s">
        <v>4</v>
      </c>
      <c r="C196" s="204" t="s">
        <v>1183</v>
      </c>
      <c r="D196" s="204" t="s">
        <v>422</v>
      </c>
      <c r="E196" s="203" t="s">
        <v>25</v>
      </c>
      <c r="F196" s="208" t="s">
        <v>428</v>
      </c>
      <c r="G196" s="85" t="s">
        <v>33</v>
      </c>
      <c r="H196" s="74" t="s">
        <v>43</v>
      </c>
      <c r="I196" s="87"/>
      <c r="J196" s="85"/>
      <c r="K196" s="87"/>
      <c r="L196" s="87"/>
      <c r="M196" s="87"/>
      <c r="N196" s="87"/>
      <c r="O196" s="85"/>
      <c r="P196" s="85"/>
      <c r="Q196" s="85"/>
    </row>
    <row r="197" spans="2:17" ht="45" customHeight="1" x14ac:dyDescent="0.35">
      <c r="B197" s="225" t="s">
        <v>4</v>
      </c>
      <c r="C197" s="204"/>
      <c r="D197" s="204" t="s">
        <v>426</v>
      </c>
      <c r="E197" s="203" t="s">
        <v>25</v>
      </c>
      <c r="F197" s="208" t="s">
        <v>429</v>
      </c>
      <c r="G197" s="85" t="s">
        <v>33</v>
      </c>
      <c r="H197" s="74" t="s">
        <v>43</v>
      </c>
      <c r="I197" s="87"/>
      <c r="J197" s="85"/>
      <c r="K197" s="87"/>
      <c r="L197" s="87"/>
      <c r="M197" s="87"/>
      <c r="N197" s="87"/>
      <c r="O197" s="85"/>
      <c r="P197" s="85"/>
      <c r="Q197" s="85"/>
    </row>
    <row r="198" spans="2:17" ht="30" x14ac:dyDescent="0.35">
      <c r="B198" s="225" t="s">
        <v>4</v>
      </c>
      <c r="C198" s="197" t="s">
        <v>743</v>
      </c>
      <c r="D198" s="197" t="s">
        <v>430</v>
      </c>
      <c r="E198" s="202" t="s">
        <v>25</v>
      </c>
      <c r="F198" s="216" t="s">
        <v>1097</v>
      </c>
      <c r="G198" s="86" t="s">
        <v>33</v>
      </c>
      <c r="H198" s="75" t="s">
        <v>43</v>
      </c>
      <c r="I198" s="88"/>
      <c r="J198" s="86"/>
      <c r="K198" s="88"/>
      <c r="L198" s="88"/>
      <c r="M198" s="88"/>
      <c r="N198" s="88"/>
      <c r="O198" s="86"/>
      <c r="P198" s="86"/>
      <c r="Q198" s="86"/>
    </row>
    <row r="199" spans="2:17" ht="145.5" customHeight="1" x14ac:dyDescent="0.35">
      <c r="B199" s="225" t="s">
        <v>4</v>
      </c>
      <c r="C199" s="197"/>
      <c r="D199" s="197" t="s">
        <v>744</v>
      </c>
      <c r="E199" s="202" t="s">
        <v>25</v>
      </c>
      <c r="F199" s="216" t="s">
        <v>1098</v>
      </c>
      <c r="G199" s="86" t="s">
        <v>33</v>
      </c>
      <c r="H199" s="75" t="s">
        <v>43</v>
      </c>
      <c r="I199" s="88"/>
      <c r="J199" s="86"/>
      <c r="K199" s="88"/>
      <c r="L199" s="88"/>
      <c r="M199" s="88"/>
      <c r="N199" s="88"/>
      <c r="O199" s="86"/>
      <c r="P199" s="86"/>
      <c r="Q199" s="86"/>
    </row>
    <row r="200" spans="2:17" ht="133" x14ac:dyDescent="0.35">
      <c r="B200" s="225" t="s">
        <v>4</v>
      </c>
      <c r="C200" s="197"/>
      <c r="D200" s="197" t="s">
        <v>745</v>
      </c>
      <c r="E200" s="202" t="s">
        <v>25</v>
      </c>
      <c r="F200" s="216" t="s">
        <v>1099</v>
      </c>
      <c r="G200" s="86" t="s">
        <v>33</v>
      </c>
      <c r="H200" s="75" t="s">
        <v>43</v>
      </c>
      <c r="I200" s="88"/>
      <c r="J200" s="86"/>
      <c r="K200" s="88"/>
      <c r="L200" s="88"/>
      <c r="M200" s="88"/>
      <c r="N200" s="88"/>
      <c r="O200" s="86"/>
      <c r="P200" s="86"/>
      <c r="Q200" s="86"/>
    </row>
    <row r="201" spans="2:17" ht="124" customHeight="1" x14ac:dyDescent="0.35">
      <c r="B201" s="225" t="s">
        <v>4</v>
      </c>
      <c r="C201" s="204" t="s">
        <v>1100</v>
      </c>
      <c r="D201" s="204" t="s">
        <v>431</v>
      </c>
      <c r="E201" s="203" t="s">
        <v>24</v>
      </c>
      <c r="F201" s="208" t="s">
        <v>1101</v>
      </c>
      <c r="G201" s="85" t="s">
        <v>33</v>
      </c>
      <c r="H201" s="74" t="s">
        <v>43</v>
      </c>
      <c r="I201" s="87"/>
      <c r="J201" s="85"/>
      <c r="K201" s="87"/>
      <c r="L201" s="87"/>
      <c r="M201" s="87"/>
      <c r="N201" s="87"/>
      <c r="O201" s="85"/>
      <c r="P201" s="85"/>
      <c r="Q201" s="85"/>
    </row>
    <row r="202" spans="2:17" ht="21" x14ac:dyDescent="0.35">
      <c r="B202" s="225" t="s">
        <v>4</v>
      </c>
      <c r="C202" s="197" t="s">
        <v>1102</v>
      </c>
      <c r="D202" s="197" t="s">
        <v>432</v>
      </c>
      <c r="E202" s="202" t="s">
        <v>24</v>
      </c>
      <c r="F202" s="216" t="s">
        <v>746</v>
      </c>
      <c r="G202" s="86" t="s">
        <v>33</v>
      </c>
      <c r="H202" s="75" t="s">
        <v>43</v>
      </c>
      <c r="I202" s="88"/>
      <c r="J202" s="86"/>
      <c r="K202" s="88"/>
      <c r="L202" s="88"/>
      <c r="M202" s="88"/>
      <c r="N202" s="88"/>
      <c r="O202" s="86"/>
      <c r="P202" s="86"/>
      <c r="Q202" s="86"/>
    </row>
    <row r="203" spans="2:17" ht="30" x14ac:dyDescent="0.35">
      <c r="B203" s="225" t="s">
        <v>4</v>
      </c>
      <c r="C203" s="204" t="s">
        <v>747</v>
      </c>
      <c r="D203" s="204" t="s">
        <v>433</v>
      </c>
      <c r="E203" s="203" t="s">
        <v>24</v>
      </c>
      <c r="F203" s="208" t="s">
        <v>1103</v>
      </c>
      <c r="G203" s="85" t="s">
        <v>33</v>
      </c>
      <c r="H203" s="74" t="s">
        <v>43</v>
      </c>
      <c r="I203" s="87"/>
      <c r="J203" s="85"/>
      <c r="K203" s="87"/>
      <c r="L203" s="87"/>
      <c r="M203" s="87"/>
      <c r="N203" s="87"/>
      <c r="O203" s="85"/>
      <c r="P203" s="85"/>
      <c r="Q203" s="85"/>
    </row>
    <row r="204" spans="2:17" ht="31.5" x14ac:dyDescent="0.35">
      <c r="B204" s="225" t="s">
        <v>4</v>
      </c>
      <c r="C204" s="197" t="s">
        <v>1104</v>
      </c>
      <c r="D204" s="197" t="s">
        <v>434</v>
      </c>
      <c r="E204" s="202" t="s">
        <v>24</v>
      </c>
      <c r="F204" s="216" t="s">
        <v>1105</v>
      </c>
      <c r="G204" s="86" t="s">
        <v>33</v>
      </c>
      <c r="H204" s="75" t="s">
        <v>43</v>
      </c>
      <c r="I204" s="82"/>
      <c r="J204" s="86"/>
      <c r="K204" s="88"/>
      <c r="L204" s="88"/>
      <c r="M204" s="88"/>
      <c r="N204" s="88"/>
      <c r="O204" s="86"/>
      <c r="P204" s="86"/>
      <c r="Q204" s="86"/>
    </row>
    <row r="205" spans="2:17" ht="21" x14ac:dyDescent="0.35">
      <c r="B205" s="225" t="s">
        <v>4</v>
      </c>
      <c r="C205" s="197"/>
      <c r="D205" s="197" t="s">
        <v>435</v>
      </c>
      <c r="E205" s="202" t="s">
        <v>24</v>
      </c>
      <c r="F205" s="216" t="s">
        <v>748</v>
      </c>
      <c r="G205" s="86" t="s">
        <v>33</v>
      </c>
      <c r="H205" s="75" t="s">
        <v>43</v>
      </c>
      <c r="I205" s="82"/>
      <c r="J205" s="86"/>
      <c r="K205" s="88"/>
      <c r="L205" s="88"/>
      <c r="M205" s="88"/>
      <c r="N205" s="88"/>
      <c r="O205" s="86"/>
      <c r="P205" s="86"/>
      <c r="Q205" s="86"/>
    </row>
    <row r="206" spans="2:17" ht="38" customHeight="1" x14ac:dyDescent="0.35">
      <c r="B206" s="225" t="s">
        <v>4</v>
      </c>
      <c r="C206" s="197"/>
      <c r="D206" s="197" t="s">
        <v>436</v>
      </c>
      <c r="E206" s="202" t="s">
        <v>24</v>
      </c>
      <c r="F206" s="216" t="s">
        <v>1106</v>
      </c>
      <c r="G206" s="86" t="s">
        <v>33</v>
      </c>
      <c r="H206" s="75" t="s">
        <v>43</v>
      </c>
      <c r="I206" s="88"/>
      <c r="J206" s="86"/>
      <c r="K206" s="88"/>
      <c r="L206" s="88"/>
      <c r="M206" s="88"/>
      <c r="N206" s="88"/>
      <c r="O206" s="86"/>
      <c r="P206" s="86"/>
      <c r="Q206" s="86"/>
    </row>
    <row r="207" spans="2:17" ht="130.5" x14ac:dyDescent="0.35">
      <c r="B207" s="225" t="s">
        <v>4</v>
      </c>
      <c r="C207" s="204" t="s">
        <v>1107</v>
      </c>
      <c r="D207" s="204" t="s">
        <v>437</v>
      </c>
      <c r="E207" s="203" t="s">
        <v>24</v>
      </c>
      <c r="F207" s="204" t="s">
        <v>1108</v>
      </c>
      <c r="G207" s="85" t="s">
        <v>33</v>
      </c>
      <c r="H207" s="74" t="s">
        <v>43</v>
      </c>
      <c r="I207" s="87"/>
      <c r="J207" s="85"/>
      <c r="K207" s="87"/>
      <c r="L207" s="87"/>
      <c r="M207" s="87"/>
      <c r="N207" s="87"/>
      <c r="O207" s="85"/>
      <c r="P207" s="85"/>
      <c r="Q207" s="85"/>
    </row>
    <row r="208" spans="2:17" ht="161" x14ac:dyDescent="0.35">
      <c r="B208" s="225" t="s">
        <v>4</v>
      </c>
      <c r="C208" s="204"/>
      <c r="D208" s="204" t="s">
        <v>438</v>
      </c>
      <c r="E208" s="203" t="s">
        <v>24</v>
      </c>
      <c r="F208" s="204" t="s">
        <v>1109</v>
      </c>
      <c r="G208" s="85" t="s">
        <v>33</v>
      </c>
      <c r="H208" s="74" t="s">
        <v>43</v>
      </c>
      <c r="I208" s="87"/>
      <c r="J208" s="85"/>
      <c r="K208" s="87"/>
      <c r="L208" s="87"/>
      <c r="M208" s="87"/>
      <c r="N208" s="87"/>
      <c r="O208" s="85"/>
      <c r="P208" s="85"/>
      <c r="Q208" s="85"/>
    </row>
    <row r="209" spans="2:17" ht="91.5" x14ac:dyDescent="0.35">
      <c r="B209" s="225" t="s">
        <v>4</v>
      </c>
      <c r="C209" s="197" t="s">
        <v>1110</v>
      </c>
      <c r="D209" s="197" t="s">
        <v>439</v>
      </c>
      <c r="E209" s="202" t="s">
        <v>24</v>
      </c>
      <c r="F209" s="197" t="s">
        <v>1111</v>
      </c>
      <c r="G209" s="86" t="s">
        <v>33</v>
      </c>
      <c r="H209" s="75" t="s">
        <v>43</v>
      </c>
      <c r="I209" s="88"/>
      <c r="J209" s="86"/>
      <c r="K209" s="88"/>
      <c r="L209" s="88"/>
      <c r="M209" s="88"/>
      <c r="N209" s="88"/>
      <c r="O209" s="86"/>
      <c r="P209" s="86"/>
      <c r="Q209" s="86"/>
    </row>
    <row r="210" spans="2:17" ht="91.5" x14ac:dyDescent="0.35">
      <c r="B210" s="225" t="s">
        <v>4</v>
      </c>
      <c r="C210" s="197"/>
      <c r="D210" s="197" t="s">
        <v>440</v>
      </c>
      <c r="E210" s="202" t="s">
        <v>24</v>
      </c>
      <c r="F210" s="209" t="s">
        <v>1112</v>
      </c>
      <c r="G210" s="86" t="s">
        <v>33</v>
      </c>
      <c r="H210" s="75" t="s">
        <v>43</v>
      </c>
      <c r="I210" s="88"/>
      <c r="J210" s="86"/>
      <c r="K210" s="88"/>
      <c r="L210" s="88"/>
      <c r="M210" s="88"/>
      <c r="N210" s="88"/>
      <c r="O210" s="86"/>
      <c r="P210" s="86"/>
      <c r="Q210" s="86"/>
    </row>
    <row r="211" spans="2:17" ht="81.5" x14ac:dyDescent="0.35">
      <c r="B211" s="225" t="s">
        <v>4</v>
      </c>
      <c r="C211" s="197"/>
      <c r="D211" s="197" t="s">
        <v>441</v>
      </c>
      <c r="E211" s="202" t="s">
        <v>24</v>
      </c>
      <c r="F211" s="197" t="s">
        <v>1113</v>
      </c>
      <c r="G211" s="86" t="s">
        <v>33</v>
      </c>
      <c r="H211" s="75" t="s">
        <v>43</v>
      </c>
      <c r="I211" s="88"/>
      <c r="J211" s="86"/>
      <c r="K211" s="88"/>
      <c r="L211" s="88"/>
      <c r="M211" s="88"/>
      <c r="N211" s="88"/>
      <c r="O211" s="86"/>
      <c r="P211" s="86"/>
      <c r="Q211" s="86"/>
    </row>
    <row r="212" spans="2:17" ht="74" customHeight="1" x14ac:dyDescent="0.35">
      <c r="B212" s="225" t="s">
        <v>4</v>
      </c>
      <c r="C212" s="197"/>
      <c r="D212" s="197" t="s">
        <v>442</v>
      </c>
      <c r="E212" s="202" t="s">
        <v>24</v>
      </c>
      <c r="F212" s="197" t="s">
        <v>1114</v>
      </c>
      <c r="G212" s="86" t="s">
        <v>33</v>
      </c>
      <c r="H212" s="75" t="s">
        <v>43</v>
      </c>
      <c r="I212" s="88"/>
      <c r="J212" s="86"/>
      <c r="K212" s="88"/>
      <c r="L212" s="88"/>
      <c r="M212" s="88"/>
      <c r="N212" s="88"/>
      <c r="O212" s="86"/>
      <c r="P212" s="86"/>
      <c r="Q212" s="86"/>
    </row>
    <row r="213" spans="2:17" ht="111.5" x14ac:dyDescent="0.35">
      <c r="B213" s="225" t="s">
        <v>4</v>
      </c>
      <c r="C213" s="197"/>
      <c r="D213" s="197" t="s">
        <v>443</v>
      </c>
      <c r="E213" s="202" t="s">
        <v>24</v>
      </c>
      <c r="F213" s="209" t="s">
        <v>1115</v>
      </c>
      <c r="G213" s="86" t="s">
        <v>33</v>
      </c>
      <c r="H213" s="75" t="s">
        <v>43</v>
      </c>
      <c r="I213" s="82"/>
      <c r="J213" s="86"/>
      <c r="K213" s="88"/>
      <c r="L213" s="88"/>
      <c r="M213" s="88"/>
      <c r="N213" s="88"/>
      <c r="O213" s="86"/>
      <c r="P213" s="86"/>
      <c r="Q213" s="86"/>
    </row>
    <row r="214" spans="2:17" ht="82" x14ac:dyDescent="0.35">
      <c r="B214" s="225" t="s">
        <v>4</v>
      </c>
      <c r="C214" s="197"/>
      <c r="D214" s="197" t="s">
        <v>444</v>
      </c>
      <c r="E214" s="202" t="s">
        <v>24</v>
      </c>
      <c r="F214" s="197" t="s">
        <v>1116</v>
      </c>
      <c r="G214" s="86" t="s">
        <v>33</v>
      </c>
      <c r="H214" s="75" t="s">
        <v>43</v>
      </c>
      <c r="I214" s="82"/>
      <c r="J214" s="86"/>
      <c r="K214" s="88"/>
      <c r="L214" s="88"/>
      <c r="M214" s="88"/>
      <c r="N214" s="88"/>
      <c r="O214" s="86"/>
      <c r="P214" s="86"/>
      <c r="Q214" s="86"/>
    </row>
    <row r="215" spans="2:17" ht="91.5" x14ac:dyDescent="0.35">
      <c r="B215" s="225" t="s">
        <v>4</v>
      </c>
      <c r="C215" s="197"/>
      <c r="D215" s="197" t="s">
        <v>445</v>
      </c>
      <c r="E215" s="202" t="s">
        <v>24</v>
      </c>
      <c r="F215" s="197" t="s">
        <v>1117</v>
      </c>
      <c r="G215" s="86" t="s">
        <v>33</v>
      </c>
      <c r="H215" s="75" t="s">
        <v>43</v>
      </c>
      <c r="I215" s="82"/>
      <c r="J215" s="86"/>
      <c r="K215" s="88"/>
      <c r="L215" s="88"/>
      <c r="M215" s="88"/>
      <c r="N215" s="88"/>
      <c r="O215" s="86"/>
      <c r="P215" s="86"/>
      <c r="Q215" s="86"/>
    </row>
    <row r="216" spans="2:17" ht="31.5" x14ac:dyDescent="0.35">
      <c r="B216" s="225" t="s">
        <v>4</v>
      </c>
      <c r="C216" s="204" t="s">
        <v>1118</v>
      </c>
      <c r="D216" s="204" t="s">
        <v>446</v>
      </c>
      <c r="E216" s="203" t="s">
        <v>25</v>
      </c>
      <c r="F216" s="208" t="s">
        <v>1119</v>
      </c>
      <c r="G216" s="85" t="s">
        <v>33</v>
      </c>
      <c r="H216" s="74" t="s">
        <v>43</v>
      </c>
      <c r="I216" s="78"/>
      <c r="J216" s="85"/>
      <c r="K216" s="87"/>
      <c r="L216" s="87"/>
      <c r="M216" s="87"/>
      <c r="N216" s="87"/>
      <c r="O216" s="85"/>
      <c r="P216" s="85"/>
      <c r="Q216" s="85"/>
    </row>
    <row r="217" spans="2:17" ht="21" x14ac:dyDescent="0.35">
      <c r="B217" s="225" t="s">
        <v>4</v>
      </c>
      <c r="C217" s="204"/>
      <c r="D217" s="204" t="s">
        <v>448</v>
      </c>
      <c r="E217" s="203" t="s">
        <v>25</v>
      </c>
      <c r="F217" s="208" t="s">
        <v>1120</v>
      </c>
      <c r="G217" s="85" t="s">
        <v>33</v>
      </c>
      <c r="H217" s="74" t="s">
        <v>43</v>
      </c>
      <c r="I217" s="78"/>
      <c r="J217" s="85"/>
      <c r="K217" s="87"/>
      <c r="L217" s="87"/>
      <c r="M217" s="87"/>
      <c r="N217" s="87"/>
      <c r="O217" s="85"/>
      <c r="P217" s="85"/>
      <c r="Q217" s="85"/>
    </row>
    <row r="218" spans="2:17" ht="154.5" customHeight="1" x14ac:dyDescent="0.35">
      <c r="B218" s="225" t="s">
        <v>4</v>
      </c>
      <c r="C218" s="197" t="s">
        <v>1121</v>
      </c>
      <c r="D218" s="197" t="s">
        <v>447</v>
      </c>
      <c r="E218" s="202" t="s">
        <v>25</v>
      </c>
      <c r="F218" s="223" t="s">
        <v>1122</v>
      </c>
      <c r="G218" s="86" t="s">
        <v>33</v>
      </c>
      <c r="H218" s="75" t="s">
        <v>43</v>
      </c>
      <c r="I218" s="82"/>
      <c r="J218" s="86"/>
      <c r="K218" s="88"/>
      <c r="L218" s="88"/>
      <c r="M218" s="88"/>
      <c r="N218" s="88"/>
      <c r="O218" s="86"/>
      <c r="P218" s="86"/>
      <c r="Q218" s="86"/>
    </row>
    <row r="219" spans="2:17" ht="105.5" customHeight="1" x14ac:dyDescent="0.35">
      <c r="B219" s="225" t="s">
        <v>4</v>
      </c>
      <c r="C219" s="197"/>
      <c r="D219" s="197" t="s">
        <v>449</v>
      </c>
      <c r="E219" s="202" t="s">
        <v>25</v>
      </c>
      <c r="F219" s="223" t="s">
        <v>1123</v>
      </c>
      <c r="G219" s="86" t="s">
        <v>33</v>
      </c>
      <c r="H219" s="75" t="s">
        <v>43</v>
      </c>
      <c r="I219" s="88"/>
      <c r="J219" s="86"/>
      <c r="K219" s="88"/>
      <c r="L219" s="88"/>
      <c r="M219" s="88"/>
      <c r="N219" s="88"/>
      <c r="O219" s="86"/>
      <c r="P219" s="86"/>
      <c r="Q219" s="86"/>
    </row>
    <row r="220" spans="2:17" ht="101.5" x14ac:dyDescent="0.35">
      <c r="B220" s="225" t="s">
        <v>4</v>
      </c>
      <c r="C220" s="204" t="s">
        <v>1124</v>
      </c>
      <c r="D220" s="204" t="s">
        <v>450</v>
      </c>
      <c r="E220" s="203" t="s">
        <v>25</v>
      </c>
      <c r="F220" s="210" t="s">
        <v>1125</v>
      </c>
      <c r="G220" s="85" t="s">
        <v>33</v>
      </c>
      <c r="H220" s="74" t="s">
        <v>43</v>
      </c>
      <c r="I220" s="87"/>
      <c r="J220" s="85"/>
      <c r="K220" s="87"/>
      <c r="L220" s="87"/>
      <c r="M220" s="87"/>
      <c r="N220" s="87"/>
      <c r="O220" s="85"/>
      <c r="P220" s="85"/>
      <c r="Q220" s="85"/>
    </row>
    <row r="221" spans="2:17" ht="81.5" customHeight="1" x14ac:dyDescent="0.35">
      <c r="B221" s="226" t="s">
        <v>7</v>
      </c>
      <c r="C221" s="197" t="s">
        <v>451</v>
      </c>
      <c r="D221" s="197" t="s">
        <v>452</v>
      </c>
      <c r="E221" s="202" t="s">
        <v>25</v>
      </c>
      <c r="F221" s="224" t="s">
        <v>1126</v>
      </c>
      <c r="G221" s="86" t="s">
        <v>33</v>
      </c>
      <c r="H221" s="75" t="s">
        <v>43</v>
      </c>
      <c r="I221" s="88"/>
      <c r="J221" s="86"/>
      <c r="K221" s="88"/>
      <c r="L221" s="88"/>
      <c r="M221" s="88"/>
      <c r="N221" s="88"/>
      <c r="O221" s="86"/>
      <c r="P221" s="86"/>
      <c r="Q221" s="86"/>
    </row>
    <row r="222" spans="2:17" ht="82" customHeight="1" x14ac:dyDescent="0.35">
      <c r="B222" s="226" t="s">
        <v>7</v>
      </c>
      <c r="C222" s="204" t="s">
        <v>1127</v>
      </c>
      <c r="D222" s="204" t="s">
        <v>453</v>
      </c>
      <c r="E222" s="203" t="s">
        <v>25</v>
      </c>
      <c r="F222" s="208" t="s">
        <v>1128</v>
      </c>
      <c r="G222" s="85" t="s">
        <v>33</v>
      </c>
      <c r="H222" s="74" t="s">
        <v>43</v>
      </c>
      <c r="I222" s="87"/>
      <c r="J222" s="85"/>
      <c r="K222" s="87"/>
      <c r="L222" s="87"/>
      <c r="M222" s="87"/>
      <c r="N222" s="87"/>
      <c r="O222" s="85"/>
      <c r="P222" s="85"/>
      <c r="Q222" s="85"/>
    </row>
    <row r="223" spans="2:17" ht="21" x14ac:dyDescent="0.35">
      <c r="B223" s="226" t="s">
        <v>7</v>
      </c>
      <c r="C223" s="197" t="s">
        <v>1129</v>
      </c>
      <c r="D223" s="197" t="s">
        <v>454</v>
      </c>
      <c r="E223" s="202" t="s">
        <v>25</v>
      </c>
      <c r="F223" s="216" t="s">
        <v>1130</v>
      </c>
      <c r="G223" s="86" t="s">
        <v>33</v>
      </c>
      <c r="H223" s="75" t="s">
        <v>43</v>
      </c>
      <c r="I223" s="82"/>
      <c r="J223" s="86"/>
      <c r="K223" s="88"/>
      <c r="L223" s="88"/>
      <c r="M223" s="88"/>
      <c r="N223" s="88"/>
      <c r="O223" s="86"/>
      <c r="P223" s="86"/>
      <c r="Q223" s="86"/>
    </row>
    <row r="224" spans="2:17" x14ac:dyDescent="0.35">
      <c r="B224" s="226" t="s">
        <v>7</v>
      </c>
      <c r="C224" s="197"/>
      <c r="D224" s="197" t="s">
        <v>456</v>
      </c>
      <c r="E224" s="202" t="s">
        <v>25</v>
      </c>
      <c r="F224" s="216" t="s">
        <v>459</v>
      </c>
      <c r="G224" s="86" t="s">
        <v>33</v>
      </c>
      <c r="H224" s="75" t="s">
        <v>43</v>
      </c>
      <c r="I224" s="82"/>
      <c r="J224" s="86"/>
      <c r="K224" s="88"/>
      <c r="L224" s="88"/>
      <c r="M224" s="88"/>
      <c r="N224" s="88"/>
      <c r="O224" s="86"/>
      <c r="P224" s="86"/>
      <c r="Q224" s="86"/>
    </row>
    <row r="225" spans="2:17" ht="21" x14ac:dyDescent="0.35">
      <c r="B225" s="226" t="s">
        <v>7</v>
      </c>
      <c r="C225" s="197"/>
      <c r="D225" s="197" t="s">
        <v>749</v>
      </c>
      <c r="E225" s="202" t="s">
        <v>25</v>
      </c>
      <c r="F225" s="216" t="s">
        <v>460</v>
      </c>
      <c r="G225" s="86" t="s">
        <v>33</v>
      </c>
      <c r="H225" s="75" t="s">
        <v>43</v>
      </c>
      <c r="I225" s="82"/>
      <c r="J225" s="86"/>
      <c r="K225" s="88"/>
      <c r="L225" s="88"/>
      <c r="M225" s="88"/>
      <c r="N225" s="88"/>
      <c r="O225" s="86"/>
      <c r="P225" s="86"/>
      <c r="Q225" s="86"/>
    </row>
    <row r="226" spans="2:17" ht="31.5" x14ac:dyDescent="0.35">
      <c r="B226" s="226" t="s">
        <v>7</v>
      </c>
      <c r="C226" s="204" t="s">
        <v>1131</v>
      </c>
      <c r="D226" s="204" t="s">
        <v>455</v>
      </c>
      <c r="E226" s="203" t="s">
        <v>25</v>
      </c>
      <c r="F226" s="208" t="s">
        <v>1132</v>
      </c>
      <c r="G226" s="85" t="s">
        <v>33</v>
      </c>
      <c r="H226" s="74" t="s">
        <v>43</v>
      </c>
      <c r="I226" s="78"/>
      <c r="J226" s="85"/>
      <c r="K226" s="87"/>
      <c r="L226" s="87"/>
      <c r="M226" s="87"/>
      <c r="N226" s="87"/>
      <c r="O226" s="85"/>
      <c r="P226" s="85"/>
      <c r="Q226" s="85"/>
    </row>
    <row r="227" spans="2:17" ht="45.5" customHeight="1" x14ac:dyDescent="0.35">
      <c r="B227" s="226" t="s">
        <v>7</v>
      </c>
      <c r="C227" s="204"/>
      <c r="D227" s="204" t="s">
        <v>457</v>
      </c>
      <c r="E227" s="203" t="s">
        <v>25</v>
      </c>
      <c r="F227" s="208" t="s">
        <v>1134</v>
      </c>
      <c r="G227" s="85" t="s">
        <v>33</v>
      </c>
      <c r="H227" s="74" t="s">
        <v>43</v>
      </c>
      <c r="I227" s="78"/>
      <c r="J227" s="85"/>
      <c r="K227" s="87"/>
      <c r="L227" s="87"/>
      <c r="M227" s="87"/>
      <c r="N227" s="87"/>
      <c r="O227" s="85"/>
      <c r="P227" s="85"/>
      <c r="Q227" s="85"/>
    </row>
    <row r="228" spans="2:17" ht="42" x14ac:dyDescent="0.35">
      <c r="B228" s="226" t="s">
        <v>7</v>
      </c>
      <c r="C228" s="204"/>
      <c r="D228" s="204" t="s">
        <v>458</v>
      </c>
      <c r="E228" s="203" t="s">
        <v>25</v>
      </c>
      <c r="F228" s="208" t="s">
        <v>1133</v>
      </c>
      <c r="G228" s="85" t="s">
        <v>33</v>
      </c>
      <c r="H228" s="74" t="s">
        <v>43</v>
      </c>
      <c r="I228" s="78"/>
      <c r="J228" s="85"/>
      <c r="K228" s="87"/>
      <c r="L228" s="87"/>
      <c r="M228" s="87"/>
      <c r="N228" s="87"/>
      <c r="O228" s="85"/>
      <c r="P228" s="85"/>
      <c r="Q228" s="85"/>
    </row>
    <row r="229" spans="2:17" ht="31.5" x14ac:dyDescent="0.35">
      <c r="B229" s="226" t="s">
        <v>7</v>
      </c>
      <c r="C229" s="197" t="s">
        <v>461</v>
      </c>
      <c r="D229" s="197" t="s">
        <v>462</v>
      </c>
      <c r="E229" s="202" t="s">
        <v>25</v>
      </c>
      <c r="F229" s="216" t="s">
        <v>466</v>
      </c>
      <c r="G229" s="86" t="s">
        <v>33</v>
      </c>
      <c r="H229" s="75" t="s">
        <v>43</v>
      </c>
      <c r="I229" s="82"/>
      <c r="J229" s="86"/>
      <c r="K229" s="88"/>
      <c r="L229" s="88"/>
      <c r="M229" s="88"/>
      <c r="N229" s="88"/>
      <c r="O229" s="86"/>
      <c r="P229" s="86"/>
      <c r="Q229" s="86"/>
    </row>
    <row r="230" spans="2:17" ht="42" customHeight="1" x14ac:dyDescent="0.35">
      <c r="B230" s="226" t="s">
        <v>7</v>
      </c>
      <c r="C230" s="197"/>
      <c r="D230" s="197" t="s">
        <v>464</v>
      </c>
      <c r="E230" s="202" t="s">
        <v>25</v>
      </c>
      <c r="F230" s="216" t="s">
        <v>1135</v>
      </c>
      <c r="G230" s="86" t="s">
        <v>33</v>
      </c>
      <c r="H230" s="75" t="s">
        <v>43</v>
      </c>
      <c r="I230" s="82"/>
      <c r="J230" s="86"/>
      <c r="K230" s="88"/>
      <c r="L230" s="88"/>
      <c r="M230" s="88"/>
      <c r="N230" s="88"/>
      <c r="O230" s="86"/>
      <c r="P230" s="86"/>
      <c r="Q230" s="86"/>
    </row>
    <row r="231" spans="2:17" ht="42" x14ac:dyDescent="0.35">
      <c r="B231" s="226" t="s">
        <v>7</v>
      </c>
      <c r="C231" s="197"/>
      <c r="D231" s="197" t="s">
        <v>465</v>
      </c>
      <c r="E231" s="202" t="s">
        <v>25</v>
      </c>
      <c r="F231" s="216" t="s">
        <v>467</v>
      </c>
      <c r="G231" s="86" t="s">
        <v>33</v>
      </c>
      <c r="H231" s="75" t="s">
        <v>43</v>
      </c>
      <c r="I231" s="82"/>
      <c r="J231" s="86"/>
      <c r="K231" s="88"/>
      <c r="L231" s="88"/>
      <c r="M231" s="88"/>
      <c r="N231" s="88"/>
      <c r="O231" s="86"/>
      <c r="P231" s="86"/>
      <c r="Q231" s="86"/>
    </row>
    <row r="232" spans="2:17" ht="185.5" customHeight="1" x14ac:dyDescent="0.35">
      <c r="B232" s="226" t="s">
        <v>7</v>
      </c>
      <c r="C232" s="204" t="s">
        <v>1136</v>
      </c>
      <c r="D232" s="204" t="s">
        <v>463</v>
      </c>
      <c r="E232" s="203" t="s">
        <v>24</v>
      </c>
      <c r="F232" s="222" t="s">
        <v>1137</v>
      </c>
      <c r="G232" s="85" t="s">
        <v>33</v>
      </c>
      <c r="H232" s="74" t="s">
        <v>43</v>
      </c>
      <c r="I232" s="87"/>
      <c r="J232" s="85"/>
      <c r="K232" s="87"/>
      <c r="L232" s="87"/>
      <c r="M232" s="87"/>
      <c r="N232" s="87"/>
      <c r="O232" s="85"/>
      <c r="P232" s="85"/>
      <c r="Q232" s="85"/>
    </row>
    <row r="233" spans="2:17" ht="31.5" x14ac:dyDescent="0.35">
      <c r="B233" s="226" t="s">
        <v>7</v>
      </c>
      <c r="C233" s="197" t="s">
        <v>1138</v>
      </c>
      <c r="D233" s="197" t="s">
        <v>468</v>
      </c>
      <c r="E233" s="202" t="s">
        <v>24</v>
      </c>
      <c r="F233" s="216" t="s">
        <v>750</v>
      </c>
      <c r="G233" s="86" t="s">
        <v>33</v>
      </c>
      <c r="H233" s="74" t="s">
        <v>43</v>
      </c>
      <c r="I233" s="88"/>
      <c r="J233" s="86"/>
      <c r="K233" s="88"/>
      <c r="L233" s="88"/>
      <c r="M233" s="88"/>
      <c r="N233" s="88"/>
      <c r="O233" s="86"/>
      <c r="P233" s="86"/>
      <c r="Q233" s="86"/>
    </row>
    <row r="234" spans="2:17" ht="71.5" x14ac:dyDescent="0.35">
      <c r="B234" s="226" t="s">
        <v>7</v>
      </c>
      <c r="C234" s="197"/>
      <c r="D234" s="197" t="s">
        <v>751</v>
      </c>
      <c r="E234" s="202" t="s">
        <v>24</v>
      </c>
      <c r="F234" s="216" t="s">
        <v>1139</v>
      </c>
      <c r="G234" s="86" t="s">
        <v>33</v>
      </c>
      <c r="H234" s="74" t="s">
        <v>43</v>
      </c>
      <c r="I234" s="88"/>
      <c r="J234" s="86"/>
      <c r="K234" s="88"/>
      <c r="L234" s="88"/>
      <c r="M234" s="88"/>
      <c r="N234" s="88"/>
      <c r="O234" s="86"/>
      <c r="P234" s="86"/>
      <c r="Q234" s="86"/>
    </row>
    <row r="235" spans="2:17" ht="21" x14ac:dyDescent="0.35">
      <c r="B235" s="226" t="s">
        <v>7</v>
      </c>
      <c r="C235" s="204" t="s">
        <v>1140</v>
      </c>
      <c r="D235" s="204" t="s">
        <v>469</v>
      </c>
      <c r="E235" s="203" t="s">
        <v>24</v>
      </c>
      <c r="F235" s="208" t="s">
        <v>1141</v>
      </c>
      <c r="G235" s="85" t="s">
        <v>33</v>
      </c>
      <c r="H235" s="74" t="s">
        <v>43</v>
      </c>
      <c r="I235" s="87"/>
      <c r="J235" s="85"/>
      <c r="K235" s="87"/>
      <c r="L235" s="87"/>
      <c r="M235" s="87"/>
      <c r="N235" s="87"/>
      <c r="O235" s="85"/>
      <c r="P235" s="85"/>
      <c r="Q235" s="85"/>
    </row>
    <row r="236" spans="2:17" ht="32.5" customHeight="1" x14ac:dyDescent="0.35">
      <c r="B236" s="226" t="s">
        <v>7</v>
      </c>
      <c r="C236" s="204"/>
      <c r="D236" s="204" t="s">
        <v>752</v>
      </c>
      <c r="E236" s="203" t="s">
        <v>24</v>
      </c>
      <c r="F236" s="208" t="s">
        <v>1142</v>
      </c>
      <c r="G236" s="85" t="s">
        <v>33</v>
      </c>
      <c r="H236" s="74" t="s">
        <v>43</v>
      </c>
      <c r="I236" s="87"/>
      <c r="J236" s="85"/>
      <c r="K236" s="87"/>
      <c r="L236" s="87"/>
      <c r="M236" s="87"/>
      <c r="N236" s="87"/>
      <c r="O236" s="85"/>
      <c r="P236" s="85"/>
      <c r="Q236" s="85"/>
    </row>
    <row r="237" spans="2:17" ht="97" customHeight="1" x14ac:dyDescent="0.35">
      <c r="B237" s="226" t="s">
        <v>7</v>
      </c>
      <c r="C237" s="197" t="s">
        <v>1143</v>
      </c>
      <c r="D237" s="197" t="s">
        <v>470</v>
      </c>
      <c r="E237" s="202" t="s">
        <v>24</v>
      </c>
      <c r="F237" s="218" t="s">
        <v>1144</v>
      </c>
      <c r="G237" s="86" t="s">
        <v>33</v>
      </c>
      <c r="H237" s="75" t="s">
        <v>43</v>
      </c>
      <c r="I237" s="88"/>
      <c r="J237" s="86"/>
      <c r="K237" s="88"/>
      <c r="L237" s="88"/>
      <c r="M237" s="88"/>
      <c r="N237" s="88"/>
      <c r="O237" s="86"/>
      <c r="P237" s="86"/>
      <c r="Q237" s="86"/>
    </row>
    <row r="238" spans="2:17" ht="122" x14ac:dyDescent="0.35">
      <c r="B238" s="226" t="s">
        <v>7</v>
      </c>
      <c r="C238" s="204" t="s">
        <v>1145</v>
      </c>
      <c r="D238" s="204" t="s">
        <v>471</v>
      </c>
      <c r="E238" s="203" t="s">
        <v>24</v>
      </c>
      <c r="F238" s="222" t="s">
        <v>1146</v>
      </c>
      <c r="G238" s="85" t="s">
        <v>33</v>
      </c>
      <c r="H238" s="74" t="s">
        <v>43</v>
      </c>
      <c r="I238" s="87"/>
      <c r="J238" s="85"/>
      <c r="K238" s="87"/>
      <c r="L238" s="87"/>
      <c r="M238" s="87"/>
      <c r="N238" s="87"/>
      <c r="O238" s="85"/>
      <c r="P238" s="85"/>
      <c r="Q238" s="85"/>
    </row>
    <row r="239" spans="2:17" ht="58.5" customHeight="1" x14ac:dyDescent="0.35">
      <c r="B239" s="226" t="s">
        <v>7</v>
      </c>
      <c r="C239" s="197" t="s">
        <v>1147</v>
      </c>
      <c r="D239" s="197" t="s">
        <v>472</v>
      </c>
      <c r="E239" s="202" t="s">
        <v>24</v>
      </c>
      <c r="F239" s="216" t="s">
        <v>1148</v>
      </c>
      <c r="G239" s="86" t="s">
        <v>33</v>
      </c>
      <c r="H239" s="75" t="s">
        <v>43</v>
      </c>
      <c r="I239" s="88"/>
      <c r="J239" s="86"/>
      <c r="K239" s="88"/>
      <c r="L239" s="88"/>
      <c r="M239" s="88"/>
      <c r="N239" s="88"/>
      <c r="O239" s="86"/>
      <c r="P239" s="86"/>
      <c r="Q239" s="86"/>
    </row>
    <row r="240" spans="2:17" ht="157" customHeight="1" x14ac:dyDescent="0.35">
      <c r="B240" s="225" t="s">
        <v>473</v>
      </c>
      <c r="C240" s="204" t="s">
        <v>1149</v>
      </c>
      <c r="D240" s="204" t="s">
        <v>474</v>
      </c>
      <c r="E240" s="203" t="s">
        <v>24</v>
      </c>
      <c r="F240" s="204" t="s">
        <v>1150</v>
      </c>
      <c r="G240" s="85" t="s">
        <v>33</v>
      </c>
      <c r="H240" s="74" t="s">
        <v>43</v>
      </c>
      <c r="I240" s="87"/>
      <c r="J240" s="85"/>
      <c r="K240" s="87"/>
      <c r="L240" s="87"/>
      <c r="M240" s="87"/>
      <c r="N240" s="87"/>
      <c r="O240" s="85"/>
      <c r="P240" s="85"/>
      <c r="Q240" s="85"/>
    </row>
    <row r="241" spans="2:17" ht="31.5" x14ac:dyDescent="0.35">
      <c r="B241" s="225" t="s">
        <v>473</v>
      </c>
      <c r="C241" s="204"/>
      <c r="D241" s="204" t="s">
        <v>475</v>
      </c>
      <c r="E241" s="203" t="s">
        <v>24</v>
      </c>
      <c r="F241" s="210" t="s">
        <v>1151</v>
      </c>
      <c r="G241" s="85" t="s">
        <v>33</v>
      </c>
      <c r="H241" s="74" t="s">
        <v>43</v>
      </c>
      <c r="I241" s="87"/>
      <c r="J241" s="85"/>
      <c r="K241" s="87"/>
      <c r="L241" s="87"/>
      <c r="M241" s="87"/>
      <c r="N241" s="87"/>
      <c r="O241" s="85"/>
      <c r="P241" s="85"/>
      <c r="Q241" s="85"/>
    </row>
    <row r="242" spans="2:17" ht="123" customHeight="1" x14ac:dyDescent="0.35">
      <c r="B242" s="225" t="s">
        <v>473</v>
      </c>
      <c r="C242" s="204"/>
      <c r="D242" s="204" t="s">
        <v>476</v>
      </c>
      <c r="E242" s="203" t="s">
        <v>24</v>
      </c>
      <c r="F242" s="204" t="s">
        <v>1152</v>
      </c>
      <c r="G242" s="85" t="s">
        <v>33</v>
      </c>
      <c r="H242" s="74" t="s">
        <v>43</v>
      </c>
      <c r="I242" s="87"/>
      <c r="J242" s="85"/>
      <c r="K242" s="87"/>
      <c r="L242" s="87"/>
      <c r="M242" s="87"/>
      <c r="N242" s="87"/>
      <c r="O242" s="85"/>
      <c r="P242" s="85"/>
      <c r="Q242" s="85"/>
    </row>
    <row r="243" spans="2:17" ht="71.5" x14ac:dyDescent="0.35">
      <c r="B243" s="225" t="s">
        <v>473</v>
      </c>
      <c r="C243" s="204"/>
      <c r="D243" s="204" t="s">
        <v>477</v>
      </c>
      <c r="E243" s="203" t="s">
        <v>24</v>
      </c>
      <c r="F243" s="204" t="s">
        <v>1153</v>
      </c>
      <c r="G243" s="85" t="s">
        <v>33</v>
      </c>
      <c r="H243" s="74" t="s">
        <v>43</v>
      </c>
      <c r="I243" s="87"/>
      <c r="J243" s="85"/>
      <c r="K243" s="87"/>
      <c r="L243" s="87"/>
      <c r="M243" s="87"/>
      <c r="N243" s="87"/>
      <c r="O243" s="85"/>
      <c r="P243" s="85"/>
      <c r="Q243" s="85"/>
    </row>
    <row r="244" spans="2:17" ht="50.5" customHeight="1" x14ac:dyDescent="0.35">
      <c r="B244" s="225" t="s">
        <v>473</v>
      </c>
      <c r="C244" s="197" t="s">
        <v>1154</v>
      </c>
      <c r="D244" s="197" t="s">
        <v>478</v>
      </c>
      <c r="E244" s="202" t="s">
        <v>24</v>
      </c>
      <c r="F244" s="216" t="s">
        <v>1154</v>
      </c>
      <c r="G244" s="86" t="s">
        <v>33</v>
      </c>
      <c r="H244" s="74" t="s">
        <v>43</v>
      </c>
      <c r="I244" s="88"/>
      <c r="J244" s="86"/>
      <c r="K244" s="88"/>
      <c r="L244" s="88"/>
      <c r="M244" s="88"/>
      <c r="N244" s="88"/>
      <c r="O244" s="86"/>
      <c r="P244" s="86"/>
      <c r="Q244" s="86"/>
    </row>
    <row r="245" spans="2:17" ht="91.5" x14ac:dyDescent="0.35">
      <c r="B245" s="225" t="s">
        <v>473</v>
      </c>
      <c r="C245" s="204" t="s">
        <v>1155</v>
      </c>
      <c r="D245" s="204" t="s">
        <v>479</v>
      </c>
      <c r="E245" s="203" t="s">
        <v>24</v>
      </c>
      <c r="F245" s="222" t="s">
        <v>1156</v>
      </c>
      <c r="G245" s="85" t="s">
        <v>33</v>
      </c>
      <c r="H245" s="74" t="s">
        <v>43</v>
      </c>
      <c r="I245" s="87"/>
      <c r="J245" s="85"/>
      <c r="K245" s="87"/>
      <c r="L245" s="87"/>
      <c r="M245" s="87"/>
      <c r="N245" s="87"/>
      <c r="O245" s="85"/>
      <c r="P245" s="85"/>
      <c r="Q245" s="85"/>
    </row>
    <row r="246" spans="2:17" ht="74" customHeight="1" x14ac:dyDescent="0.35">
      <c r="B246" s="225" t="s">
        <v>473</v>
      </c>
      <c r="C246" s="197" t="s">
        <v>483</v>
      </c>
      <c r="D246" s="197" t="s">
        <v>480</v>
      </c>
      <c r="E246" s="202" t="s">
        <v>24</v>
      </c>
      <c r="F246" s="223" t="s">
        <v>1157</v>
      </c>
      <c r="G246" s="86" t="s">
        <v>33</v>
      </c>
      <c r="H246" s="75" t="s">
        <v>43</v>
      </c>
      <c r="I246" s="88"/>
      <c r="J246" s="86"/>
      <c r="K246" s="88"/>
      <c r="L246" s="88"/>
      <c r="M246" s="88"/>
      <c r="N246" s="88"/>
      <c r="O246" s="86"/>
      <c r="P246" s="86"/>
      <c r="Q246" s="86"/>
    </row>
    <row r="247" spans="2:17" ht="51.5" x14ac:dyDescent="0.35">
      <c r="B247" s="225" t="s">
        <v>473</v>
      </c>
      <c r="C247" s="204" t="s">
        <v>1158</v>
      </c>
      <c r="D247" s="204" t="s">
        <v>481</v>
      </c>
      <c r="E247" s="203" t="s">
        <v>24</v>
      </c>
      <c r="F247" s="222" t="s">
        <v>1159</v>
      </c>
      <c r="G247" s="85" t="s">
        <v>33</v>
      </c>
      <c r="H247" s="74" t="s">
        <v>43</v>
      </c>
      <c r="I247" s="87"/>
      <c r="J247" s="85"/>
      <c r="K247" s="87"/>
      <c r="L247" s="87"/>
      <c r="M247" s="87"/>
      <c r="N247" s="87"/>
      <c r="O247" s="85"/>
      <c r="P247" s="85"/>
      <c r="Q247" s="85"/>
    </row>
    <row r="248" spans="2:17" ht="61.5" x14ac:dyDescent="0.35">
      <c r="B248" s="225" t="s">
        <v>473</v>
      </c>
      <c r="C248" s="197" t="s">
        <v>1160</v>
      </c>
      <c r="D248" s="197" t="s">
        <v>482</v>
      </c>
      <c r="E248" s="202" t="s">
        <v>24</v>
      </c>
      <c r="F248" s="223" t="s">
        <v>1161</v>
      </c>
      <c r="G248" s="86" t="s">
        <v>33</v>
      </c>
      <c r="H248" s="75" t="s">
        <v>43</v>
      </c>
      <c r="I248" s="88"/>
      <c r="J248" s="86"/>
      <c r="K248" s="88"/>
      <c r="L248" s="88"/>
      <c r="M248" s="88"/>
      <c r="N248" s="88"/>
      <c r="O248" s="86"/>
      <c r="P248" s="86"/>
      <c r="Q248" s="86"/>
    </row>
    <row r="249" spans="2:17" ht="94.5" customHeight="1" x14ac:dyDescent="0.35">
      <c r="B249" s="225" t="s">
        <v>473</v>
      </c>
      <c r="C249" s="204" t="s">
        <v>1162</v>
      </c>
      <c r="D249" s="204" t="s">
        <v>484</v>
      </c>
      <c r="E249" s="203" t="s">
        <v>24</v>
      </c>
      <c r="F249" s="210" t="s">
        <v>1163</v>
      </c>
      <c r="G249" s="85" t="s">
        <v>33</v>
      </c>
      <c r="H249" s="74" t="s">
        <v>43</v>
      </c>
      <c r="I249" s="87"/>
      <c r="J249" s="85"/>
      <c r="K249" s="87"/>
      <c r="L249" s="87"/>
      <c r="M249" s="87"/>
      <c r="N249" s="87"/>
      <c r="O249" s="85"/>
      <c r="P249" s="85"/>
      <c r="Q249" s="85"/>
    </row>
    <row r="250" spans="2:17" ht="86.5" customHeight="1" x14ac:dyDescent="0.35">
      <c r="B250" s="225" t="s">
        <v>473</v>
      </c>
      <c r="C250" s="204"/>
      <c r="D250" s="204" t="s">
        <v>753</v>
      </c>
      <c r="E250" s="203" t="s">
        <v>24</v>
      </c>
      <c r="F250" s="222" t="s">
        <v>1164</v>
      </c>
      <c r="G250" s="85" t="s">
        <v>33</v>
      </c>
      <c r="H250" s="74" t="s">
        <v>43</v>
      </c>
      <c r="I250" s="78"/>
      <c r="J250" s="85"/>
      <c r="K250" s="87"/>
      <c r="L250" s="87"/>
      <c r="M250" s="87"/>
      <c r="N250" s="87"/>
      <c r="O250" s="85"/>
      <c r="P250" s="85"/>
      <c r="Q250" s="85"/>
    </row>
    <row r="251" spans="2:17" ht="82.5" customHeight="1" x14ac:dyDescent="0.35">
      <c r="B251" s="225" t="s">
        <v>473</v>
      </c>
      <c r="C251" s="204"/>
      <c r="D251" s="204" t="s">
        <v>754</v>
      </c>
      <c r="E251" s="203" t="s">
        <v>24</v>
      </c>
      <c r="F251" s="222" t="s">
        <v>1165</v>
      </c>
      <c r="G251" s="85" t="s">
        <v>33</v>
      </c>
      <c r="H251" s="74" t="s">
        <v>43</v>
      </c>
      <c r="I251" s="78"/>
      <c r="J251" s="85"/>
      <c r="K251" s="87"/>
      <c r="L251" s="87"/>
      <c r="M251" s="87"/>
      <c r="N251" s="87"/>
      <c r="O251" s="85"/>
      <c r="P251" s="85"/>
      <c r="Q251" s="85"/>
    </row>
    <row r="252" spans="2:17" ht="101.5" x14ac:dyDescent="0.35">
      <c r="B252" s="225" t="s">
        <v>473</v>
      </c>
      <c r="C252" s="197" t="s">
        <v>1166</v>
      </c>
      <c r="D252" s="197" t="s">
        <v>485</v>
      </c>
      <c r="E252" s="202" t="s">
        <v>24</v>
      </c>
      <c r="F252" s="223" t="s">
        <v>1167</v>
      </c>
      <c r="G252" s="86" t="s">
        <v>33</v>
      </c>
      <c r="H252" s="75" t="s">
        <v>43</v>
      </c>
      <c r="I252" s="88"/>
      <c r="J252" s="86"/>
      <c r="K252" s="88"/>
      <c r="L252" s="88"/>
      <c r="M252" s="88"/>
      <c r="N252" s="88"/>
      <c r="O252" s="86"/>
      <c r="P252" s="86"/>
      <c r="Q252" s="86"/>
    </row>
    <row r="253" spans="2:17" ht="101.5" x14ac:dyDescent="0.35">
      <c r="B253" s="225" t="s">
        <v>473</v>
      </c>
      <c r="C253" s="197"/>
      <c r="D253" s="197" t="s">
        <v>755</v>
      </c>
      <c r="E253" s="202" t="s">
        <v>24</v>
      </c>
      <c r="F253" s="223" t="s">
        <v>1168</v>
      </c>
      <c r="G253" s="86" t="s">
        <v>33</v>
      </c>
      <c r="H253" s="75" t="s">
        <v>43</v>
      </c>
      <c r="I253" s="88"/>
      <c r="J253" s="86"/>
      <c r="K253" s="88"/>
      <c r="L253" s="88"/>
      <c r="M253" s="88"/>
      <c r="N253" s="88"/>
      <c r="O253" s="86"/>
      <c r="P253" s="86"/>
      <c r="Q253" s="86"/>
    </row>
    <row r="254" spans="2:17" ht="71" x14ac:dyDescent="0.35">
      <c r="B254" s="225" t="s">
        <v>473</v>
      </c>
      <c r="C254" s="204" t="s">
        <v>1182</v>
      </c>
      <c r="D254" s="204" t="s">
        <v>486</v>
      </c>
      <c r="E254" s="203" t="s">
        <v>25</v>
      </c>
      <c r="F254" s="208" t="s">
        <v>1169</v>
      </c>
      <c r="G254" s="85" t="s">
        <v>33</v>
      </c>
      <c r="H254" s="74" t="s">
        <v>43</v>
      </c>
      <c r="I254" s="87"/>
      <c r="J254" s="85"/>
      <c r="K254" s="87"/>
      <c r="L254" s="87"/>
      <c r="M254" s="87"/>
      <c r="N254" s="87"/>
      <c r="O254" s="85"/>
      <c r="P254" s="85"/>
      <c r="Q254" s="85"/>
    </row>
    <row r="255" spans="2:17" ht="52.5" x14ac:dyDescent="0.35">
      <c r="B255" s="225" t="s">
        <v>473</v>
      </c>
      <c r="C255" s="197" t="s">
        <v>1170</v>
      </c>
      <c r="D255" s="197" t="s">
        <v>487</v>
      </c>
      <c r="E255" s="202" t="s">
        <v>24</v>
      </c>
      <c r="F255" s="216" t="s">
        <v>1171</v>
      </c>
      <c r="G255" s="86" t="s">
        <v>33</v>
      </c>
      <c r="H255" s="75" t="s">
        <v>43</v>
      </c>
      <c r="I255" s="88"/>
      <c r="J255" s="86"/>
      <c r="K255" s="88"/>
      <c r="L255" s="88"/>
      <c r="M255" s="88"/>
      <c r="N255" s="88"/>
      <c r="O255" s="86"/>
      <c r="P255" s="86"/>
      <c r="Q255" s="86"/>
    </row>
    <row r="256" spans="2:17" ht="68.5" customHeight="1" x14ac:dyDescent="0.35">
      <c r="B256" s="225" t="s">
        <v>473</v>
      </c>
      <c r="C256" s="197"/>
      <c r="D256" s="197" t="s">
        <v>756</v>
      </c>
      <c r="E256" s="202" t="s">
        <v>24</v>
      </c>
      <c r="F256" s="216" t="s">
        <v>1172</v>
      </c>
      <c r="G256" s="86" t="s">
        <v>33</v>
      </c>
      <c r="H256" s="75" t="s">
        <v>43</v>
      </c>
      <c r="I256" s="88"/>
      <c r="J256" s="86"/>
      <c r="K256" s="88"/>
      <c r="L256" s="88"/>
      <c r="M256" s="88"/>
      <c r="N256" s="88"/>
      <c r="O256" s="86"/>
      <c r="P256" s="86"/>
      <c r="Q256" s="86"/>
    </row>
    <row r="257" spans="2:17" ht="122" x14ac:dyDescent="0.35">
      <c r="B257" s="225" t="s">
        <v>473</v>
      </c>
      <c r="C257" s="204" t="s">
        <v>1173</v>
      </c>
      <c r="D257" s="204" t="s">
        <v>488</v>
      </c>
      <c r="E257" s="203" t="s">
        <v>24</v>
      </c>
      <c r="F257" s="208" t="s">
        <v>1174</v>
      </c>
      <c r="G257" s="85" t="s">
        <v>33</v>
      </c>
      <c r="H257" s="74" t="s">
        <v>43</v>
      </c>
      <c r="I257" s="87"/>
      <c r="J257" s="85"/>
      <c r="K257" s="87"/>
      <c r="L257" s="87"/>
      <c r="M257" s="87"/>
      <c r="N257" s="87"/>
      <c r="O257" s="85"/>
      <c r="P257" s="85"/>
      <c r="Q257" s="85"/>
    </row>
    <row r="258" spans="2:17" ht="42" x14ac:dyDescent="0.35">
      <c r="B258" s="225" t="s">
        <v>473</v>
      </c>
      <c r="C258" s="197" t="s">
        <v>1175</v>
      </c>
      <c r="D258" s="197" t="s">
        <v>489</v>
      </c>
      <c r="E258" s="202" t="s">
        <v>24</v>
      </c>
      <c r="F258" s="216" t="s">
        <v>1176</v>
      </c>
      <c r="G258" s="86" t="s">
        <v>33</v>
      </c>
      <c r="H258" s="75" t="s">
        <v>43</v>
      </c>
      <c r="I258" s="88"/>
      <c r="J258" s="86"/>
      <c r="K258" s="88"/>
      <c r="L258" s="88"/>
      <c r="M258" s="88"/>
      <c r="N258" s="88"/>
      <c r="O258" s="86"/>
      <c r="P258" s="86"/>
      <c r="Q258" s="86"/>
    </row>
    <row r="259" spans="2:17" ht="52.5" x14ac:dyDescent="0.35">
      <c r="B259" s="225" t="s">
        <v>473</v>
      </c>
      <c r="C259" s="197"/>
      <c r="D259" s="197" t="s">
        <v>757</v>
      </c>
      <c r="E259" s="202" t="s">
        <v>24</v>
      </c>
      <c r="F259" s="216" t="s">
        <v>1177</v>
      </c>
      <c r="G259" s="86" t="s">
        <v>33</v>
      </c>
      <c r="H259" s="75" t="s">
        <v>43</v>
      </c>
      <c r="I259" s="88"/>
      <c r="J259" s="86"/>
      <c r="K259" s="88"/>
      <c r="L259" s="88"/>
      <c r="M259" s="88"/>
      <c r="N259" s="88"/>
      <c r="O259" s="86"/>
      <c r="P259" s="86"/>
      <c r="Q259" s="86"/>
    </row>
    <row r="260" spans="2:17" ht="42" x14ac:dyDescent="0.35">
      <c r="B260" s="225" t="s">
        <v>473</v>
      </c>
      <c r="C260" s="197"/>
      <c r="D260" s="197" t="s">
        <v>758</v>
      </c>
      <c r="E260" s="202" t="s">
        <v>24</v>
      </c>
      <c r="F260" s="216" t="s">
        <v>1178</v>
      </c>
      <c r="G260" s="86" t="s">
        <v>33</v>
      </c>
      <c r="H260" s="75" t="s">
        <v>43</v>
      </c>
      <c r="I260" s="88"/>
      <c r="J260" s="86"/>
      <c r="K260" s="88"/>
      <c r="L260" s="88"/>
      <c r="M260" s="88"/>
      <c r="N260" s="88"/>
      <c r="O260" s="86"/>
      <c r="P260" s="86"/>
      <c r="Q260" s="86"/>
    </row>
    <row r="261" spans="2:17" x14ac:dyDescent="0.35">
      <c r="H261" s="16">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6:6" x14ac:dyDescent="0.35">
      <c r="F273" s="73"/>
    </row>
    <row r="274" spans="6:6" x14ac:dyDescent="0.35">
      <c r="F274" s="73"/>
    </row>
    <row r="275" spans="6:6" x14ac:dyDescent="0.35">
      <c r="F275" s="73"/>
    </row>
    <row r="276" spans="6:6" x14ac:dyDescent="0.35">
      <c r="F276" s="73"/>
    </row>
    <row r="277" spans="6:6" x14ac:dyDescent="0.35">
      <c r="F277" s="73"/>
    </row>
    <row r="278" spans="6:6" x14ac:dyDescent="0.35">
      <c r="F278" s="73"/>
    </row>
    <row r="279" spans="6:6" x14ac:dyDescent="0.35">
      <c r="F279" s="73"/>
    </row>
    <row r="280" spans="6:6" x14ac:dyDescent="0.35">
      <c r="F280" s="73"/>
    </row>
    <row r="281" spans="6:6" x14ac:dyDescent="0.35">
      <c r="F281" s="73"/>
    </row>
    <row r="282" spans="6:6" x14ac:dyDescent="0.35">
      <c r="F282" s="73"/>
    </row>
    <row r="283" spans="6:6" x14ac:dyDescent="0.35">
      <c r="F283" s="73"/>
    </row>
    <row r="284" spans="6:6" x14ac:dyDescent="0.35">
      <c r="F284" s="73"/>
    </row>
    <row r="285" spans="6:6" x14ac:dyDescent="0.35">
      <c r="F285" s="73"/>
    </row>
    <row r="286" spans="6:6" x14ac:dyDescent="0.35">
      <c r="F286" s="73"/>
    </row>
    <row r="287" spans="6:6" x14ac:dyDescent="0.35">
      <c r="F287" s="73"/>
    </row>
    <row r="288" spans="6:6" x14ac:dyDescent="0.35">
      <c r="F288" s="73"/>
    </row>
    <row r="289" spans="6:6" x14ac:dyDescent="0.35">
      <c r="F289" s="73"/>
    </row>
    <row r="290" spans="6:6" x14ac:dyDescent="0.35">
      <c r="F290" s="73"/>
    </row>
    <row r="291" spans="6:6" x14ac:dyDescent="0.35">
      <c r="F291" s="73"/>
    </row>
    <row r="292" spans="6:6" x14ac:dyDescent="0.35">
      <c r="F292" s="73"/>
    </row>
    <row r="293" spans="6:6" x14ac:dyDescent="0.35">
      <c r="F293" s="73"/>
    </row>
    <row r="294" spans="6:6" x14ac:dyDescent="0.35">
      <c r="F294" s="73"/>
    </row>
    <row r="295" spans="6:6" x14ac:dyDescent="0.35">
      <c r="F295" s="73"/>
    </row>
    <row r="296" spans="6:6" x14ac:dyDescent="0.35">
      <c r="F296" s="73"/>
    </row>
    <row r="297" spans="6:6" x14ac:dyDescent="0.35">
      <c r="F297" s="73"/>
    </row>
    <row r="298" spans="6:6" x14ac:dyDescent="0.35">
      <c r="F298" s="73"/>
    </row>
    <row r="299" spans="6:6" x14ac:dyDescent="0.35">
      <c r="F299" s="73"/>
    </row>
    <row r="300" spans="6:6" x14ac:dyDescent="0.35">
      <c r="F300" s="73"/>
    </row>
    <row r="301" spans="6:6" x14ac:dyDescent="0.35">
      <c r="F301" s="73"/>
    </row>
    <row r="302" spans="6:6" x14ac:dyDescent="0.35">
      <c r="F302" s="73"/>
    </row>
    <row r="303" spans="6:6" x14ac:dyDescent="0.35">
      <c r="F303" s="73"/>
    </row>
    <row r="304" spans="6:6" x14ac:dyDescent="0.35">
      <c r="F304" s="73"/>
    </row>
    <row r="305" spans="6:6" x14ac:dyDescent="0.35">
      <c r="F305" s="73"/>
    </row>
    <row r="306" spans="6:6" x14ac:dyDescent="0.35">
      <c r="F306" s="73"/>
    </row>
    <row r="307" spans="6:6" x14ac:dyDescent="0.35">
      <c r="F307" s="73"/>
    </row>
    <row r="308" spans="6:6" x14ac:dyDescent="0.35">
      <c r="F308" s="73"/>
    </row>
    <row r="309" spans="6:6" x14ac:dyDescent="0.35">
      <c r="F309" s="73"/>
    </row>
    <row r="310" spans="6:6" x14ac:dyDescent="0.35">
      <c r="F310" s="73"/>
    </row>
    <row r="311" spans="6:6" x14ac:dyDescent="0.35">
      <c r="F311" s="73"/>
    </row>
    <row r="312" spans="6:6" x14ac:dyDescent="0.35">
      <c r="F312" s="73"/>
    </row>
    <row r="313" spans="6:6" x14ac:dyDescent="0.35">
      <c r="F313" s="73"/>
    </row>
    <row r="314" spans="6:6" x14ac:dyDescent="0.35">
      <c r="F314" s="73"/>
    </row>
    <row r="315" spans="6:6" x14ac:dyDescent="0.35">
      <c r="F315" s="73"/>
    </row>
    <row r="316" spans="6:6" x14ac:dyDescent="0.35">
      <c r="F316" s="73"/>
    </row>
    <row r="317" spans="6:6" x14ac:dyDescent="0.35">
      <c r="F317" s="73"/>
    </row>
    <row r="318" spans="6:6" x14ac:dyDescent="0.35">
      <c r="F318" s="73"/>
    </row>
    <row r="319" spans="6:6" x14ac:dyDescent="0.35">
      <c r="F319" s="73"/>
    </row>
    <row r="320" spans="6:6" x14ac:dyDescent="0.35">
      <c r="F320" s="73"/>
    </row>
    <row r="321" spans="6:6" x14ac:dyDescent="0.35">
      <c r="F321" s="73"/>
    </row>
    <row r="322" spans="6:6" x14ac:dyDescent="0.35">
      <c r="F322" s="73"/>
    </row>
    <row r="323" spans="6:6" x14ac:dyDescent="0.35">
      <c r="F323" s="73"/>
    </row>
    <row r="324" spans="6:6" x14ac:dyDescent="0.35">
      <c r="F324" s="73"/>
    </row>
    <row r="325" spans="6:6" x14ac:dyDescent="0.35">
      <c r="F325" s="73"/>
    </row>
    <row r="326" spans="6:6" x14ac:dyDescent="0.35">
      <c r="F326" s="73"/>
    </row>
    <row r="327" spans="6:6" x14ac:dyDescent="0.35">
      <c r="F327" s="73"/>
    </row>
    <row r="328" spans="6:6" x14ac:dyDescent="0.35">
      <c r="F328" s="73"/>
    </row>
    <row r="329" spans="6:6" x14ac:dyDescent="0.35">
      <c r="F329" s="73"/>
    </row>
    <row r="330" spans="6:6" x14ac:dyDescent="0.35">
      <c r="F330" s="73"/>
    </row>
    <row r="331" spans="6:6" x14ac:dyDescent="0.35">
      <c r="F331" s="73"/>
    </row>
    <row r="332" spans="6:6" x14ac:dyDescent="0.35">
      <c r="F332" s="73"/>
    </row>
    <row r="333" spans="6:6" x14ac:dyDescent="0.35">
      <c r="F333" s="73"/>
    </row>
    <row r="334" spans="6:6" x14ac:dyDescent="0.35">
      <c r="F334" s="73"/>
    </row>
    <row r="335" spans="6:6" x14ac:dyDescent="0.35">
      <c r="F335" s="73"/>
    </row>
    <row r="336" spans="6:6" x14ac:dyDescent="0.35">
      <c r="F336" s="73"/>
    </row>
    <row r="337" spans="6:6" x14ac:dyDescent="0.35">
      <c r="F337" s="73"/>
    </row>
    <row r="338" spans="6:6" x14ac:dyDescent="0.35">
      <c r="F338" s="73"/>
    </row>
    <row r="339" spans="6:6" x14ac:dyDescent="0.35">
      <c r="F339" s="73"/>
    </row>
    <row r="340" spans="6:6" x14ac:dyDescent="0.35">
      <c r="F340" s="73"/>
    </row>
    <row r="341" spans="6:6" x14ac:dyDescent="0.35">
      <c r="F341" s="73"/>
    </row>
    <row r="342" spans="6:6" x14ac:dyDescent="0.35">
      <c r="F342" s="73"/>
    </row>
    <row r="343" spans="6:6" x14ac:dyDescent="0.35">
      <c r="F343" s="73"/>
    </row>
    <row r="344" spans="6:6" x14ac:dyDescent="0.35">
      <c r="F344" s="73"/>
    </row>
    <row r="345" spans="6:6" x14ac:dyDescent="0.35">
      <c r="F345" s="73"/>
    </row>
    <row r="346" spans="6:6" x14ac:dyDescent="0.35">
      <c r="F346" s="73"/>
    </row>
    <row r="347" spans="6:6" x14ac:dyDescent="0.35">
      <c r="F347" s="73"/>
    </row>
    <row r="348" spans="6:6" x14ac:dyDescent="0.35">
      <c r="F348" s="73"/>
    </row>
    <row r="349" spans="6:6" x14ac:dyDescent="0.35">
      <c r="F349" s="73"/>
    </row>
    <row r="350" spans="6:6" x14ac:dyDescent="0.35">
      <c r="F350" s="73"/>
    </row>
    <row r="351" spans="6:6" x14ac:dyDescent="0.35">
      <c r="F351" s="73"/>
    </row>
    <row r="352" spans="6:6"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sheetData>
  <conditionalFormatting sqref="H4:H260">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O4:O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1" activePane="bottomLeft" state="frozenSplit"/>
      <selection activeCell="E2" sqref="E2:K3"/>
      <selection pane="bottomLeft" activeCell="B11" sqref="B11"/>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33"/>
  </cols>
  <sheetData>
    <row r="1" spans="1:192" ht="47.5" customHeight="1" x14ac:dyDescent="0.35">
      <c r="A1" s="38" t="str">
        <f>Projet!A1</f>
        <v>Audit RGAA 4.0 2019 -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52" t="s">
        <v>490</v>
      </c>
      <c r="B2" s="253"/>
      <c r="C2" s="253"/>
      <c r="D2" s="254"/>
      <c r="E2" s="38"/>
      <c r="F2" s="39"/>
      <c r="G2" s="158" t="s">
        <v>684</v>
      </c>
      <c r="H2" s="158"/>
      <c r="I2" s="158"/>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57" t="s">
        <v>683</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55" t="e">
        <f ca="1">Value!O141</f>
        <v>#DIV/0!</v>
      </c>
      <c r="B5" s="256"/>
      <c r="C5" s="256"/>
      <c r="D5" s="257"/>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58"/>
      <c r="B6" s="259"/>
      <c r="C6" s="259"/>
      <c r="D6" s="260"/>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58"/>
      <c r="B7" s="259"/>
      <c r="C7" s="259"/>
      <c r="D7" s="260"/>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58"/>
      <c r="B8" s="259"/>
      <c r="C8" s="259"/>
      <c r="D8" s="260"/>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34" customFormat="1" ht="22.5" customHeight="1" x14ac:dyDescent="0.35">
      <c r="A9" s="261"/>
      <c r="B9" s="262"/>
      <c r="C9" s="262"/>
      <c r="D9" s="263"/>
      <c r="E9" s="40"/>
      <c r="F9" s="43"/>
      <c r="G9" s="147"/>
      <c r="H9" s="147"/>
      <c r="I9" s="147"/>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244</v>
      </c>
      <c r="C10" s="2" t="s">
        <v>1</v>
      </c>
      <c r="D10" s="3" t="s">
        <v>23</v>
      </c>
      <c r="E10" s="2" t="s">
        <v>2</v>
      </c>
      <c r="F10" s="3" t="s">
        <v>10</v>
      </c>
      <c r="G10" s="2" t="s">
        <v>691</v>
      </c>
      <c r="H10" s="2" t="s">
        <v>692</v>
      </c>
      <c r="I10" s="2" t="s">
        <v>693</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42" x14ac:dyDescent="0.35">
      <c r="A11" s="225" t="s">
        <v>5</v>
      </c>
      <c r="B11" s="189" t="s">
        <v>874</v>
      </c>
      <c r="C11" s="190" t="s">
        <v>245</v>
      </c>
      <c r="D11" s="191" t="s">
        <v>24</v>
      </c>
      <c r="E11" s="206" t="s">
        <v>875</v>
      </c>
      <c r="F11" s="78"/>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46"/>
      <c r="EA11" s="146"/>
      <c r="EB11" s="146"/>
      <c r="EC11" s="146"/>
      <c r="ED11" s="146"/>
      <c r="EE11" s="146"/>
      <c r="EF11" s="146"/>
      <c r="EG11" s="146"/>
      <c r="EH11" s="146"/>
      <c r="EI11" s="146"/>
      <c r="EJ11" s="146"/>
      <c r="EK11" s="146"/>
      <c r="EL11" s="146"/>
      <c r="EM11" s="146"/>
      <c r="EN11" s="146"/>
      <c r="EO11" s="146"/>
      <c r="EP11" s="146"/>
      <c r="EQ11" s="146"/>
      <c r="ER11" s="146"/>
      <c r="ES11" s="146"/>
      <c r="ET11" s="146"/>
      <c r="EU11" s="146"/>
      <c r="EV11" s="146"/>
      <c r="EW11" s="146"/>
      <c r="EX11" s="146"/>
      <c r="EY11" s="146"/>
      <c r="EZ11" s="146"/>
      <c r="FA11" s="146"/>
      <c r="FB11" s="146"/>
      <c r="FC11" s="146"/>
      <c r="FD11" s="146"/>
      <c r="FE11" s="146"/>
      <c r="FF11" s="146"/>
      <c r="FG11" s="146"/>
      <c r="FH11" s="146"/>
      <c r="FI11" s="146"/>
      <c r="FJ11" s="146"/>
      <c r="FK11" s="146"/>
      <c r="FL11" s="146"/>
      <c r="FM11" s="146"/>
      <c r="FN11" s="146"/>
      <c r="FO11" s="146"/>
      <c r="FP11" s="146"/>
      <c r="FQ11" s="146"/>
      <c r="FR11" s="146"/>
      <c r="FS11" s="146"/>
      <c r="FT11" s="146"/>
      <c r="FU11" s="146"/>
      <c r="FV11" s="146"/>
      <c r="FW11" s="146"/>
      <c r="FX11" s="146"/>
      <c r="FY11" s="146"/>
      <c r="FZ11" s="146"/>
      <c r="GA11" s="146"/>
      <c r="GB11" s="146"/>
      <c r="GC11" s="146"/>
      <c r="GD11" s="146"/>
      <c r="GE11" s="146"/>
      <c r="GF11" s="146"/>
      <c r="GG11" s="146"/>
      <c r="GH11" s="146"/>
      <c r="GI11" s="146"/>
      <c r="GJ11" s="146"/>
    </row>
    <row r="12" spans="1:192" ht="31.5" outlineLevel="1" x14ac:dyDescent="0.35">
      <c r="A12" s="225" t="s">
        <v>5</v>
      </c>
      <c r="B12" s="189"/>
      <c r="C12" s="190" t="s">
        <v>246</v>
      </c>
      <c r="D12" s="191" t="s">
        <v>24</v>
      </c>
      <c r="E12" s="206" t="s">
        <v>876</v>
      </c>
      <c r="F12" s="78"/>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row>
    <row r="13" spans="1:192" ht="31.5" x14ac:dyDescent="0.35">
      <c r="A13" s="225" t="s">
        <v>5</v>
      </c>
      <c r="B13" s="189"/>
      <c r="C13" s="190" t="s">
        <v>247</v>
      </c>
      <c r="D13" s="191" t="s">
        <v>24</v>
      </c>
      <c r="E13" s="206" t="s">
        <v>697</v>
      </c>
      <c r="F13" s="78"/>
      <c r="G13" s="117"/>
      <c r="H13" s="117"/>
      <c r="I13" s="117"/>
      <c r="J13" s="117"/>
      <c r="K13" s="117"/>
      <c r="L13" s="117"/>
      <c r="M13" s="117"/>
      <c r="N13" s="117"/>
      <c r="O13" s="117"/>
      <c r="P13" s="117"/>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46"/>
      <c r="EA13" s="146"/>
      <c r="EB13" s="146"/>
      <c r="EC13" s="146"/>
      <c r="ED13" s="146"/>
      <c r="EE13" s="146"/>
      <c r="EF13" s="146"/>
      <c r="EG13" s="146"/>
      <c r="EH13" s="146"/>
      <c r="EI13" s="146"/>
      <c r="EJ13" s="146"/>
      <c r="EK13" s="146"/>
      <c r="EL13" s="146"/>
      <c r="EM13" s="146"/>
      <c r="EN13" s="146"/>
      <c r="EO13" s="146"/>
      <c r="EP13" s="146"/>
      <c r="EQ13" s="146"/>
      <c r="ER13" s="146"/>
      <c r="ES13" s="146"/>
      <c r="ET13" s="146"/>
      <c r="EU13" s="146"/>
      <c r="EV13" s="146"/>
      <c r="EW13" s="146"/>
      <c r="EX13" s="146"/>
      <c r="EY13" s="146"/>
      <c r="EZ13" s="146"/>
      <c r="FA13" s="146"/>
      <c r="FB13" s="146"/>
      <c r="FC13" s="146"/>
      <c r="FD13" s="146"/>
      <c r="FE13" s="146"/>
      <c r="FF13" s="146"/>
      <c r="FG13" s="146"/>
      <c r="FH13" s="146"/>
      <c r="FI13" s="146"/>
      <c r="FJ13" s="146"/>
      <c r="FK13" s="146"/>
      <c r="FL13" s="146"/>
      <c r="FM13" s="146"/>
      <c r="FN13" s="146"/>
      <c r="FO13" s="146"/>
      <c r="FP13" s="146"/>
      <c r="FQ13" s="146"/>
      <c r="FR13" s="146"/>
      <c r="FS13" s="146"/>
      <c r="FT13" s="146"/>
      <c r="FU13" s="146"/>
      <c r="FV13" s="146"/>
      <c r="FW13" s="146"/>
      <c r="FX13" s="146"/>
      <c r="FY13" s="146"/>
      <c r="FZ13" s="146"/>
      <c r="GA13" s="146"/>
      <c r="GB13" s="146"/>
      <c r="GC13" s="146"/>
      <c r="GD13" s="146"/>
      <c r="GE13" s="146"/>
      <c r="GF13" s="146"/>
      <c r="GG13" s="146"/>
      <c r="GH13" s="146"/>
      <c r="GI13" s="146"/>
      <c r="GJ13" s="146"/>
    </row>
    <row r="14" spans="1:192" ht="31.5" outlineLevel="1" x14ac:dyDescent="0.35">
      <c r="A14" s="225" t="s">
        <v>5</v>
      </c>
      <c r="B14" s="189"/>
      <c r="C14" s="190" t="s">
        <v>248</v>
      </c>
      <c r="D14" s="191" t="s">
        <v>24</v>
      </c>
      <c r="E14" s="207" t="s">
        <v>877</v>
      </c>
      <c r="F14" s="78"/>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46"/>
      <c r="DZ14" s="146"/>
      <c r="EA14" s="146"/>
      <c r="EB14" s="146"/>
      <c r="EC14" s="146"/>
      <c r="ED14" s="146"/>
      <c r="EE14" s="146"/>
      <c r="EF14" s="146"/>
      <c r="EG14" s="146"/>
      <c r="EH14" s="146"/>
      <c r="EI14" s="146"/>
      <c r="EJ14" s="146"/>
      <c r="EK14" s="146"/>
      <c r="EL14" s="146"/>
      <c r="EM14" s="146"/>
      <c r="EN14" s="146"/>
      <c r="EO14" s="146"/>
      <c r="EP14" s="146"/>
      <c r="EQ14" s="146"/>
      <c r="ER14" s="146"/>
      <c r="ES14" s="146"/>
      <c r="ET14" s="146"/>
      <c r="EU14" s="146"/>
      <c r="EV14" s="146"/>
      <c r="EW14" s="146"/>
      <c r="EX14" s="146"/>
      <c r="EY14" s="146"/>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FZ14" s="146"/>
      <c r="GA14" s="146"/>
      <c r="GB14" s="146"/>
      <c r="GC14" s="146"/>
      <c r="GD14" s="146"/>
      <c r="GE14" s="146"/>
      <c r="GF14" s="146"/>
      <c r="GG14" s="146"/>
      <c r="GH14" s="146"/>
      <c r="GI14" s="146"/>
      <c r="GJ14" s="146"/>
    </row>
    <row r="15" spans="1:192" ht="61.5" outlineLevel="1" x14ac:dyDescent="0.35">
      <c r="A15" s="225" t="s">
        <v>5</v>
      </c>
      <c r="B15" s="189"/>
      <c r="C15" s="190" t="s">
        <v>698</v>
      </c>
      <c r="D15" s="191" t="s">
        <v>24</v>
      </c>
      <c r="E15" s="208" t="s">
        <v>878</v>
      </c>
      <c r="F15" s="78"/>
      <c r="G15" s="117"/>
      <c r="H15" s="117"/>
      <c r="I15" s="117"/>
      <c r="J15" s="117"/>
      <c r="K15" s="117"/>
      <c r="L15" s="117"/>
      <c r="M15" s="117"/>
      <c r="N15" s="117"/>
      <c r="O15" s="117"/>
      <c r="P15" s="117"/>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46"/>
      <c r="DZ15" s="146"/>
      <c r="EA15" s="146"/>
      <c r="EB15" s="146"/>
      <c r="EC15" s="146"/>
      <c r="ED15" s="146"/>
      <c r="EE15" s="146"/>
      <c r="EF15" s="146"/>
      <c r="EG15" s="146"/>
      <c r="EH15" s="146"/>
      <c r="EI15" s="146"/>
      <c r="EJ15" s="146"/>
      <c r="EK15" s="146"/>
      <c r="EL15" s="146"/>
      <c r="EM15" s="146"/>
      <c r="EN15" s="146"/>
      <c r="EO15" s="146"/>
      <c r="EP15" s="146"/>
      <c r="EQ15" s="146"/>
      <c r="ER15" s="146"/>
      <c r="ES15" s="146"/>
      <c r="ET15" s="146"/>
      <c r="EU15" s="146"/>
      <c r="EV15" s="146"/>
      <c r="EW15" s="146"/>
      <c r="EX15" s="146"/>
      <c r="EY15" s="146"/>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FZ15" s="146"/>
      <c r="GA15" s="146"/>
      <c r="GB15" s="146"/>
      <c r="GC15" s="146"/>
      <c r="GD15" s="146"/>
      <c r="GE15" s="146"/>
      <c r="GF15" s="146"/>
      <c r="GG15" s="146"/>
      <c r="GH15" s="146"/>
      <c r="GI15" s="146"/>
      <c r="GJ15" s="146"/>
    </row>
    <row r="16" spans="1:192" ht="122" outlineLevel="1" x14ac:dyDescent="0.35">
      <c r="A16" s="225" t="s">
        <v>5</v>
      </c>
      <c r="B16" s="189"/>
      <c r="C16" s="190" t="s">
        <v>699</v>
      </c>
      <c r="D16" s="191" t="s">
        <v>24</v>
      </c>
      <c r="E16" s="208" t="s">
        <v>879</v>
      </c>
      <c r="F16" s="78"/>
      <c r="G16" s="117"/>
      <c r="H16" s="117"/>
      <c r="I16" s="117"/>
      <c r="J16" s="117"/>
      <c r="K16" s="117"/>
      <c r="L16" s="117"/>
      <c r="M16" s="117"/>
      <c r="N16" s="117"/>
      <c r="O16" s="117"/>
      <c r="P16" s="117"/>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row>
    <row r="17" spans="1:192" ht="122" outlineLevel="1" x14ac:dyDescent="0.35">
      <c r="A17" s="225" t="s">
        <v>5</v>
      </c>
      <c r="B17" s="189"/>
      <c r="C17" s="190" t="s">
        <v>700</v>
      </c>
      <c r="D17" s="191" t="s">
        <v>24</v>
      </c>
      <c r="E17" s="208" t="s">
        <v>880</v>
      </c>
      <c r="F17" s="78"/>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row>
    <row r="18" spans="1:192" ht="131.5" outlineLevel="1" x14ac:dyDescent="0.35">
      <c r="A18" s="225" t="s">
        <v>5</v>
      </c>
      <c r="B18" s="189"/>
      <c r="C18" s="190" t="s">
        <v>701</v>
      </c>
      <c r="D18" s="191" t="s">
        <v>24</v>
      </c>
      <c r="E18" s="208" t="s">
        <v>881</v>
      </c>
      <c r="F18" s="78"/>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row>
    <row r="19" spans="1:192" ht="91.5" outlineLevel="1" x14ac:dyDescent="0.35">
      <c r="A19" s="225" t="s">
        <v>5</v>
      </c>
      <c r="B19" s="192" t="s">
        <v>882</v>
      </c>
      <c r="C19" s="193" t="s">
        <v>249</v>
      </c>
      <c r="D19" s="194" t="s">
        <v>24</v>
      </c>
      <c r="E19" s="209" t="s">
        <v>883</v>
      </c>
      <c r="F19" s="82"/>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17"/>
      <c r="AQ19" s="117"/>
      <c r="AR19" s="117"/>
      <c r="AS19" s="117"/>
      <c r="AT19" s="117"/>
      <c r="AU19" s="117"/>
      <c r="AV19" s="117"/>
      <c r="AW19" s="117"/>
      <c r="AX19" s="117"/>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row>
    <row r="20" spans="1:192" ht="91.5" outlineLevel="1" x14ac:dyDescent="0.35">
      <c r="A20" s="225" t="s">
        <v>5</v>
      </c>
      <c r="B20" s="192"/>
      <c r="C20" s="193" t="s">
        <v>250</v>
      </c>
      <c r="D20" s="194" t="s">
        <v>24</v>
      </c>
      <c r="E20" s="209" t="s">
        <v>884</v>
      </c>
      <c r="F20" s="82"/>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row>
    <row r="21" spans="1:192" ht="91.5" outlineLevel="1" x14ac:dyDescent="0.35">
      <c r="A21" s="225" t="s">
        <v>5</v>
      </c>
      <c r="B21" s="192"/>
      <c r="C21" s="193" t="s">
        <v>251</v>
      </c>
      <c r="D21" s="194" t="s">
        <v>24</v>
      </c>
      <c r="E21" s="209" t="s">
        <v>885</v>
      </c>
      <c r="F21" s="82"/>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row>
    <row r="22" spans="1:192" ht="111.5" outlineLevel="1" x14ac:dyDescent="0.35">
      <c r="A22" s="225" t="s">
        <v>5</v>
      </c>
      <c r="B22" s="192"/>
      <c r="C22" s="193" t="s">
        <v>252</v>
      </c>
      <c r="D22" s="194" t="s">
        <v>24</v>
      </c>
      <c r="E22" s="209" t="s">
        <v>886</v>
      </c>
      <c r="F22" s="82"/>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row>
    <row r="23" spans="1:192" ht="91.5" outlineLevel="1" x14ac:dyDescent="0.35">
      <c r="A23" s="225" t="s">
        <v>5</v>
      </c>
      <c r="B23" s="192"/>
      <c r="C23" s="193" t="s">
        <v>253</v>
      </c>
      <c r="D23" s="194" t="s">
        <v>24</v>
      </c>
      <c r="E23" s="209" t="s">
        <v>887</v>
      </c>
      <c r="F23" s="82"/>
      <c r="G23" s="117"/>
      <c r="H23" s="117"/>
      <c r="I23" s="117"/>
      <c r="J23" s="117"/>
      <c r="K23" s="117"/>
      <c r="L23" s="117"/>
      <c r="M23" s="117"/>
      <c r="N23" s="117"/>
      <c r="O23" s="117"/>
      <c r="P23" s="117"/>
      <c r="Q23" s="117"/>
      <c r="R23" s="117"/>
      <c r="S23" s="117"/>
      <c r="T23" s="117"/>
      <c r="U23" s="117"/>
      <c r="V23" s="117"/>
      <c r="W23" s="117"/>
      <c r="X23" s="117"/>
      <c r="Y23" s="117"/>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row>
    <row r="24" spans="1:192" ht="82" outlineLevel="1" x14ac:dyDescent="0.35">
      <c r="A24" s="225" t="s">
        <v>5</v>
      </c>
      <c r="B24" s="192"/>
      <c r="C24" s="193" t="s">
        <v>494</v>
      </c>
      <c r="D24" s="194" t="s">
        <v>24</v>
      </c>
      <c r="E24" s="209" t="s">
        <v>888</v>
      </c>
      <c r="F24" s="82"/>
      <c r="G24" s="117"/>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row>
    <row r="25" spans="1:192" ht="142.5" outlineLevel="1" x14ac:dyDescent="0.35">
      <c r="A25" s="225" t="s">
        <v>5</v>
      </c>
      <c r="B25" s="189" t="s">
        <v>889</v>
      </c>
      <c r="C25" s="190" t="s">
        <v>256</v>
      </c>
      <c r="D25" s="191" t="s">
        <v>24</v>
      </c>
      <c r="E25" s="204" t="s">
        <v>890</v>
      </c>
      <c r="F25" s="78"/>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row>
    <row r="26" spans="1:192" ht="142.5" outlineLevel="1" x14ac:dyDescent="0.35">
      <c r="A26" s="225" t="s">
        <v>5</v>
      </c>
      <c r="B26" s="189"/>
      <c r="C26" s="190" t="s">
        <v>257</v>
      </c>
      <c r="D26" s="191" t="s">
        <v>24</v>
      </c>
      <c r="E26" s="210" t="s">
        <v>891</v>
      </c>
      <c r="F26" s="78"/>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row>
    <row r="27" spans="1:192" ht="132" outlineLevel="1" x14ac:dyDescent="0.35">
      <c r="A27" s="225" t="s">
        <v>5</v>
      </c>
      <c r="B27" s="189"/>
      <c r="C27" s="190" t="s">
        <v>258</v>
      </c>
      <c r="D27" s="191" t="s">
        <v>24</v>
      </c>
      <c r="E27" s="204" t="s">
        <v>892</v>
      </c>
      <c r="F27" s="78"/>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row>
    <row r="28" spans="1:192" ht="153" outlineLevel="1" x14ac:dyDescent="0.35">
      <c r="A28" s="225" t="s">
        <v>5</v>
      </c>
      <c r="B28" s="189"/>
      <c r="C28" s="190" t="s">
        <v>259</v>
      </c>
      <c r="D28" s="191" t="s">
        <v>24</v>
      </c>
      <c r="E28" s="204" t="s">
        <v>893</v>
      </c>
      <c r="F28" s="78"/>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row>
    <row r="29" spans="1:192" ht="153" x14ac:dyDescent="0.35">
      <c r="A29" s="225" t="s">
        <v>5</v>
      </c>
      <c r="B29" s="189"/>
      <c r="C29" s="190" t="s">
        <v>254</v>
      </c>
      <c r="D29" s="191" t="s">
        <v>24</v>
      </c>
      <c r="E29" s="210" t="s">
        <v>894</v>
      </c>
      <c r="F29" s="78"/>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row>
    <row r="30" spans="1:192" ht="112" outlineLevel="1" x14ac:dyDescent="0.35">
      <c r="A30" s="225" t="s">
        <v>5</v>
      </c>
      <c r="B30" s="189"/>
      <c r="C30" s="190" t="s">
        <v>260</v>
      </c>
      <c r="D30" s="191" t="s">
        <v>24</v>
      </c>
      <c r="E30" s="204" t="s">
        <v>895</v>
      </c>
      <c r="F30" s="78"/>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row>
    <row r="31" spans="1:192" ht="142.5" outlineLevel="1" x14ac:dyDescent="0.35">
      <c r="A31" s="225" t="s">
        <v>5</v>
      </c>
      <c r="B31" s="189"/>
      <c r="C31" s="190" t="s">
        <v>261</v>
      </c>
      <c r="D31" s="191" t="s">
        <v>24</v>
      </c>
      <c r="E31" s="210" t="s">
        <v>896</v>
      </c>
      <c r="F31" s="78"/>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row>
    <row r="32" spans="1:192" ht="63" outlineLevel="1" x14ac:dyDescent="0.35">
      <c r="A32" s="225" t="s">
        <v>5</v>
      </c>
      <c r="B32" s="189"/>
      <c r="C32" s="190" t="s">
        <v>262</v>
      </c>
      <c r="D32" s="191" t="s">
        <v>24</v>
      </c>
      <c r="E32" s="210" t="s">
        <v>897</v>
      </c>
      <c r="F32" s="78"/>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row>
    <row r="33" spans="1:192" ht="42" outlineLevel="1" x14ac:dyDescent="0.35">
      <c r="A33" s="225" t="s">
        <v>5</v>
      </c>
      <c r="B33" s="189"/>
      <c r="C33" s="190" t="s">
        <v>263</v>
      </c>
      <c r="D33" s="191" t="s">
        <v>24</v>
      </c>
      <c r="E33" s="210" t="s">
        <v>255</v>
      </c>
      <c r="F33" s="78"/>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row>
    <row r="34" spans="1:192" ht="132" outlineLevel="1" x14ac:dyDescent="0.35">
      <c r="A34" s="225" t="s">
        <v>5</v>
      </c>
      <c r="B34" s="192" t="s">
        <v>243</v>
      </c>
      <c r="C34" s="193" t="s">
        <v>264</v>
      </c>
      <c r="D34" s="194" t="s">
        <v>24</v>
      </c>
      <c r="E34" s="197" t="s">
        <v>898</v>
      </c>
      <c r="F34" s="82"/>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row>
    <row r="35" spans="1:192" ht="142.5" outlineLevel="1" x14ac:dyDescent="0.35">
      <c r="A35" s="225" t="s">
        <v>5</v>
      </c>
      <c r="B35" s="192"/>
      <c r="C35" s="193" t="s">
        <v>265</v>
      </c>
      <c r="D35" s="194" t="s">
        <v>24</v>
      </c>
      <c r="E35" s="197" t="s">
        <v>899</v>
      </c>
      <c r="F35" s="82"/>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row>
    <row r="36" spans="1:192" ht="142.5" outlineLevel="1" x14ac:dyDescent="0.35">
      <c r="A36" s="225" t="s">
        <v>5</v>
      </c>
      <c r="B36" s="192"/>
      <c r="C36" s="193" t="s">
        <v>266</v>
      </c>
      <c r="D36" s="194" t="s">
        <v>24</v>
      </c>
      <c r="E36" s="197" t="s">
        <v>900</v>
      </c>
      <c r="F36" s="82"/>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row>
    <row r="37" spans="1:192" ht="153" outlineLevel="1" x14ac:dyDescent="0.35">
      <c r="A37" s="225" t="s">
        <v>5</v>
      </c>
      <c r="B37" s="192"/>
      <c r="C37" s="193" t="s">
        <v>267</v>
      </c>
      <c r="D37" s="194" t="s">
        <v>24</v>
      </c>
      <c r="E37" s="197" t="s">
        <v>901</v>
      </c>
      <c r="F37" s="82"/>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row>
    <row r="38" spans="1:192" ht="153" outlineLevel="1" x14ac:dyDescent="0.35">
      <c r="A38" s="225" t="s">
        <v>5</v>
      </c>
      <c r="B38" s="192"/>
      <c r="C38" s="193" t="s">
        <v>268</v>
      </c>
      <c r="D38" s="194" t="s">
        <v>24</v>
      </c>
      <c r="E38" s="197" t="s">
        <v>902</v>
      </c>
      <c r="F38" s="82"/>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row>
    <row r="39" spans="1:192" ht="122.5" outlineLevel="1" x14ac:dyDescent="0.35">
      <c r="A39" s="225" t="s">
        <v>5</v>
      </c>
      <c r="B39" s="192"/>
      <c r="C39" s="193" t="s">
        <v>269</v>
      </c>
      <c r="D39" s="194" t="s">
        <v>24</v>
      </c>
      <c r="E39" s="197" t="s">
        <v>903</v>
      </c>
      <c r="F39" s="82"/>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row>
    <row r="40" spans="1:192" ht="142.5" outlineLevel="1" x14ac:dyDescent="0.35">
      <c r="A40" s="225" t="s">
        <v>5</v>
      </c>
      <c r="B40" s="192"/>
      <c r="C40" s="193" t="s">
        <v>270</v>
      </c>
      <c r="D40" s="194" t="s">
        <v>24</v>
      </c>
      <c r="E40" s="209" t="s">
        <v>904</v>
      </c>
      <c r="F40" s="82"/>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row>
    <row r="41" spans="1:192" ht="102.5" outlineLevel="1" x14ac:dyDescent="0.35">
      <c r="A41" s="225" t="s">
        <v>5</v>
      </c>
      <c r="B41" s="189" t="s">
        <v>905</v>
      </c>
      <c r="C41" s="190" t="s">
        <v>271</v>
      </c>
      <c r="D41" s="191" t="s">
        <v>24</v>
      </c>
      <c r="E41" s="211" t="s">
        <v>906</v>
      </c>
      <c r="F41" s="78"/>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c r="ET41" s="146"/>
      <c r="EU41" s="146"/>
      <c r="EV41" s="146"/>
      <c r="EW41" s="146"/>
      <c r="EX41" s="146"/>
      <c r="EY41" s="146"/>
      <c r="EZ41" s="146"/>
      <c r="FA41" s="146"/>
      <c r="FB41" s="146"/>
      <c r="FC41" s="146"/>
      <c r="FD41" s="146"/>
      <c r="FE41" s="146"/>
      <c r="FF41" s="146"/>
      <c r="FG41" s="146"/>
      <c r="FH41" s="146"/>
      <c r="FI41" s="146"/>
      <c r="FJ41" s="146"/>
      <c r="FK41" s="146"/>
      <c r="FL41" s="146"/>
      <c r="FM41" s="146"/>
      <c r="FN41" s="146"/>
      <c r="FO41" s="146"/>
      <c r="FP41" s="146"/>
      <c r="FQ41" s="146"/>
      <c r="FR41" s="146"/>
      <c r="FS41" s="146"/>
      <c r="FT41" s="146"/>
      <c r="FU41" s="146"/>
      <c r="FV41" s="146"/>
      <c r="FW41" s="146"/>
      <c r="FX41" s="146"/>
      <c r="FY41" s="146"/>
      <c r="FZ41" s="146"/>
      <c r="GA41" s="146"/>
      <c r="GB41" s="146"/>
      <c r="GC41" s="146"/>
      <c r="GD41" s="146"/>
      <c r="GE41" s="146"/>
      <c r="GF41" s="146"/>
      <c r="GG41" s="146"/>
      <c r="GH41" s="146"/>
      <c r="GI41" s="146"/>
      <c r="GJ41" s="146"/>
    </row>
    <row r="42" spans="1:192" ht="92" outlineLevel="1" x14ac:dyDescent="0.35">
      <c r="A42" s="225" t="s">
        <v>5</v>
      </c>
      <c r="B42" s="189"/>
      <c r="C42" s="190" t="s">
        <v>272</v>
      </c>
      <c r="D42" s="191" t="s">
        <v>24</v>
      </c>
      <c r="E42" s="211" t="s">
        <v>907</v>
      </c>
      <c r="F42" s="78"/>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row>
    <row r="43" spans="1:192" ht="132" outlineLevel="1" x14ac:dyDescent="0.35">
      <c r="A43" s="225" t="s">
        <v>5</v>
      </c>
      <c r="B43" s="192" t="s">
        <v>908</v>
      </c>
      <c r="C43" s="193" t="s">
        <v>273</v>
      </c>
      <c r="D43" s="194" t="s">
        <v>24</v>
      </c>
      <c r="E43" s="209" t="s">
        <v>909</v>
      </c>
      <c r="F43" s="82"/>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46"/>
      <c r="DZ43" s="146"/>
      <c r="EA43" s="146"/>
      <c r="EB43" s="146"/>
      <c r="EC43" s="146"/>
      <c r="ED43" s="146"/>
      <c r="EE43" s="146"/>
      <c r="EF43" s="146"/>
      <c r="EG43" s="146"/>
      <c r="EH43" s="146"/>
      <c r="EI43" s="146"/>
      <c r="EJ43" s="146"/>
      <c r="EK43" s="146"/>
      <c r="EL43" s="146"/>
      <c r="EM43" s="146"/>
      <c r="EN43" s="146"/>
      <c r="EO43" s="146"/>
      <c r="EP43" s="146"/>
      <c r="EQ43" s="146"/>
      <c r="ER43" s="146"/>
      <c r="ES43" s="146"/>
      <c r="ET43" s="146"/>
      <c r="EU43" s="146"/>
      <c r="EV43" s="146"/>
      <c r="EW43" s="146"/>
      <c r="EX43" s="146"/>
      <c r="EY43" s="146"/>
      <c r="EZ43" s="146"/>
      <c r="FA43" s="146"/>
      <c r="FB43" s="146"/>
      <c r="FC43" s="146"/>
      <c r="FD43" s="146"/>
      <c r="FE43" s="146"/>
      <c r="FF43" s="146"/>
      <c r="FG43" s="146"/>
      <c r="FH43" s="146"/>
      <c r="FI43" s="146"/>
      <c r="FJ43" s="146"/>
      <c r="FK43" s="146"/>
      <c r="FL43" s="146"/>
      <c r="FM43" s="146"/>
      <c r="FN43" s="146"/>
      <c r="FO43" s="146"/>
      <c r="FP43" s="146"/>
      <c r="FQ43" s="146"/>
      <c r="FR43" s="146"/>
      <c r="FS43" s="146"/>
      <c r="FT43" s="146"/>
      <c r="FU43" s="146"/>
      <c r="FV43" s="146"/>
      <c r="FW43" s="146"/>
      <c r="FX43" s="146"/>
      <c r="FY43" s="146"/>
      <c r="FZ43" s="146"/>
      <c r="GA43" s="146"/>
      <c r="GB43" s="146"/>
      <c r="GC43" s="146"/>
      <c r="GD43" s="146"/>
      <c r="GE43" s="146"/>
      <c r="GF43" s="146"/>
      <c r="GG43" s="146"/>
      <c r="GH43" s="146"/>
      <c r="GI43" s="146"/>
      <c r="GJ43" s="146"/>
    </row>
    <row r="44" spans="1:192" ht="102.5" outlineLevel="1" x14ac:dyDescent="0.35">
      <c r="A44" s="225" t="s">
        <v>5</v>
      </c>
      <c r="B44" s="192"/>
      <c r="C44" s="193" t="s">
        <v>274</v>
      </c>
      <c r="D44" s="194" t="s">
        <v>24</v>
      </c>
      <c r="E44" s="209" t="s">
        <v>910</v>
      </c>
      <c r="F44" s="82"/>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46"/>
      <c r="DZ44" s="146"/>
      <c r="EA44" s="146"/>
      <c r="EB44" s="146"/>
      <c r="EC44" s="146"/>
      <c r="ED44" s="146"/>
      <c r="EE44" s="146"/>
      <c r="EF44" s="146"/>
      <c r="EG44" s="146"/>
      <c r="EH44" s="146"/>
      <c r="EI44" s="146"/>
      <c r="EJ44" s="146"/>
      <c r="EK44" s="146"/>
      <c r="EL44" s="146"/>
      <c r="EM44" s="146"/>
      <c r="EN44" s="146"/>
      <c r="EO44" s="146"/>
      <c r="EP44" s="146"/>
      <c r="EQ44" s="146"/>
      <c r="ER44" s="146"/>
      <c r="ES44" s="146"/>
      <c r="ET44" s="146"/>
      <c r="EU44" s="146"/>
      <c r="EV44" s="146"/>
      <c r="EW44" s="146"/>
      <c r="EX44" s="146"/>
      <c r="EY44" s="146"/>
      <c r="EZ44" s="146"/>
      <c r="FA44" s="146"/>
      <c r="FB44" s="146"/>
      <c r="FC44" s="146"/>
      <c r="FD44" s="146"/>
      <c r="FE44" s="146"/>
      <c r="FF44" s="146"/>
      <c r="FG44" s="146"/>
      <c r="FH44" s="146"/>
      <c r="FI44" s="146"/>
      <c r="FJ44" s="146"/>
      <c r="FK44" s="146"/>
      <c r="FL44" s="146"/>
      <c r="FM44" s="146"/>
      <c r="FN44" s="146"/>
      <c r="FO44" s="146"/>
      <c r="FP44" s="146"/>
      <c r="FQ44" s="146"/>
      <c r="FR44" s="146"/>
      <c r="FS44" s="146"/>
      <c r="FT44" s="146"/>
      <c r="FU44" s="146"/>
      <c r="FV44" s="146"/>
      <c r="FW44" s="146"/>
      <c r="FX44" s="146"/>
      <c r="FY44" s="146"/>
      <c r="FZ44" s="146"/>
      <c r="GA44" s="146"/>
      <c r="GB44" s="146"/>
      <c r="GC44" s="146"/>
      <c r="GD44" s="146"/>
      <c r="GE44" s="146"/>
      <c r="GF44" s="146"/>
      <c r="GG44" s="146"/>
      <c r="GH44" s="146"/>
      <c r="GI44" s="146"/>
      <c r="GJ44" s="146"/>
    </row>
    <row r="45" spans="1:192" ht="92" x14ac:dyDescent="0.35">
      <c r="A45" s="225" t="s">
        <v>5</v>
      </c>
      <c r="B45" s="192"/>
      <c r="C45" s="193" t="s">
        <v>275</v>
      </c>
      <c r="D45" s="194" t="s">
        <v>24</v>
      </c>
      <c r="E45" s="197" t="s">
        <v>911</v>
      </c>
      <c r="F45" s="82"/>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46"/>
      <c r="DZ45" s="146"/>
      <c r="EA45" s="146"/>
      <c r="EB45" s="146"/>
      <c r="EC45" s="146"/>
      <c r="ED45" s="146"/>
      <c r="EE45" s="146"/>
      <c r="EF45" s="146"/>
      <c r="EG45" s="146"/>
      <c r="EH45" s="146"/>
      <c r="EI45" s="146"/>
      <c r="EJ45" s="146"/>
      <c r="EK45" s="146"/>
      <c r="EL45" s="146"/>
      <c r="EM45" s="146"/>
      <c r="EN45" s="146"/>
      <c r="EO45" s="146"/>
      <c r="EP45" s="146"/>
      <c r="EQ45" s="146"/>
      <c r="ER45" s="146"/>
      <c r="ES45" s="146"/>
      <c r="ET45" s="146"/>
      <c r="EU45" s="146"/>
      <c r="EV45" s="146"/>
      <c r="EW45" s="146"/>
      <c r="EX45" s="146"/>
      <c r="EY45" s="146"/>
      <c r="EZ45" s="146"/>
      <c r="FA45" s="146"/>
      <c r="FB45" s="146"/>
      <c r="FC45" s="146"/>
      <c r="FD45" s="146"/>
      <c r="FE45" s="146"/>
      <c r="FF45" s="146"/>
      <c r="FG45" s="146"/>
      <c r="FH45" s="146"/>
      <c r="FI45" s="146"/>
      <c r="FJ45" s="146"/>
      <c r="FK45" s="146"/>
      <c r="FL45" s="146"/>
      <c r="FM45" s="146"/>
      <c r="FN45" s="146"/>
      <c r="FO45" s="146"/>
      <c r="FP45" s="146"/>
      <c r="FQ45" s="146"/>
      <c r="FR45" s="146"/>
      <c r="FS45" s="146"/>
      <c r="FT45" s="146"/>
      <c r="FU45" s="146"/>
      <c r="FV45" s="146"/>
      <c r="FW45" s="146"/>
      <c r="FX45" s="146"/>
      <c r="FY45" s="146"/>
      <c r="FZ45" s="146"/>
      <c r="GA45" s="146"/>
      <c r="GB45" s="146"/>
      <c r="GC45" s="146"/>
      <c r="GD45" s="146"/>
      <c r="GE45" s="146"/>
      <c r="GF45" s="146"/>
      <c r="GG45" s="146"/>
      <c r="GH45" s="146"/>
      <c r="GI45" s="146"/>
      <c r="GJ45" s="146"/>
    </row>
    <row r="46" spans="1:192" ht="132.5" outlineLevel="1" x14ac:dyDescent="0.35">
      <c r="A46" s="225" t="s">
        <v>5</v>
      </c>
      <c r="B46" s="192"/>
      <c r="C46" s="193" t="s">
        <v>276</v>
      </c>
      <c r="D46" s="194" t="s">
        <v>24</v>
      </c>
      <c r="E46" s="197" t="s">
        <v>912</v>
      </c>
      <c r="F46" s="82"/>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46"/>
      <c r="DZ46" s="146"/>
      <c r="EA46" s="146"/>
      <c r="EB46" s="146"/>
      <c r="EC46" s="146"/>
      <c r="ED46" s="146"/>
      <c r="EE46" s="146"/>
      <c r="EF46" s="146"/>
      <c r="EG46" s="146"/>
      <c r="EH46" s="146"/>
      <c r="EI46" s="146"/>
      <c r="EJ46" s="146"/>
      <c r="EK46" s="146"/>
      <c r="EL46" s="146"/>
      <c r="EM46" s="146"/>
      <c r="EN46" s="146"/>
      <c r="EO46" s="146"/>
      <c r="EP46" s="146"/>
      <c r="EQ46" s="146"/>
      <c r="ER46" s="146"/>
      <c r="ES46" s="146"/>
      <c r="ET46" s="146"/>
      <c r="EU46" s="146"/>
      <c r="EV46" s="146"/>
      <c r="EW46" s="146"/>
      <c r="EX46" s="146"/>
      <c r="EY46" s="146"/>
      <c r="EZ46" s="146"/>
      <c r="FA46" s="146"/>
      <c r="FB46" s="146"/>
      <c r="FC46" s="146"/>
      <c r="FD46" s="146"/>
      <c r="FE46" s="146"/>
      <c r="FF46" s="146"/>
      <c r="FG46" s="146"/>
      <c r="FH46" s="146"/>
      <c r="FI46" s="146"/>
      <c r="FJ46" s="146"/>
      <c r="FK46" s="146"/>
      <c r="FL46" s="146"/>
      <c r="FM46" s="146"/>
      <c r="FN46" s="146"/>
      <c r="FO46" s="146"/>
      <c r="FP46" s="146"/>
      <c r="FQ46" s="146"/>
      <c r="FR46" s="146"/>
      <c r="FS46" s="146"/>
      <c r="FT46" s="146"/>
      <c r="FU46" s="146"/>
      <c r="FV46" s="146"/>
      <c r="FW46" s="146"/>
      <c r="FX46" s="146"/>
      <c r="FY46" s="146"/>
      <c r="FZ46" s="146"/>
      <c r="GA46" s="146"/>
      <c r="GB46" s="146"/>
      <c r="GC46" s="146"/>
      <c r="GD46" s="146"/>
      <c r="GE46" s="146"/>
      <c r="GF46" s="146"/>
      <c r="GG46" s="146"/>
      <c r="GH46" s="146"/>
      <c r="GI46" s="146"/>
      <c r="GJ46" s="146"/>
    </row>
    <row r="47" spans="1:192" ht="162" outlineLevel="1" x14ac:dyDescent="0.35">
      <c r="A47" s="225" t="s">
        <v>5</v>
      </c>
      <c r="B47" s="192"/>
      <c r="C47" s="193" t="s">
        <v>277</v>
      </c>
      <c r="D47" s="194" t="s">
        <v>24</v>
      </c>
      <c r="E47" s="209" t="s">
        <v>913</v>
      </c>
      <c r="F47" s="82"/>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46"/>
      <c r="DZ47" s="146"/>
      <c r="EA47" s="146"/>
      <c r="EB47" s="146"/>
      <c r="EC47" s="146"/>
      <c r="ED47" s="146"/>
      <c r="EE47" s="146"/>
      <c r="EF47" s="146"/>
      <c r="EG47" s="146"/>
      <c r="EH47" s="146"/>
      <c r="EI47" s="146"/>
      <c r="EJ47" s="146"/>
      <c r="EK47" s="146"/>
      <c r="EL47" s="146"/>
      <c r="EM47" s="146"/>
      <c r="EN47" s="146"/>
      <c r="EO47" s="146"/>
      <c r="EP47" s="146"/>
      <c r="EQ47" s="146"/>
      <c r="ER47" s="146"/>
      <c r="ES47" s="146"/>
      <c r="ET47" s="146"/>
      <c r="EU47" s="146"/>
      <c r="EV47" s="146"/>
      <c r="EW47" s="146"/>
      <c r="EX47" s="146"/>
      <c r="EY47" s="146"/>
      <c r="EZ47" s="146"/>
      <c r="FA47" s="146"/>
      <c r="FB47" s="146"/>
      <c r="FC47" s="146"/>
      <c r="FD47" s="146"/>
      <c r="FE47" s="146"/>
      <c r="FF47" s="146"/>
      <c r="FG47" s="146"/>
      <c r="FH47" s="146"/>
      <c r="FI47" s="146"/>
      <c r="FJ47" s="146"/>
      <c r="FK47" s="146"/>
      <c r="FL47" s="146"/>
      <c r="FM47" s="146"/>
      <c r="FN47" s="146"/>
      <c r="FO47" s="146"/>
      <c r="FP47" s="146"/>
      <c r="FQ47" s="146"/>
      <c r="FR47" s="146"/>
      <c r="FS47" s="146"/>
      <c r="FT47" s="146"/>
      <c r="FU47" s="146"/>
      <c r="FV47" s="146"/>
      <c r="FW47" s="146"/>
      <c r="FX47" s="146"/>
      <c r="FY47" s="146"/>
      <c r="FZ47" s="146"/>
      <c r="GA47" s="146"/>
      <c r="GB47" s="146"/>
      <c r="GC47" s="146"/>
      <c r="GD47" s="146"/>
      <c r="GE47" s="146"/>
      <c r="GF47" s="146"/>
      <c r="GG47" s="146"/>
      <c r="GH47" s="146"/>
      <c r="GI47" s="146"/>
      <c r="GJ47" s="146"/>
    </row>
    <row r="48" spans="1:192" ht="105" outlineLevel="1" x14ac:dyDescent="0.35">
      <c r="A48" s="225" t="s">
        <v>5</v>
      </c>
      <c r="B48" s="192"/>
      <c r="C48" s="193" t="s">
        <v>278</v>
      </c>
      <c r="D48" s="194" t="s">
        <v>24</v>
      </c>
      <c r="E48" s="209" t="s">
        <v>914</v>
      </c>
      <c r="F48" s="82"/>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46"/>
      <c r="DZ48" s="146"/>
      <c r="EA48" s="146"/>
      <c r="EB48" s="146"/>
      <c r="EC48" s="146"/>
      <c r="ED48" s="146"/>
      <c r="EE48" s="146"/>
      <c r="EF48" s="146"/>
      <c r="EG48" s="146"/>
      <c r="EH48" s="146"/>
      <c r="EI48" s="146"/>
      <c r="EJ48" s="146"/>
      <c r="EK48" s="146"/>
      <c r="EL48" s="146"/>
      <c r="EM48" s="146"/>
      <c r="EN48" s="146"/>
      <c r="EO48" s="146"/>
      <c r="EP48" s="146"/>
      <c r="EQ48" s="146"/>
      <c r="ER48" s="146"/>
      <c r="ES48" s="146"/>
      <c r="ET48" s="146"/>
      <c r="EU48" s="146"/>
      <c r="EV48" s="146"/>
      <c r="EW48" s="146"/>
      <c r="EX48" s="146"/>
      <c r="EY48" s="146"/>
      <c r="EZ48" s="146"/>
      <c r="FA48" s="146"/>
      <c r="FB48" s="146"/>
      <c r="FC48" s="146"/>
      <c r="FD48" s="146"/>
      <c r="FE48" s="146"/>
      <c r="FF48" s="146"/>
      <c r="FG48" s="146"/>
      <c r="FH48" s="146"/>
      <c r="FI48" s="146"/>
      <c r="FJ48" s="146"/>
      <c r="FK48" s="146"/>
      <c r="FL48" s="146"/>
      <c r="FM48" s="146"/>
      <c r="FN48" s="146"/>
      <c r="FO48" s="146"/>
      <c r="FP48" s="146"/>
      <c r="FQ48" s="146"/>
      <c r="FR48" s="146"/>
      <c r="FS48" s="146"/>
      <c r="FT48" s="146"/>
      <c r="FU48" s="146"/>
      <c r="FV48" s="146"/>
      <c r="FW48" s="146"/>
      <c r="FX48" s="146"/>
      <c r="FY48" s="146"/>
      <c r="FZ48" s="146"/>
      <c r="GA48" s="146"/>
      <c r="GB48" s="146"/>
      <c r="GC48" s="146"/>
      <c r="GD48" s="146"/>
      <c r="GE48" s="146"/>
      <c r="GF48" s="146"/>
      <c r="GG48" s="146"/>
      <c r="GH48" s="146"/>
      <c r="GI48" s="146"/>
      <c r="GJ48" s="146"/>
    </row>
    <row r="49" spans="1:192" ht="192" outlineLevel="1" x14ac:dyDescent="0.35">
      <c r="A49" s="225" t="s">
        <v>5</v>
      </c>
      <c r="B49" s="192"/>
      <c r="C49" s="193" t="s">
        <v>279</v>
      </c>
      <c r="D49" s="194" t="s">
        <v>24</v>
      </c>
      <c r="E49" s="209" t="s">
        <v>915</v>
      </c>
      <c r="F49" s="82"/>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46"/>
      <c r="DZ49" s="146"/>
      <c r="EA49" s="146"/>
      <c r="EB49" s="146"/>
      <c r="EC49" s="146"/>
      <c r="ED49" s="146"/>
      <c r="EE49" s="146"/>
      <c r="EF49" s="146"/>
      <c r="EG49" s="146"/>
      <c r="EH49" s="146"/>
      <c r="EI49" s="146"/>
      <c r="EJ49" s="146"/>
      <c r="EK49" s="146"/>
      <c r="EL49" s="146"/>
      <c r="EM49" s="146"/>
      <c r="EN49" s="146"/>
      <c r="EO49" s="146"/>
      <c r="EP49" s="146"/>
      <c r="EQ49" s="146"/>
      <c r="ER49" s="146"/>
      <c r="ES49" s="146"/>
      <c r="ET49" s="146"/>
      <c r="EU49" s="146"/>
      <c r="EV49" s="146"/>
      <c r="EW49" s="146"/>
      <c r="EX49" s="146"/>
      <c r="EY49" s="146"/>
      <c r="EZ49" s="146"/>
      <c r="FA49" s="146"/>
      <c r="FB49" s="146"/>
      <c r="FC49" s="146"/>
      <c r="FD49" s="146"/>
      <c r="FE49" s="146"/>
      <c r="FF49" s="146"/>
      <c r="FG49" s="146"/>
      <c r="FH49" s="146"/>
      <c r="FI49" s="146"/>
      <c r="FJ49" s="146"/>
      <c r="FK49" s="146"/>
      <c r="FL49" s="146"/>
      <c r="FM49" s="146"/>
      <c r="FN49" s="146"/>
      <c r="FO49" s="146"/>
      <c r="FP49" s="146"/>
      <c r="FQ49" s="146"/>
      <c r="FR49" s="146"/>
      <c r="FS49" s="146"/>
      <c r="FT49" s="146"/>
      <c r="FU49" s="146"/>
      <c r="FV49" s="146"/>
      <c r="FW49" s="146"/>
      <c r="FX49" s="146"/>
      <c r="FY49" s="146"/>
      <c r="FZ49" s="146"/>
      <c r="GA49" s="146"/>
      <c r="GB49" s="146"/>
      <c r="GC49" s="146"/>
      <c r="GD49" s="146"/>
      <c r="GE49" s="146"/>
      <c r="GF49" s="146"/>
      <c r="GG49" s="146"/>
      <c r="GH49" s="146"/>
      <c r="GI49" s="146"/>
      <c r="GJ49" s="146"/>
    </row>
    <row r="50" spans="1:192" ht="63" outlineLevel="1" x14ac:dyDescent="0.35">
      <c r="A50" s="225" t="s">
        <v>5</v>
      </c>
      <c r="B50" s="192"/>
      <c r="C50" s="193" t="s">
        <v>280</v>
      </c>
      <c r="D50" s="194" t="s">
        <v>24</v>
      </c>
      <c r="E50" s="209" t="s">
        <v>702</v>
      </c>
      <c r="F50" s="82"/>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46"/>
      <c r="DZ50" s="146"/>
      <c r="EA50" s="146"/>
      <c r="EB50" s="146"/>
      <c r="EC50" s="146"/>
      <c r="ED50" s="146"/>
      <c r="EE50" s="146"/>
      <c r="EF50" s="146"/>
      <c r="EG50" s="146"/>
      <c r="EH50" s="146"/>
      <c r="EI50" s="146"/>
      <c r="EJ50" s="146"/>
      <c r="EK50" s="146"/>
      <c r="EL50" s="146"/>
      <c r="EM50" s="146"/>
      <c r="EN50" s="146"/>
      <c r="EO50" s="146"/>
      <c r="EP50" s="146"/>
      <c r="EQ50" s="146"/>
      <c r="ER50" s="146"/>
      <c r="ES50" s="146"/>
      <c r="ET50" s="146"/>
      <c r="EU50" s="146"/>
      <c r="EV50" s="146"/>
      <c r="EW50" s="146"/>
      <c r="EX50" s="146"/>
      <c r="EY50" s="146"/>
      <c r="EZ50" s="146"/>
      <c r="FA50" s="146"/>
      <c r="FB50" s="146"/>
      <c r="FC50" s="146"/>
      <c r="FD50" s="146"/>
      <c r="FE50" s="146"/>
      <c r="FF50" s="146"/>
      <c r="FG50" s="146"/>
      <c r="FH50" s="146"/>
      <c r="FI50" s="146"/>
      <c r="FJ50" s="146"/>
      <c r="FK50" s="146"/>
      <c r="FL50" s="146"/>
      <c r="FM50" s="146"/>
      <c r="FN50" s="146"/>
      <c r="FO50" s="146"/>
      <c r="FP50" s="146"/>
      <c r="FQ50" s="146"/>
      <c r="FR50" s="146"/>
      <c r="FS50" s="146"/>
      <c r="FT50" s="146"/>
      <c r="FU50" s="146"/>
      <c r="FV50" s="146"/>
      <c r="FW50" s="146"/>
      <c r="FX50" s="146"/>
      <c r="FY50" s="146"/>
      <c r="FZ50" s="146"/>
      <c r="GA50" s="146"/>
      <c r="GB50" s="146"/>
      <c r="GC50" s="146"/>
      <c r="GD50" s="146"/>
      <c r="GE50" s="146"/>
      <c r="GF50" s="146"/>
      <c r="GG50" s="146"/>
      <c r="GH50" s="146"/>
      <c r="GI50" s="146"/>
      <c r="GJ50" s="146"/>
    </row>
    <row r="51" spans="1:192" ht="105" outlineLevel="1" x14ac:dyDescent="0.35">
      <c r="A51" s="225" t="s">
        <v>5</v>
      </c>
      <c r="B51" s="192"/>
      <c r="C51" s="193" t="s">
        <v>495</v>
      </c>
      <c r="D51" s="194" t="s">
        <v>24</v>
      </c>
      <c r="E51" s="209" t="s">
        <v>916</v>
      </c>
      <c r="F51" s="82"/>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row>
    <row r="52" spans="1:192" ht="162" outlineLevel="1" x14ac:dyDescent="0.35">
      <c r="A52" s="225" t="s">
        <v>5</v>
      </c>
      <c r="B52" s="192"/>
      <c r="C52" s="193" t="s">
        <v>496</v>
      </c>
      <c r="D52" s="194" t="s">
        <v>24</v>
      </c>
      <c r="E52" s="209" t="s">
        <v>917</v>
      </c>
      <c r="F52" s="82"/>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46"/>
      <c r="DZ52" s="146"/>
      <c r="EA52" s="146"/>
      <c r="EB52" s="146"/>
      <c r="EC52" s="146"/>
      <c r="ED52" s="146"/>
      <c r="EE52" s="146"/>
      <c r="EF52" s="146"/>
      <c r="EG52" s="146"/>
      <c r="EH52" s="146"/>
      <c r="EI52" s="146"/>
      <c r="EJ52" s="146"/>
      <c r="EK52" s="146"/>
      <c r="EL52" s="146"/>
      <c r="EM52" s="146"/>
      <c r="EN52" s="146"/>
      <c r="EO52" s="146"/>
      <c r="EP52" s="146"/>
      <c r="EQ52" s="146"/>
      <c r="ER52" s="146"/>
      <c r="ES52" s="146"/>
      <c r="ET52" s="146"/>
      <c r="EU52" s="146"/>
      <c r="EV52" s="146"/>
      <c r="EW52" s="146"/>
      <c r="EX52" s="146"/>
      <c r="EY52" s="146"/>
      <c r="EZ52" s="146"/>
      <c r="FA52" s="146"/>
      <c r="FB52" s="146"/>
      <c r="FC52" s="146"/>
      <c r="FD52" s="146"/>
      <c r="FE52" s="146"/>
      <c r="FF52" s="146"/>
      <c r="FG52" s="146"/>
      <c r="FH52" s="146"/>
      <c r="FI52" s="146"/>
      <c r="FJ52" s="146"/>
      <c r="FK52" s="146"/>
      <c r="FL52" s="146"/>
      <c r="FM52" s="146"/>
      <c r="FN52" s="146"/>
      <c r="FO52" s="146"/>
      <c r="FP52" s="146"/>
      <c r="FQ52" s="146"/>
      <c r="FR52" s="146"/>
      <c r="FS52" s="146"/>
      <c r="FT52" s="146"/>
      <c r="FU52" s="146"/>
      <c r="FV52" s="146"/>
      <c r="FW52" s="146"/>
      <c r="FX52" s="146"/>
      <c r="FY52" s="146"/>
      <c r="FZ52" s="146"/>
      <c r="GA52" s="146"/>
      <c r="GB52" s="146"/>
      <c r="GC52" s="146"/>
      <c r="GD52" s="146"/>
      <c r="GE52" s="146"/>
      <c r="GF52" s="146"/>
      <c r="GG52" s="146"/>
      <c r="GH52" s="146"/>
      <c r="GI52" s="146"/>
      <c r="GJ52" s="146"/>
    </row>
    <row r="53" spans="1:192" ht="131.5" outlineLevel="1" x14ac:dyDescent="0.35">
      <c r="A53" s="225" t="s">
        <v>5</v>
      </c>
      <c r="B53" s="189" t="s">
        <v>918</v>
      </c>
      <c r="C53" s="190" t="s">
        <v>281</v>
      </c>
      <c r="D53" s="191" t="s">
        <v>24</v>
      </c>
      <c r="E53" s="204" t="s">
        <v>919</v>
      </c>
      <c r="F53" s="78"/>
      <c r="G53" s="117"/>
      <c r="H53" s="117"/>
      <c r="I53" s="117"/>
      <c r="J53" s="117"/>
      <c r="K53" s="117"/>
      <c r="L53" s="117"/>
      <c r="M53" s="117"/>
      <c r="N53" s="117"/>
      <c r="O53" s="117"/>
      <c r="P53" s="117"/>
      <c r="Q53" s="117"/>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46"/>
      <c r="DZ53" s="146"/>
      <c r="EA53" s="146"/>
      <c r="EB53" s="146"/>
      <c r="EC53" s="146"/>
      <c r="ED53" s="146"/>
      <c r="EE53" s="146"/>
      <c r="EF53" s="146"/>
      <c r="EG53" s="146"/>
      <c r="EH53" s="146"/>
      <c r="EI53" s="146"/>
      <c r="EJ53" s="146"/>
      <c r="EK53" s="146"/>
      <c r="EL53" s="146"/>
      <c r="EM53" s="146"/>
      <c r="EN53" s="146"/>
      <c r="EO53" s="146"/>
      <c r="EP53" s="146"/>
      <c r="EQ53" s="146"/>
      <c r="ER53" s="146"/>
      <c r="ES53" s="146"/>
      <c r="ET53" s="146"/>
      <c r="EU53" s="146"/>
      <c r="EV53" s="146"/>
      <c r="EW53" s="146"/>
      <c r="EX53" s="146"/>
      <c r="EY53" s="146"/>
      <c r="EZ53" s="146"/>
      <c r="FA53" s="146"/>
      <c r="FB53" s="146"/>
      <c r="FC53" s="146"/>
      <c r="FD53" s="146"/>
      <c r="FE53" s="146"/>
      <c r="FF53" s="146"/>
      <c r="FG53" s="146"/>
      <c r="FH53" s="146"/>
      <c r="FI53" s="146"/>
      <c r="FJ53" s="146"/>
      <c r="FK53" s="146"/>
      <c r="FL53" s="146"/>
      <c r="FM53" s="146"/>
      <c r="FN53" s="146"/>
      <c r="FO53" s="146"/>
      <c r="FP53" s="146"/>
      <c r="FQ53" s="146"/>
      <c r="FR53" s="146"/>
      <c r="FS53" s="146"/>
      <c r="FT53" s="146"/>
      <c r="FU53" s="146"/>
      <c r="FV53" s="146"/>
      <c r="FW53" s="146"/>
      <c r="FX53" s="146"/>
      <c r="FY53" s="146"/>
      <c r="FZ53" s="146"/>
      <c r="GA53" s="146"/>
      <c r="GB53" s="146"/>
      <c r="GC53" s="146"/>
      <c r="GD53" s="146"/>
      <c r="GE53" s="146"/>
      <c r="GF53" s="146"/>
      <c r="GG53" s="146"/>
      <c r="GH53" s="146"/>
      <c r="GI53" s="146"/>
      <c r="GJ53" s="146"/>
    </row>
    <row r="54" spans="1:192" ht="122.5" outlineLevel="1" x14ac:dyDescent="0.35">
      <c r="A54" s="225" t="s">
        <v>5</v>
      </c>
      <c r="B54" s="189"/>
      <c r="C54" s="190" t="s">
        <v>282</v>
      </c>
      <c r="D54" s="191" t="s">
        <v>24</v>
      </c>
      <c r="E54" s="210" t="s">
        <v>920</v>
      </c>
      <c r="F54" s="78"/>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46"/>
      <c r="DZ54" s="146"/>
      <c r="EA54" s="146"/>
      <c r="EB54" s="146"/>
      <c r="EC54" s="146"/>
      <c r="ED54" s="146"/>
      <c r="EE54" s="146"/>
      <c r="EF54" s="146"/>
      <c r="EG54" s="146"/>
      <c r="EH54" s="146"/>
      <c r="EI54" s="146"/>
      <c r="EJ54" s="146"/>
      <c r="EK54" s="146"/>
      <c r="EL54" s="146"/>
      <c r="EM54" s="146"/>
      <c r="EN54" s="146"/>
      <c r="EO54" s="146"/>
      <c r="EP54" s="146"/>
      <c r="EQ54" s="146"/>
      <c r="ER54" s="146"/>
      <c r="ES54" s="146"/>
      <c r="ET54" s="146"/>
      <c r="EU54" s="146"/>
      <c r="EV54" s="146"/>
      <c r="EW54" s="146"/>
      <c r="EX54" s="146"/>
      <c r="EY54" s="146"/>
      <c r="EZ54" s="146"/>
      <c r="FA54" s="146"/>
      <c r="FB54" s="146"/>
      <c r="FC54" s="146"/>
      <c r="FD54" s="146"/>
      <c r="FE54" s="146"/>
      <c r="FF54" s="146"/>
      <c r="FG54" s="146"/>
      <c r="FH54" s="146"/>
      <c r="FI54" s="146"/>
      <c r="FJ54" s="146"/>
      <c r="FK54" s="146"/>
      <c r="FL54" s="146"/>
      <c r="FM54" s="146"/>
      <c r="FN54" s="146"/>
      <c r="FO54" s="146"/>
      <c r="FP54" s="146"/>
      <c r="FQ54" s="146"/>
      <c r="FR54" s="146"/>
      <c r="FS54" s="146"/>
      <c r="FT54" s="146"/>
      <c r="FU54" s="146"/>
      <c r="FV54" s="146"/>
      <c r="FW54" s="146"/>
      <c r="FX54" s="146"/>
      <c r="FY54" s="146"/>
      <c r="FZ54" s="146"/>
      <c r="GA54" s="146"/>
      <c r="GB54" s="146"/>
      <c r="GC54" s="146"/>
      <c r="GD54" s="146"/>
      <c r="GE54" s="146"/>
      <c r="GF54" s="146"/>
      <c r="GG54" s="146"/>
      <c r="GH54" s="146"/>
      <c r="GI54" s="146"/>
      <c r="GJ54" s="146"/>
    </row>
    <row r="55" spans="1:192" ht="132" outlineLevel="1" x14ac:dyDescent="0.35">
      <c r="A55" s="225" t="s">
        <v>5</v>
      </c>
      <c r="B55" s="189"/>
      <c r="C55" s="190" t="s">
        <v>283</v>
      </c>
      <c r="D55" s="191" t="s">
        <v>24</v>
      </c>
      <c r="E55" s="204" t="s">
        <v>921</v>
      </c>
      <c r="F55" s="78"/>
      <c r="G55" s="117"/>
      <c r="H55" s="117"/>
      <c r="I55" s="117"/>
      <c r="J55" s="117"/>
      <c r="K55" s="117"/>
      <c r="L55" s="117"/>
      <c r="M55" s="117"/>
      <c r="N55" s="117"/>
      <c r="O55" s="117"/>
      <c r="P55" s="117"/>
      <c r="Q55" s="117"/>
      <c r="R55" s="117"/>
      <c r="S55" s="117"/>
      <c r="T55" s="117"/>
      <c r="U55" s="117"/>
      <c r="V55" s="117"/>
      <c r="W55" s="117"/>
      <c r="X55" s="117"/>
      <c r="Y55" s="117"/>
      <c r="Z55" s="117"/>
      <c r="AA55" s="117"/>
      <c r="AB55" s="117"/>
      <c r="AC55" s="117"/>
      <c r="AD55" s="117"/>
      <c r="AE55" s="117"/>
      <c r="AF55" s="117"/>
      <c r="AG55" s="117"/>
      <c r="AH55" s="117"/>
      <c r="AI55" s="117"/>
      <c r="AJ55" s="117"/>
      <c r="AK55" s="117"/>
      <c r="AL55" s="117"/>
      <c r="AM55" s="117"/>
      <c r="AN55" s="117"/>
      <c r="AO55" s="117"/>
      <c r="AP55" s="117"/>
      <c r="AQ55" s="117"/>
      <c r="AR55" s="117"/>
      <c r="AS55" s="117"/>
      <c r="AT55" s="117"/>
      <c r="AU55" s="117"/>
      <c r="AV55" s="117"/>
      <c r="AW55" s="117"/>
      <c r="AX55" s="117"/>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46"/>
      <c r="DZ55" s="146"/>
      <c r="EA55" s="146"/>
      <c r="EB55" s="146"/>
      <c r="EC55" s="146"/>
      <c r="ED55" s="146"/>
      <c r="EE55" s="146"/>
      <c r="EF55" s="146"/>
      <c r="EG55" s="146"/>
      <c r="EH55" s="146"/>
      <c r="EI55" s="146"/>
      <c r="EJ55" s="146"/>
      <c r="EK55" s="146"/>
      <c r="EL55" s="146"/>
      <c r="EM55" s="146"/>
      <c r="EN55" s="146"/>
      <c r="EO55" s="146"/>
      <c r="EP55" s="146"/>
      <c r="EQ55" s="146"/>
      <c r="ER55" s="146"/>
      <c r="ES55" s="146"/>
      <c r="ET55" s="146"/>
      <c r="EU55" s="146"/>
      <c r="EV55" s="146"/>
      <c r="EW55" s="146"/>
      <c r="EX55" s="146"/>
      <c r="EY55" s="146"/>
      <c r="EZ55" s="146"/>
      <c r="FA55" s="146"/>
      <c r="FB55" s="146"/>
      <c r="FC55" s="146"/>
      <c r="FD55" s="146"/>
      <c r="FE55" s="146"/>
      <c r="FF55" s="146"/>
      <c r="FG55" s="146"/>
      <c r="FH55" s="146"/>
      <c r="FI55" s="146"/>
      <c r="FJ55" s="146"/>
      <c r="FK55" s="146"/>
      <c r="FL55" s="146"/>
      <c r="FM55" s="146"/>
      <c r="FN55" s="146"/>
      <c r="FO55" s="146"/>
      <c r="FP55" s="146"/>
      <c r="FQ55" s="146"/>
      <c r="FR55" s="146"/>
      <c r="FS55" s="146"/>
      <c r="FT55" s="146"/>
      <c r="FU55" s="146"/>
      <c r="FV55" s="146"/>
      <c r="FW55" s="146"/>
      <c r="FX55" s="146"/>
      <c r="FY55" s="146"/>
      <c r="FZ55" s="146"/>
      <c r="GA55" s="146"/>
      <c r="GB55" s="146"/>
      <c r="GC55" s="146"/>
      <c r="GD55" s="146"/>
      <c r="GE55" s="146"/>
      <c r="GF55" s="146"/>
      <c r="GG55" s="146"/>
      <c r="GH55" s="146"/>
      <c r="GI55" s="146"/>
      <c r="GJ55" s="146"/>
    </row>
    <row r="56" spans="1:192" ht="142.5" x14ac:dyDescent="0.35">
      <c r="A56" s="225" t="s">
        <v>5</v>
      </c>
      <c r="B56" s="189"/>
      <c r="C56" s="190" t="s">
        <v>284</v>
      </c>
      <c r="D56" s="191" t="s">
        <v>24</v>
      </c>
      <c r="E56" s="210" t="s">
        <v>922</v>
      </c>
      <c r="F56" s="78"/>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7"/>
      <c r="AR56" s="117"/>
      <c r="AS56" s="117"/>
      <c r="AT56" s="117"/>
      <c r="AU56" s="117"/>
      <c r="AV56" s="117"/>
      <c r="AW56" s="117"/>
      <c r="AX56" s="117"/>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46"/>
      <c r="DZ56" s="146"/>
      <c r="EA56" s="146"/>
      <c r="EB56" s="146"/>
      <c r="EC56" s="146"/>
      <c r="ED56" s="146"/>
      <c r="EE56" s="146"/>
      <c r="EF56" s="146"/>
      <c r="EG56" s="146"/>
      <c r="EH56" s="146"/>
      <c r="EI56" s="146"/>
      <c r="EJ56" s="146"/>
      <c r="EK56" s="146"/>
      <c r="EL56" s="146"/>
      <c r="EM56" s="146"/>
      <c r="EN56" s="146"/>
      <c r="EO56" s="146"/>
      <c r="EP56" s="146"/>
      <c r="EQ56" s="146"/>
      <c r="ER56" s="146"/>
      <c r="ES56" s="146"/>
      <c r="ET56" s="146"/>
      <c r="EU56" s="146"/>
      <c r="EV56" s="146"/>
      <c r="EW56" s="146"/>
      <c r="EX56" s="146"/>
      <c r="EY56" s="146"/>
      <c r="EZ56" s="146"/>
      <c r="FA56" s="146"/>
      <c r="FB56" s="146"/>
      <c r="FC56" s="146"/>
      <c r="FD56" s="146"/>
      <c r="FE56" s="146"/>
      <c r="FF56" s="146"/>
      <c r="FG56" s="146"/>
      <c r="FH56" s="146"/>
      <c r="FI56" s="146"/>
      <c r="FJ56" s="146"/>
      <c r="FK56" s="146"/>
      <c r="FL56" s="146"/>
      <c r="FM56" s="146"/>
      <c r="FN56" s="146"/>
      <c r="FO56" s="146"/>
      <c r="FP56" s="146"/>
      <c r="FQ56" s="146"/>
      <c r="FR56" s="146"/>
      <c r="FS56" s="146"/>
      <c r="FT56" s="146"/>
      <c r="FU56" s="146"/>
      <c r="FV56" s="146"/>
      <c r="FW56" s="146"/>
      <c r="FX56" s="146"/>
      <c r="FY56" s="146"/>
      <c r="FZ56" s="146"/>
      <c r="GA56" s="146"/>
      <c r="GB56" s="146"/>
      <c r="GC56" s="146"/>
      <c r="GD56" s="146"/>
      <c r="GE56" s="146"/>
      <c r="GF56" s="146"/>
      <c r="GG56" s="146"/>
      <c r="GH56" s="146"/>
      <c r="GI56" s="146"/>
      <c r="GJ56" s="146"/>
    </row>
    <row r="57" spans="1:192" ht="162" outlineLevel="1" x14ac:dyDescent="0.35">
      <c r="A57" s="225" t="s">
        <v>5</v>
      </c>
      <c r="B57" s="189"/>
      <c r="C57" s="190" t="s">
        <v>285</v>
      </c>
      <c r="D57" s="191" t="s">
        <v>24</v>
      </c>
      <c r="E57" s="204" t="s">
        <v>923</v>
      </c>
      <c r="F57" s="78"/>
      <c r="G57" s="117"/>
      <c r="H57" s="117"/>
      <c r="I57" s="117"/>
      <c r="J57" s="117"/>
      <c r="K57" s="117"/>
      <c r="L57" s="117"/>
      <c r="M57" s="117"/>
      <c r="N57" s="117"/>
      <c r="O57" s="117"/>
      <c r="P57" s="117"/>
      <c r="Q57" s="117"/>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46"/>
      <c r="DZ57" s="146"/>
      <c r="EA57" s="146"/>
      <c r="EB57" s="146"/>
      <c r="EC57" s="146"/>
      <c r="ED57" s="146"/>
      <c r="EE57" s="146"/>
      <c r="EF57" s="146"/>
      <c r="EG57" s="146"/>
      <c r="EH57" s="146"/>
      <c r="EI57" s="146"/>
      <c r="EJ57" s="146"/>
      <c r="EK57" s="146"/>
      <c r="EL57" s="146"/>
      <c r="EM57" s="146"/>
      <c r="EN57" s="146"/>
      <c r="EO57" s="146"/>
      <c r="EP57" s="146"/>
      <c r="EQ57" s="146"/>
      <c r="ER57" s="146"/>
      <c r="ES57" s="146"/>
      <c r="ET57" s="146"/>
      <c r="EU57" s="146"/>
      <c r="EV57" s="146"/>
      <c r="EW57" s="146"/>
      <c r="EX57" s="146"/>
      <c r="EY57" s="146"/>
      <c r="EZ57" s="146"/>
      <c r="FA57" s="146"/>
      <c r="FB57" s="146"/>
      <c r="FC57" s="146"/>
      <c r="FD57" s="146"/>
      <c r="FE57" s="146"/>
      <c r="FF57" s="146"/>
      <c r="FG57" s="146"/>
      <c r="FH57" s="146"/>
      <c r="FI57" s="146"/>
      <c r="FJ57" s="146"/>
      <c r="FK57" s="146"/>
      <c r="FL57" s="146"/>
      <c r="FM57" s="146"/>
      <c r="FN57" s="146"/>
      <c r="FO57" s="146"/>
      <c r="FP57" s="146"/>
      <c r="FQ57" s="146"/>
      <c r="FR57" s="146"/>
      <c r="FS57" s="146"/>
      <c r="FT57" s="146"/>
      <c r="FU57" s="146"/>
      <c r="FV57" s="146"/>
      <c r="FW57" s="146"/>
      <c r="FX57" s="146"/>
      <c r="FY57" s="146"/>
      <c r="FZ57" s="146"/>
      <c r="GA57" s="146"/>
      <c r="GB57" s="146"/>
      <c r="GC57" s="146"/>
      <c r="GD57" s="146"/>
      <c r="GE57" s="146"/>
      <c r="GF57" s="146"/>
      <c r="GG57" s="146"/>
      <c r="GH57" s="146"/>
      <c r="GI57" s="146"/>
      <c r="GJ57" s="146"/>
    </row>
    <row r="58" spans="1:192" ht="182" outlineLevel="1" x14ac:dyDescent="0.35">
      <c r="A58" s="225" t="s">
        <v>5</v>
      </c>
      <c r="B58" s="189"/>
      <c r="C58" s="190" t="s">
        <v>286</v>
      </c>
      <c r="D58" s="191" t="s">
        <v>24</v>
      </c>
      <c r="E58" s="210" t="s">
        <v>924</v>
      </c>
      <c r="F58" s="78"/>
      <c r="G58" s="117"/>
      <c r="H58" s="117"/>
      <c r="I58" s="117"/>
      <c r="J58" s="117"/>
      <c r="K58" s="117"/>
      <c r="L58" s="117"/>
      <c r="M58" s="117"/>
      <c r="N58" s="117"/>
      <c r="O58" s="117"/>
      <c r="P58" s="117"/>
      <c r="Q58" s="117"/>
      <c r="R58" s="117"/>
      <c r="S58" s="117"/>
      <c r="T58" s="117"/>
      <c r="U58" s="117"/>
      <c r="V58" s="117"/>
      <c r="W58" s="117"/>
      <c r="X58" s="117"/>
      <c r="Y58" s="117"/>
      <c r="Z58" s="117"/>
      <c r="AA58" s="117"/>
      <c r="AB58" s="117"/>
      <c r="AC58" s="117"/>
      <c r="AD58" s="117"/>
      <c r="AE58" s="117"/>
      <c r="AF58" s="117"/>
      <c r="AG58" s="117"/>
      <c r="AH58" s="117"/>
      <c r="AI58" s="117"/>
      <c r="AJ58" s="117"/>
      <c r="AK58" s="117"/>
      <c r="AL58" s="117"/>
      <c r="AM58" s="117"/>
      <c r="AN58" s="117"/>
      <c r="AO58" s="117"/>
      <c r="AP58" s="117"/>
      <c r="AQ58" s="117"/>
      <c r="AR58" s="117"/>
      <c r="AS58" s="117"/>
      <c r="AT58" s="117"/>
      <c r="AU58" s="117"/>
      <c r="AV58" s="117"/>
      <c r="AW58" s="117"/>
      <c r="AX58" s="117"/>
      <c r="AY58" s="146"/>
      <c r="AZ58" s="146"/>
      <c r="BA58" s="146"/>
      <c r="BB58" s="146"/>
      <c r="BC58" s="146"/>
      <c r="BD58" s="146"/>
      <c r="BE58" s="146"/>
      <c r="BF58" s="146"/>
      <c r="BG58" s="146"/>
      <c r="BH58" s="146"/>
      <c r="BI58" s="146"/>
      <c r="BJ58" s="146"/>
      <c r="BK58" s="146"/>
      <c r="BL58" s="146"/>
      <c r="BM58" s="146"/>
      <c r="BN58" s="146"/>
      <c r="BO58" s="146"/>
      <c r="BP58" s="146"/>
      <c r="BQ58" s="146"/>
      <c r="BR58" s="146"/>
      <c r="BS58" s="146"/>
      <c r="BT58" s="146"/>
      <c r="BU58" s="146"/>
      <c r="BV58" s="146"/>
      <c r="BW58" s="146"/>
      <c r="BX58" s="146"/>
      <c r="BY58" s="146"/>
      <c r="BZ58" s="146"/>
      <c r="CA58" s="146"/>
      <c r="CB58" s="146"/>
      <c r="CC58" s="146"/>
      <c r="CD58" s="146"/>
      <c r="CE58" s="146"/>
      <c r="CF58" s="146"/>
      <c r="CG58" s="146"/>
      <c r="CH58" s="146"/>
      <c r="CI58" s="146"/>
      <c r="CJ58" s="146"/>
      <c r="CK58" s="146"/>
      <c r="CL58" s="146"/>
      <c r="CM58" s="146"/>
      <c r="CN58" s="146"/>
      <c r="CO58" s="146"/>
      <c r="CP58" s="146"/>
      <c r="CQ58" s="146"/>
      <c r="CR58" s="146"/>
      <c r="CS58" s="146"/>
      <c r="CT58" s="146"/>
      <c r="CU58" s="146"/>
      <c r="CV58" s="146"/>
      <c r="CW58" s="146"/>
      <c r="CX58" s="146"/>
      <c r="CY58" s="146"/>
      <c r="CZ58" s="146"/>
      <c r="DA58" s="146"/>
      <c r="DB58" s="146"/>
      <c r="DC58" s="146"/>
      <c r="DD58" s="146"/>
      <c r="DE58" s="146"/>
      <c r="DF58" s="146"/>
      <c r="DG58" s="146"/>
      <c r="DH58" s="146"/>
      <c r="DI58" s="146"/>
      <c r="DJ58" s="146"/>
      <c r="DK58" s="146"/>
      <c r="DL58" s="146"/>
      <c r="DM58" s="146"/>
      <c r="DN58" s="146"/>
      <c r="DO58" s="146"/>
      <c r="DP58" s="146"/>
      <c r="DQ58" s="146"/>
      <c r="DR58" s="146"/>
      <c r="DS58" s="146"/>
      <c r="DT58" s="146"/>
      <c r="DU58" s="146"/>
      <c r="DV58" s="146"/>
      <c r="DW58" s="146"/>
      <c r="DX58" s="146"/>
      <c r="DY58" s="146"/>
      <c r="DZ58" s="146"/>
      <c r="EA58" s="146"/>
      <c r="EB58" s="146"/>
      <c r="EC58" s="146"/>
      <c r="ED58" s="146"/>
      <c r="EE58" s="146"/>
      <c r="EF58" s="146"/>
      <c r="EG58" s="146"/>
      <c r="EH58" s="146"/>
      <c r="EI58" s="146"/>
      <c r="EJ58" s="146"/>
      <c r="EK58" s="146"/>
      <c r="EL58" s="146"/>
      <c r="EM58" s="146"/>
      <c r="EN58" s="146"/>
      <c r="EO58" s="146"/>
      <c r="EP58" s="146"/>
      <c r="EQ58" s="146"/>
      <c r="ER58" s="146"/>
      <c r="ES58" s="146"/>
      <c r="ET58" s="146"/>
      <c r="EU58" s="146"/>
      <c r="EV58" s="146"/>
      <c r="EW58" s="146"/>
      <c r="EX58" s="146"/>
      <c r="EY58" s="146"/>
      <c r="EZ58" s="146"/>
      <c r="FA58" s="146"/>
      <c r="FB58" s="146"/>
      <c r="FC58" s="146"/>
      <c r="FD58" s="146"/>
      <c r="FE58" s="146"/>
      <c r="FF58" s="146"/>
      <c r="FG58" s="146"/>
      <c r="FH58" s="146"/>
      <c r="FI58" s="146"/>
      <c r="FJ58" s="146"/>
      <c r="FK58" s="146"/>
      <c r="FL58" s="146"/>
      <c r="FM58" s="146"/>
      <c r="FN58" s="146"/>
      <c r="FO58" s="146"/>
      <c r="FP58" s="146"/>
      <c r="FQ58" s="146"/>
      <c r="FR58" s="146"/>
      <c r="FS58" s="146"/>
      <c r="FT58" s="146"/>
      <c r="FU58" s="146"/>
      <c r="FV58" s="146"/>
      <c r="FW58" s="146"/>
      <c r="FX58" s="146"/>
      <c r="FY58" s="146"/>
      <c r="FZ58" s="146"/>
      <c r="GA58" s="146"/>
      <c r="GB58" s="146"/>
      <c r="GC58" s="146"/>
      <c r="GD58" s="146"/>
      <c r="GE58" s="146"/>
      <c r="GF58" s="146"/>
      <c r="GG58" s="146"/>
      <c r="GH58" s="146"/>
      <c r="GI58" s="146"/>
      <c r="GJ58" s="146"/>
    </row>
    <row r="59" spans="1:192" ht="73.5" outlineLevel="1" x14ac:dyDescent="0.35">
      <c r="A59" s="225" t="s">
        <v>5</v>
      </c>
      <c r="B59" s="192" t="s">
        <v>925</v>
      </c>
      <c r="C59" s="193" t="s">
        <v>287</v>
      </c>
      <c r="D59" s="194" t="s">
        <v>25</v>
      </c>
      <c r="E59" s="209" t="s">
        <v>703</v>
      </c>
      <c r="F59" s="82"/>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c r="AJ59" s="117"/>
      <c r="AK59" s="117"/>
      <c r="AL59" s="117"/>
      <c r="AM59" s="117"/>
      <c r="AN59" s="117"/>
      <c r="AO59" s="117"/>
      <c r="AP59" s="117"/>
      <c r="AQ59" s="117"/>
      <c r="AR59" s="117"/>
      <c r="AS59" s="117"/>
      <c r="AT59" s="117"/>
      <c r="AU59" s="117"/>
      <c r="AV59" s="117"/>
      <c r="AW59" s="117"/>
      <c r="AX59" s="117"/>
      <c r="AY59" s="146"/>
      <c r="AZ59" s="146"/>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c r="CI59" s="146"/>
      <c r="CJ59" s="146"/>
      <c r="CK59" s="146"/>
      <c r="CL59" s="146"/>
      <c r="CM59" s="146"/>
      <c r="CN59" s="146"/>
      <c r="CO59" s="146"/>
      <c r="CP59" s="146"/>
      <c r="CQ59" s="146"/>
      <c r="CR59" s="146"/>
      <c r="CS59" s="146"/>
      <c r="CT59" s="146"/>
      <c r="CU59" s="146"/>
      <c r="CV59" s="146"/>
      <c r="CW59" s="146"/>
      <c r="CX59" s="146"/>
      <c r="CY59" s="146"/>
      <c r="CZ59" s="146"/>
      <c r="DA59" s="146"/>
      <c r="DB59" s="146"/>
      <c r="DC59" s="146"/>
      <c r="DD59" s="146"/>
      <c r="DE59" s="146"/>
      <c r="DF59" s="146"/>
      <c r="DG59" s="146"/>
      <c r="DH59" s="146"/>
      <c r="DI59" s="146"/>
      <c r="DJ59" s="146"/>
      <c r="DK59" s="146"/>
      <c r="DL59" s="146"/>
      <c r="DM59" s="146"/>
      <c r="DN59" s="146"/>
      <c r="DO59" s="146"/>
      <c r="DP59" s="146"/>
      <c r="DQ59" s="146"/>
      <c r="DR59" s="146"/>
      <c r="DS59" s="146"/>
      <c r="DT59" s="146"/>
      <c r="DU59" s="146"/>
      <c r="DV59" s="146"/>
      <c r="DW59" s="146"/>
      <c r="DX59" s="146"/>
      <c r="DY59" s="146"/>
      <c r="DZ59" s="146"/>
      <c r="EA59" s="146"/>
      <c r="EB59" s="146"/>
      <c r="EC59" s="146"/>
      <c r="ED59" s="146"/>
      <c r="EE59" s="146"/>
      <c r="EF59" s="146"/>
      <c r="EG59" s="146"/>
      <c r="EH59" s="146"/>
      <c r="EI59" s="146"/>
      <c r="EJ59" s="146"/>
      <c r="EK59" s="146"/>
      <c r="EL59" s="146"/>
      <c r="EM59" s="146"/>
      <c r="EN59" s="146"/>
      <c r="EO59" s="146"/>
      <c r="EP59" s="146"/>
      <c r="EQ59" s="146"/>
      <c r="ER59" s="146"/>
      <c r="ES59" s="146"/>
      <c r="ET59" s="146"/>
      <c r="EU59" s="146"/>
      <c r="EV59" s="146"/>
      <c r="EW59" s="146"/>
      <c r="EX59" s="146"/>
      <c r="EY59" s="146"/>
      <c r="EZ59" s="146"/>
      <c r="FA59" s="146"/>
      <c r="FB59" s="146"/>
      <c r="FC59" s="146"/>
      <c r="FD59" s="146"/>
      <c r="FE59" s="146"/>
      <c r="FF59" s="146"/>
      <c r="FG59" s="146"/>
      <c r="FH59" s="146"/>
      <c r="FI59" s="146"/>
      <c r="FJ59" s="146"/>
      <c r="FK59" s="146"/>
      <c r="FL59" s="146"/>
      <c r="FM59" s="146"/>
      <c r="FN59" s="146"/>
      <c r="FO59" s="146"/>
      <c r="FP59" s="146"/>
      <c r="FQ59" s="146"/>
      <c r="FR59" s="146"/>
      <c r="FS59" s="146"/>
      <c r="FT59" s="146"/>
      <c r="FU59" s="146"/>
      <c r="FV59" s="146"/>
      <c r="FW59" s="146"/>
      <c r="FX59" s="146"/>
      <c r="FY59" s="146"/>
      <c r="FZ59" s="146"/>
      <c r="GA59" s="146"/>
      <c r="GB59" s="146"/>
      <c r="GC59" s="146"/>
      <c r="GD59" s="146"/>
      <c r="GE59" s="146"/>
      <c r="GF59" s="146"/>
      <c r="GG59" s="146"/>
      <c r="GH59" s="146"/>
      <c r="GI59" s="146"/>
      <c r="GJ59" s="146"/>
    </row>
    <row r="60" spans="1:192" ht="73.5" outlineLevel="1" x14ac:dyDescent="0.35">
      <c r="A60" s="225" t="s">
        <v>5</v>
      </c>
      <c r="B60" s="192"/>
      <c r="C60" s="193" t="s">
        <v>288</v>
      </c>
      <c r="D60" s="194" t="s">
        <v>25</v>
      </c>
      <c r="E60" s="209" t="s">
        <v>926</v>
      </c>
      <c r="F60" s="82"/>
      <c r="G60" s="117"/>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46"/>
      <c r="AZ60" s="146"/>
      <c r="BA60" s="146"/>
      <c r="BB60" s="146"/>
      <c r="BC60" s="146"/>
      <c r="BD60" s="146"/>
      <c r="BE60" s="146"/>
      <c r="BF60" s="146"/>
      <c r="BG60" s="146"/>
      <c r="BH60" s="146"/>
      <c r="BI60" s="146"/>
      <c r="BJ60" s="146"/>
      <c r="BK60" s="146"/>
      <c r="BL60" s="146"/>
      <c r="BM60" s="146"/>
      <c r="BN60" s="146"/>
      <c r="BO60" s="146"/>
      <c r="BP60" s="146"/>
      <c r="BQ60" s="146"/>
      <c r="BR60" s="146"/>
      <c r="BS60" s="146"/>
      <c r="BT60" s="146"/>
      <c r="BU60" s="146"/>
      <c r="BV60" s="146"/>
      <c r="BW60" s="146"/>
      <c r="BX60" s="146"/>
      <c r="BY60" s="146"/>
      <c r="BZ60" s="146"/>
      <c r="CA60" s="146"/>
      <c r="CB60" s="146"/>
      <c r="CC60" s="146"/>
      <c r="CD60" s="146"/>
      <c r="CE60" s="146"/>
      <c r="CF60" s="146"/>
      <c r="CG60" s="146"/>
      <c r="CH60" s="146"/>
      <c r="CI60" s="146"/>
      <c r="CJ60" s="146"/>
      <c r="CK60" s="146"/>
      <c r="CL60" s="146"/>
      <c r="CM60" s="146"/>
      <c r="CN60" s="146"/>
      <c r="CO60" s="146"/>
      <c r="CP60" s="146"/>
      <c r="CQ60" s="146"/>
      <c r="CR60" s="146"/>
      <c r="CS60" s="146"/>
      <c r="CT60" s="146"/>
      <c r="CU60" s="146"/>
      <c r="CV60" s="146"/>
      <c r="CW60" s="146"/>
      <c r="CX60" s="146"/>
      <c r="CY60" s="146"/>
      <c r="CZ60" s="146"/>
      <c r="DA60" s="146"/>
      <c r="DB60" s="146"/>
      <c r="DC60" s="146"/>
      <c r="DD60" s="146"/>
      <c r="DE60" s="146"/>
      <c r="DF60" s="146"/>
      <c r="DG60" s="146"/>
      <c r="DH60" s="146"/>
      <c r="DI60" s="146"/>
      <c r="DJ60" s="146"/>
      <c r="DK60" s="146"/>
      <c r="DL60" s="146"/>
      <c r="DM60" s="146"/>
      <c r="DN60" s="146"/>
      <c r="DO60" s="146"/>
      <c r="DP60" s="146"/>
      <c r="DQ60" s="146"/>
      <c r="DR60" s="146"/>
      <c r="DS60" s="146"/>
      <c r="DT60" s="146"/>
      <c r="DU60" s="146"/>
      <c r="DV60" s="146"/>
      <c r="DW60" s="146"/>
      <c r="DX60" s="146"/>
      <c r="DY60" s="146"/>
      <c r="DZ60" s="146"/>
      <c r="EA60" s="146"/>
      <c r="EB60" s="146"/>
      <c r="EC60" s="146"/>
      <c r="ED60" s="146"/>
      <c r="EE60" s="146"/>
      <c r="EF60" s="146"/>
      <c r="EG60" s="146"/>
      <c r="EH60" s="146"/>
      <c r="EI60" s="146"/>
      <c r="EJ60" s="146"/>
      <c r="EK60" s="146"/>
      <c r="EL60" s="146"/>
      <c r="EM60" s="146"/>
      <c r="EN60" s="146"/>
      <c r="EO60" s="146"/>
      <c r="EP60" s="146"/>
      <c r="EQ60" s="146"/>
      <c r="ER60" s="146"/>
      <c r="ES60" s="146"/>
      <c r="ET60" s="146"/>
      <c r="EU60" s="146"/>
      <c r="EV60" s="146"/>
      <c r="EW60" s="146"/>
      <c r="EX60" s="146"/>
      <c r="EY60" s="146"/>
      <c r="EZ60" s="146"/>
      <c r="FA60" s="146"/>
      <c r="FB60" s="146"/>
      <c r="FC60" s="146"/>
      <c r="FD60" s="146"/>
      <c r="FE60" s="146"/>
      <c r="FF60" s="146"/>
      <c r="FG60" s="146"/>
      <c r="FH60" s="146"/>
      <c r="FI60" s="146"/>
      <c r="FJ60" s="146"/>
      <c r="FK60" s="146"/>
      <c r="FL60" s="146"/>
      <c r="FM60" s="146"/>
      <c r="FN60" s="146"/>
      <c r="FO60" s="146"/>
      <c r="FP60" s="146"/>
      <c r="FQ60" s="146"/>
      <c r="FR60" s="146"/>
      <c r="FS60" s="146"/>
      <c r="FT60" s="146"/>
      <c r="FU60" s="146"/>
      <c r="FV60" s="146"/>
      <c r="FW60" s="146"/>
      <c r="FX60" s="146"/>
      <c r="FY60" s="146"/>
      <c r="FZ60" s="146"/>
      <c r="GA60" s="146"/>
      <c r="GB60" s="146"/>
      <c r="GC60" s="146"/>
      <c r="GD60" s="146"/>
      <c r="GE60" s="146"/>
      <c r="GF60" s="146"/>
      <c r="GG60" s="146"/>
      <c r="GH60" s="146"/>
      <c r="GI60" s="146"/>
      <c r="GJ60" s="146"/>
    </row>
    <row r="61" spans="1:192" ht="73.5" outlineLevel="1" x14ac:dyDescent="0.35">
      <c r="A61" s="225" t="s">
        <v>5</v>
      </c>
      <c r="B61" s="192"/>
      <c r="C61" s="193" t="s">
        <v>289</v>
      </c>
      <c r="D61" s="194" t="s">
        <v>25</v>
      </c>
      <c r="E61" s="209" t="s">
        <v>704</v>
      </c>
      <c r="F61" s="82"/>
      <c r="G61" s="117"/>
      <c r="H61" s="117"/>
      <c r="I61" s="117"/>
      <c r="J61" s="117"/>
      <c r="K61" s="117"/>
      <c r="L61" s="117"/>
      <c r="M61" s="117"/>
      <c r="N61" s="117"/>
      <c r="O61" s="117"/>
      <c r="P61" s="117"/>
      <c r="Q61" s="117"/>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46"/>
      <c r="AZ61" s="146"/>
      <c r="BA61" s="14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c r="CI61" s="146"/>
      <c r="CJ61" s="146"/>
      <c r="CK61" s="146"/>
      <c r="CL61" s="146"/>
      <c r="CM61" s="146"/>
      <c r="CN61" s="146"/>
      <c r="CO61" s="146"/>
      <c r="CP61" s="146"/>
      <c r="CQ61" s="146"/>
      <c r="CR61" s="146"/>
      <c r="CS61" s="146"/>
      <c r="CT61" s="146"/>
      <c r="CU61" s="146"/>
      <c r="CV61" s="146"/>
      <c r="CW61" s="146"/>
      <c r="CX61" s="146"/>
      <c r="CY61" s="146"/>
      <c r="CZ61" s="146"/>
      <c r="DA61" s="146"/>
      <c r="DB61" s="146"/>
      <c r="DC61" s="146"/>
      <c r="DD61" s="146"/>
      <c r="DE61" s="146"/>
      <c r="DF61" s="146"/>
      <c r="DG61" s="146"/>
      <c r="DH61" s="146"/>
      <c r="DI61" s="146"/>
      <c r="DJ61" s="146"/>
      <c r="DK61" s="146"/>
      <c r="DL61" s="146"/>
      <c r="DM61" s="146"/>
      <c r="DN61" s="146"/>
      <c r="DO61" s="146"/>
      <c r="DP61" s="146"/>
      <c r="DQ61" s="146"/>
      <c r="DR61" s="146"/>
      <c r="DS61" s="146"/>
      <c r="DT61" s="146"/>
      <c r="DU61" s="146"/>
      <c r="DV61" s="146"/>
      <c r="DW61" s="146"/>
      <c r="DX61" s="146"/>
      <c r="DY61" s="146"/>
      <c r="DZ61" s="146"/>
      <c r="EA61" s="146"/>
      <c r="EB61" s="146"/>
      <c r="EC61" s="146"/>
      <c r="ED61" s="146"/>
      <c r="EE61" s="146"/>
      <c r="EF61" s="146"/>
      <c r="EG61" s="146"/>
      <c r="EH61" s="146"/>
      <c r="EI61" s="146"/>
      <c r="EJ61" s="146"/>
      <c r="EK61" s="146"/>
      <c r="EL61" s="146"/>
      <c r="EM61" s="146"/>
      <c r="EN61" s="146"/>
      <c r="EO61" s="146"/>
      <c r="EP61" s="146"/>
      <c r="EQ61" s="146"/>
      <c r="ER61" s="146"/>
      <c r="ES61" s="146"/>
      <c r="ET61" s="146"/>
      <c r="EU61" s="146"/>
      <c r="EV61" s="146"/>
      <c r="EW61" s="146"/>
      <c r="EX61" s="146"/>
      <c r="EY61" s="146"/>
      <c r="EZ61" s="146"/>
      <c r="FA61" s="146"/>
      <c r="FB61" s="146"/>
      <c r="FC61" s="146"/>
      <c r="FD61" s="146"/>
      <c r="FE61" s="146"/>
      <c r="FF61" s="146"/>
      <c r="FG61" s="146"/>
      <c r="FH61" s="146"/>
      <c r="FI61" s="146"/>
      <c r="FJ61" s="146"/>
      <c r="FK61" s="146"/>
      <c r="FL61" s="146"/>
      <c r="FM61" s="146"/>
      <c r="FN61" s="146"/>
      <c r="FO61" s="146"/>
      <c r="FP61" s="146"/>
      <c r="FQ61" s="146"/>
      <c r="FR61" s="146"/>
      <c r="FS61" s="146"/>
      <c r="FT61" s="146"/>
      <c r="FU61" s="146"/>
      <c r="FV61" s="146"/>
      <c r="FW61" s="146"/>
      <c r="FX61" s="146"/>
      <c r="FY61" s="146"/>
      <c r="FZ61" s="146"/>
      <c r="GA61" s="146"/>
      <c r="GB61" s="146"/>
      <c r="GC61" s="146"/>
      <c r="GD61" s="146"/>
      <c r="GE61" s="146"/>
      <c r="GF61" s="146"/>
      <c r="GG61" s="146"/>
      <c r="GH61" s="146"/>
      <c r="GI61" s="146"/>
      <c r="GJ61" s="146"/>
    </row>
    <row r="62" spans="1:192" ht="73.5" outlineLevel="1" x14ac:dyDescent="0.35">
      <c r="A62" s="225" t="s">
        <v>5</v>
      </c>
      <c r="B62" s="192"/>
      <c r="C62" s="193" t="s">
        <v>290</v>
      </c>
      <c r="D62" s="194" t="s">
        <v>25</v>
      </c>
      <c r="E62" s="209" t="s">
        <v>705</v>
      </c>
      <c r="F62" s="82"/>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46"/>
      <c r="AZ62" s="146"/>
      <c r="BA62" s="146"/>
      <c r="BB62" s="146"/>
      <c r="BC62" s="146"/>
      <c r="BD62" s="146"/>
      <c r="BE62" s="146"/>
      <c r="BF62" s="146"/>
      <c r="BG62" s="146"/>
      <c r="BH62" s="146"/>
      <c r="BI62" s="146"/>
      <c r="BJ62" s="146"/>
      <c r="BK62" s="146"/>
      <c r="BL62" s="146"/>
      <c r="BM62" s="146"/>
      <c r="BN62" s="146"/>
      <c r="BO62" s="146"/>
      <c r="BP62" s="146"/>
      <c r="BQ62" s="146"/>
      <c r="BR62" s="146"/>
      <c r="BS62" s="146"/>
      <c r="BT62" s="146"/>
      <c r="BU62" s="146"/>
      <c r="BV62" s="146"/>
      <c r="BW62" s="146"/>
      <c r="BX62" s="146"/>
      <c r="BY62" s="146"/>
      <c r="BZ62" s="146"/>
      <c r="CA62" s="146"/>
      <c r="CB62" s="146"/>
      <c r="CC62" s="146"/>
      <c r="CD62" s="146"/>
      <c r="CE62" s="146"/>
      <c r="CF62" s="146"/>
      <c r="CG62" s="146"/>
      <c r="CH62" s="146"/>
      <c r="CI62" s="146"/>
      <c r="CJ62" s="146"/>
      <c r="CK62" s="146"/>
      <c r="CL62" s="146"/>
      <c r="CM62" s="146"/>
      <c r="CN62" s="146"/>
      <c r="CO62" s="146"/>
      <c r="CP62" s="146"/>
      <c r="CQ62" s="146"/>
      <c r="CR62" s="146"/>
      <c r="CS62" s="146"/>
      <c r="CT62" s="146"/>
      <c r="CU62" s="146"/>
      <c r="CV62" s="146"/>
      <c r="CW62" s="146"/>
      <c r="CX62" s="146"/>
      <c r="CY62" s="146"/>
      <c r="CZ62" s="146"/>
      <c r="DA62" s="146"/>
      <c r="DB62" s="146"/>
      <c r="DC62" s="146"/>
      <c r="DD62" s="146"/>
      <c r="DE62" s="146"/>
      <c r="DF62" s="146"/>
      <c r="DG62" s="146"/>
      <c r="DH62" s="146"/>
      <c r="DI62" s="146"/>
      <c r="DJ62" s="146"/>
      <c r="DK62" s="146"/>
      <c r="DL62" s="146"/>
      <c r="DM62" s="146"/>
      <c r="DN62" s="146"/>
      <c r="DO62" s="146"/>
      <c r="DP62" s="146"/>
      <c r="DQ62" s="146"/>
      <c r="DR62" s="146"/>
      <c r="DS62" s="146"/>
      <c r="DT62" s="146"/>
      <c r="DU62" s="146"/>
      <c r="DV62" s="146"/>
      <c r="DW62" s="146"/>
      <c r="DX62" s="146"/>
      <c r="DY62" s="146"/>
      <c r="DZ62" s="146"/>
      <c r="EA62" s="146"/>
      <c r="EB62" s="146"/>
      <c r="EC62" s="146"/>
      <c r="ED62" s="146"/>
      <c r="EE62" s="146"/>
      <c r="EF62" s="146"/>
      <c r="EG62" s="146"/>
      <c r="EH62" s="146"/>
      <c r="EI62" s="146"/>
      <c r="EJ62" s="146"/>
      <c r="EK62" s="146"/>
      <c r="EL62" s="146"/>
      <c r="EM62" s="146"/>
      <c r="EN62" s="146"/>
      <c r="EO62" s="146"/>
      <c r="EP62" s="146"/>
      <c r="EQ62" s="146"/>
      <c r="ER62" s="146"/>
      <c r="ES62" s="146"/>
      <c r="ET62" s="146"/>
      <c r="EU62" s="146"/>
      <c r="EV62" s="146"/>
      <c r="EW62" s="146"/>
      <c r="EX62" s="146"/>
      <c r="EY62" s="146"/>
      <c r="EZ62" s="146"/>
      <c r="FA62" s="146"/>
      <c r="FB62" s="146"/>
      <c r="FC62" s="146"/>
      <c r="FD62" s="146"/>
      <c r="FE62" s="146"/>
      <c r="FF62" s="146"/>
      <c r="FG62" s="146"/>
      <c r="FH62" s="146"/>
      <c r="FI62" s="146"/>
      <c r="FJ62" s="146"/>
      <c r="FK62" s="146"/>
      <c r="FL62" s="146"/>
      <c r="FM62" s="146"/>
      <c r="FN62" s="146"/>
      <c r="FO62" s="146"/>
      <c r="FP62" s="146"/>
      <c r="FQ62" s="146"/>
      <c r="FR62" s="146"/>
      <c r="FS62" s="146"/>
      <c r="FT62" s="146"/>
      <c r="FU62" s="146"/>
      <c r="FV62" s="146"/>
      <c r="FW62" s="146"/>
      <c r="FX62" s="146"/>
      <c r="FY62" s="146"/>
      <c r="FZ62" s="146"/>
      <c r="GA62" s="146"/>
      <c r="GB62" s="146"/>
      <c r="GC62" s="146"/>
      <c r="GD62" s="146"/>
      <c r="GE62" s="146"/>
      <c r="GF62" s="146"/>
      <c r="GG62" s="146"/>
      <c r="GH62" s="146"/>
      <c r="GI62" s="146"/>
      <c r="GJ62" s="146"/>
    </row>
    <row r="63" spans="1:192" ht="63" outlineLevel="1" x14ac:dyDescent="0.35">
      <c r="A63" s="225" t="s">
        <v>5</v>
      </c>
      <c r="B63" s="192"/>
      <c r="C63" s="193" t="s">
        <v>291</v>
      </c>
      <c r="D63" s="194" t="s">
        <v>25</v>
      </c>
      <c r="E63" s="209" t="s">
        <v>706</v>
      </c>
      <c r="F63" s="82"/>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117"/>
      <c r="AU63" s="117"/>
      <c r="AV63" s="117"/>
      <c r="AW63" s="117"/>
      <c r="AX63" s="117"/>
      <c r="AY63" s="146"/>
      <c r="AZ63" s="146"/>
      <c r="BA63" s="146"/>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c r="CI63" s="146"/>
      <c r="CJ63" s="146"/>
      <c r="CK63" s="146"/>
      <c r="CL63" s="146"/>
      <c r="CM63" s="146"/>
      <c r="CN63" s="146"/>
      <c r="CO63" s="146"/>
      <c r="CP63" s="146"/>
      <c r="CQ63" s="146"/>
      <c r="CR63" s="146"/>
      <c r="CS63" s="146"/>
      <c r="CT63" s="146"/>
      <c r="CU63" s="146"/>
      <c r="CV63" s="146"/>
      <c r="CW63" s="146"/>
      <c r="CX63" s="146"/>
      <c r="CY63" s="146"/>
      <c r="CZ63" s="146"/>
      <c r="DA63" s="146"/>
      <c r="DB63" s="146"/>
      <c r="DC63" s="146"/>
      <c r="DD63" s="146"/>
      <c r="DE63" s="146"/>
      <c r="DF63" s="146"/>
      <c r="DG63" s="146"/>
      <c r="DH63" s="146"/>
      <c r="DI63" s="146"/>
      <c r="DJ63" s="146"/>
      <c r="DK63" s="146"/>
      <c r="DL63" s="146"/>
      <c r="DM63" s="146"/>
      <c r="DN63" s="146"/>
      <c r="DO63" s="146"/>
      <c r="DP63" s="146"/>
      <c r="DQ63" s="146"/>
      <c r="DR63" s="146"/>
      <c r="DS63" s="146"/>
      <c r="DT63" s="146"/>
      <c r="DU63" s="146"/>
      <c r="DV63" s="146"/>
      <c r="DW63" s="146"/>
      <c r="DX63" s="146"/>
      <c r="DY63" s="146"/>
      <c r="DZ63" s="146"/>
      <c r="EA63" s="146"/>
      <c r="EB63" s="146"/>
      <c r="EC63" s="146"/>
      <c r="ED63" s="146"/>
      <c r="EE63" s="146"/>
      <c r="EF63" s="146"/>
      <c r="EG63" s="146"/>
      <c r="EH63" s="146"/>
      <c r="EI63" s="146"/>
      <c r="EJ63" s="146"/>
      <c r="EK63" s="146"/>
      <c r="EL63" s="146"/>
      <c r="EM63" s="146"/>
      <c r="EN63" s="146"/>
      <c r="EO63" s="146"/>
      <c r="EP63" s="146"/>
      <c r="EQ63" s="146"/>
      <c r="ER63" s="146"/>
      <c r="ES63" s="146"/>
      <c r="ET63" s="146"/>
      <c r="EU63" s="146"/>
      <c r="EV63" s="146"/>
      <c r="EW63" s="146"/>
      <c r="EX63" s="146"/>
      <c r="EY63" s="146"/>
      <c r="EZ63" s="146"/>
      <c r="FA63" s="146"/>
      <c r="FB63" s="146"/>
      <c r="FC63" s="146"/>
      <c r="FD63" s="146"/>
      <c r="FE63" s="146"/>
      <c r="FF63" s="146"/>
      <c r="FG63" s="146"/>
      <c r="FH63" s="146"/>
      <c r="FI63" s="146"/>
      <c r="FJ63" s="146"/>
      <c r="FK63" s="146"/>
      <c r="FL63" s="146"/>
      <c r="FM63" s="146"/>
      <c r="FN63" s="146"/>
      <c r="FO63" s="146"/>
      <c r="FP63" s="146"/>
      <c r="FQ63" s="146"/>
      <c r="FR63" s="146"/>
      <c r="FS63" s="146"/>
      <c r="FT63" s="146"/>
      <c r="FU63" s="146"/>
      <c r="FV63" s="146"/>
      <c r="FW63" s="146"/>
      <c r="FX63" s="146"/>
      <c r="FY63" s="146"/>
      <c r="FZ63" s="146"/>
      <c r="GA63" s="146"/>
      <c r="GB63" s="146"/>
      <c r="GC63" s="146"/>
      <c r="GD63" s="146"/>
      <c r="GE63" s="146"/>
      <c r="GF63" s="146"/>
      <c r="GG63" s="146"/>
      <c r="GH63" s="146"/>
      <c r="GI63" s="146"/>
      <c r="GJ63" s="146"/>
    </row>
    <row r="64" spans="1:192" ht="173" outlineLevel="1" x14ac:dyDescent="0.35">
      <c r="A64" s="225" t="s">
        <v>5</v>
      </c>
      <c r="B64" s="189" t="s">
        <v>927</v>
      </c>
      <c r="C64" s="190" t="s">
        <v>292</v>
      </c>
      <c r="D64" s="191" t="s">
        <v>24</v>
      </c>
      <c r="E64" s="210" t="s">
        <v>928</v>
      </c>
      <c r="F64" s="78"/>
      <c r="G64" s="117"/>
      <c r="H64" s="117"/>
      <c r="I64" s="117"/>
      <c r="J64" s="117"/>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46"/>
      <c r="DZ64" s="146"/>
      <c r="EA64" s="146"/>
      <c r="EB64" s="146"/>
      <c r="EC64" s="146"/>
      <c r="ED64" s="146"/>
      <c r="EE64" s="146"/>
      <c r="EF64" s="146"/>
      <c r="EG64" s="146"/>
      <c r="EH64" s="146"/>
      <c r="EI64" s="146"/>
      <c r="EJ64" s="146"/>
      <c r="EK64" s="146"/>
      <c r="EL64" s="146"/>
      <c r="EM64" s="146"/>
      <c r="EN64" s="146"/>
      <c r="EO64" s="146"/>
      <c r="EP64" s="146"/>
      <c r="EQ64" s="146"/>
      <c r="ER64" s="146"/>
      <c r="ES64" s="146"/>
      <c r="ET64" s="146"/>
      <c r="EU64" s="146"/>
      <c r="EV64" s="146"/>
      <c r="EW64" s="146"/>
      <c r="EX64" s="146"/>
      <c r="EY64" s="146"/>
      <c r="EZ64" s="146"/>
      <c r="FA64" s="146"/>
      <c r="FB64" s="146"/>
      <c r="FC64" s="146"/>
      <c r="FD64" s="146"/>
      <c r="FE64" s="146"/>
      <c r="FF64" s="146"/>
      <c r="FG64" s="146"/>
      <c r="FH64" s="146"/>
      <c r="FI64" s="146"/>
      <c r="FJ64" s="146"/>
      <c r="FK64" s="146"/>
      <c r="FL64" s="146"/>
      <c r="FM64" s="146"/>
      <c r="FN64" s="146"/>
      <c r="FO64" s="146"/>
      <c r="FP64" s="146"/>
      <c r="FQ64" s="146"/>
      <c r="FR64" s="146"/>
      <c r="FS64" s="146"/>
      <c r="FT64" s="146"/>
      <c r="FU64" s="146"/>
      <c r="FV64" s="146"/>
      <c r="FW64" s="146"/>
      <c r="FX64" s="146"/>
      <c r="FY64" s="146"/>
      <c r="FZ64" s="146"/>
      <c r="GA64" s="146"/>
      <c r="GB64" s="146"/>
      <c r="GC64" s="146"/>
      <c r="GD64" s="146"/>
      <c r="GE64" s="146"/>
      <c r="GF64" s="146"/>
      <c r="GG64" s="146"/>
      <c r="GH64" s="146"/>
      <c r="GI64" s="146"/>
      <c r="GJ64" s="146"/>
    </row>
    <row r="65" spans="1:192" ht="152.5" outlineLevel="1" x14ac:dyDescent="0.35">
      <c r="A65" s="225" t="s">
        <v>5</v>
      </c>
      <c r="B65" s="189"/>
      <c r="C65" s="190" t="s">
        <v>293</v>
      </c>
      <c r="D65" s="191" t="s">
        <v>24</v>
      </c>
      <c r="E65" s="210" t="s">
        <v>929</v>
      </c>
      <c r="F65" s="78"/>
      <c r="G65" s="117"/>
      <c r="H65" s="117"/>
      <c r="I65" s="117"/>
      <c r="J65" s="117"/>
      <c r="K65" s="117"/>
      <c r="L65" s="117"/>
      <c r="M65" s="117"/>
      <c r="N65" s="117"/>
      <c r="O65" s="117"/>
      <c r="P65" s="117"/>
      <c r="Q65" s="117"/>
      <c r="R65" s="117"/>
      <c r="S65" s="117"/>
      <c r="T65" s="117"/>
      <c r="U65" s="117"/>
      <c r="V65" s="117"/>
      <c r="W65" s="117"/>
      <c r="X65" s="117"/>
      <c r="Y65" s="117"/>
      <c r="Z65" s="117"/>
      <c r="AA65" s="117"/>
      <c r="AB65" s="117"/>
      <c r="AC65" s="117"/>
      <c r="AD65" s="117"/>
      <c r="AE65" s="117"/>
      <c r="AF65" s="117"/>
      <c r="AG65" s="117"/>
      <c r="AH65" s="117"/>
      <c r="AI65" s="117"/>
      <c r="AJ65" s="117"/>
      <c r="AK65" s="117"/>
      <c r="AL65" s="117"/>
      <c r="AM65" s="117"/>
      <c r="AN65" s="117"/>
      <c r="AO65" s="117"/>
      <c r="AP65" s="117"/>
      <c r="AQ65" s="117"/>
      <c r="AR65" s="117"/>
      <c r="AS65" s="117"/>
      <c r="AT65" s="117"/>
      <c r="AU65" s="117"/>
      <c r="AV65" s="117"/>
      <c r="AW65" s="117"/>
      <c r="AX65" s="117"/>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46"/>
      <c r="DZ65" s="146"/>
      <c r="EA65" s="146"/>
      <c r="EB65" s="146"/>
      <c r="EC65" s="146"/>
      <c r="ED65" s="146"/>
      <c r="EE65" s="146"/>
      <c r="EF65" s="146"/>
      <c r="EG65" s="146"/>
      <c r="EH65" s="146"/>
      <c r="EI65" s="146"/>
      <c r="EJ65" s="146"/>
      <c r="EK65" s="146"/>
      <c r="EL65" s="146"/>
      <c r="EM65" s="146"/>
      <c r="EN65" s="146"/>
      <c r="EO65" s="146"/>
      <c r="EP65" s="146"/>
      <c r="EQ65" s="146"/>
      <c r="ER65" s="146"/>
      <c r="ES65" s="146"/>
      <c r="ET65" s="146"/>
      <c r="EU65" s="146"/>
      <c r="EV65" s="146"/>
      <c r="EW65" s="146"/>
      <c r="EX65" s="146"/>
      <c r="EY65" s="146"/>
      <c r="EZ65" s="146"/>
      <c r="FA65" s="146"/>
      <c r="FB65" s="146"/>
      <c r="FC65" s="146"/>
      <c r="FD65" s="146"/>
      <c r="FE65" s="146"/>
      <c r="FF65" s="146"/>
      <c r="FG65" s="146"/>
      <c r="FH65" s="146"/>
      <c r="FI65" s="146"/>
      <c r="FJ65" s="146"/>
      <c r="FK65" s="146"/>
      <c r="FL65" s="146"/>
      <c r="FM65" s="146"/>
      <c r="FN65" s="146"/>
      <c r="FO65" s="146"/>
      <c r="FP65" s="146"/>
      <c r="FQ65" s="146"/>
      <c r="FR65" s="146"/>
      <c r="FS65" s="146"/>
      <c r="FT65" s="146"/>
      <c r="FU65" s="146"/>
      <c r="FV65" s="146"/>
      <c r="FW65" s="146"/>
      <c r="FX65" s="146"/>
      <c r="FY65" s="146"/>
      <c r="FZ65" s="146"/>
      <c r="GA65" s="146"/>
      <c r="GB65" s="146"/>
      <c r="GC65" s="146"/>
      <c r="GD65" s="146"/>
      <c r="GE65" s="146"/>
      <c r="GF65" s="146"/>
      <c r="GG65" s="146"/>
      <c r="GH65" s="146"/>
      <c r="GI65" s="146"/>
      <c r="GJ65" s="146"/>
    </row>
    <row r="66" spans="1:192" ht="142" outlineLevel="1" x14ac:dyDescent="0.35">
      <c r="A66" s="225" t="s">
        <v>5</v>
      </c>
      <c r="B66" s="189"/>
      <c r="C66" s="190" t="s">
        <v>294</v>
      </c>
      <c r="D66" s="191" t="s">
        <v>24</v>
      </c>
      <c r="E66" s="212" t="s">
        <v>930</v>
      </c>
      <c r="F66" s="78"/>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7"/>
      <c r="AE66" s="117"/>
      <c r="AF66" s="117"/>
      <c r="AG66" s="117"/>
      <c r="AH66" s="117"/>
      <c r="AI66" s="117"/>
      <c r="AJ66" s="117"/>
      <c r="AK66" s="117"/>
      <c r="AL66" s="117"/>
      <c r="AM66" s="117"/>
      <c r="AN66" s="117"/>
      <c r="AO66" s="117"/>
      <c r="AP66" s="117"/>
      <c r="AQ66" s="117"/>
      <c r="AR66" s="117"/>
      <c r="AS66" s="117"/>
      <c r="AT66" s="117"/>
      <c r="AU66" s="117"/>
      <c r="AV66" s="117"/>
      <c r="AW66" s="117"/>
      <c r="AX66" s="117"/>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46"/>
      <c r="DZ66" s="146"/>
      <c r="EA66" s="146"/>
      <c r="EB66" s="146"/>
      <c r="EC66" s="146"/>
      <c r="ED66" s="146"/>
      <c r="EE66" s="146"/>
      <c r="EF66" s="146"/>
      <c r="EG66" s="146"/>
      <c r="EH66" s="146"/>
      <c r="EI66" s="146"/>
      <c r="EJ66" s="146"/>
      <c r="EK66" s="146"/>
      <c r="EL66" s="146"/>
      <c r="EM66" s="146"/>
      <c r="EN66" s="146"/>
      <c r="EO66" s="146"/>
      <c r="EP66" s="146"/>
      <c r="EQ66" s="146"/>
      <c r="ER66" s="146"/>
      <c r="ES66" s="146"/>
      <c r="ET66" s="146"/>
      <c r="EU66" s="146"/>
      <c r="EV66" s="146"/>
      <c r="EW66" s="146"/>
      <c r="EX66" s="146"/>
      <c r="EY66" s="146"/>
      <c r="EZ66" s="146"/>
      <c r="FA66" s="146"/>
      <c r="FB66" s="146"/>
      <c r="FC66" s="146"/>
      <c r="FD66" s="146"/>
      <c r="FE66" s="146"/>
      <c r="FF66" s="146"/>
      <c r="FG66" s="146"/>
      <c r="FH66" s="146"/>
      <c r="FI66" s="146"/>
      <c r="FJ66" s="146"/>
      <c r="FK66" s="146"/>
      <c r="FL66" s="146"/>
      <c r="FM66" s="146"/>
      <c r="FN66" s="146"/>
      <c r="FO66" s="146"/>
      <c r="FP66" s="146"/>
      <c r="FQ66" s="146"/>
      <c r="FR66" s="146"/>
      <c r="FS66" s="146"/>
      <c r="FT66" s="146"/>
      <c r="FU66" s="146"/>
      <c r="FV66" s="146"/>
      <c r="FW66" s="146"/>
      <c r="FX66" s="146"/>
      <c r="FY66" s="146"/>
      <c r="FZ66" s="146"/>
      <c r="GA66" s="146"/>
      <c r="GB66" s="146"/>
      <c r="GC66" s="146"/>
      <c r="GD66" s="146"/>
      <c r="GE66" s="146"/>
      <c r="GF66" s="146"/>
      <c r="GG66" s="146"/>
      <c r="GH66" s="146"/>
      <c r="GI66" s="146"/>
      <c r="GJ66" s="146"/>
    </row>
    <row r="67" spans="1:192" ht="142" outlineLevel="1" x14ac:dyDescent="0.35">
      <c r="A67" s="225" t="s">
        <v>5</v>
      </c>
      <c r="B67" s="189"/>
      <c r="C67" s="190" t="s">
        <v>295</v>
      </c>
      <c r="D67" s="191" t="s">
        <v>24</v>
      </c>
      <c r="E67" s="204" t="s">
        <v>931</v>
      </c>
      <c r="F67" s="78"/>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117"/>
      <c r="AQ67" s="117"/>
      <c r="AR67" s="117"/>
      <c r="AS67" s="117"/>
      <c r="AT67" s="117"/>
      <c r="AU67" s="117"/>
      <c r="AV67" s="117"/>
      <c r="AW67" s="117"/>
      <c r="AX67" s="117"/>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46"/>
      <c r="DZ67" s="146"/>
      <c r="EA67" s="146"/>
      <c r="EB67" s="146"/>
      <c r="EC67" s="146"/>
      <c r="ED67" s="146"/>
      <c r="EE67" s="146"/>
      <c r="EF67" s="146"/>
      <c r="EG67" s="146"/>
      <c r="EH67" s="146"/>
      <c r="EI67" s="146"/>
      <c r="EJ67" s="146"/>
      <c r="EK67" s="146"/>
      <c r="EL67" s="146"/>
      <c r="EM67" s="146"/>
      <c r="EN67" s="146"/>
      <c r="EO67" s="146"/>
      <c r="EP67" s="146"/>
      <c r="EQ67" s="146"/>
      <c r="ER67" s="146"/>
      <c r="ES67" s="146"/>
      <c r="ET67" s="146"/>
      <c r="EU67" s="146"/>
      <c r="EV67" s="146"/>
      <c r="EW67" s="146"/>
      <c r="EX67" s="146"/>
      <c r="EY67" s="146"/>
      <c r="EZ67" s="146"/>
      <c r="FA67" s="146"/>
      <c r="FB67" s="146"/>
      <c r="FC67" s="146"/>
      <c r="FD67" s="146"/>
      <c r="FE67" s="146"/>
      <c r="FF67" s="146"/>
      <c r="FG67" s="146"/>
      <c r="FH67" s="146"/>
      <c r="FI67" s="146"/>
      <c r="FJ67" s="146"/>
      <c r="FK67" s="146"/>
      <c r="FL67" s="146"/>
      <c r="FM67" s="146"/>
      <c r="FN67" s="146"/>
      <c r="FO67" s="146"/>
      <c r="FP67" s="146"/>
      <c r="FQ67" s="146"/>
      <c r="FR67" s="146"/>
      <c r="FS67" s="146"/>
      <c r="FT67" s="146"/>
      <c r="FU67" s="146"/>
      <c r="FV67" s="146"/>
      <c r="FW67" s="146"/>
      <c r="FX67" s="146"/>
      <c r="FY67" s="146"/>
      <c r="FZ67" s="146"/>
      <c r="GA67" s="146"/>
      <c r="GB67" s="146"/>
      <c r="GC67" s="146"/>
      <c r="GD67" s="146"/>
      <c r="GE67" s="146"/>
      <c r="GF67" s="146"/>
      <c r="GG67" s="146"/>
      <c r="GH67" s="146"/>
      <c r="GI67" s="146"/>
      <c r="GJ67" s="146"/>
    </row>
    <row r="68" spans="1:192" ht="142" outlineLevel="1" x14ac:dyDescent="0.35">
      <c r="A68" s="225" t="s">
        <v>5</v>
      </c>
      <c r="B68" s="189"/>
      <c r="C68" s="190" t="s">
        <v>296</v>
      </c>
      <c r="D68" s="191" t="s">
        <v>24</v>
      </c>
      <c r="E68" s="204" t="s">
        <v>932</v>
      </c>
      <c r="F68" s="78"/>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46"/>
      <c r="DZ68" s="146"/>
      <c r="EA68" s="146"/>
      <c r="EB68" s="146"/>
      <c r="EC68" s="146"/>
      <c r="ED68" s="146"/>
      <c r="EE68" s="146"/>
      <c r="EF68" s="146"/>
      <c r="EG68" s="146"/>
      <c r="EH68" s="146"/>
      <c r="EI68" s="146"/>
      <c r="EJ68" s="146"/>
      <c r="EK68" s="146"/>
      <c r="EL68" s="146"/>
      <c r="EM68" s="146"/>
      <c r="EN68" s="146"/>
      <c r="EO68" s="146"/>
      <c r="EP68" s="146"/>
      <c r="EQ68" s="146"/>
      <c r="ER68" s="146"/>
      <c r="ES68" s="146"/>
      <c r="ET68" s="146"/>
      <c r="EU68" s="146"/>
      <c r="EV68" s="146"/>
      <c r="EW68" s="146"/>
      <c r="EX68" s="146"/>
      <c r="EY68" s="146"/>
      <c r="EZ68" s="146"/>
      <c r="FA68" s="146"/>
      <c r="FB68" s="146"/>
      <c r="FC68" s="146"/>
      <c r="FD68" s="146"/>
      <c r="FE68" s="146"/>
      <c r="FF68" s="146"/>
      <c r="FG68" s="146"/>
      <c r="FH68" s="146"/>
      <c r="FI68" s="146"/>
      <c r="FJ68" s="146"/>
      <c r="FK68" s="146"/>
      <c r="FL68" s="146"/>
      <c r="FM68" s="146"/>
      <c r="FN68" s="146"/>
      <c r="FO68" s="146"/>
      <c r="FP68" s="146"/>
      <c r="FQ68" s="146"/>
      <c r="FR68" s="146"/>
      <c r="FS68" s="146"/>
      <c r="FT68" s="146"/>
      <c r="FU68" s="146"/>
      <c r="FV68" s="146"/>
      <c r="FW68" s="146"/>
      <c r="FX68" s="146"/>
      <c r="FY68" s="146"/>
      <c r="FZ68" s="146"/>
      <c r="GA68" s="146"/>
      <c r="GB68" s="146"/>
      <c r="GC68" s="146"/>
      <c r="GD68" s="146"/>
      <c r="GE68" s="146"/>
      <c r="GF68" s="146"/>
      <c r="GG68" s="146"/>
      <c r="GH68" s="146"/>
      <c r="GI68" s="146"/>
      <c r="GJ68" s="146"/>
    </row>
    <row r="69" spans="1:192" ht="21" outlineLevel="1" x14ac:dyDescent="0.35">
      <c r="A69" s="226" t="s">
        <v>39</v>
      </c>
      <c r="B69" s="192" t="s">
        <v>707</v>
      </c>
      <c r="C69" s="193" t="s">
        <v>297</v>
      </c>
      <c r="D69" s="194" t="s">
        <v>24</v>
      </c>
      <c r="E69" s="213" t="s">
        <v>708</v>
      </c>
      <c r="F69" s="82"/>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46"/>
      <c r="DZ69" s="146"/>
      <c r="EA69" s="146"/>
      <c r="EB69" s="146"/>
      <c r="EC69" s="146"/>
      <c r="ED69" s="146"/>
      <c r="EE69" s="146"/>
      <c r="EF69" s="146"/>
      <c r="EG69" s="146"/>
      <c r="EH69" s="146"/>
      <c r="EI69" s="146"/>
      <c r="EJ69" s="146"/>
      <c r="EK69" s="146"/>
      <c r="EL69" s="146"/>
      <c r="EM69" s="146"/>
      <c r="EN69" s="146"/>
      <c r="EO69" s="146"/>
      <c r="EP69" s="146"/>
      <c r="EQ69" s="146"/>
      <c r="ER69" s="146"/>
      <c r="ES69" s="146"/>
      <c r="ET69" s="146"/>
      <c r="EU69" s="146"/>
      <c r="EV69" s="146"/>
      <c r="EW69" s="146"/>
      <c r="EX69" s="146"/>
      <c r="EY69" s="146"/>
      <c r="EZ69" s="146"/>
      <c r="FA69" s="146"/>
      <c r="FB69" s="146"/>
      <c r="FC69" s="146"/>
      <c r="FD69" s="146"/>
      <c r="FE69" s="146"/>
      <c r="FF69" s="146"/>
      <c r="FG69" s="146"/>
      <c r="FH69" s="146"/>
      <c r="FI69" s="146"/>
      <c r="FJ69" s="146"/>
      <c r="FK69" s="146"/>
      <c r="FL69" s="146"/>
      <c r="FM69" s="146"/>
      <c r="FN69" s="146"/>
      <c r="FO69" s="146"/>
      <c r="FP69" s="146"/>
      <c r="FQ69" s="146"/>
      <c r="FR69" s="146"/>
      <c r="FS69" s="146"/>
      <c r="FT69" s="146"/>
      <c r="FU69" s="146"/>
      <c r="FV69" s="146"/>
      <c r="FW69" s="146"/>
      <c r="FX69" s="146"/>
      <c r="FY69" s="146"/>
      <c r="FZ69" s="146"/>
      <c r="GA69" s="146"/>
      <c r="GB69" s="146"/>
      <c r="GC69" s="146"/>
      <c r="GD69" s="146"/>
      <c r="GE69" s="146"/>
      <c r="GF69" s="146"/>
      <c r="GG69" s="146"/>
      <c r="GH69" s="146"/>
      <c r="GI69" s="146"/>
      <c r="GJ69" s="146"/>
    </row>
    <row r="70" spans="1:192" ht="32" outlineLevel="1" thickBot="1" x14ac:dyDescent="0.4">
      <c r="A70" s="226" t="s">
        <v>39</v>
      </c>
      <c r="B70" s="189" t="s">
        <v>709</v>
      </c>
      <c r="C70" s="190" t="s">
        <v>298</v>
      </c>
      <c r="D70" s="191" t="s">
        <v>24</v>
      </c>
      <c r="E70" s="214" t="s">
        <v>710</v>
      </c>
      <c r="F70" s="78"/>
      <c r="G70" s="117"/>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117"/>
      <c r="AH70" s="117"/>
      <c r="AI70" s="117"/>
      <c r="AJ70" s="117"/>
      <c r="AK70" s="117"/>
      <c r="AL70" s="117"/>
      <c r="AM70" s="117"/>
      <c r="AN70" s="117"/>
      <c r="AO70" s="117"/>
      <c r="AP70" s="117"/>
      <c r="AQ70" s="117"/>
      <c r="AR70" s="117"/>
      <c r="AS70" s="117"/>
      <c r="AT70" s="117"/>
      <c r="AU70" s="117"/>
      <c r="AV70" s="117"/>
      <c r="AW70" s="117"/>
      <c r="AX70" s="117"/>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46"/>
      <c r="DZ70" s="146"/>
      <c r="EA70" s="146"/>
      <c r="EB70" s="146"/>
      <c r="EC70" s="146"/>
      <c r="ED70" s="146"/>
      <c r="EE70" s="146"/>
      <c r="EF70" s="146"/>
      <c r="EG70" s="146"/>
      <c r="EH70" s="146"/>
      <c r="EI70" s="146"/>
      <c r="EJ70" s="146"/>
      <c r="EK70" s="146"/>
      <c r="EL70" s="146"/>
      <c r="EM70" s="146"/>
      <c r="EN70" s="146"/>
      <c r="EO70" s="146"/>
      <c r="EP70" s="146"/>
      <c r="EQ70" s="146"/>
      <c r="ER70" s="146"/>
      <c r="ES70" s="146"/>
      <c r="ET70" s="146"/>
      <c r="EU70" s="146"/>
      <c r="EV70" s="146"/>
      <c r="EW70" s="146"/>
      <c r="EX70" s="146"/>
      <c r="EY70" s="146"/>
      <c r="EZ70" s="146"/>
      <c r="FA70" s="146"/>
      <c r="FB70" s="146"/>
      <c r="FC70" s="146"/>
      <c r="FD70" s="146"/>
      <c r="FE70" s="146"/>
      <c r="FF70" s="146"/>
      <c r="FG70" s="146"/>
      <c r="FH70" s="146"/>
      <c r="FI70" s="146"/>
      <c r="FJ70" s="146"/>
      <c r="FK70" s="146"/>
      <c r="FL70" s="146"/>
      <c r="FM70" s="146"/>
      <c r="FN70" s="146"/>
      <c r="FO70" s="146"/>
      <c r="FP70" s="146"/>
      <c r="FQ70" s="146"/>
      <c r="FR70" s="146"/>
      <c r="FS70" s="146"/>
      <c r="FT70" s="146"/>
      <c r="FU70" s="146"/>
      <c r="FV70" s="146"/>
      <c r="FW70" s="146"/>
      <c r="FX70" s="146"/>
      <c r="FY70" s="146"/>
      <c r="FZ70" s="146"/>
      <c r="GA70" s="146"/>
      <c r="GB70" s="146"/>
      <c r="GC70" s="146"/>
      <c r="GD70" s="146"/>
      <c r="GE70" s="146"/>
      <c r="GF70" s="146"/>
      <c r="GG70" s="146"/>
      <c r="GH70" s="146"/>
      <c r="GI70" s="146"/>
      <c r="GJ70" s="146"/>
    </row>
    <row r="71" spans="1:192" ht="53" outlineLevel="1" thickTop="1" x14ac:dyDescent="0.35">
      <c r="A71" s="225" t="s">
        <v>3</v>
      </c>
      <c r="B71" s="192" t="s">
        <v>933</v>
      </c>
      <c r="C71" s="193" t="s">
        <v>299</v>
      </c>
      <c r="D71" s="194" t="s">
        <v>24</v>
      </c>
      <c r="E71" s="213" t="s">
        <v>300</v>
      </c>
      <c r="F71" s="82"/>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17"/>
      <c r="AI71" s="117"/>
      <c r="AJ71" s="117"/>
      <c r="AK71" s="117"/>
      <c r="AL71" s="117"/>
      <c r="AM71" s="117"/>
      <c r="AN71" s="117"/>
      <c r="AO71" s="117"/>
      <c r="AP71" s="117"/>
      <c r="AQ71" s="117"/>
      <c r="AR71" s="117"/>
      <c r="AS71" s="117"/>
      <c r="AT71" s="117"/>
      <c r="AU71" s="117"/>
      <c r="AV71" s="117"/>
      <c r="AW71" s="117"/>
      <c r="AX71" s="117"/>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row>
    <row r="72" spans="1:192" ht="42" outlineLevel="1" x14ac:dyDescent="0.35">
      <c r="A72" s="225" t="s">
        <v>3</v>
      </c>
      <c r="B72" s="192"/>
      <c r="C72" s="193" t="s">
        <v>305</v>
      </c>
      <c r="D72" s="194" t="s">
        <v>24</v>
      </c>
      <c r="E72" s="213" t="s">
        <v>301</v>
      </c>
      <c r="F72" s="82"/>
      <c r="G72" s="117"/>
      <c r="H72" s="117"/>
      <c r="I72" s="117"/>
      <c r="J72" s="117"/>
      <c r="K72" s="117"/>
      <c r="L72" s="117"/>
      <c r="M72" s="117"/>
      <c r="N72" s="117"/>
      <c r="O72" s="117"/>
      <c r="P72" s="117"/>
      <c r="Q72" s="117"/>
      <c r="R72" s="117"/>
      <c r="S72" s="117"/>
      <c r="T72" s="117"/>
      <c r="U72" s="117"/>
      <c r="V72" s="117"/>
      <c r="W72" s="117"/>
      <c r="X72" s="117"/>
      <c r="Y72" s="117"/>
      <c r="Z72" s="117"/>
      <c r="AA72" s="117"/>
      <c r="AB72" s="117"/>
      <c r="AC72" s="117"/>
      <c r="AD72" s="117"/>
      <c r="AE72" s="117"/>
      <c r="AF72" s="117"/>
      <c r="AG72" s="117"/>
      <c r="AH72" s="117"/>
      <c r="AI72" s="117"/>
      <c r="AJ72" s="117"/>
      <c r="AK72" s="117"/>
      <c r="AL72" s="117"/>
      <c r="AM72" s="117"/>
      <c r="AN72" s="117"/>
      <c r="AO72" s="117"/>
      <c r="AP72" s="117"/>
      <c r="AQ72" s="117"/>
      <c r="AR72" s="117"/>
      <c r="AS72" s="117"/>
      <c r="AT72" s="117"/>
      <c r="AU72" s="117"/>
      <c r="AV72" s="117"/>
      <c r="AW72" s="117"/>
      <c r="AX72" s="117"/>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row>
    <row r="73" spans="1:192" ht="42" outlineLevel="1" x14ac:dyDescent="0.35">
      <c r="A73" s="225" t="s">
        <v>3</v>
      </c>
      <c r="B73" s="192"/>
      <c r="C73" s="193" t="s">
        <v>306</v>
      </c>
      <c r="D73" s="194" t="s">
        <v>24</v>
      </c>
      <c r="E73" s="213" t="s">
        <v>934</v>
      </c>
      <c r="F73" s="82"/>
      <c r="G73" s="117"/>
      <c r="H73" s="117"/>
      <c r="I73" s="117"/>
      <c r="J73" s="117"/>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46"/>
      <c r="DZ73" s="146"/>
      <c r="EA73" s="146"/>
      <c r="EB73" s="146"/>
      <c r="EC73" s="146"/>
      <c r="ED73" s="146"/>
      <c r="EE73" s="146"/>
      <c r="EF73" s="146"/>
      <c r="EG73" s="146"/>
      <c r="EH73" s="146"/>
      <c r="EI73" s="146"/>
      <c r="EJ73" s="146"/>
      <c r="EK73" s="146"/>
      <c r="EL73" s="146"/>
      <c r="EM73" s="146"/>
      <c r="EN73" s="146"/>
      <c r="EO73" s="146"/>
      <c r="EP73" s="146"/>
      <c r="EQ73" s="146"/>
      <c r="ER73" s="146"/>
      <c r="ES73" s="146"/>
      <c r="ET73" s="146"/>
      <c r="EU73" s="146"/>
      <c r="EV73" s="146"/>
      <c r="EW73" s="146"/>
      <c r="EX73" s="146"/>
      <c r="EY73" s="146"/>
      <c r="EZ73" s="146"/>
      <c r="FA73" s="146"/>
      <c r="FB73" s="146"/>
      <c r="FC73" s="146"/>
      <c r="FD73" s="146"/>
      <c r="FE73" s="146"/>
      <c r="FF73" s="146"/>
      <c r="FG73" s="146"/>
      <c r="FH73" s="146"/>
      <c r="FI73" s="146"/>
      <c r="FJ73" s="146"/>
      <c r="FK73" s="146"/>
      <c r="FL73" s="146"/>
      <c r="FM73" s="146"/>
      <c r="FN73" s="146"/>
      <c r="FO73" s="146"/>
      <c r="FP73" s="146"/>
      <c r="FQ73" s="146"/>
      <c r="FR73" s="146"/>
      <c r="FS73" s="146"/>
      <c r="FT73" s="146"/>
      <c r="FU73" s="146"/>
      <c r="FV73" s="146"/>
      <c r="FW73" s="146"/>
      <c r="FX73" s="146"/>
      <c r="FY73" s="146"/>
      <c r="FZ73" s="146"/>
      <c r="GA73" s="146"/>
      <c r="GB73" s="146"/>
      <c r="GC73" s="146"/>
      <c r="GD73" s="146"/>
      <c r="GE73" s="146"/>
      <c r="GF73" s="146"/>
      <c r="GG73" s="146"/>
      <c r="GH73" s="146"/>
      <c r="GI73" s="146"/>
      <c r="GJ73" s="146"/>
    </row>
    <row r="74" spans="1:192" ht="52.5" outlineLevel="1" x14ac:dyDescent="0.35">
      <c r="A74" s="225" t="s">
        <v>3</v>
      </c>
      <c r="B74" s="192"/>
      <c r="C74" s="193" t="s">
        <v>307</v>
      </c>
      <c r="D74" s="194" t="s">
        <v>24</v>
      </c>
      <c r="E74" s="213" t="s">
        <v>302</v>
      </c>
      <c r="F74" s="82"/>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c r="AS74" s="117"/>
      <c r="AT74" s="117"/>
      <c r="AU74" s="117"/>
      <c r="AV74" s="117"/>
      <c r="AW74" s="117"/>
      <c r="AX74" s="117"/>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46"/>
      <c r="DZ74" s="146"/>
      <c r="EA74" s="146"/>
      <c r="EB74" s="146"/>
      <c r="EC74" s="146"/>
      <c r="ED74" s="146"/>
      <c r="EE74" s="146"/>
      <c r="EF74" s="146"/>
      <c r="EG74" s="146"/>
      <c r="EH74" s="146"/>
      <c r="EI74" s="146"/>
      <c r="EJ74" s="146"/>
      <c r="EK74" s="146"/>
      <c r="EL74" s="146"/>
      <c r="EM74" s="146"/>
      <c r="EN74" s="146"/>
      <c r="EO74" s="146"/>
      <c r="EP74" s="146"/>
      <c r="EQ74" s="146"/>
      <c r="ER74" s="146"/>
      <c r="ES74" s="146"/>
      <c r="ET74" s="146"/>
      <c r="EU74" s="146"/>
      <c r="EV74" s="146"/>
      <c r="EW74" s="146"/>
      <c r="EX74" s="146"/>
      <c r="EY74" s="146"/>
      <c r="EZ74" s="146"/>
      <c r="FA74" s="146"/>
      <c r="FB74" s="146"/>
      <c r="FC74" s="146"/>
      <c r="FD74" s="146"/>
      <c r="FE74" s="146"/>
      <c r="FF74" s="146"/>
      <c r="FG74" s="146"/>
      <c r="FH74" s="146"/>
      <c r="FI74" s="146"/>
      <c r="FJ74" s="146"/>
      <c r="FK74" s="146"/>
      <c r="FL74" s="146"/>
      <c r="FM74" s="146"/>
      <c r="FN74" s="146"/>
      <c r="FO74" s="146"/>
      <c r="FP74" s="146"/>
      <c r="FQ74" s="146"/>
      <c r="FR74" s="146"/>
      <c r="FS74" s="146"/>
      <c r="FT74" s="146"/>
      <c r="FU74" s="146"/>
      <c r="FV74" s="146"/>
      <c r="FW74" s="146"/>
      <c r="FX74" s="146"/>
      <c r="FY74" s="146"/>
      <c r="FZ74" s="146"/>
      <c r="GA74" s="146"/>
      <c r="GB74" s="146"/>
      <c r="GC74" s="146"/>
      <c r="GD74" s="146"/>
      <c r="GE74" s="146"/>
      <c r="GF74" s="146"/>
      <c r="GG74" s="146"/>
      <c r="GH74" s="146"/>
      <c r="GI74" s="146"/>
      <c r="GJ74" s="146"/>
    </row>
    <row r="75" spans="1:192" ht="42" outlineLevel="1" x14ac:dyDescent="0.35">
      <c r="A75" s="225" t="s">
        <v>3</v>
      </c>
      <c r="B75" s="192"/>
      <c r="C75" s="193" t="s">
        <v>308</v>
      </c>
      <c r="D75" s="194" t="s">
        <v>24</v>
      </c>
      <c r="E75" s="213" t="s">
        <v>303</v>
      </c>
      <c r="F75" s="82"/>
      <c r="G75" s="117"/>
      <c r="H75" s="117"/>
      <c r="I75" s="117"/>
      <c r="J75" s="117"/>
      <c r="K75" s="117"/>
      <c r="L75" s="117"/>
      <c r="M75" s="117"/>
      <c r="N75" s="117"/>
      <c r="O75" s="117"/>
      <c r="P75" s="117"/>
      <c r="Q75" s="117"/>
      <c r="R75" s="117"/>
      <c r="S75" s="117"/>
      <c r="T75" s="117"/>
      <c r="U75" s="117"/>
      <c r="V75" s="117"/>
      <c r="W75" s="117"/>
      <c r="X75" s="117"/>
      <c r="Y75" s="117"/>
      <c r="Z75" s="117"/>
      <c r="AA75" s="117"/>
      <c r="AB75" s="117"/>
      <c r="AC75" s="117"/>
      <c r="AD75" s="117"/>
      <c r="AE75" s="117"/>
      <c r="AF75" s="117"/>
      <c r="AG75" s="117"/>
      <c r="AH75" s="117"/>
      <c r="AI75" s="117"/>
      <c r="AJ75" s="117"/>
      <c r="AK75" s="117"/>
      <c r="AL75" s="117"/>
      <c r="AM75" s="117"/>
      <c r="AN75" s="117"/>
      <c r="AO75" s="117"/>
      <c r="AP75" s="117"/>
      <c r="AQ75" s="117"/>
      <c r="AR75" s="117"/>
      <c r="AS75" s="117"/>
      <c r="AT75" s="117"/>
      <c r="AU75" s="117"/>
      <c r="AV75" s="117"/>
      <c r="AW75" s="117"/>
      <c r="AX75" s="117"/>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46"/>
      <c r="DZ75" s="146"/>
      <c r="EA75" s="146"/>
      <c r="EB75" s="146"/>
      <c r="EC75" s="146"/>
      <c r="ED75" s="146"/>
      <c r="EE75" s="146"/>
      <c r="EF75" s="146"/>
      <c r="EG75" s="146"/>
      <c r="EH75" s="146"/>
      <c r="EI75" s="146"/>
      <c r="EJ75" s="146"/>
      <c r="EK75" s="146"/>
      <c r="EL75" s="146"/>
      <c r="EM75" s="146"/>
      <c r="EN75" s="146"/>
      <c r="EO75" s="146"/>
      <c r="EP75" s="146"/>
      <c r="EQ75" s="146"/>
      <c r="ER75" s="146"/>
      <c r="ES75" s="146"/>
      <c r="ET75" s="146"/>
      <c r="EU75" s="146"/>
      <c r="EV75" s="146"/>
      <c r="EW75" s="146"/>
      <c r="EX75" s="146"/>
      <c r="EY75" s="146"/>
      <c r="EZ75" s="146"/>
      <c r="FA75" s="146"/>
      <c r="FB75" s="146"/>
      <c r="FC75" s="146"/>
      <c r="FD75" s="146"/>
      <c r="FE75" s="146"/>
      <c r="FF75" s="146"/>
      <c r="FG75" s="146"/>
      <c r="FH75" s="146"/>
      <c r="FI75" s="146"/>
      <c r="FJ75" s="146"/>
      <c r="FK75" s="146"/>
      <c r="FL75" s="146"/>
      <c r="FM75" s="146"/>
      <c r="FN75" s="146"/>
      <c r="FO75" s="146"/>
      <c r="FP75" s="146"/>
      <c r="FQ75" s="146"/>
      <c r="FR75" s="146"/>
      <c r="FS75" s="146"/>
      <c r="FT75" s="146"/>
      <c r="FU75" s="146"/>
      <c r="FV75" s="146"/>
      <c r="FW75" s="146"/>
      <c r="FX75" s="146"/>
      <c r="FY75" s="146"/>
      <c r="FZ75" s="146"/>
      <c r="GA75" s="146"/>
      <c r="GB75" s="146"/>
      <c r="GC75" s="146"/>
      <c r="GD75" s="146"/>
      <c r="GE75" s="146"/>
      <c r="GF75" s="146"/>
      <c r="GG75" s="146"/>
      <c r="GH75" s="146"/>
      <c r="GI75" s="146"/>
      <c r="GJ75" s="146"/>
    </row>
    <row r="76" spans="1:192" ht="42" outlineLevel="1" x14ac:dyDescent="0.35">
      <c r="A76" s="225" t="s">
        <v>3</v>
      </c>
      <c r="B76" s="192"/>
      <c r="C76" s="193" t="s">
        <v>309</v>
      </c>
      <c r="D76" s="194" t="s">
        <v>24</v>
      </c>
      <c r="E76" s="213" t="s">
        <v>304</v>
      </c>
      <c r="F76" s="82"/>
      <c r="G76" s="117"/>
      <c r="H76" s="117"/>
      <c r="I76" s="117"/>
      <c r="J76" s="117"/>
      <c r="K76" s="117"/>
      <c r="L76" s="117"/>
      <c r="M76" s="117"/>
      <c r="N76" s="117"/>
      <c r="O76" s="117"/>
      <c r="P76" s="117"/>
      <c r="Q76" s="117"/>
      <c r="R76" s="117"/>
      <c r="S76" s="117"/>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46"/>
      <c r="DZ76" s="146"/>
      <c r="EA76" s="146"/>
      <c r="EB76" s="146"/>
      <c r="EC76" s="146"/>
      <c r="ED76" s="146"/>
      <c r="EE76" s="146"/>
      <c r="EF76" s="146"/>
      <c r="EG76" s="146"/>
      <c r="EH76" s="146"/>
      <c r="EI76" s="146"/>
      <c r="EJ76" s="146"/>
      <c r="EK76" s="146"/>
      <c r="EL76" s="146"/>
      <c r="EM76" s="146"/>
      <c r="EN76" s="146"/>
      <c r="EO76" s="146"/>
      <c r="EP76" s="146"/>
      <c r="EQ76" s="146"/>
      <c r="ER76" s="146"/>
      <c r="ES76" s="146"/>
      <c r="ET76" s="146"/>
      <c r="EU76" s="146"/>
      <c r="EV76" s="146"/>
      <c r="EW76" s="146"/>
      <c r="EX76" s="146"/>
      <c r="EY76" s="146"/>
      <c r="EZ76" s="146"/>
      <c r="FA76" s="146"/>
      <c r="FB76" s="146"/>
      <c r="FC76" s="146"/>
      <c r="FD76" s="146"/>
      <c r="FE76" s="146"/>
      <c r="FF76" s="146"/>
      <c r="FG76" s="146"/>
      <c r="FH76" s="146"/>
      <c r="FI76" s="146"/>
      <c r="FJ76" s="146"/>
      <c r="FK76" s="146"/>
      <c r="FL76" s="146"/>
      <c r="FM76" s="146"/>
      <c r="FN76" s="146"/>
      <c r="FO76" s="146"/>
      <c r="FP76" s="146"/>
      <c r="FQ76" s="146"/>
      <c r="FR76" s="146"/>
      <c r="FS76" s="146"/>
      <c r="FT76" s="146"/>
      <c r="FU76" s="146"/>
      <c r="FV76" s="146"/>
      <c r="FW76" s="146"/>
      <c r="FX76" s="146"/>
      <c r="FY76" s="146"/>
      <c r="FZ76" s="146"/>
      <c r="GA76" s="146"/>
      <c r="GB76" s="146"/>
      <c r="GC76" s="146"/>
      <c r="GD76" s="146"/>
      <c r="GE76" s="146"/>
      <c r="GF76" s="146"/>
      <c r="GG76" s="146"/>
      <c r="GH76" s="146"/>
      <c r="GI76" s="146"/>
      <c r="GJ76" s="146"/>
    </row>
    <row r="77" spans="1:192" ht="92" outlineLevel="1" x14ac:dyDescent="0.35">
      <c r="A77" s="225" t="s">
        <v>3</v>
      </c>
      <c r="B77" s="189" t="s">
        <v>935</v>
      </c>
      <c r="C77" s="190" t="s">
        <v>310</v>
      </c>
      <c r="D77" s="191" t="s">
        <v>25</v>
      </c>
      <c r="E77" s="211" t="s">
        <v>936</v>
      </c>
      <c r="F77" s="78"/>
      <c r="G77" s="117"/>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7"/>
      <c r="AJ77" s="117"/>
      <c r="AK77" s="117"/>
      <c r="AL77" s="117"/>
      <c r="AM77" s="117"/>
      <c r="AN77" s="117"/>
      <c r="AO77" s="117"/>
      <c r="AP77" s="117"/>
      <c r="AQ77" s="117"/>
      <c r="AR77" s="117"/>
      <c r="AS77" s="117"/>
      <c r="AT77" s="117"/>
      <c r="AU77" s="117"/>
      <c r="AV77" s="117"/>
      <c r="AW77" s="117"/>
      <c r="AX77" s="117"/>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c r="ET77" s="146"/>
      <c r="EU77" s="146"/>
      <c r="EV77" s="146"/>
      <c r="EW77" s="146"/>
      <c r="EX77" s="146"/>
      <c r="EY77" s="146"/>
      <c r="EZ77" s="146"/>
      <c r="FA77" s="146"/>
      <c r="FB77" s="146"/>
      <c r="FC77" s="146"/>
      <c r="FD77" s="146"/>
      <c r="FE77" s="146"/>
      <c r="FF77" s="146"/>
      <c r="FG77" s="146"/>
      <c r="FH77" s="146"/>
      <c r="FI77" s="146"/>
      <c r="FJ77" s="146"/>
      <c r="FK77" s="146"/>
      <c r="FL77" s="146"/>
      <c r="FM77" s="146"/>
      <c r="FN77" s="146"/>
      <c r="FO77" s="146"/>
      <c r="FP77" s="146"/>
      <c r="FQ77" s="146"/>
      <c r="FR77" s="146"/>
      <c r="FS77" s="146"/>
      <c r="FT77" s="146"/>
      <c r="FU77" s="146"/>
      <c r="FV77" s="146"/>
      <c r="FW77" s="146"/>
      <c r="FX77" s="146"/>
      <c r="FY77" s="146"/>
      <c r="FZ77" s="146"/>
      <c r="GA77" s="146"/>
      <c r="GB77" s="146"/>
      <c r="GC77" s="146"/>
      <c r="GD77" s="146"/>
      <c r="GE77" s="146"/>
      <c r="GF77" s="146"/>
      <c r="GG77" s="146"/>
      <c r="GH77" s="146"/>
      <c r="GI77" s="146"/>
      <c r="GJ77" s="146"/>
    </row>
    <row r="78" spans="1:192" ht="92" outlineLevel="1" x14ac:dyDescent="0.35">
      <c r="A78" s="225" t="s">
        <v>3</v>
      </c>
      <c r="B78" s="189"/>
      <c r="C78" s="190" t="s">
        <v>311</v>
      </c>
      <c r="D78" s="191" t="s">
        <v>25</v>
      </c>
      <c r="E78" s="211" t="s">
        <v>937</v>
      </c>
      <c r="F78" s="78"/>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7"/>
      <c r="AK78" s="117"/>
      <c r="AL78" s="117"/>
      <c r="AM78" s="117"/>
      <c r="AN78" s="117"/>
      <c r="AO78" s="117"/>
      <c r="AP78" s="117"/>
      <c r="AQ78" s="117"/>
      <c r="AR78" s="117"/>
      <c r="AS78" s="117"/>
      <c r="AT78" s="117"/>
      <c r="AU78" s="117"/>
      <c r="AV78" s="117"/>
      <c r="AW78" s="117"/>
      <c r="AX78" s="117"/>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46"/>
      <c r="DZ78" s="146"/>
      <c r="EA78" s="146"/>
      <c r="EB78" s="146"/>
      <c r="EC78" s="146"/>
      <c r="ED78" s="146"/>
      <c r="EE78" s="146"/>
      <c r="EF78" s="146"/>
      <c r="EG78" s="146"/>
      <c r="EH78" s="146"/>
      <c r="EI78" s="146"/>
      <c r="EJ78" s="146"/>
      <c r="EK78" s="146"/>
      <c r="EL78" s="146"/>
      <c r="EM78" s="146"/>
      <c r="EN78" s="146"/>
      <c r="EO78" s="146"/>
      <c r="EP78" s="146"/>
      <c r="EQ78" s="146"/>
      <c r="ER78" s="146"/>
      <c r="ES78" s="146"/>
      <c r="ET78" s="146"/>
      <c r="EU78" s="146"/>
      <c r="EV78" s="146"/>
      <c r="EW78" s="146"/>
      <c r="EX78" s="146"/>
      <c r="EY78" s="146"/>
      <c r="EZ78" s="146"/>
      <c r="FA78" s="146"/>
      <c r="FB78" s="146"/>
      <c r="FC78" s="146"/>
      <c r="FD78" s="146"/>
      <c r="FE78" s="146"/>
      <c r="FF78" s="146"/>
      <c r="FG78" s="146"/>
      <c r="FH78" s="146"/>
      <c r="FI78" s="146"/>
      <c r="FJ78" s="146"/>
      <c r="FK78" s="146"/>
      <c r="FL78" s="146"/>
      <c r="FM78" s="146"/>
      <c r="FN78" s="146"/>
      <c r="FO78" s="146"/>
      <c r="FP78" s="146"/>
      <c r="FQ78" s="146"/>
      <c r="FR78" s="146"/>
      <c r="FS78" s="146"/>
      <c r="FT78" s="146"/>
      <c r="FU78" s="146"/>
      <c r="FV78" s="146"/>
      <c r="FW78" s="146"/>
      <c r="FX78" s="146"/>
      <c r="FY78" s="146"/>
      <c r="FZ78" s="146"/>
      <c r="GA78" s="146"/>
      <c r="GB78" s="146"/>
      <c r="GC78" s="146"/>
      <c r="GD78" s="146"/>
      <c r="GE78" s="146"/>
      <c r="GF78" s="146"/>
      <c r="GG78" s="146"/>
      <c r="GH78" s="146"/>
      <c r="GI78" s="146"/>
      <c r="GJ78" s="146"/>
    </row>
    <row r="79" spans="1:192" ht="102.5" outlineLevel="1" x14ac:dyDescent="0.35">
      <c r="A79" s="225" t="s">
        <v>3</v>
      </c>
      <c r="B79" s="189"/>
      <c r="C79" s="190" t="s">
        <v>312</v>
      </c>
      <c r="D79" s="191" t="s">
        <v>25</v>
      </c>
      <c r="E79" s="211" t="s">
        <v>938</v>
      </c>
      <c r="F79" s="78"/>
      <c r="G79" s="117"/>
      <c r="H79" s="117"/>
      <c r="I79" s="117"/>
      <c r="J79" s="117"/>
      <c r="K79" s="117"/>
      <c r="L79" s="117"/>
      <c r="M79" s="117"/>
      <c r="N79" s="117"/>
      <c r="O79" s="117"/>
      <c r="P79" s="117"/>
      <c r="Q79" s="117"/>
      <c r="R79" s="117"/>
      <c r="S79" s="117"/>
      <c r="T79" s="117"/>
      <c r="U79" s="117"/>
      <c r="V79" s="117"/>
      <c r="W79" s="117"/>
      <c r="X79" s="117"/>
      <c r="Y79" s="117"/>
      <c r="Z79" s="117"/>
      <c r="AA79" s="117"/>
      <c r="AB79" s="117"/>
      <c r="AC79" s="117"/>
      <c r="AD79" s="117"/>
      <c r="AE79" s="117"/>
      <c r="AF79" s="117"/>
      <c r="AG79" s="117"/>
      <c r="AH79" s="117"/>
      <c r="AI79" s="117"/>
      <c r="AJ79" s="117"/>
      <c r="AK79" s="117"/>
      <c r="AL79" s="117"/>
      <c r="AM79" s="117"/>
      <c r="AN79" s="117"/>
      <c r="AO79" s="117"/>
      <c r="AP79" s="117"/>
      <c r="AQ79" s="117"/>
      <c r="AR79" s="117"/>
      <c r="AS79" s="117"/>
      <c r="AT79" s="117"/>
      <c r="AU79" s="117"/>
      <c r="AV79" s="117"/>
      <c r="AW79" s="117"/>
      <c r="AX79" s="117"/>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46"/>
      <c r="DZ79" s="146"/>
      <c r="EA79" s="146"/>
      <c r="EB79" s="146"/>
      <c r="EC79" s="146"/>
      <c r="ED79" s="146"/>
      <c r="EE79" s="146"/>
      <c r="EF79" s="146"/>
      <c r="EG79" s="146"/>
      <c r="EH79" s="146"/>
      <c r="EI79" s="146"/>
      <c r="EJ79" s="146"/>
      <c r="EK79" s="146"/>
      <c r="EL79" s="146"/>
      <c r="EM79" s="146"/>
      <c r="EN79" s="146"/>
      <c r="EO79" s="146"/>
      <c r="EP79" s="146"/>
      <c r="EQ79" s="146"/>
      <c r="ER79" s="146"/>
      <c r="ES79" s="146"/>
      <c r="ET79" s="146"/>
      <c r="EU79" s="146"/>
      <c r="EV79" s="146"/>
      <c r="EW79" s="146"/>
      <c r="EX79" s="146"/>
      <c r="EY79" s="146"/>
      <c r="EZ79" s="146"/>
      <c r="FA79" s="146"/>
      <c r="FB79" s="146"/>
      <c r="FC79" s="146"/>
      <c r="FD79" s="146"/>
      <c r="FE79" s="146"/>
      <c r="FF79" s="146"/>
      <c r="FG79" s="146"/>
      <c r="FH79" s="146"/>
      <c r="FI79" s="146"/>
      <c r="FJ79" s="146"/>
      <c r="FK79" s="146"/>
      <c r="FL79" s="146"/>
      <c r="FM79" s="146"/>
      <c r="FN79" s="146"/>
      <c r="FO79" s="146"/>
      <c r="FP79" s="146"/>
      <c r="FQ79" s="146"/>
      <c r="FR79" s="146"/>
      <c r="FS79" s="146"/>
      <c r="FT79" s="146"/>
      <c r="FU79" s="146"/>
      <c r="FV79" s="146"/>
      <c r="FW79" s="146"/>
      <c r="FX79" s="146"/>
      <c r="FY79" s="146"/>
      <c r="FZ79" s="146"/>
      <c r="GA79" s="146"/>
      <c r="GB79" s="146"/>
      <c r="GC79" s="146"/>
      <c r="GD79" s="146"/>
      <c r="GE79" s="146"/>
      <c r="GF79" s="146"/>
      <c r="GG79" s="146"/>
      <c r="GH79" s="146"/>
      <c r="GI79" s="146"/>
      <c r="GJ79" s="146"/>
    </row>
    <row r="80" spans="1:192" ht="102.5" outlineLevel="1" x14ac:dyDescent="0.35">
      <c r="A80" s="225" t="s">
        <v>3</v>
      </c>
      <c r="B80" s="189"/>
      <c r="C80" s="190" t="s">
        <v>313</v>
      </c>
      <c r="D80" s="191" t="s">
        <v>25</v>
      </c>
      <c r="E80" s="211" t="s">
        <v>939</v>
      </c>
      <c r="F80" s="78"/>
      <c r="G80" s="117"/>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117"/>
      <c r="AH80" s="117"/>
      <c r="AI80" s="117"/>
      <c r="AJ80" s="117"/>
      <c r="AK80" s="117"/>
      <c r="AL80" s="117"/>
      <c r="AM80" s="117"/>
      <c r="AN80" s="117"/>
      <c r="AO80" s="117"/>
      <c r="AP80" s="117"/>
      <c r="AQ80" s="117"/>
      <c r="AR80" s="117"/>
      <c r="AS80" s="117"/>
      <c r="AT80" s="117"/>
      <c r="AU80" s="117"/>
      <c r="AV80" s="117"/>
      <c r="AW80" s="117"/>
      <c r="AX80" s="117"/>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46"/>
      <c r="DZ80" s="146"/>
      <c r="EA80" s="146"/>
      <c r="EB80" s="146"/>
      <c r="EC80" s="146"/>
      <c r="ED80" s="146"/>
      <c r="EE80" s="146"/>
      <c r="EF80" s="146"/>
      <c r="EG80" s="146"/>
      <c r="EH80" s="146"/>
      <c r="EI80" s="146"/>
      <c r="EJ80" s="146"/>
      <c r="EK80" s="146"/>
      <c r="EL80" s="146"/>
      <c r="EM80" s="146"/>
      <c r="EN80" s="146"/>
      <c r="EO80" s="146"/>
      <c r="EP80" s="146"/>
      <c r="EQ80" s="146"/>
      <c r="ER80" s="146"/>
      <c r="ES80" s="146"/>
      <c r="ET80" s="146"/>
      <c r="EU80" s="146"/>
      <c r="EV80" s="146"/>
      <c r="EW80" s="146"/>
      <c r="EX80" s="146"/>
      <c r="EY80" s="146"/>
      <c r="EZ80" s="146"/>
      <c r="FA80" s="146"/>
      <c r="FB80" s="146"/>
      <c r="FC80" s="146"/>
      <c r="FD80" s="146"/>
      <c r="FE80" s="146"/>
      <c r="FF80" s="146"/>
      <c r="FG80" s="146"/>
      <c r="FH80" s="146"/>
      <c r="FI80" s="146"/>
      <c r="FJ80" s="146"/>
      <c r="FK80" s="146"/>
      <c r="FL80" s="146"/>
      <c r="FM80" s="146"/>
      <c r="FN80" s="146"/>
      <c r="FO80" s="146"/>
      <c r="FP80" s="146"/>
      <c r="FQ80" s="146"/>
      <c r="FR80" s="146"/>
      <c r="FS80" s="146"/>
      <c r="FT80" s="146"/>
      <c r="FU80" s="146"/>
      <c r="FV80" s="146"/>
      <c r="FW80" s="146"/>
      <c r="FX80" s="146"/>
      <c r="FY80" s="146"/>
      <c r="FZ80" s="146"/>
      <c r="GA80" s="146"/>
      <c r="GB80" s="146"/>
      <c r="GC80" s="146"/>
      <c r="GD80" s="146"/>
      <c r="GE80" s="146"/>
      <c r="GF80" s="146"/>
      <c r="GG80" s="146"/>
      <c r="GH80" s="146"/>
      <c r="GI80" s="146"/>
      <c r="GJ80" s="146"/>
    </row>
    <row r="81" spans="1:192" ht="52.5" outlineLevel="1" x14ac:dyDescent="0.35">
      <c r="A81" s="225" t="s">
        <v>3</v>
      </c>
      <c r="B81" s="189"/>
      <c r="C81" s="190" t="s">
        <v>314</v>
      </c>
      <c r="D81" s="191" t="s">
        <v>25</v>
      </c>
      <c r="E81" s="206" t="s">
        <v>711</v>
      </c>
      <c r="F81" s="78"/>
      <c r="G81" s="117"/>
      <c r="H81" s="117"/>
      <c r="I81" s="117"/>
      <c r="J81" s="117"/>
      <c r="K81" s="117"/>
      <c r="L81" s="117"/>
      <c r="M81" s="117"/>
      <c r="N81" s="117"/>
      <c r="O81" s="117"/>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46"/>
      <c r="DZ81" s="146"/>
      <c r="EA81" s="146"/>
      <c r="EB81" s="146"/>
      <c r="EC81" s="146"/>
      <c r="ED81" s="146"/>
      <c r="EE81" s="146"/>
      <c r="EF81" s="146"/>
      <c r="EG81" s="146"/>
      <c r="EH81" s="146"/>
      <c r="EI81" s="146"/>
      <c r="EJ81" s="146"/>
      <c r="EK81" s="146"/>
      <c r="EL81" s="146"/>
      <c r="EM81" s="146"/>
      <c r="EN81" s="146"/>
      <c r="EO81" s="146"/>
      <c r="EP81" s="146"/>
      <c r="EQ81" s="146"/>
      <c r="ER81" s="146"/>
      <c r="ES81" s="146"/>
      <c r="ET81" s="146"/>
      <c r="EU81" s="146"/>
      <c r="EV81" s="146"/>
      <c r="EW81" s="146"/>
      <c r="EX81" s="146"/>
      <c r="EY81" s="146"/>
      <c r="EZ81" s="146"/>
      <c r="FA81" s="146"/>
      <c r="FB81" s="146"/>
      <c r="FC81" s="146"/>
      <c r="FD81" s="146"/>
      <c r="FE81" s="146"/>
      <c r="FF81" s="146"/>
      <c r="FG81" s="146"/>
      <c r="FH81" s="146"/>
      <c r="FI81" s="146"/>
      <c r="FJ81" s="146"/>
      <c r="FK81" s="146"/>
      <c r="FL81" s="146"/>
      <c r="FM81" s="146"/>
      <c r="FN81" s="146"/>
      <c r="FO81" s="146"/>
      <c r="FP81" s="146"/>
      <c r="FQ81" s="146"/>
      <c r="FR81" s="146"/>
      <c r="FS81" s="146"/>
      <c r="FT81" s="146"/>
      <c r="FU81" s="146"/>
      <c r="FV81" s="146"/>
      <c r="FW81" s="146"/>
      <c r="FX81" s="146"/>
      <c r="FY81" s="146"/>
      <c r="FZ81" s="146"/>
      <c r="GA81" s="146"/>
      <c r="GB81" s="146"/>
      <c r="GC81" s="146"/>
      <c r="GD81" s="146"/>
      <c r="GE81" s="146"/>
      <c r="GF81" s="146"/>
      <c r="GG81" s="146"/>
      <c r="GH81" s="146"/>
      <c r="GI81" s="146"/>
      <c r="GJ81" s="146"/>
    </row>
    <row r="82" spans="1:192" ht="93" outlineLevel="1" x14ac:dyDescent="0.35">
      <c r="A82" s="225" t="s">
        <v>3</v>
      </c>
      <c r="B82" s="192" t="s">
        <v>940</v>
      </c>
      <c r="C82" s="193" t="s">
        <v>315</v>
      </c>
      <c r="D82" s="194" t="s">
        <v>25</v>
      </c>
      <c r="E82" s="215" t="s">
        <v>941</v>
      </c>
      <c r="F82" s="82"/>
      <c r="G82" s="117"/>
      <c r="H82" s="117"/>
      <c r="I82" s="117"/>
      <c r="J82" s="117"/>
      <c r="K82" s="117"/>
      <c r="L82" s="117"/>
      <c r="M82" s="117"/>
      <c r="N82" s="117"/>
      <c r="O82" s="117"/>
      <c r="P82" s="117"/>
      <c r="Q82" s="117"/>
      <c r="R82" s="117"/>
      <c r="S82" s="117"/>
      <c r="T82" s="117"/>
      <c r="U82" s="117"/>
      <c r="V82" s="117"/>
      <c r="W82" s="117"/>
      <c r="X82" s="117"/>
      <c r="Y82" s="117"/>
      <c r="Z82" s="117"/>
      <c r="AA82" s="117"/>
      <c r="AB82" s="117"/>
      <c r="AC82" s="117"/>
      <c r="AD82" s="117"/>
      <c r="AE82" s="117"/>
      <c r="AF82" s="117"/>
      <c r="AG82" s="117"/>
      <c r="AH82" s="117"/>
      <c r="AI82" s="117"/>
      <c r="AJ82" s="117"/>
      <c r="AK82" s="117"/>
      <c r="AL82" s="117"/>
      <c r="AM82" s="117"/>
      <c r="AN82" s="117"/>
      <c r="AO82" s="117"/>
      <c r="AP82" s="117"/>
      <c r="AQ82" s="117"/>
      <c r="AR82" s="117"/>
      <c r="AS82" s="117"/>
      <c r="AT82" s="117"/>
      <c r="AU82" s="117"/>
      <c r="AV82" s="117"/>
      <c r="AW82" s="117"/>
      <c r="AX82" s="117"/>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46"/>
      <c r="DZ82" s="146"/>
      <c r="EA82" s="146"/>
      <c r="EB82" s="146"/>
      <c r="EC82" s="146"/>
      <c r="ED82" s="146"/>
      <c r="EE82" s="146"/>
      <c r="EF82" s="146"/>
      <c r="EG82" s="146"/>
      <c r="EH82" s="146"/>
      <c r="EI82" s="146"/>
      <c r="EJ82" s="146"/>
      <c r="EK82" s="146"/>
      <c r="EL82" s="146"/>
      <c r="EM82" s="146"/>
      <c r="EN82" s="146"/>
      <c r="EO82" s="146"/>
      <c r="EP82" s="146"/>
      <c r="EQ82" s="146"/>
      <c r="ER82" s="146"/>
      <c r="ES82" s="146"/>
      <c r="ET82" s="146"/>
      <c r="EU82" s="146"/>
      <c r="EV82" s="146"/>
      <c r="EW82" s="146"/>
      <c r="EX82" s="146"/>
      <c r="EY82" s="146"/>
      <c r="EZ82" s="146"/>
      <c r="FA82" s="146"/>
      <c r="FB82" s="146"/>
      <c r="FC82" s="146"/>
      <c r="FD82" s="146"/>
      <c r="FE82" s="146"/>
      <c r="FF82" s="146"/>
      <c r="FG82" s="146"/>
      <c r="FH82" s="146"/>
      <c r="FI82" s="146"/>
      <c r="FJ82" s="146"/>
      <c r="FK82" s="146"/>
      <c r="FL82" s="146"/>
      <c r="FM82" s="146"/>
      <c r="FN82" s="146"/>
      <c r="FO82" s="146"/>
      <c r="FP82" s="146"/>
      <c r="FQ82" s="146"/>
      <c r="FR82" s="146"/>
      <c r="FS82" s="146"/>
      <c r="FT82" s="146"/>
      <c r="FU82" s="146"/>
      <c r="FV82" s="146"/>
      <c r="FW82" s="146"/>
      <c r="FX82" s="146"/>
      <c r="FY82" s="146"/>
      <c r="FZ82" s="146"/>
      <c r="GA82" s="146"/>
      <c r="GB82" s="146"/>
      <c r="GC82" s="146"/>
      <c r="GD82" s="146"/>
      <c r="GE82" s="146"/>
      <c r="GF82" s="146"/>
      <c r="GG82" s="146"/>
      <c r="GH82" s="146"/>
      <c r="GI82" s="146"/>
      <c r="GJ82" s="146"/>
    </row>
    <row r="83" spans="1:192" ht="103.5" outlineLevel="1" x14ac:dyDescent="0.35">
      <c r="A83" s="225" t="s">
        <v>3</v>
      </c>
      <c r="B83" s="197"/>
      <c r="C83" s="193" t="s">
        <v>316</v>
      </c>
      <c r="D83" s="194" t="s">
        <v>25</v>
      </c>
      <c r="E83" s="216" t="s">
        <v>942</v>
      </c>
      <c r="F83" s="82"/>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c r="AS83" s="117"/>
      <c r="AT83" s="117"/>
      <c r="AU83" s="117"/>
      <c r="AV83" s="117"/>
      <c r="AW83" s="117"/>
      <c r="AX83" s="117"/>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46"/>
      <c r="DZ83" s="146"/>
      <c r="EA83" s="146"/>
      <c r="EB83" s="146"/>
      <c r="EC83" s="146"/>
      <c r="ED83" s="146"/>
      <c r="EE83" s="146"/>
      <c r="EF83" s="146"/>
      <c r="EG83" s="146"/>
      <c r="EH83" s="146"/>
      <c r="EI83" s="146"/>
      <c r="EJ83" s="146"/>
      <c r="EK83" s="146"/>
      <c r="EL83" s="146"/>
      <c r="EM83" s="146"/>
      <c r="EN83" s="146"/>
      <c r="EO83" s="146"/>
      <c r="EP83" s="146"/>
      <c r="EQ83" s="146"/>
      <c r="ER83" s="146"/>
      <c r="ES83" s="146"/>
      <c r="ET83" s="146"/>
      <c r="EU83" s="146"/>
      <c r="EV83" s="146"/>
      <c r="EW83" s="146"/>
      <c r="EX83" s="146"/>
      <c r="EY83" s="146"/>
      <c r="EZ83" s="146"/>
      <c r="FA83" s="146"/>
      <c r="FB83" s="146"/>
      <c r="FC83" s="146"/>
      <c r="FD83" s="146"/>
      <c r="FE83" s="146"/>
      <c r="FF83" s="146"/>
      <c r="FG83" s="146"/>
      <c r="FH83" s="146"/>
      <c r="FI83" s="146"/>
      <c r="FJ83" s="146"/>
      <c r="FK83" s="146"/>
      <c r="FL83" s="146"/>
      <c r="FM83" s="146"/>
      <c r="FN83" s="146"/>
      <c r="FO83" s="146"/>
      <c r="FP83" s="146"/>
      <c r="FQ83" s="146"/>
      <c r="FR83" s="146"/>
      <c r="FS83" s="146"/>
      <c r="FT83" s="146"/>
      <c r="FU83" s="146"/>
      <c r="FV83" s="146"/>
      <c r="FW83" s="146"/>
      <c r="FX83" s="146"/>
      <c r="FY83" s="146"/>
      <c r="FZ83" s="146"/>
      <c r="GA83" s="146"/>
      <c r="GB83" s="146"/>
      <c r="GC83" s="146"/>
      <c r="GD83" s="146"/>
      <c r="GE83" s="146"/>
      <c r="GF83" s="146"/>
      <c r="GG83" s="146"/>
      <c r="GH83" s="146"/>
      <c r="GI83" s="146"/>
      <c r="GJ83" s="146"/>
    </row>
    <row r="84" spans="1:192" ht="93" outlineLevel="1" x14ac:dyDescent="0.35">
      <c r="A84" s="225" t="s">
        <v>3</v>
      </c>
      <c r="B84" s="197"/>
      <c r="C84" s="193" t="s">
        <v>317</v>
      </c>
      <c r="D84" s="194" t="s">
        <v>25</v>
      </c>
      <c r="E84" s="216" t="s">
        <v>943</v>
      </c>
      <c r="F84" s="82"/>
      <c r="G84" s="117"/>
      <c r="H84" s="117"/>
      <c r="I84" s="117"/>
      <c r="J84" s="117"/>
      <c r="K84" s="117"/>
      <c r="L84" s="117"/>
      <c r="M84" s="117"/>
      <c r="N84" s="117"/>
      <c r="O84" s="117"/>
      <c r="P84" s="117"/>
      <c r="Q84" s="117"/>
      <c r="R84" s="117"/>
      <c r="S84" s="117"/>
      <c r="T84" s="117"/>
      <c r="U84" s="117"/>
      <c r="V84" s="117"/>
      <c r="W84" s="117"/>
      <c r="X84" s="117"/>
      <c r="Y84" s="117"/>
      <c r="Z84" s="117"/>
      <c r="AA84" s="117"/>
      <c r="AB84" s="117"/>
      <c r="AC84" s="117"/>
      <c r="AD84" s="117"/>
      <c r="AE84" s="117"/>
      <c r="AF84" s="117"/>
      <c r="AG84" s="117"/>
      <c r="AH84" s="117"/>
      <c r="AI84" s="117"/>
      <c r="AJ84" s="117"/>
      <c r="AK84" s="117"/>
      <c r="AL84" s="117"/>
      <c r="AM84" s="117"/>
      <c r="AN84" s="117"/>
      <c r="AO84" s="117"/>
      <c r="AP84" s="117"/>
      <c r="AQ84" s="117"/>
      <c r="AR84" s="117"/>
      <c r="AS84" s="117"/>
      <c r="AT84" s="117"/>
      <c r="AU84" s="117"/>
      <c r="AV84" s="117"/>
      <c r="AW84" s="117"/>
      <c r="AX84" s="117"/>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46"/>
      <c r="DZ84" s="146"/>
      <c r="EA84" s="146"/>
      <c r="EB84" s="146"/>
      <c r="EC84" s="146"/>
      <c r="ED84" s="146"/>
      <c r="EE84" s="146"/>
      <c r="EF84" s="146"/>
      <c r="EG84" s="146"/>
      <c r="EH84" s="146"/>
      <c r="EI84" s="146"/>
      <c r="EJ84" s="146"/>
      <c r="EK84" s="146"/>
      <c r="EL84" s="146"/>
      <c r="EM84" s="146"/>
      <c r="EN84" s="146"/>
      <c r="EO84" s="146"/>
      <c r="EP84" s="146"/>
      <c r="EQ84" s="146"/>
      <c r="ER84" s="146"/>
      <c r="ES84" s="146"/>
      <c r="ET84" s="146"/>
      <c r="EU84" s="146"/>
      <c r="EV84" s="146"/>
      <c r="EW84" s="146"/>
      <c r="EX84" s="146"/>
      <c r="EY84" s="146"/>
      <c r="EZ84" s="146"/>
      <c r="FA84" s="146"/>
      <c r="FB84" s="146"/>
      <c r="FC84" s="146"/>
      <c r="FD84" s="146"/>
      <c r="FE84" s="146"/>
      <c r="FF84" s="146"/>
      <c r="FG84" s="146"/>
      <c r="FH84" s="146"/>
      <c r="FI84" s="146"/>
      <c r="FJ84" s="146"/>
      <c r="FK84" s="146"/>
      <c r="FL84" s="146"/>
      <c r="FM84" s="146"/>
      <c r="FN84" s="146"/>
      <c r="FO84" s="146"/>
      <c r="FP84" s="146"/>
      <c r="FQ84" s="146"/>
      <c r="FR84" s="146"/>
      <c r="FS84" s="146"/>
      <c r="FT84" s="146"/>
      <c r="FU84" s="146"/>
      <c r="FV84" s="146"/>
      <c r="FW84" s="146"/>
      <c r="FX84" s="146"/>
      <c r="FY84" s="146"/>
      <c r="FZ84" s="146"/>
      <c r="GA84" s="146"/>
      <c r="GB84" s="146"/>
      <c r="GC84" s="146"/>
      <c r="GD84" s="146"/>
      <c r="GE84" s="146"/>
      <c r="GF84" s="146"/>
      <c r="GG84" s="146"/>
      <c r="GH84" s="146"/>
      <c r="GI84" s="146"/>
      <c r="GJ84" s="146"/>
    </row>
    <row r="85" spans="1:192" ht="63" outlineLevel="1" x14ac:dyDescent="0.35">
      <c r="A85" s="225" t="s">
        <v>3</v>
      </c>
      <c r="B85" s="197"/>
      <c r="C85" s="193" t="s">
        <v>318</v>
      </c>
      <c r="D85" s="194" t="s">
        <v>25</v>
      </c>
      <c r="E85" s="216" t="s">
        <v>712</v>
      </c>
      <c r="F85" s="82"/>
      <c r="G85" s="117"/>
      <c r="H85" s="117"/>
      <c r="I85" s="117"/>
      <c r="J85" s="117"/>
      <c r="K85" s="117"/>
      <c r="L85" s="117"/>
      <c r="M85" s="117"/>
      <c r="N85" s="117"/>
      <c r="O85" s="117"/>
      <c r="P85" s="117"/>
      <c r="Q85" s="117"/>
      <c r="R85" s="117"/>
      <c r="S85" s="117"/>
      <c r="T85" s="117"/>
      <c r="U85" s="117"/>
      <c r="V85" s="117"/>
      <c r="W85" s="117"/>
      <c r="X85" s="117"/>
      <c r="Y85" s="117"/>
      <c r="Z85" s="117"/>
      <c r="AA85" s="117"/>
      <c r="AB85" s="117"/>
      <c r="AC85" s="117"/>
      <c r="AD85" s="117"/>
      <c r="AE85" s="117"/>
      <c r="AF85" s="117"/>
      <c r="AG85" s="117"/>
      <c r="AH85" s="117"/>
      <c r="AI85" s="117"/>
      <c r="AJ85" s="117"/>
      <c r="AK85" s="117"/>
      <c r="AL85" s="117"/>
      <c r="AM85" s="117"/>
      <c r="AN85" s="117"/>
      <c r="AO85" s="117"/>
      <c r="AP85" s="117"/>
      <c r="AQ85" s="117"/>
      <c r="AR85" s="117"/>
      <c r="AS85" s="117"/>
      <c r="AT85" s="117"/>
      <c r="AU85" s="117"/>
      <c r="AV85" s="117"/>
      <c r="AW85" s="117"/>
      <c r="AX85" s="117"/>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46"/>
      <c r="DZ85" s="146"/>
      <c r="EA85" s="146"/>
      <c r="EB85" s="146"/>
      <c r="EC85" s="146"/>
      <c r="ED85" s="146"/>
      <c r="EE85" s="146"/>
      <c r="EF85" s="146"/>
      <c r="EG85" s="146"/>
      <c r="EH85" s="146"/>
      <c r="EI85" s="146"/>
      <c r="EJ85" s="146"/>
      <c r="EK85" s="146"/>
      <c r="EL85" s="146"/>
      <c r="EM85" s="146"/>
      <c r="EN85" s="146"/>
      <c r="EO85" s="146"/>
      <c r="EP85" s="146"/>
      <c r="EQ85" s="146"/>
      <c r="ER85" s="146"/>
      <c r="ES85" s="146"/>
      <c r="ET85" s="146"/>
      <c r="EU85" s="146"/>
      <c r="EV85" s="146"/>
      <c r="EW85" s="146"/>
      <c r="EX85" s="146"/>
      <c r="EY85" s="146"/>
      <c r="EZ85" s="146"/>
      <c r="FA85" s="146"/>
      <c r="FB85" s="146"/>
      <c r="FC85" s="146"/>
      <c r="FD85" s="146"/>
      <c r="FE85" s="146"/>
      <c r="FF85" s="146"/>
      <c r="FG85" s="146"/>
      <c r="FH85" s="146"/>
      <c r="FI85" s="146"/>
      <c r="FJ85" s="146"/>
      <c r="FK85" s="146"/>
      <c r="FL85" s="146"/>
      <c r="FM85" s="146"/>
      <c r="FN85" s="146"/>
      <c r="FO85" s="146"/>
      <c r="FP85" s="146"/>
      <c r="FQ85" s="146"/>
      <c r="FR85" s="146"/>
      <c r="FS85" s="146"/>
      <c r="FT85" s="146"/>
      <c r="FU85" s="146"/>
      <c r="FV85" s="146"/>
      <c r="FW85" s="146"/>
      <c r="FX85" s="146"/>
      <c r="FY85" s="146"/>
      <c r="FZ85" s="146"/>
      <c r="GA85" s="146"/>
      <c r="GB85" s="146"/>
      <c r="GC85" s="146"/>
      <c r="GD85" s="146"/>
      <c r="GE85" s="146"/>
      <c r="GF85" s="146"/>
      <c r="GG85" s="146"/>
      <c r="GH85" s="146"/>
      <c r="GI85" s="146"/>
      <c r="GJ85" s="146"/>
    </row>
    <row r="86" spans="1:192" ht="82" outlineLevel="1" x14ac:dyDescent="0.35">
      <c r="A86" s="226" t="s">
        <v>6</v>
      </c>
      <c r="B86" s="189" t="s">
        <v>944</v>
      </c>
      <c r="C86" s="190" t="s">
        <v>319</v>
      </c>
      <c r="D86" s="191" t="s">
        <v>24</v>
      </c>
      <c r="E86" s="217" t="s">
        <v>945</v>
      </c>
      <c r="F86" s="78"/>
      <c r="G86" s="117"/>
      <c r="H86" s="117"/>
      <c r="I86" s="117"/>
      <c r="J86" s="117"/>
      <c r="K86" s="117"/>
      <c r="L86" s="117"/>
      <c r="M86" s="117"/>
      <c r="N86" s="117"/>
      <c r="O86" s="117"/>
      <c r="P86" s="117"/>
      <c r="Q86" s="117"/>
      <c r="R86" s="117"/>
      <c r="S86" s="117"/>
      <c r="T86" s="117"/>
      <c r="U86" s="117"/>
      <c r="V86" s="117"/>
      <c r="W86" s="117"/>
      <c r="X86" s="117"/>
      <c r="Y86" s="117"/>
      <c r="Z86" s="117"/>
      <c r="AA86" s="117"/>
      <c r="AB86" s="117"/>
      <c r="AC86" s="117"/>
      <c r="AD86" s="117"/>
      <c r="AE86" s="117"/>
      <c r="AF86" s="117"/>
      <c r="AG86" s="117"/>
      <c r="AH86" s="117"/>
      <c r="AI86" s="117"/>
      <c r="AJ86" s="117"/>
      <c r="AK86" s="117"/>
      <c r="AL86" s="117"/>
      <c r="AM86" s="117"/>
      <c r="AN86" s="117"/>
      <c r="AO86" s="117"/>
      <c r="AP86" s="117"/>
      <c r="AQ86" s="117"/>
      <c r="AR86" s="117"/>
      <c r="AS86" s="117"/>
      <c r="AT86" s="117"/>
      <c r="AU86" s="117"/>
      <c r="AV86" s="117"/>
      <c r="AW86" s="117"/>
      <c r="AX86" s="117"/>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46"/>
      <c r="DZ86" s="146"/>
      <c r="EA86" s="146"/>
      <c r="EB86" s="146"/>
      <c r="EC86" s="146"/>
      <c r="ED86" s="146"/>
      <c r="EE86" s="146"/>
      <c r="EF86" s="146"/>
      <c r="EG86" s="146"/>
      <c r="EH86" s="146"/>
      <c r="EI86" s="146"/>
      <c r="EJ86" s="146"/>
      <c r="EK86" s="146"/>
      <c r="EL86" s="146"/>
      <c r="EM86" s="146"/>
      <c r="EN86" s="146"/>
      <c r="EO86" s="146"/>
      <c r="EP86" s="146"/>
      <c r="EQ86" s="146"/>
      <c r="ER86" s="146"/>
      <c r="ES86" s="146"/>
      <c r="ET86" s="146"/>
      <c r="EU86" s="146"/>
      <c r="EV86" s="146"/>
      <c r="EW86" s="146"/>
      <c r="EX86" s="146"/>
      <c r="EY86" s="146"/>
      <c r="EZ86" s="146"/>
      <c r="FA86" s="146"/>
      <c r="FB86" s="146"/>
      <c r="FC86" s="146"/>
      <c r="FD86" s="146"/>
      <c r="FE86" s="146"/>
      <c r="FF86" s="146"/>
      <c r="FG86" s="146"/>
      <c r="FH86" s="146"/>
      <c r="FI86" s="146"/>
      <c r="FJ86" s="146"/>
      <c r="FK86" s="146"/>
      <c r="FL86" s="146"/>
      <c r="FM86" s="146"/>
      <c r="FN86" s="146"/>
      <c r="FO86" s="146"/>
      <c r="FP86" s="146"/>
      <c r="FQ86" s="146"/>
      <c r="FR86" s="146"/>
      <c r="FS86" s="146"/>
      <c r="FT86" s="146"/>
      <c r="FU86" s="146"/>
      <c r="FV86" s="146"/>
      <c r="FW86" s="146"/>
      <c r="FX86" s="146"/>
      <c r="FY86" s="146"/>
      <c r="FZ86" s="146"/>
      <c r="GA86" s="146"/>
      <c r="GB86" s="146"/>
      <c r="GC86" s="146"/>
      <c r="GD86" s="146"/>
      <c r="GE86" s="146"/>
      <c r="GF86" s="146"/>
      <c r="GG86" s="146"/>
      <c r="GH86" s="146"/>
      <c r="GI86" s="146"/>
      <c r="GJ86" s="146"/>
    </row>
    <row r="87" spans="1:192" ht="172" outlineLevel="1" x14ac:dyDescent="0.35">
      <c r="A87" s="226" t="s">
        <v>6</v>
      </c>
      <c r="B87" s="189"/>
      <c r="C87" s="190" t="s">
        <v>320</v>
      </c>
      <c r="D87" s="191" t="s">
        <v>24</v>
      </c>
      <c r="E87" s="217" t="s">
        <v>946</v>
      </c>
      <c r="F87" s="78"/>
      <c r="G87" s="117"/>
      <c r="H87" s="117"/>
      <c r="I87" s="117"/>
      <c r="J87" s="117"/>
      <c r="K87" s="117"/>
      <c r="L87" s="117"/>
      <c r="M87" s="117"/>
      <c r="N87" s="117"/>
      <c r="O87" s="117"/>
      <c r="P87" s="117"/>
      <c r="Q87" s="117"/>
      <c r="R87" s="117"/>
      <c r="S87" s="117"/>
      <c r="T87" s="117"/>
      <c r="U87" s="117"/>
      <c r="V87" s="117"/>
      <c r="W87" s="117"/>
      <c r="X87" s="117"/>
      <c r="Y87" s="117"/>
      <c r="Z87" s="117"/>
      <c r="AA87" s="117"/>
      <c r="AB87" s="117"/>
      <c r="AC87" s="117"/>
      <c r="AD87" s="117"/>
      <c r="AE87" s="117"/>
      <c r="AF87" s="117"/>
      <c r="AG87" s="117"/>
      <c r="AH87" s="117"/>
      <c r="AI87" s="117"/>
      <c r="AJ87" s="117"/>
      <c r="AK87" s="117"/>
      <c r="AL87" s="117"/>
      <c r="AM87" s="117"/>
      <c r="AN87" s="117"/>
      <c r="AO87" s="117"/>
      <c r="AP87" s="117"/>
      <c r="AQ87" s="117"/>
      <c r="AR87" s="117"/>
      <c r="AS87" s="117"/>
      <c r="AT87" s="117"/>
      <c r="AU87" s="117"/>
      <c r="AV87" s="117"/>
      <c r="AW87" s="117"/>
      <c r="AX87" s="117"/>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46"/>
      <c r="FB87" s="146"/>
      <c r="FC87" s="146"/>
      <c r="FD87" s="146"/>
      <c r="FE87" s="146"/>
      <c r="FF87" s="146"/>
      <c r="FG87" s="146"/>
      <c r="FH87" s="146"/>
      <c r="FI87" s="146"/>
      <c r="FJ87" s="146"/>
      <c r="FK87" s="146"/>
      <c r="FL87" s="146"/>
      <c r="FM87" s="146"/>
      <c r="FN87" s="146"/>
      <c r="FO87" s="146"/>
      <c r="FP87" s="146"/>
      <c r="FQ87" s="146"/>
      <c r="FR87" s="146"/>
      <c r="FS87" s="146"/>
      <c r="FT87" s="146"/>
      <c r="FU87" s="146"/>
      <c r="FV87" s="146"/>
      <c r="FW87" s="146"/>
      <c r="FX87" s="146"/>
      <c r="FY87" s="146"/>
      <c r="FZ87" s="146"/>
      <c r="GA87" s="146"/>
      <c r="GB87" s="146"/>
      <c r="GC87" s="146"/>
      <c r="GD87" s="146"/>
      <c r="GE87" s="146"/>
      <c r="GF87" s="146"/>
      <c r="GG87" s="146"/>
      <c r="GH87" s="146"/>
      <c r="GI87" s="146"/>
      <c r="GJ87" s="146"/>
    </row>
    <row r="88" spans="1:192" ht="111.5" outlineLevel="1" x14ac:dyDescent="0.35">
      <c r="A88" s="226" t="s">
        <v>6</v>
      </c>
      <c r="B88" s="189"/>
      <c r="C88" s="190" t="s">
        <v>321</v>
      </c>
      <c r="D88" s="191" t="s">
        <v>24</v>
      </c>
      <c r="E88" s="217" t="s">
        <v>947</v>
      </c>
      <c r="F88" s="78"/>
      <c r="G88" s="117"/>
      <c r="H88" s="117"/>
      <c r="I88" s="117"/>
      <c r="J88" s="117"/>
      <c r="K88" s="117"/>
      <c r="L88" s="117"/>
      <c r="M88" s="117"/>
      <c r="N88" s="117"/>
      <c r="O88" s="117"/>
      <c r="P88" s="117"/>
      <c r="Q88" s="117"/>
      <c r="R88" s="117"/>
      <c r="S88" s="117"/>
      <c r="T88" s="117"/>
      <c r="U88" s="117"/>
      <c r="V88" s="117"/>
      <c r="W88" s="117"/>
      <c r="X88" s="117"/>
      <c r="Y88" s="117"/>
      <c r="Z88" s="117"/>
      <c r="AA88" s="117"/>
      <c r="AB88" s="117"/>
      <c r="AC88" s="117"/>
      <c r="AD88" s="117"/>
      <c r="AE88" s="117"/>
      <c r="AF88" s="117"/>
      <c r="AG88" s="117"/>
      <c r="AH88" s="117"/>
      <c r="AI88" s="117"/>
      <c r="AJ88" s="117"/>
      <c r="AK88" s="117"/>
      <c r="AL88" s="117"/>
      <c r="AM88" s="117"/>
      <c r="AN88" s="117"/>
      <c r="AO88" s="117"/>
      <c r="AP88" s="117"/>
      <c r="AQ88" s="117"/>
      <c r="AR88" s="117"/>
      <c r="AS88" s="117"/>
      <c r="AT88" s="117"/>
      <c r="AU88" s="117"/>
      <c r="AV88" s="117"/>
      <c r="AW88" s="117"/>
      <c r="AX88" s="117"/>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46"/>
      <c r="DZ88" s="146"/>
      <c r="EA88" s="146"/>
      <c r="EB88" s="146"/>
      <c r="EC88" s="146"/>
      <c r="ED88" s="146"/>
      <c r="EE88" s="146"/>
      <c r="EF88" s="146"/>
      <c r="EG88" s="146"/>
      <c r="EH88" s="146"/>
      <c r="EI88" s="146"/>
      <c r="EJ88" s="146"/>
      <c r="EK88" s="146"/>
      <c r="EL88" s="146"/>
      <c r="EM88" s="146"/>
      <c r="EN88" s="146"/>
      <c r="EO88" s="146"/>
      <c r="EP88" s="146"/>
      <c r="EQ88" s="146"/>
      <c r="ER88" s="146"/>
      <c r="ES88" s="146"/>
      <c r="ET88" s="146"/>
      <c r="EU88" s="146"/>
      <c r="EV88" s="146"/>
      <c r="EW88" s="146"/>
      <c r="EX88" s="146"/>
      <c r="EY88" s="146"/>
      <c r="EZ88" s="146"/>
      <c r="FA88" s="146"/>
      <c r="FB88" s="146"/>
      <c r="FC88" s="146"/>
      <c r="FD88" s="146"/>
      <c r="FE88" s="146"/>
      <c r="FF88" s="146"/>
      <c r="FG88" s="146"/>
      <c r="FH88" s="146"/>
      <c r="FI88" s="146"/>
      <c r="FJ88" s="146"/>
      <c r="FK88" s="146"/>
      <c r="FL88" s="146"/>
      <c r="FM88" s="146"/>
      <c r="FN88" s="146"/>
      <c r="FO88" s="146"/>
      <c r="FP88" s="146"/>
      <c r="FQ88" s="146"/>
      <c r="FR88" s="146"/>
      <c r="FS88" s="146"/>
      <c r="FT88" s="146"/>
      <c r="FU88" s="146"/>
      <c r="FV88" s="146"/>
      <c r="FW88" s="146"/>
      <c r="FX88" s="146"/>
      <c r="FY88" s="146"/>
      <c r="FZ88" s="146"/>
      <c r="GA88" s="146"/>
      <c r="GB88" s="146"/>
      <c r="GC88" s="146"/>
      <c r="GD88" s="146"/>
      <c r="GE88" s="146"/>
      <c r="GF88" s="146"/>
      <c r="GG88" s="146"/>
      <c r="GH88" s="146"/>
      <c r="GI88" s="146"/>
      <c r="GJ88" s="146"/>
    </row>
    <row r="89" spans="1:192" ht="60" outlineLevel="1" x14ac:dyDescent="0.35">
      <c r="A89" s="226" t="s">
        <v>6</v>
      </c>
      <c r="B89" s="192" t="s">
        <v>948</v>
      </c>
      <c r="C89" s="193" t="s">
        <v>322</v>
      </c>
      <c r="D89" s="194" t="s">
        <v>24</v>
      </c>
      <c r="E89" s="215" t="s">
        <v>949</v>
      </c>
      <c r="F89" s="82"/>
      <c r="G89" s="117"/>
      <c r="H89" s="117"/>
      <c r="I89" s="117"/>
      <c r="J89" s="117"/>
      <c r="K89" s="117"/>
      <c r="L89" s="117"/>
      <c r="M89" s="117"/>
      <c r="N89" s="117"/>
      <c r="O89" s="117"/>
      <c r="P89" s="117"/>
      <c r="Q89" s="117"/>
      <c r="R89" s="117"/>
      <c r="S89" s="117"/>
      <c r="T89" s="117"/>
      <c r="U89" s="117"/>
      <c r="V89" s="117"/>
      <c r="W89" s="117"/>
      <c r="X89" s="117"/>
      <c r="Y89" s="117"/>
      <c r="Z89" s="117"/>
      <c r="AA89" s="117"/>
      <c r="AB89" s="117"/>
      <c r="AC89" s="117"/>
      <c r="AD89" s="117"/>
      <c r="AE89" s="117"/>
      <c r="AF89" s="117"/>
      <c r="AG89" s="117"/>
      <c r="AH89" s="117"/>
      <c r="AI89" s="117"/>
      <c r="AJ89" s="117"/>
      <c r="AK89" s="117"/>
      <c r="AL89" s="117"/>
      <c r="AM89" s="117"/>
      <c r="AN89" s="117"/>
      <c r="AO89" s="117"/>
      <c r="AP89" s="117"/>
      <c r="AQ89" s="117"/>
      <c r="AR89" s="117"/>
      <c r="AS89" s="117"/>
      <c r="AT89" s="117"/>
      <c r="AU89" s="117"/>
      <c r="AV89" s="117"/>
      <c r="AW89" s="117"/>
      <c r="AX89" s="117"/>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46"/>
      <c r="DZ89" s="146"/>
      <c r="EA89" s="146"/>
      <c r="EB89" s="146"/>
      <c r="EC89" s="146"/>
      <c r="ED89" s="146"/>
      <c r="EE89" s="146"/>
      <c r="EF89" s="146"/>
      <c r="EG89" s="146"/>
      <c r="EH89" s="146"/>
      <c r="EI89" s="146"/>
      <c r="EJ89" s="146"/>
      <c r="EK89" s="146"/>
      <c r="EL89" s="146"/>
      <c r="EM89" s="146"/>
      <c r="EN89" s="146"/>
      <c r="EO89" s="146"/>
      <c r="EP89" s="146"/>
      <c r="EQ89" s="146"/>
      <c r="ER89" s="146"/>
      <c r="ES89" s="146"/>
      <c r="ET89" s="146"/>
      <c r="EU89" s="146"/>
      <c r="EV89" s="146"/>
      <c r="EW89" s="146"/>
      <c r="EX89" s="146"/>
      <c r="EY89" s="146"/>
      <c r="EZ89" s="146"/>
      <c r="FA89" s="146"/>
      <c r="FB89" s="146"/>
      <c r="FC89" s="146"/>
      <c r="FD89" s="146"/>
      <c r="FE89" s="146"/>
      <c r="FF89" s="146"/>
      <c r="FG89" s="146"/>
      <c r="FH89" s="146"/>
      <c r="FI89" s="146"/>
      <c r="FJ89" s="146"/>
      <c r="FK89" s="146"/>
      <c r="FL89" s="146"/>
      <c r="FM89" s="146"/>
      <c r="FN89" s="146"/>
      <c r="FO89" s="146"/>
      <c r="FP89" s="146"/>
      <c r="FQ89" s="146"/>
      <c r="FR89" s="146"/>
      <c r="FS89" s="146"/>
      <c r="FT89" s="146"/>
      <c r="FU89" s="146"/>
      <c r="FV89" s="146"/>
      <c r="FW89" s="146"/>
      <c r="FX89" s="146"/>
      <c r="FY89" s="146"/>
      <c r="FZ89" s="146"/>
      <c r="GA89" s="146"/>
      <c r="GB89" s="146"/>
      <c r="GC89" s="146"/>
      <c r="GD89" s="146"/>
      <c r="GE89" s="146"/>
      <c r="GF89" s="146"/>
      <c r="GG89" s="146"/>
      <c r="GH89" s="146"/>
      <c r="GI89" s="146"/>
      <c r="GJ89" s="146"/>
    </row>
    <row r="90" spans="1:192" ht="101.5" x14ac:dyDescent="0.35">
      <c r="A90" s="226" t="s">
        <v>6</v>
      </c>
      <c r="B90" s="192"/>
      <c r="C90" s="193" t="s">
        <v>323</v>
      </c>
      <c r="D90" s="194" t="s">
        <v>24</v>
      </c>
      <c r="E90" s="218" t="s">
        <v>950</v>
      </c>
      <c r="F90" s="82"/>
      <c r="G90" s="117"/>
      <c r="H90" s="117"/>
      <c r="I90" s="117"/>
      <c r="J90" s="117"/>
      <c r="K90" s="117"/>
      <c r="L90" s="117"/>
      <c r="M90" s="117"/>
      <c r="N90" s="117"/>
      <c r="O90" s="117"/>
      <c r="P90" s="117"/>
      <c r="Q90" s="117"/>
      <c r="R90" s="117"/>
      <c r="S90" s="117"/>
      <c r="T90" s="117"/>
      <c r="U90" s="117"/>
      <c r="V90" s="117"/>
      <c r="W90" s="117"/>
      <c r="X90" s="117"/>
      <c r="Y90" s="117"/>
      <c r="Z90" s="117"/>
      <c r="AA90" s="117"/>
      <c r="AB90" s="117"/>
      <c r="AC90" s="117"/>
      <c r="AD90" s="117"/>
      <c r="AE90" s="117"/>
      <c r="AF90" s="117"/>
      <c r="AG90" s="117"/>
      <c r="AH90" s="117"/>
      <c r="AI90" s="117"/>
      <c r="AJ90" s="117"/>
      <c r="AK90" s="117"/>
      <c r="AL90" s="117"/>
      <c r="AM90" s="117"/>
      <c r="AN90" s="117"/>
      <c r="AO90" s="117"/>
      <c r="AP90" s="117"/>
      <c r="AQ90" s="117"/>
      <c r="AR90" s="117"/>
      <c r="AS90" s="117"/>
      <c r="AT90" s="117"/>
      <c r="AU90" s="117"/>
      <c r="AV90" s="117"/>
      <c r="AW90" s="117"/>
      <c r="AX90" s="117"/>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46"/>
      <c r="DZ90" s="146"/>
      <c r="EA90" s="146"/>
      <c r="EB90" s="146"/>
      <c r="EC90" s="146"/>
      <c r="ED90" s="146"/>
      <c r="EE90" s="146"/>
      <c r="EF90" s="146"/>
      <c r="EG90" s="146"/>
      <c r="EH90" s="146"/>
      <c r="EI90" s="146"/>
      <c r="EJ90" s="146"/>
      <c r="EK90" s="146"/>
      <c r="EL90" s="146"/>
      <c r="EM90" s="146"/>
      <c r="EN90" s="146"/>
      <c r="EO90" s="146"/>
      <c r="EP90" s="146"/>
      <c r="EQ90" s="146"/>
      <c r="ER90" s="146"/>
      <c r="ES90" s="146"/>
      <c r="ET90" s="146"/>
      <c r="EU90" s="146"/>
      <c r="EV90" s="146"/>
      <c r="EW90" s="146"/>
      <c r="EX90" s="146"/>
      <c r="EY90" s="146"/>
      <c r="EZ90" s="146"/>
      <c r="FA90" s="146"/>
      <c r="FB90" s="146"/>
      <c r="FC90" s="146"/>
      <c r="FD90" s="146"/>
      <c r="FE90" s="146"/>
      <c r="FF90" s="146"/>
      <c r="FG90" s="146"/>
      <c r="FH90" s="146"/>
      <c r="FI90" s="146"/>
      <c r="FJ90" s="146"/>
      <c r="FK90" s="146"/>
      <c r="FL90" s="146"/>
      <c r="FM90" s="146"/>
      <c r="FN90" s="146"/>
      <c r="FO90" s="146"/>
      <c r="FP90" s="146"/>
      <c r="FQ90" s="146"/>
      <c r="FR90" s="146"/>
      <c r="FS90" s="146"/>
      <c r="FT90" s="146"/>
      <c r="FU90" s="146"/>
      <c r="FV90" s="146"/>
      <c r="FW90" s="146"/>
      <c r="FX90" s="146"/>
      <c r="FY90" s="146"/>
      <c r="FZ90" s="146"/>
      <c r="GA90" s="146"/>
      <c r="GB90" s="146"/>
      <c r="GC90" s="146"/>
      <c r="GD90" s="146"/>
      <c r="GE90" s="146"/>
      <c r="GF90" s="146"/>
      <c r="GG90" s="146"/>
      <c r="GH90" s="146"/>
      <c r="GI90" s="146"/>
      <c r="GJ90" s="146"/>
    </row>
    <row r="91" spans="1:192" ht="81.5" outlineLevel="1" x14ac:dyDescent="0.35">
      <c r="A91" s="226" t="s">
        <v>6</v>
      </c>
      <c r="B91" s="192"/>
      <c r="C91" s="193" t="s">
        <v>324</v>
      </c>
      <c r="D91" s="194" t="s">
        <v>24</v>
      </c>
      <c r="E91" s="218" t="s">
        <v>951</v>
      </c>
      <c r="F91" s="82"/>
      <c r="G91" s="117"/>
      <c r="H91" s="117"/>
      <c r="I91" s="117"/>
      <c r="J91" s="117"/>
      <c r="K91" s="117"/>
      <c r="L91" s="117"/>
      <c r="M91" s="117"/>
      <c r="N91" s="117"/>
      <c r="O91" s="117"/>
      <c r="P91" s="117"/>
      <c r="Q91" s="117"/>
      <c r="R91" s="117"/>
      <c r="S91" s="117"/>
      <c r="T91" s="117"/>
      <c r="U91" s="117"/>
      <c r="V91" s="117"/>
      <c r="W91" s="117"/>
      <c r="X91" s="117"/>
      <c r="Y91" s="117"/>
      <c r="Z91" s="117"/>
      <c r="AA91" s="117"/>
      <c r="AB91" s="117"/>
      <c r="AC91" s="117"/>
      <c r="AD91" s="117"/>
      <c r="AE91" s="117"/>
      <c r="AF91" s="117"/>
      <c r="AG91" s="117"/>
      <c r="AH91" s="117"/>
      <c r="AI91" s="117"/>
      <c r="AJ91" s="117"/>
      <c r="AK91" s="117"/>
      <c r="AL91" s="117"/>
      <c r="AM91" s="117"/>
      <c r="AN91" s="117"/>
      <c r="AO91" s="117"/>
      <c r="AP91" s="117"/>
      <c r="AQ91" s="117"/>
      <c r="AR91" s="117"/>
      <c r="AS91" s="117"/>
      <c r="AT91" s="117"/>
      <c r="AU91" s="117"/>
      <c r="AV91" s="117"/>
      <c r="AW91" s="117"/>
      <c r="AX91" s="117"/>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46"/>
      <c r="DZ91" s="146"/>
      <c r="EA91" s="146"/>
      <c r="EB91" s="146"/>
      <c r="EC91" s="146"/>
      <c r="ED91" s="146"/>
      <c r="EE91" s="146"/>
      <c r="EF91" s="146"/>
      <c r="EG91" s="146"/>
      <c r="EH91" s="146"/>
      <c r="EI91" s="146"/>
      <c r="EJ91" s="146"/>
      <c r="EK91" s="146"/>
      <c r="EL91" s="146"/>
      <c r="EM91" s="146"/>
      <c r="EN91" s="146"/>
      <c r="EO91" s="146"/>
      <c r="EP91" s="146"/>
      <c r="EQ91" s="146"/>
      <c r="ER91" s="146"/>
      <c r="ES91" s="146"/>
      <c r="ET91" s="146"/>
      <c r="EU91" s="146"/>
      <c r="EV91" s="146"/>
      <c r="EW91" s="146"/>
      <c r="EX91" s="146"/>
      <c r="EY91" s="146"/>
      <c r="EZ91" s="146"/>
      <c r="FA91" s="146"/>
      <c r="FB91" s="146"/>
      <c r="FC91" s="146"/>
      <c r="FD91" s="146"/>
      <c r="FE91" s="146"/>
      <c r="FF91" s="146"/>
      <c r="FG91" s="146"/>
      <c r="FH91" s="146"/>
      <c r="FI91" s="146"/>
      <c r="FJ91" s="146"/>
      <c r="FK91" s="146"/>
      <c r="FL91" s="146"/>
      <c r="FM91" s="146"/>
      <c r="FN91" s="146"/>
      <c r="FO91" s="146"/>
      <c r="FP91" s="146"/>
      <c r="FQ91" s="146"/>
      <c r="FR91" s="146"/>
      <c r="FS91" s="146"/>
      <c r="FT91" s="146"/>
      <c r="FU91" s="146"/>
      <c r="FV91" s="146"/>
      <c r="FW91" s="146"/>
      <c r="FX91" s="146"/>
      <c r="FY91" s="146"/>
      <c r="FZ91" s="146"/>
      <c r="GA91" s="146"/>
      <c r="GB91" s="146"/>
      <c r="GC91" s="146"/>
      <c r="GD91" s="146"/>
      <c r="GE91" s="146"/>
      <c r="GF91" s="146"/>
      <c r="GG91" s="146"/>
      <c r="GH91" s="146"/>
      <c r="GI91" s="146"/>
      <c r="GJ91" s="146"/>
    </row>
    <row r="92" spans="1:192" ht="81.5" outlineLevel="1" x14ac:dyDescent="0.35">
      <c r="A92" s="226" t="s">
        <v>6</v>
      </c>
      <c r="B92" s="189" t="s">
        <v>952</v>
      </c>
      <c r="C92" s="190" t="s">
        <v>325</v>
      </c>
      <c r="D92" s="191" t="s">
        <v>24</v>
      </c>
      <c r="E92" s="217" t="s">
        <v>953</v>
      </c>
      <c r="F92" s="78"/>
      <c r="G92" s="117"/>
      <c r="H92" s="117"/>
      <c r="I92" s="117"/>
      <c r="J92" s="117"/>
      <c r="K92" s="117"/>
      <c r="L92" s="117"/>
      <c r="M92" s="117"/>
      <c r="N92" s="117"/>
      <c r="O92" s="117"/>
      <c r="P92" s="117"/>
      <c r="Q92" s="117"/>
      <c r="R92" s="117"/>
      <c r="S92" s="117"/>
      <c r="T92" s="117"/>
      <c r="U92" s="117"/>
      <c r="V92" s="117"/>
      <c r="W92" s="117"/>
      <c r="X92" s="117"/>
      <c r="Y92" s="117"/>
      <c r="Z92" s="117"/>
      <c r="AA92" s="117"/>
      <c r="AB92" s="117"/>
      <c r="AC92" s="117"/>
      <c r="AD92" s="117"/>
      <c r="AE92" s="117"/>
      <c r="AF92" s="117"/>
      <c r="AG92" s="117"/>
      <c r="AH92" s="117"/>
      <c r="AI92" s="117"/>
      <c r="AJ92" s="117"/>
      <c r="AK92" s="117"/>
      <c r="AL92" s="117"/>
      <c r="AM92" s="117"/>
      <c r="AN92" s="117"/>
      <c r="AO92" s="117"/>
      <c r="AP92" s="117"/>
      <c r="AQ92" s="117"/>
      <c r="AR92" s="117"/>
      <c r="AS92" s="117"/>
      <c r="AT92" s="117"/>
      <c r="AU92" s="117"/>
      <c r="AV92" s="117"/>
      <c r="AW92" s="117"/>
      <c r="AX92" s="117"/>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46"/>
      <c r="DZ92" s="146"/>
      <c r="EA92" s="146"/>
      <c r="EB92" s="146"/>
      <c r="EC92" s="146"/>
      <c r="ED92" s="146"/>
      <c r="EE92" s="146"/>
      <c r="EF92" s="146"/>
      <c r="EG92" s="146"/>
      <c r="EH92" s="146"/>
      <c r="EI92" s="146"/>
      <c r="EJ92" s="146"/>
      <c r="EK92" s="146"/>
      <c r="EL92" s="146"/>
      <c r="EM92" s="146"/>
      <c r="EN92" s="146"/>
      <c r="EO92" s="146"/>
      <c r="EP92" s="146"/>
      <c r="EQ92" s="146"/>
      <c r="ER92" s="146"/>
      <c r="ES92" s="146"/>
      <c r="ET92" s="146"/>
      <c r="EU92" s="146"/>
      <c r="EV92" s="146"/>
      <c r="EW92" s="146"/>
      <c r="EX92" s="146"/>
      <c r="EY92" s="146"/>
      <c r="EZ92" s="146"/>
      <c r="FA92" s="146"/>
      <c r="FB92" s="146"/>
      <c r="FC92" s="146"/>
      <c r="FD92" s="146"/>
      <c r="FE92" s="146"/>
      <c r="FF92" s="146"/>
      <c r="FG92" s="146"/>
      <c r="FH92" s="146"/>
      <c r="FI92" s="146"/>
      <c r="FJ92" s="146"/>
      <c r="FK92" s="146"/>
      <c r="FL92" s="146"/>
      <c r="FM92" s="146"/>
      <c r="FN92" s="146"/>
      <c r="FO92" s="146"/>
      <c r="FP92" s="146"/>
      <c r="FQ92" s="146"/>
      <c r="FR92" s="146"/>
      <c r="FS92" s="146"/>
      <c r="FT92" s="146"/>
      <c r="FU92" s="146"/>
      <c r="FV92" s="146"/>
      <c r="FW92" s="146"/>
      <c r="FX92" s="146"/>
      <c r="FY92" s="146"/>
      <c r="FZ92" s="146"/>
      <c r="GA92" s="146"/>
      <c r="GB92" s="146"/>
      <c r="GC92" s="146"/>
      <c r="GD92" s="146"/>
      <c r="GE92" s="146"/>
      <c r="GF92" s="146"/>
      <c r="GG92" s="146"/>
      <c r="GH92" s="146"/>
      <c r="GI92" s="146"/>
      <c r="GJ92" s="146"/>
    </row>
    <row r="93" spans="1:192" ht="52.5" outlineLevel="1" x14ac:dyDescent="0.35">
      <c r="A93" s="226" t="s">
        <v>6</v>
      </c>
      <c r="B93" s="189"/>
      <c r="C93" s="190" t="s">
        <v>326</v>
      </c>
      <c r="D93" s="191" t="s">
        <v>24</v>
      </c>
      <c r="E93" s="219" t="s">
        <v>713</v>
      </c>
      <c r="F93" s="78"/>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46"/>
      <c r="DZ93" s="146"/>
      <c r="EA93" s="146"/>
      <c r="EB93" s="146"/>
      <c r="EC93" s="146"/>
      <c r="ED93" s="146"/>
      <c r="EE93" s="146"/>
      <c r="EF93" s="146"/>
      <c r="EG93" s="146"/>
      <c r="EH93" s="146"/>
      <c r="EI93" s="146"/>
      <c r="EJ93" s="146"/>
      <c r="EK93" s="146"/>
      <c r="EL93" s="146"/>
      <c r="EM93" s="146"/>
      <c r="EN93" s="146"/>
      <c r="EO93" s="146"/>
      <c r="EP93" s="146"/>
      <c r="EQ93" s="146"/>
      <c r="ER93" s="146"/>
      <c r="ES93" s="146"/>
      <c r="ET93" s="146"/>
      <c r="EU93" s="146"/>
      <c r="EV93" s="146"/>
      <c r="EW93" s="146"/>
      <c r="EX93" s="146"/>
      <c r="EY93" s="146"/>
      <c r="EZ93" s="146"/>
      <c r="FA93" s="146"/>
      <c r="FB93" s="146"/>
      <c r="FC93" s="146"/>
      <c r="FD93" s="146"/>
      <c r="FE93" s="146"/>
      <c r="FF93" s="146"/>
      <c r="FG93" s="146"/>
      <c r="FH93" s="146"/>
      <c r="FI93" s="146"/>
      <c r="FJ93" s="146"/>
      <c r="FK93" s="146"/>
      <c r="FL93" s="146"/>
      <c r="FM93" s="146"/>
      <c r="FN93" s="146"/>
      <c r="FO93" s="146"/>
      <c r="FP93" s="146"/>
      <c r="FQ93" s="146"/>
      <c r="FR93" s="146"/>
      <c r="FS93" s="146"/>
      <c r="FT93" s="146"/>
      <c r="FU93" s="146"/>
      <c r="FV93" s="146"/>
      <c r="FW93" s="146"/>
      <c r="FX93" s="146"/>
      <c r="FY93" s="146"/>
      <c r="FZ93" s="146"/>
      <c r="GA93" s="146"/>
      <c r="GB93" s="146"/>
      <c r="GC93" s="146"/>
      <c r="GD93" s="146"/>
      <c r="GE93" s="146"/>
      <c r="GF93" s="146"/>
      <c r="GG93" s="146"/>
      <c r="GH93" s="146"/>
      <c r="GI93" s="146"/>
      <c r="GJ93" s="146"/>
    </row>
    <row r="94" spans="1:192" ht="50" outlineLevel="1" x14ac:dyDescent="0.35">
      <c r="A94" s="226" t="s">
        <v>6</v>
      </c>
      <c r="B94" s="199" t="s">
        <v>954</v>
      </c>
      <c r="C94" s="200" t="s">
        <v>327</v>
      </c>
      <c r="D94" s="201" t="s">
        <v>24</v>
      </c>
      <c r="E94" s="196" t="s">
        <v>954</v>
      </c>
      <c r="F94" s="82"/>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46"/>
      <c r="DZ94" s="146"/>
      <c r="EA94" s="146"/>
      <c r="EB94" s="146"/>
      <c r="EC94" s="146"/>
      <c r="ED94" s="146"/>
      <c r="EE94" s="146"/>
      <c r="EF94" s="146"/>
      <c r="EG94" s="146"/>
      <c r="EH94" s="146"/>
      <c r="EI94" s="146"/>
      <c r="EJ94" s="146"/>
      <c r="EK94" s="146"/>
      <c r="EL94" s="146"/>
      <c r="EM94" s="146"/>
      <c r="EN94" s="146"/>
      <c r="EO94" s="146"/>
      <c r="EP94" s="146"/>
      <c r="EQ94" s="146"/>
      <c r="ER94" s="146"/>
      <c r="ES94" s="146"/>
      <c r="ET94" s="146"/>
      <c r="EU94" s="146"/>
      <c r="EV94" s="146"/>
      <c r="EW94" s="146"/>
      <c r="EX94" s="146"/>
      <c r="EY94" s="146"/>
      <c r="EZ94" s="146"/>
      <c r="FA94" s="146"/>
      <c r="FB94" s="146"/>
      <c r="FC94" s="146"/>
      <c r="FD94" s="146"/>
      <c r="FE94" s="146"/>
      <c r="FF94" s="146"/>
      <c r="FG94" s="146"/>
      <c r="FH94" s="146"/>
      <c r="FI94" s="146"/>
      <c r="FJ94" s="146"/>
      <c r="FK94" s="146"/>
      <c r="FL94" s="146"/>
      <c r="FM94" s="146"/>
      <c r="FN94" s="146"/>
      <c r="FO94" s="146"/>
      <c r="FP94" s="146"/>
      <c r="FQ94" s="146"/>
      <c r="FR94" s="146"/>
      <c r="FS94" s="146"/>
      <c r="FT94" s="146"/>
      <c r="FU94" s="146"/>
      <c r="FV94" s="146"/>
      <c r="FW94" s="146"/>
      <c r="FX94" s="146"/>
      <c r="FY94" s="146"/>
      <c r="FZ94" s="146"/>
      <c r="GA94" s="146"/>
      <c r="GB94" s="146"/>
      <c r="GC94" s="146"/>
      <c r="GD94" s="146"/>
      <c r="GE94" s="146"/>
      <c r="GF94" s="146"/>
      <c r="GG94" s="146"/>
      <c r="GH94" s="146"/>
      <c r="GI94" s="146"/>
      <c r="GJ94" s="146"/>
    </row>
    <row r="95" spans="1:192" ht="72" outlineLevel="1" x14ac:dyDescent="0.35">
      <c r="A95" s="226" t="s">
        <v>6</v>
      </c>
      <c r="B95" s="189" t="s">
        <v>955</v>
      </c>
      <c r="C95" s="190" t="s">
        <v>328</v>
      </c>
      <c r="D95" s="191" t="s">
        <v>25</v>
      </c>
      <c r="E95" s="217" t="s">
        <v>956</v>
      </c>
      <c r="F95" s="78"/>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46"/>
      <c r="DZ95" s="146"/>
      <c r="EA95" s="146"/>
      <c r="EB95" s="146"/>
      <c r="EC95" s="146"/>
      <c r="ED95" s="146"/>
      <c r="EE95" s="146"/>
      <c r="EF95" s="146"/>
      <c r="EG95" s="146"/>
      <c r="EH95" s="146"/>
      <c r="EI95" s="146"/>
      <c r="EJ95" s="146"/>
      <c r="EK95" s="146"/>
      <c r="EL95" s="146"/>
      <c r="EM95" s="146"/>
      <c r="EN95" s="146"/>
      <c r="EO95" s="146"/>
      <c r="EP95" s="146"/>
      <c r="EQ95" s="146"/>
      <c r="ER95" s="146"/>
      <c r="ES95" s="146"/>
      <c r="ET95" s="146"/>
      <c r="EU95" s="146"/>
      <c r="EV95" s="146"/>
      <c r="EW95" s="146"/>
      <c r="EX95" s="146"/>
      <c r="EY95" s="146"/>
      <c r="EZ95" s="146"/>
      <c r="FA95" s="146"/>
      <c r="FB95" s="146"/>
      <c r="FC95" s="146"/>
      <c r="FD95" s="146"/>
      <c r="FE95" s="146"/>
      <c r="FF95" s="146"/>
      <c r="FG95" s="146"/>
      <c r="FH95" s="146"/>
      <c r="FI95" s="146"/>
      <c r="FJ95" s="146"/>
      <c r="FK95" s="146"/>
      <c r="FL95" s="146"/>
      <c r="FM95" s="146"/>
      <c r="FN95" s="146"/>
      <c r="FO95" s="146"/>
      <c r="FP95" s="146"/>
      <c r="FQ95" s="146"/>
      <c r="FR95" s="146"/>
      <c r="FS95" s="146"/>
      <c r="FT95" s="146"/>
      <c r="FU95" s="146"/>
      <c r="FV95" s="146"/>
      <c r="FW95" s="146"/>
      <c r="FX95" s="146"/>
      <c r="FY95" s="146"/>
      <c r="FZ95" s="146"/>
      <c r="GA95" s="146"/>
      <c r="GB95" s="146"/>
      <c r="GC95" s="146"/>
      <c r="GD95" s="146"/>
      <c r="GE95" s="146"/>
      <c r="GF95" s="146"/>
      <c r="GG95" s="146"/>
      <c r="GH95" s="146"/>
      <c r="GI95" s="146"/>
      <c r="GJ95" s="146"/>
    </row>
    <row r="96" spans="1:192" ht="61.5" outlineLevel="1" x14ac:dyDescent="0.35">
      <c r="A96" s="226" t="s">
        <v>6</v>
      </c>
      <c r="B96" s="189"/>
      <c r="C96" s="190" t="s">
        <v>329</v>
      </c>
      <c r="D96" s="191" t="s">
        <v>25</v>
      </c>
      <c r="E96" s="217" t="s">
        <v>957</v>
      </c>
      <c r="F96" s="78"/>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46"/>
      <c r="DZ96" s="146"/>
      <c r="EA96" s="146"/>
      <c r="EB96" s="146"/>
      <c r="EC96" s="146"/>
      <c r="ED96" s="146"/>
      <c r="EE96" s="146"/>
      <c r="EF96" s="146"/>
      <c r="EG96" s="146"/>
      <c r="EH96" s="146"/>
      <c r="EI96" s="146"/>
      <c r="EJ96" s="146"/>
      <c r="EK96" s="146"/>
      <c r="EL96" s="146"/>
      <c r="EM96" s="146"/>
      <c r="EN96" s="146"/>
      <c r="EO96" s="146"/>
      <c r="EP96" s="146"/>
      <c r="EQ96" s="146"/>
      <c r="ER96" s="146"/>
      <c r="ES96" s="146"/>
      <c r="ET96" s="146"/>
      <c r="EU96" s="146"/>
      <c r="EV96" s="146"/>
      <c r="EW96" s="146"/>
      <c r="EX96" s="146"/>
      <c r="EY96" s="146"/>
      <c r="EZ96" s="146"/>
      <c r="FA96" s="146"/>
      <c r="FB96" s="146"/>
      <c r="FC96" s="146"/>
      <c r="FD96" s="146"/>
      <c r="FE96" s="146"/>
      <c r="FF96" s="146"/>
      <c r="FG96" s="146"/>
      <c r="FH96" s="146"/>
      <c r="FI96" s="146"/>
      <c r="FJ96" s="146"/>
      <c r="FK96" s="146"/>
      <c r="FL96" s="146"/>
      <c r="FM96" s="146"/>
      <c r="FN96" s="146"/>
      <c r="FO96" s="146"/>
      <c r="FP96" s="146"/>
      <c r="FQ96" s="146"/>
      <c r="FR96" s="146"/>
      <c r="FS96" s="146"/>
      <c r="FT96" s="146"/>
      <c r="FU96" s="146"/>
      <c r="FV96" s="146"/>
      <c r="FW96" s="146"/>
      <c r="FX96" s="146"/>
      <c r="FY96" s="146"/>
      <c r="FZ96" s="146"/>
      <c r="GA96" s="146"/>
      <c r="GB96" s="146"/>
      <c r="GC96" s="146"/>
      <c r="GD96" s="146"/>
      <c r="GE96" s="146"/>
      <c r="GF96" s="146"/>
      <c r="GG96" s="146"/>
      <c r="GH96" s="146"/>
      <c r="GI96" s="146"/>
      <c r="GJ96" s="146"/>
    </row>
    <row r="97" spans="1:192" ht="42" outlineLevel="1" x14ac:dyDescent="0.35">
      <c r="A97" s="226" t="s">
        <v>6</v>
      </c>
      <c r="B97" s="192" t="s">
        <v>958</v>
      </c>
      <c r="C97" s="193" t="s">
        <v>330</v>
      </c>
      <c r="D97" s="194" t="s">
        <v>25</v>
      </c>
      <c r="E97" s="215" t="s">
        <v>959</v>
      </c>
      <c r="F97" s="82"/>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46"/>
      <c r="DZ97" s="146"/>
      <c r="EA97" s="146"/>
      <c r="EB97" s="146"/>
      <c r="EC97" s="146"/>
      <c r="ED97" s="146"/>
      <c r="EE97" s="146"/>
      <c r="EF97" s="146"/>
      <c r="EG97" s="146"/>
      <c r="EH97" s="146"/>
      <c r="EI97" s="146"/>
      <c r="EJ97" s="146"/>
      <c r="EK97" s="146"/>
      <c r="EL97" s="146"/>
      <c r="EM97" s="146"/>
      <c r="EN97" s="146"/>
      <c r="EO97" s="146"/>
      <c r="EP97" s="146"/>
      <c r="EQ97" s="146"/>
      <c r="ER97" s="146"/>
      <c r="ES97" s="146"/>
      <c r="ET97" s="146"/>
      <c r="EU97" s="146"/>
      <c r="EV97" s="146"/>
      <c r="EW97" s="146"/>
      <c r="EX97" s="146"/>
      <c r="EY97" s="146"/>
      <c r="EZ97" s="146"/>
      <c r="FA97" s="146"/>
      <c r="FB97" s="146"/>
      <c r="FC97" s="146"/>
      <c r="FD97" s="146"/>
      <c r="FE97" s="146"/>
      <c r="FF97" s="146"/>
      <c r="FG97" s="146"/>
      <c r="FH97" s="146"/>
      <c r="FI97" s="146"/>
      <c r="FJ97" s="146"/>
      <c r="FK97" s="146"/>
      <c r="FL97" s="146"/>
      <c r="FM97" s="146"/>
      <c r="FN97" s="146"/>
      <c r="FO97" s="146"/>
      <c r="FP97" s="146"/>
      <c r="FQ97" s="146"/>
      <c r="FR97" s="146"/>
      <c r="FS97" s="146"/>
      <c r="FT97" s="146"/>
      <c r="FU97" s="146"/>
      <c r="FV97" s="146"/>
      <c r="FW97" s="146"/>
      <c r="FX97" s="146"/>
      <c r="FY97" s="146"/>
      <c r="FZ97" s="146"/>
      <c r="GA97" s="146"/>
      <c r="GB97" s="146"/>
      <c r="GC97" s="146"/>
      <c r="GD97" s="146"/>
      <c r="GE97" s="146"/>
      <c r="GF97" s="146"/>
      <c r="GG97" s="146"/>
      <c r="GH97" s="146"/>
      <c r="GI97" s="146"/>
      <c r="GJ97" s="146"/>
    </row>
    <row r="98" spans="1:192" ht="31.5" outlineLevel="1" x14ac:dyDescent="0.35">
      <c r="A98" s="226" t="s">
        <v>6</v>
      </c>
      <c r="B98" s="192"/>
      <c r="C98" s="193" t="s">
        <v>331</v>
      </c>
      <c r="D98" s="194" t="s">
        <v>25</v>
      </c>
      <c r="E98" s="215" t="s">
        <v>960</v>
      </c>
      <c r="F98" s="82"/>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46"/>
      <c r="DZ98" s="146"/>
      <c r="EA98" s="146"/>
      <c r="EB98" s="146"/>
      <c r="EC98" s="146"/>
      <c r="ED98" s="146"/>
      <c r="EE98" s="146"/>
      <c r="EF98" s="146"/>
      <c r="EG98" s="146"/>
      <c r="EH98" s="146"/>
      <c r="EI98" s="146"/>
      <c r="EJ98" s="146"/>
      <c r="EK98" s="146"/>
      <c r="EL98" s="146"/>
      <c r="EM98" s="146"/>
      <c r="EN98" s="146"/>
      <c r="EO98" s="146"/>
      <c r="EP98" s="146"/>
      <c r="EQ98" s="146"/>
      <c r="ER98" s="146"/>
      <c r="ES98" s="146"/>
      <c r="ET98" s="146"/>
      <c r="EU98" s="146"/>
      <c r="EV98" s="146"/>
      <c r="EW98" s="146"/>
      <c r="EX98" s="146"/>
      <c r="EY98" s="146"/>
      <c r="EZ98" s="146"/>
      <c r="FA98" s="146"/>
      <c r="FB98" s="146"/>
      <c r="FC98" s="146"/>
      <c r="FD98" s="146"/>
      <c r="FE98" s="146"/>
      <c r="FF98" s="146"/>
      <c r="FG98" s="146"/>
      <c r="FH98" s="146"/>
      <c r="FI98" s="146"/>
      <c r="FJ98" s="146"/>
      <c r="FK98" s="146"/>
      <c r="FL98" s="146"/>
      <c r="FM98" s="146"/>
      <c r="FN98" s="146"/>
      <c r="FO98" s="146"/>
      <c r="FP98" s="146"/>
      <c r="FQ98" s="146"/>
      <c r="FR98" s="146"/>
      <c r="FS98" s="146"/>
      <c r="FT98" s="146"/>
      <c r="FU98" s="146"/>
      <c r="FV98" s="146"/>
      <c r="FW98" s="146"/>
      <c r="FX98" s="146"/>
      <c r="FY98" s="146"/>
      <c r="FZ98" s="146"/>
      <c r="GA98" s="146"/>
      <c r="GB98" s="146"/>
      <c r="GC98" s="146"/>
      <c r="GD98" s="146"/>
      <c r="GE98" s="146"/>
      <c r="GF98" s="146"/>
      <c r="GG98" s="146"/>
      <c r="GH98" s="146"/>
      <c r="GI98" s="146"/>
      <c r="GJ98" s="146"/>
    </row>
    <row r="99" spans="1:192" ht="52.5" outlineLevel="1" x14ac:dyDescent="0.35">
      <c r="A99" s="226" t="s">
        <v>6</v>
      </c>
      <c r="B99" s="189" t="s">
        <v>961</v>
      </c>
      <c r="C99" s="190" t="s">
        <v>332</v>
      </c>
      <c r="D99" s="191" t="s">
        <v>24</v>
      </c>
      <c r="E99" s="219" t="s">
        <v>343</v>
      </c>
      <c r="F99" s="78"/>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46"/>
      <c r="DZ99" s="146"/>
      <c r="EA99" s="146"/>
      <c r="EB99" s="146"/>
      <c r="EC99" s="146"/>
      <c r="ED99" s="146"/>
      <c r="EE99" s="146"/>
      <c r="EF99" s="146"/>
      <c r="EG99" s="146"/>
      <c r="EH99" s="146"/>
      <c r="EI99" s="146"/>
      <c r="EJ99" s="146"/>
      <c r="EK99" s="146"/>
      <c r="EL99" s="146"/>
      <c r="EM99" s="146"/>
      <c r="EN99" s="146"/>
      <c r="EO99" s="146"/>
      <c r="EP99" s="146"/>
      <c r="EQ99" s="146"/>
      <c r="ER99" s="146"/>
      <c r="ES99" s="146"/>
      <c r="ET99" s="146"/>
      <c r="EU99" s="146"/>
      <c r="EV99" s="146"/>
      <c r="EW99" s="146"/>
      <c r="EX99" s="146"/>
      <c r="EY99" s="146"/>
      <c r="EZ99" s="146"/>
      <c r="FA99" s="146"/>
      <c r="FB99" s="146"/>
      <c r="FC99" s="146"/>
      <c r="FD99" s="146"/>
      <c r="FE99" s="146"/>
      <c r="FF99" s="146"/>
      <c r="FG99" s="146"/>
      <c r="FH99" s="146"/>
      <c r="FI99" s="146"/>
      <c r="FJ99" s="146"/>
      <c r="FK99" s="146"/>
      <c r="FL99" s="146"/>
      <c r="FM99" s="146"/>
      <c r="FN99" s="146"/>
      <c r="FO99" s="146"/>
      <c r="FP99" s="146"/>
      <c r="FQ99" s="146"/>
      <c r="FR99" s="146"/>
      <c r="FS99" s="146"/>
      <c r="FT99" s="146"/>
      <c r="FU99" s="146"/>
      <c r="FV99" s="146"/>
      <c r="FW99" s="146"/>
      <c r="FX99" s="146"/>
      <c r="FY99" s="146"/>
      <c r="FZ99" s="146"/>
      <c r="GA99" s="146"/>
      <c r="GB99" s="146"/>
      <c r="GC99" s="146"/>
      <c r="GD99" s="146"/>
      <c r="GE99" s="146"/>
      <c r="GF99" s="146"/>
      <c r="GG99" s="146"/>
      <c r="GH99" s="146"/>
      <c r="GI99" s="146"/>
      <c r="GJ99" s="146"/>
    </row>
    <row r="100" spans="1:192" ht="91.5" outlineLevel="1" x14ac:dyDescent="0.35">
      <c r="A100" s="226" t="s">
        <v>6</v>
      </c>
      <c r="B100" s="192" t="s">
        <v>962</v>
      </c>
      <c r="C100" s="193" t="s">
        <v>333</v>
      </c>
      <c r="D100" s="194" t="s">
        <v>24</v>
      </c>
      <c r="E100" s="198" t="s">
        <v>963</v>
      </c>
      <c r="F100" s="82"/>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46"/>
      <c r="DZ100" s="146"/>
      <c r="EA100" s="146"/>
      <c r="EB100" s="146"/>
      <c r="EC100" s="146"/>
      <c r="ED100" s="146"/>
      <c r="EE100" s="146"/>
      <c r="EF100" s="146"/>
      <c r="EG100" s="146"/>
      <c r="EH100" s="146"/>
      <c r="EI100" s="146"/>
      <c r="EJ100" s="146"/>
      <c r="EK100" s="146"/>
      <c r="EL100" s="146"/>
      <c r="EM100" s="146"/>
      <c r="EN100" s="146"/>
      <c r="EO100" s="146"/>
      <c r="EP100" s="146"/>
      <c r="EQ100" s="146"/>
      <c r="ER100" s="146"/>
      <c r="ES100" s="146"/>
      <c r="ET100" s="146"/>
      <c r="EU100" s="146"/>
      <c r="EV100" s="146"/>
      <c r="EW100" s="146"/>
      <c r="EX100" s="146"/>
      <c r="EY100" s="146"/>
      <c r="EZ100" s="146"/>
      <c r="FA100" s="146"/>
      <c r="FB100" s="146"/>
      <c r="FC100" s="146"/>
      <c r="FD100" s="146"/>
      <c r="FE100" s="146"/>
      <c r="FF100" s="146"/>
      <c r="FG100" s="146"/>
      <c r="FH100" s="146"/>
      <c r="FI100" s="146"/>
      <c r="FJ100" s="146"/>
      <c r="FK100" s="146"/>
      <c r="FL100" s="146"/>
      <c r="FM100" s="146"/>
      <c r="FN100" s="146"/>
      <c r="FO100" s="146"/>
      <c r="FP100" s="146"/>
      <c r="FQ100" s="146"/>
      <c r="FR100" s="146"/>
      <c r="FS100" s="146"/>
      <c r="FT100" s="146"/>
      <c r="FU100" s="146"/>
      <c r="FV100" s="146"/>
      <c r="FW100" s="146"/>
      <c r="FX100" s="146"/>
      <c r="FY100" s="146"/>
      <c r="FZ100" s="146"/>
      <c r="GA100" s="146"/>
      <c r="GB100" s="146"/>
      <c r="GC100" s="146"/>
      <c r="GD100" s="146"/>
      <c r="GE100" s="146"/>
      <c r="GF100" s="146"/>
      <c r="GG100" s="146"/>
      <c r="GH100" s="146"/>
      <c r="GI100" s="146"/>
      <c r="GJ100" s="146"/>
    </row>
    <row r="101" spans="1:192" ht="71.5" outlineLevel="1" x14ac:dyDescent="0.35">
      <c r="A101" s="226" t="s">
        <v>6</v>
      </c>
      <c r="B101" s="192"/>
      <c r="C101" s="193" t="s">
        <v>334</v>
      </c>
      <c r="D101" s="194" t="s">
        <v>24</v>
      </c>
      <c r="E101" s="218" t="s">
        <v>964</v>
      </c>
      <c r="F101" s="82"/>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46"/>
      <c r="DZ101" s="146"/>
      <c r="EA101" s="146"/>
      <c r="EB101" s="146"/>
      <c r="EC101" s="146"/>
      <c r="ED101" s="146"/>
      <c r="EE101" s="146"/>
      <c r="EF101" s="146"/>
      <c r="EG101" s="146"/>
      <c r="EH101" s="146"/>
      <c r="EI101" s="146"/>
      <c r="EJ101" s="146"/>
      <c r="EK101" s="146"/>
      <c r="EL101" s="146"/>
      <c r="EM101" s="146"/>
      <c r="EN101" s="146"/>
      <c r="EO101" s="146"/>
      <c r="EP101" s="146"/>
      <c r="EQ101" s="146"/>
      <c r="ER101" s="146"/>
      <c r="ES101" s="146"/>
      <c r="ET101" s="146"/>
      <c r="EU101" s="146"/>
      <c r="EV101" s="146"/>
      <c r="EW101" s="146"/>
      <c r="EX101" s="146"/>
      <c r="EY101" s="146"/>
      <c r="EZ101" s="146"/>
      <c r="FA101" s="146"/>
      <c r="FB101" s="146"/>
      <c r="FC101" s="146"/>
      <c r="FD101" s="146"/>
      <c r="FE101" s="146"/>
      <c r="FF101" s="146"/>
      <c r="FG101" s="146"/>
      <c r="FH101" s="146"/>
      <c r="FI101" s="146"/>
      <c r="FJ101" s="146"/>
      <c r="FK101" s="146"/>
      <c r="FL101" s="146"/>
      <c r="FM101" s="146"/>
      <c r="FN101" s="146"/>
      <c r="FO101" s="146"/>
      <c r="FP101" s="146"/>
      <c r="FQ101" s="146"/>
      <c r="FR101" s="146"/>
      <c r="FS101" s="146"/>
      <c r="FT101" s="146"/>
      <c r="FU101" s="146"/>
      <c r="FV101" s="146"/>
      <c r="FW101" s="146"/>
      <c r="FX101" s="146"/>
      <c r="FY101" s="146"/>
      <c r="FZ101" s="146"/>
      <c r="GA101" s="146"/>
      <c r="GB101" s="146"/>
      <c r="GC101" s="146"/>
      <c r="GD101" s="146"/>
      <c r="GE101" s="146"/>
      <c r="GF101" s="146"/>
      <c r="GG101" s="146"/>
      <c r="GH101" s="146"/>
      <c r="GI101" s="146"/>
      <c r="GJ101" s="146"/>
    </row>
    <row r="102" spans="1:192" ht="42" outlineLevel="1" x14ac:dyDescent="0.35">
      <c r="A102" s="226" t="s">
        <v>6</v>
      </c>
      <c r="B102" s="189" t="s">
        <v>965</v>
      </c>
      <c r="C102" s="190" t="s">
        <v>335</v>
      </c>
      <c r="D102" s="191" t="s">
        <v>24</v>
      </c>
      <c r="E102" s="219" t="s">
        <v>344</v>
      </c>
      <c r="F102" s="78"/>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46"/>
      <c r="DZ102" s="146"/>
      <c r="EA102" s="146"/>
      <c r="EB102" s="146"/>
      <c r="EC102" s="146"/>
      <c r="ED102" s="146"/>
      <c r="EE102" s="146"/>
      <c r="EF102" s="146"/>
      <c r="EG102" s="146"/>
      <c r="EH102" s="146"/>
      <c r="EI102" s="146"/>
      <c r="EJ102" s="146"/>
      <c r="EK102" s="146"/>
      <c r="EL102" s="146"/>
      <c r="EM102" s="146"/>
      <c r="EN102" s="146"/>
      <c r="EO102" s="146"/>
      <c r="EP102" s="146"/>
      <c r="EQ102" s="146"/>
      <c r="ER102" s="146"/>
      <c r="ES102" s="146"/>
      <c r="ET102" s="146"/>
      <c r="EU102" s="146"/>
      <c r="EV102" s="146"/>
      <c r="EW102" s="146"/>
      <c r="EX102" s="146"/>
      <c r="EY102" s="146"/>
      <c r="EZ102" s="146"/>
      <c r="FA102" s="146"/>
      <c r="FB102" s="146"/>
      <c r="FC102" s="146"/>
      <c r="FD102" s="146"/>
      <c r="FE102" s="146"/>
      <c r="FF102" s="146"/>
      <c r="FG102" s="146"/>
      <c r="FH102" s="146"/>
      <c r="FI102" s="146"/>
      <c r="FJ102" s="146"/>
      <c r="FK102" s="146"/>
      <c r="FL102" s="146"/>
      <c r="FM102" s="146"/>
      <c r="FN102" s="146"/>
      <c r="FO102" s="146"/>
      <c r="FP102" s="146"/>
      <c r="FQ102" s="146"/>
      <c r="FR102" s="146"/>
      <c r="FS102" s="146"/>
      <c r="FT102" s="146"/>
      <c r="FU102" s="146"/>
      <c r="FV102" s="146"/>
      <c r="FW102" s="146"/>
      <c r="FX102" s="146"/>
      <c r="FY102" s="146"/>
      <c r="FZ102" s="146"/>
      <c r="GA102" s="146"/>
      <c r="GB102" s="146"/>
      <c r="GC102" s="146"/>
      <c r="GD102" s="146"/>
      <c r="GE102" s="146"/>
      <c r="GF102" s="146"/>
      <c r="GG102" s="146"/>
      <c r="GH102" s="146"/>
      <c r="GI102" s="146"/>
      <c r="GJ102" s="146"/>
    </row>
    <row r="103" spans="1:192" ht="122.5" outlineLevel="1" x14ac:dyDescent="0.35">
      <c r="A103" s="226" t="s">
        <v>6</v>
      </c>
      <c r="B103" s="192" t="s">
        <v>966</v>
      </c>
      <c r="C103" s="193" t="s">
        <v>336</v>
      </c>
      <c r="D103" s="194" t="s">
        <v>24</v>
      </c>
      <c r="E103" s="197" t="s">
        <v>967</v>
      </c>
      <c r="F103" s="82"/>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46"/>
      <c r="DZ103" s="146"/>
      <c r="EA103" s="146"/>
      <c r="EB103" s="146"/>
      <c r="EC103" s="146"/>
      <c r="ED103" s="146"/>
      <c r="EE103" s="146"/>
      <c r="EF103" s="146"/>
      <c r="EG103" s="146"/>
      <c r="EH103" s="146"/>
      <c r="EI103" s="146"/>
      <c r="EJ103" s="146"/>
      <c r="EK103" s="146"/>
      <c r="EL103" s="146"/>
      <c r="EM103" s="146"/>
      <c r="EN103" s="146"/>
      <c r="EO103" s="146"/>
      <c r="EP103" s="146"/>
      <c r="EQ103" s="146"/>
      <c r="ER103" s="146"/>
      <c r="ES103" s="146"/>
      <c r="ET103" s="146"/>
      <c r="EU103" s="146"/>
      <c r="EV103" s="146"/>
      <c r="EW103" s="146"/>
      <c r="EX103" s="146"/>
      <c r="EY103" s="146"/>
      <c r="EZ103" s="146"/>
      <c r="FA103" s="146"/>
      <c r="FB103" s="146"/>
      <c r="FC103" s="146"/>
      <c r="FD103" s="146"/>
      <c r="FE103" s="146"/>
      <c r="FF103" s="146"/>
      <c r="FG103" s="146"/>
      <c r="FH103" s="146"/>
      <c r="FI103" s="146"/>
      <c r="FJ103" s="146"/>
      <c r="FK103" s="146"/>
      <c r="FL103" s="146"/>
      <c r="FM103" s="146"/>
      <c r="FN103" s="146"/>
      <c r="FO103" s="146"/>
      <c r="FP103" s="146"/>
      <c r="FQ103" s="146"/>
      <c r="FR103" s="146"/>
      <c r="FS103" s="146"/>
      <c r="FT103" s="146"/>
      <c r="FU103" s="146"/>
      <c r="FV103" s="146"/>
      <c r="FW103" s="146"/>
      <c r="FX103" s="146"/>
      <c r="FY103" s="146"/>
      <c r="FZ103" s="146"/>
      <c r="GA103" s="146"/>
      <c r="GB103" s="146"/>
      <c r="GC103" s="146"/>
      <c r="GD103" s="146"/>
      <c r="GE103" s="146"/>
      <c r="GF103" s="146"/>
      <c r="GG103" s="146"/>
      <c r="GH103" s="146"/>
      <c r="GI103" s="146"/>
      <c r="GJ103" s="146"/>
    </row>
    <row r="104" spans="1:192" ht="50" outlineLevel="1" x14ac:dyDescent="0.35">
      <c r="A104" s="226" t="s">
        <v>6</v>
      </c>
      <c r="B104" s="189" t="s">
        <v>968</v>
      </c>
      <c r="C104" s="190" t="s">
        <v>337</v>
      </c>
      <c r="D104" s="191" t="s">
        <v>24</v>
      </c>
      <c r="E104" s="219" t="s">
        <v>345</v>
      </c>
      <c r="F104" s="78"/>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46"/>
      <c r="DZ104" s="146"/>
      <c r="EA104" s="146"/>
      <c r="EB104" s="146"/>
      <c r="EC104" s="146"/>
      <c r="ED104" s="146"/>
      <c r="EE104" s="146"/>
      <c r="EF104" s="146"/>
      <c r="EG104" s="146"/>
      <c r="EH104" s="146"/>
      <c r="EI104" s="146"/>
      <c r="EJ104" s="146"/>
      <c r="EK104" s="146"/>
      <c r="EL104" s="146"/>
      <c r="EM104" s="146"/>
      <c r="EN104" s="146"/>
      <c r="EO104" s="146"/>
      <c r="EP104" s="146"/>
      <c r="EQ104" s="146"/>
      <c r="ER104" s="146"/>
      <c r="ES104" s="146"/>
      <c r="ET104" s="146"/>
      <c r="EU104" s="146"/>
      <c r="EV104" s="146"/>
      <c r="EW104" s="146"/>
      <c r="EX104" s="146"/>
      <c r="EY104" s="146"/>
      <c r="EZ104" s="146"/>
      <c r="FA104" s="146"/>
      <c r="FB104" s="146"/>
      <c r="FC104" s="146"/>
      <c r="FD104" s="146"/>
      <c r="FE104" s="146"/>
      <c r="FF104" s="146"/>
      <c r="FG104" s="146"/>
      <c r="FH104" s="146"/>
      <c r="FI104" s="146"/>
      <c r="FJ104" s="146"/>
      <c r="FK104" s="146"/>
      <c r="FL104" s="146"/>
      <c r="FM104" s="146"/>
      <c r="FN104" s="146"/>
      <c r="FO104" s="146"/>
      <c r="FP104" s="146"/>
      <c r="FQ104" s="146"/>
      <c r="FR104" s="146"/>
      <c r="FS104" s="146"/>
      <c r="FT104" s="146"/>
      <c r="FU104" s="146"/>
      <c r="FV104" s="146"/>
      <c r="FW104" s="146"/>
      <c r="FX104" s="146"/>
      <c r="FY104" s="146"/>
      <c r="FZ104" s="146"/>
      <c r="GA104" s="146"/>
      <c r="GB104" s="146"/>
      <c r="GC104" s="146"/>
      <c r="GD104" s="146"/>
      <c r="GE104" s="146"/>
      <c r="GF104" s="146"/>
      <c r="GG104" s="146"/>
      <c r="GH104" s="146"/>
      <c r="GI104" s="146"/>
      <c r="GJ104" s="146"/>
    </row>
    <row r="105" spans="1:192" ht="91.5" outlineLevel="1" x14ac:dyDescent="0.35">
      <c r="A105" s="226" t="s">
        <v>6</v>
      </c>
      <c r="B105" s="189"/>
      <c r="C105" s="190" t="s">
        <v>338</v>
      </c>
      <c r="D105" s="191" t="s">
        <v>24</v>
      </c>
      <c r="E105" s="219" t="s">
        <v>969</v>
      </c>
      <c r="F105" s="78"/>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46"/>
      <c r="DZ105" s="146"/>
      <c r="EA105" s="146"/>
      <c r="EB105" s="146"/>
      <c r="EC105" s="146"/>
      <c r="ED105" s="146"/>
      <c r="EE105" s="146"/>
      <c r="EF105" s="146"/>
      <c r="EG105" s="146"/>
      <c r="EH105" s="146"/>
      <c r="EI105" s="146"/>
      <c r="EJ105" s="146"/>
      <c r="EK105" s="146"/>
      <c r="EL105" s="146"/>
      <c r="EM105" s="146"/>
      <c r="EN105" s="146"/>
      <c r="EO105" s="146"/>
      <c r="EP105" s="146"/>
      <c r="EQ105" s="146"/>
      <c r="ER105" s="146"/>
      <c r="ES105" s="146"/>
      <c r="ET105" s="146"/>
      <c r="EU105" s="146"/>
      <c r="EV105" s="146"/>
      <c r="EW105" s="146"/>
      <c r="EX105" s="146"/>
      <c r="EY105" s="146"/>
      <c r="EZ105" s="146"/>
      <c r="FA105" s="146"/>
      <c r="FB105" s="146"/>
      <c r="FC105" s="146"/>
      <c r="FD105" s="146"/>
      <c r="FE105" s="146"/>
      <c r="FF105" s="146"/>
      <c r="FG105" s="146"/>
      <c r="FH105" s="146"/>
      <c r="FI105" s="146"/>
      <c r="FJ105" s="146"/>
      <c r="FK105" s="146"/>
      <c r="FL105" s="146"/>
      <c r="FM105" s="146"/>
      <c r="FN105" s="146"/>
      <c r="FO105" s="146"/>
      <c r="FP105" s="146"/>
      <c r="FQ105" s="146"/>
      <c r="FR105" s="146"/>
      <c r="FS105" s="146"/>
      <c r="FT105" s="146"/>
      <c r="FU105" s="146"/>
      <c r="FV105" s="146"/>
      <c r="FW105" s="146"/>
      <c r="FX105" s="146"/>
      <c r="FY105" s="146"/>
      <c r="FZ105" s="146"/>
      <c r="GA105" s="146"/>
      <c r="GB105" s="146"/>
      <c r="GC105" s="146"/>
      <c r="GD105" s="146"/>
      <c r="GE105" s="146"/>
      <c r="GF105" s="146"/>
      <c r="GG105" s="146"/>
      <c r="GH105" s="146"/>
      <c r="GI105" s="146"/>
      <c r="GJ105" s="146"/>
    </row>
    <row r="106" spans="1:192" ht="91.5" outlineLevel="1" x14ac:dyDescent="0.35">
      <c r="A106" s="226" t="s">
        <v>6</v>
      </c>
      <c r="B106" s="189"/>
      <c r="C106" s="190" t="s">
        <v>714</v>
      </c>
      <c r="D106" s="191" t="s">
        <v>24</v>
      </c>
      <c r="E106" s="219" t="s">
        <v>970</v>
      </c>
      <c r="F106" s="78"/>
      <c r="G106" s="117"/>
      <c r="H106" s="117"/>
      <c r="I106" s="117"/>
      <c r="J106" s="117"/>
      <c r="K106" s="117"/>
      <c r="L106" s="117"/>
      <c r="M106" s="117"/>
      <c r="N106" s="117"/>
      <c r="O106" s="117"/>
      <c r="P106" s="117"/>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46"/>
      <c r="DZ106" s="146"/>
      <c r="EA106" s="146"/>
      <c r="EB106" s="146"/>
      <c r="EC106" s="146"/>
      <c r="ED106" s="146"/>
      <c r="EE106" s="146"/>
      <c r="EF106" s="146"/>
      <c r="EG106" s="146"/>
      <c r="EH106" s="146"/>
      <c r="EI106" s="146"/>
      <c r="EJ106" s="146"/>
      <c r="EK106" s="146"/>
      <c r="EL106" s="146"/>
      <c r="EM106" s="146"/>
      <c r="EN106" s="146"/>
      <c r="EO106" s="146"/>
      <c r="EP106" s="146"/>
      <c r="EQ106" s="146"/>
      <c r="ER106" s="146"/>
      <c r="ES106" s="146"/>
      <c r="ET106" s="146"/>
      <c r="EU106" s="146"/>
      <c r="EV106" s="146"/>
      <c r="EW106" s="146"/>
      <c r="EX106" s="146"/>
      <c r="EY106" s="146"/>
      <c r="EZ106" s="146"/>
      <c r="FA106" s="146"/>
      <c r="FB106" s="146"/>
      <c r="FC106" s="146"/>
      <c r="FD106" s="146"/>
      <c r="FE106" s="146"/>
      <c r="FF106" s="146"/>
      <c r="FG106" s="146"/>
      <c r="FH106" s="146"/>
      <c r="FI106" s="146"/>
      <c r="FJ106" s="146"/>
      <c r="FK106" s="146"/>
      <c r="FL106" s="146"/>
      <c r="FM106" s="146"/>
      <c r="FN106" s="146"/>
      <c r="FO106" s="146"/>
      <c r="FP106" s="146"/>
      <c r="FQ106" s="146"/>
      <c r="FR106" s="146"/>
      <c r="FS106" s="146"/>
      <c r="FT106" s="146"/>
      <c r="FU106" s="146"/>
      <c r="FV106" s="146"/>
      <c r="FW106" s="146"/>
      <c r="FX106" s="146"/>
      <c r="FY106" s="146"/>
      <c r="FZ106" s="146"/>
      <c r="GA106" s="146"/>
      <c r="GB106" s="146"/>
      <c r="GC106" s="146"/>
      <c r="GD106" s="146"/>
      <c r="GE106" s="146"/>
      <c r="GF106" s="146"/>
      <c r="GG106" s="146"/>
      <c r="GH106" s="146"/>
      <c r="GI106" s="146"/>
      <c r="GJ106" s="146"/>
    </row>
    <row r="107" spans="1:192" ht="91.5" outlineLevel="1" x14ac:dyDescent="0.35">
      <c r="A107" s="226" t="s">
        <v>6</v>
      </c>
      <c r="B107" s="192" t="s">
        <v>971</v>
      </c>
      <c r="C107" s="193" t="s">
        <v>339</v>
      </c>
      <c r="D107" s="194" t="s">
        <v>24</v>
      </c>
      <c r="E107" s="215" t="s">
        <v>972</v>
      </c>
      <c r="F107" s="82"/>
      <c r="G107" s="117"/>
      <c r="H107" s="117"/>
      <c r="I107" s="117"/>
      <c r="J107" s="117"/>
      <c r="K107" s="117"/>
      <c r="L107" s="117"/>
      <c r="M107" s="117"/>
      <c r="N107" s="117"/>
      <c r="O107" s="117"/>
      <c r="P107" s="117"/>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c r="ET107" s="146"/>
      <c r="EU107" s="146"/>
      <c r="EV107" s="146"/>
      <c r="EW107" s="146"/>
      <c r="EX107" s="146"/>
      <c r="EY107" s="146"/>
      <c r="EZ107" s="146"/>
      <c r="FA107" s="146"/>
      <c r="FB107" s="146"/>
      <c r="FC107" s="146"/>
      <c r="FD107" s="146"/>
      <c r="FE107" s="146"/>
      <c r="FF107" s="146"/>
      <c r="FG107" s="146"/>
      <c r="FH107" s="146"/>
      <c r="FI107" s="146"/>
      <c r="FJ107" s="146"/>
      <c r="FK107" s="146"/>
      <c r="FL107" s="146"/>
      <c r="FM107" s="146"/>
      <c r="FN107" s="146"/>
      <c r="FO107" s="146"/>
      <c r="FP107" s="146"/>
      <c r="FQ107" s="146"/>
      <c r="FR107" s="146"/>
      <c r="FS107" s="146"/>
      <c r="FT107" s="146"/>
      <c r="FU107" s="146"/>
      <c r="FV107" s="146"/>
      <c r="FW107" s="146"/>
      <c r="FX107" s="146"/>
      <c r="FY107" s="146"/>
      <c r="FZ107" s="146"/>
      <c r="GA107" s="146"/>
      <c r="GB107" s="146"/>
      <c r="GC107" s="146"/>
      <c r="GD107" s="146"/>
      <c r="GE107" s="146"/>
      <c r="GF107" s="146"/>
      <c r="GG107" s="146"/>
      <c r="GH107" s="146"/>
      <c r="GI107" s="146"/>
      <c r="GJ107" s="146"/>
    </row>
    <row r="108" spans="1:192" ht="91.5" outlineLevel="1" x14ac:dyDescent="0.35">
      <c r="A108" s="226" t="s">
        <v>6</v>
      </c>
      <c r="B108" s="192"/>
      <c r="C108" s="193" t="s">
        <v>340</v>
      </c>
      <c r="D108" s="194" t="s">
        <v>24</v>
      </c>
      <c r="E108" s="215" t="s">
        <v>973</v>
      </c>
      <c r="F108" s="82"/>
      <c r="G108" s="117"/>
      <c r="H108" s="117"/>
      <c r="I108" s="117"/>
      <c r="J108" s="117"/>
      <c r="K108" s="117"/>
      <c r="L108" s="117"/>
      <c r="M108" s="117"/>
      <c r="N108" s="117"/>
      <c r="O108" s="117"/>
      <c r="P108" s="117"/>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c r="ET108" s="146"/>
      <c r="EU108" s="146"/>
      <c r="EV108" s="146"/>
      <c r="EW108" s="146"/>
      <c r="EX108" s="146"/>
      <c r="EY108" s="146"/>
      <c r="EZ108" s="146"/>
      <c r="FA108" s="146"/>
      <c r="FB108" s="146"/>
      <c r="FC108" s="146"/>
      <c r="FD108" s="146"/>
      <c r="FE108" s="146"/>
      <c r="FF108" s="146"/>
      <c r="FG108" s="146"/>
      <c r="FH108" s="146"/>
      <c r="FI108" s="146"/>
      <c r="FJ108" s="146"/>
      <c r="FK108" s="146"/>
      <c r="FL108" s="146"/>
      <c r="FM108" s="146"/>
      <c r="FN108" s="146"/>
      <c r="FO108" s="146"/>
      <c r="FP108" s="146"/>
      <c r="FQ108" s="146"/>
      <c r="FR108" s="146"/>
      <c r="FS108" s="146"/>
      <c r="FT108" s="146"/>
      <c r="FU108" s="146"/>
      <c r="FV108" s="146"/>
      <c r="FW108" s="146"/>
      <c r="FX108" s="146"/>
      <c r="FY108" s="146"/>
      <c r="FZ108" s="146"/>
      <c r="GA108" s="146"/>
      <c r="GB108" s="146"/>
      <c r="GC108" s="146"/>
      <c r="GD108" s="146"/>
      <c r="GE108" s="146"/>
      <c r="GF108" s="146"/>
      <c r="GG108" s="146"/>
      <c r="GH108" s="146"/>
      <c r="GI108" s="146"/>
      <c r="GJ108" s="146"/>
    </row>
    <row r="109" spans="1:192" ht="101.5" outlineLevel="1" x14ac:dyDescent="0.35">
      <c r="A109" s="226" t="s">
        <v>6</v>
      </c>
      <c r="B109" s="189" t="s">
        <v>974</v>
      </c>
      <c r="C109" s="190" t="s">
        <v>341</v>
      </c>
      <c r="D109" s="191" t="s">
        <v>24</v>
      </c>
      <c r="E109" s="217" t="s">
        <v>975</v>
      </c>
      <c r="F109" s="78"/>
      <c r="G109" s="117"/>
      <c r="H109" s="117"/>
      <c r="I109" s="117"/>
      <c r="J109" s="117"/>
      <c r="K109" s="117"/>
      <c r="L109" s="117"/>
      <c r="M109" s="117"/>
      <c r="N109" s="117"/>
      <c r="O109" s="117"/>
      <c r="P109" s="117"/>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46"/>
      <c r="DZ109" s="146"/>
      <c r="EA109" s="146"/>
      <c r="EB109" s="146"/>
      <c r="EC109" s="146"/>
      <c r="ED109" s="146"/>
      <c r="EE109" s="146"/>
      <c r="EF109" s="146"/>
      <c r="EG109" s="146"/>
      <c r="EH109" s="146"/>
      <c r="EI109" s="146"/>
      <c r="EJ109" s="146"/>
      <c r="EK109" s="146"/>
      <c r="EL109" s="146"/>
      <c r="EM109" s="146"/>
      <c r="EN109" s="146"/>
      <c r="EO109" s="146"/>
      <c r="EP109" s="146"/>
      <c r="EQ109" s="146"/>
      <c r="ER109" s="146"/>
      <c r="ES109" s="146"/>
      <c r="ET109" s="146"/>
      <c r="EU109" s="146"/>
      <c r="EV109" s="146"/>
      <c r="EW109" s="146"/>
      <c r="EX109" s="146"/>
      <c r="EY109" s="146"/>
      <c r="EZ109" s="146"/>
      <c r="FA109" s="146"/>
      <c r="FB109" s="146"/>
      <c r="FC109" s="146"/>
      <c r="FD109" s="146"/>
      <c r="FE109" s="146"/>
      <c r="FF109" s="146"/>
      <c r="FG109" s="146"/>
      <c r="FH109" s="146"/>
      <c r="FI109" s="146"/>
      <c r="FJ109" s="146"/>
      <c r="FK109" s="146"/>
      <c r="FL109" s="146"/>
      <c r="FM109" s="146"/>
      <c r="FN109" s="146"/>
      <c r="FO109" s="146"/>
      <c r="FP109" s="146"/>
      <c r="FQ109" s="146"/>
      <c r="FR109" s="146"/>
      <c r="FS109" s="146"/>
      <c r="FT109" s="146"/>
      <c r="FU109" s="146"/>
      <c r="FV109" s="146"/>
      <c r="FW109" s="146"/>
      <c r="FX109" s="146"/>
      <c r="FY109" s="146"/>
      <c r="FZ109" s="146"/>
      <c r="GA109" s="146"/>
      <c r="GB109" s="146"/>
      <c r="GC109" s="146"/>
      <c r="GD109" s="146"/>
      <c r="GE109" s="146"/>
      <c r="GF109" s="146"/>
      <c r="GG109" s="146"/>
      <c r="GH109" s="146"/>
      <c r="GI109" s="146"/>
      <c r="GJ109" s="146"/>
    </row>
    <row r="110" spans="1:192" ht="112" outlineLevel="1" x14ac:dyDescent="0.35">
      <c r="A110" s="226" t="s">
        <v>6</v>
      </c>
      <c r="B110" s="189"/>
      <c r="C110" s="190" t="s">
        <v>342</v>
      </c>
      <c r="D110" s="191" t="s">
        <v>24</v>
      </c>
      <c r="E110" s="217" t="s">
        <v>976</v>
      </c>
      <c r="F110" s="78"/>
      <c r="G110" s="117"/>
      <c r="H110" s="117"/>
      <c r="I110" s="117"/>
      <c r="J110" s="117"/>
      <c r="K110" s="117"/>
      <c r="L110" s="117"/>
      <c r="M110" s="117"/>
      <c r="N110" s="117"/>
      <c r="O110" s="117"/>
      <c r="P110" s="117"/>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46"/>
      <c r="DZ110" s="146"/>
      <c r="EA110" s="146"/>
      <c r="EB110" s="146"/>
      <c r="EC110" s="146"/>
      <c r="ED110" s="146"/>
      <c r="EE110" s="146"/>
      <c r="EF110" s="146"/>
      <c r="EG110" s="146"/>
      <c r="EH110" s="146"/>
      <c r="EI110" s="146"/>
      <c r="EJ110" s="146"/>
      <c r="EK110" s="146"/>
      <c r="EL110" s="146"/>
      <c r="EM110" s="146"/>
      <c r="EN110" s="146"/>
      <c r="EO110" s="146"/>
      <c r="EP110" s="146"/>
      <c r="EQ110" s="146"/>
      <c r="ER110" s="146"/>
      <c r="ES110" s="146"/>
      <c r="ET110" s="146"/>
      <c r="EU110" s="146"/>
      <c r="EV110" s="146"/>
      <c r="EW110" s="146"/>
      <c r="EX110" s="146"/>
      <c r="EY110" s="146"/>
      <c r="EZ110" s="146"/>
      <c r="FA110" s="146"/>
      <c r="FB110" s="146"/>
      <c r="FC110" s="146"/>
      <c r="FD110" s="146"/>
      <c r="FE110" s="146"/>
      <c r="FF110" s="146"/>
      <c r="FG110" s="146"/>
      <c r="FH110" s="146"/>
      <c r="FI110" s="146"/>
      <c r="FJ110" s="146"/>
      <c r="FK110" s="146"/>
      <c r="FL110" s="146"/>
      <c r="FM110" s="146"/>
      <c r="FN110" s="146"/>
      <c r="FO110" s="146"/>
      <c r="FP110" s="146"/>
      <c r="FQ110" s="146"/>
      <c r="FR110" s="146"/>
      <c r="FS110" s="146"/>
      <c r="FT110" s="146"/>
      <c r="FU110" s="146"/>
      <c r="FV110" s="146"/>
      <c r="FW110" s="146"/>
      <c r="FX110" s="146"/>
      <c r="FY110" s="146"/>
      <c r="FZ110" s="146"/>
      <c r="GA110" s="146"/>
      <c r="GB110" s="146"/>
      <c r="GC110" s="146"/>
      <c r="GD110" s="146"/>
      <c r="GE110" s="146"/>
      <c r="GF110" s="146"/>
      <c r="GG110" s="146"/>
      <c r="GH110" s="146"/>
      <c r="GI110" s="146"/>
      <c r="GJ110" s="146"/>
    </row>
    <row r="111" spans="1:192" ht="21" outlineLevel="1" x14ac:dyDescent="0.35">
      <c r="A111" s="225" t="s">
        <v>9</v>
      </c>
      <c r="B111" s="192" t="s">
        <v>977</v>
      </c>
      <c r="C111" s="193" t="s">
        <v>346</v>
      </c>
      <c r="D111" s="194" t="s">
        <v>24</v>
      </c>
      <c r="E111" s="213" t="s">
        <v>715</v>
      </c>
      <c r="F111" s="82"/>
      <c r="G111" s="117"/>
      <c r="H111" s="117"/>
      <c r="I111" s="117"/>
      <c r="J111" s="117"/>
      <c r="K111" s="117"/>
      <c r="L111" s="117"/>
      <c r="M111" s="117"/>
      <c r="N111" s="117"/>
      <c r="O111" s="117"/>
      <c r="P111" s="117"/>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46"/>
      <c r="DZ111" s="146"/>
      <c r="EA111" s="146"/>
      <c r="EB111" s="146"/>
      <c r="EC111" s="146"/>
      <c r="ED111" s="146"/>
      <c r="EE111" s="146"/>
      <c r="EF111" s="146"/>
      <c r="EG111" s="146"/>
      <c r="EH111" s="146"/>
      <c r="EI111" s="146"/>
      <c r="EJ111" s="146"/>
      <c r="EK111" s="146"/>
      <c r="EL111" s="146"/>
      <c r="EM111" s="146"/>
      <c r="EN111" s="146"/>
      <c r="EO111" s="146"/>
      <c r="EP111" s="146"/>
      <c r="EQ111" s="146"/>
      <c r="ER111" s="146"/>
      <c r="ES111" s="146"/>
      <c r="ET111" s="146"/>
      <c r="EU111" s="146"/>
      <c r="EV111" s="146"/>
      <c r="EW111" s="146"/>
      <c r="EX111" s="146"/>
      <c r="EY111" s="146"/>
      <c r="EZ111" s="146"/>
      <c r="FA111" s="146"/>
      <c r="FB111" s="146"/>
      <c r="FC111" s="146"/>
      <c r="FD111" s="146"/>
      <c r="FE111" s="146"/>
      <c r="FF111" s="146"/>
      <c r="FG111" s="146"/>
      <c r="FH111" s="146"/>
      <c r="FI111" s="146"/>
      <c r="FJ111" s="146"/>
      <c r="FK111" s="146"/>
      <c r="FL111" s="146"/>
      <c r="FM111" s="146"/>
      <c r="FN111" s="146"/>
      <c r="FO111" s="146"/>
      <c r="FP111" s="146"/>
      <c r="FQ111" s="146"/>
      <c r="FR111" s="146"/>
      <c r="FS111" s="146"/>
      <c r="FT111" s="146"/>
      <c r="FU111" s="146"/>
      <c r="FV111" s="146"/>
      <c r="FW111" s="146"/>
      <c r="FX111" s="146"/>
      <c r="FY111" s="146"/>
      <c r="FZ111" s="146"/>
      <c r="GA111" s="146"/>
      <c r="GB111" s="146"/>
      <c r="GC111" s="146"/>
      <c r="GD111" s="146"/>
      <c r="GE111" s="146"/>
      <c r="GF111" s="146"/>
      <c r="GG111" s="146"/>
      <c r="GH111" s="146"/>
      <c r="GI111" s="146"/>
      <c r="GJ111" s="146"/>
    </row>
    <row r="112" spans="1:192" ht="31.5" outlineLevel="1" x14ac:dyDescent="0.35">
      <c r="A112" s="225" t="s">
        <v>9</v>
      </c>
      <c r="B112" s="189" t="s">
        <v>978</v>
      </c>
      <c r="C112" s="190" t="s">
        <v>347</v>
      </c>
      <c r="D112" s="191" t="s">
        <v>24</v>
      </c>
      <c r="E112" s="219" t="s">
        <v>978</v>
      </c>
      <c r="F112" s="78"/>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46"/>
      <c r="DZ112" s="146"/>
      <c r="EA112" s="146"/>
      <c r="EB112" s="146"/>
      <c r="EC112" s="146"/>
      <c r="ED112" s="146"/>
      <c r="EE112" s="146"/>
      <c r="EF112" s="146"/>
      <c r="EG112" s="146"/>
      <c r="EH112" s="146"/>
      <c r="EI112" s="146"/>
      <c r="EJ112" s="146"/>
      <c r="EK112" s="146"/>
      <c r="EL112" s="146"/>
      <c r="EM112" s="146"/>
      <c r="EN112" s="146"/>
      <c r="EO112" s="146"/>
      <c r="EP112" s="146"/>
      <c r="EQ112" s="146"/>
      <c r="ER112" s="146"/>
      <c r="ES112" s="146"/>
      <c r="ET112" s="146"/>
      <c r="EU112" s="146"/>
      <c r="EV112" s="146"/>
      <c r="EW112" s="146"/>
      <c r="EX112" s="146"/>
      <c r="EY112" s="146"/>
      <c r="EZ112" s="146"/>
      <c r="FA112" s="146"/>
      <c r="FB112" s="146"/>
      <c r="FC112" s="146"/>
      <c r="FD112" s="146"/>
      <c r="FE112" s="146"/>
      <c r="FF112" s="146"/>
      <c r="FG112" s="146"/>
      <c r="FH112" s="146"/>
      <c r="FI112" s="146"/>
      <c r="FJ112" s="146"/>
      <c r="FK112" s="146"/>
      <c r="FL112" s="146"/>
      <c r="FM112" s="146"/>
      <c r="FN112" s="146"/>
      <c r="FO112" s="146"/>
      <c r="FP112" s="146"/>
      <c r="FQ112" s="146"/>
      <c r="FR112" s="146"/>
      <c r="FS112" s="146"/>
      <c r="FT112" s="146"/>
      <c r="FU112" s="146"/>
      <c r="FV112" s="146"/>
      <c r="FW112" s="146"/>
      <c r="FX112" s="146"/>
      <c r="FY112" s="146"/>
      <c r="FZ112" s="146"/>
      <c r="GA112" s="146"/>
      <c r="GB112" s="146"/>
      <c r="GC112" s="146"/>
      <c r="GD112" s="146"/>
      <c r="GE112" s="146"/>
      <c r="GF112" s="146"/>
      <c r="GG112" s="146"/>
      <c r="GH112" s="146"/>
      <c r="GI112" s="146"/>
      <c r="GJ112" s="146"/>
    </row>
    <row r="113" spans="1:192" ht="51" outlineLevel="1" x14ac:dyDescent="0.35">
      <c r="A113" s="225" t="s">
        <v>9</v>
      </c>
      <c r="B113" s="192" t="s">
        <v>716</v>
      </c>
      <c r="C113" s="193" t="s">
        <v>348</v>
      </c>
      <c r="D113" s="194" t="s">
        <v>24</v>
      </c>
      <c r="E113" s="218" t="s">
        <v>979</v>
      </c>
      <c r="F113" s="82"/>
      <c r="G113" s="117"/>
      <c r="H113" s="117"/>
      <c r="I113" s="117"/>
      <c r="J113" s="117"/>
      <c r="K113" s="117"/>
      <c r="L113" s="117"/>
      <c r="M113" s="117"/>
      <c r="N113" s="117"/>
      <c r="O113" s="117"/>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row>
    <row r="114" spans="1:192" ht="40" outlineLevel="1" x14ac:dyDescent="0.35">
      <c r="A114" s="225" t="s">
        <v>9</v>
      </c>
      <c r="B114" s="189" t="s">
        <v>980</v>
      </c>
      <c r="C114" s="190" t="s">
        <v>349</v>
      </c>
      <c r="D114" s="191" t="s">
        <v>24</v>
      </c>
      <c r="E114" s="219" t="s">
        <v>980</v>
      </c>
      <c r="F114" s="78"/>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46"/>
      <c r="AZ114" s="146"/>
      <c r="BA114" s="146"/>
      <c r="BB114" s="146"/>
      <c r="BC114" s="146"/>
      <c r="BD114" s="146"/>
      <c r="BE114" s="146"/>
      <c r="BF114" s="146"/>
      <c r="BG114" s="146"/>
      <c r="BH114" s="146"/>
      <c r="BI114" s="146"/>
      <c r="BJ114" s="146"/>
      <c r="BK114" s="146"/>
      <c r="BL114" s="146"/>
      <c r="BM114" s="146"/>
      <c r="BN114" s="146"/>
      <c r="BO114" s="146"/>
      <c r="BP114" s="146"/>
      <c r="BQ114" s="146"/>
      <c r="BR114" s="146"/>
      <c r="BS114" s="146"/>
      <c r="BT114" s="146"/>
      <c r="BU114" s="146"/>
      <c r="BV114" s="146"/>
      <c r="BW114" s="14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c r="CR114" s="146"/>
      <c r="CS114" s="146"/>
      <c r="CT114" s="146"/>
      <c r="CU114" s="146"/>
      <c r="CV114" s="146"/>
      <c r="CW114" s="146"/>
      <c r="CX114" s="146"/>
      <c r="CY114" s="146"/>
      <c r="CZ114" s="146"/>
      <c r="DA114" s="146"/>
      <c r="DB114" s="146"/>
      <c r="DC114" s="146"/>
      <c r="DD114" s="146"/>
      <c r="DE114" s="146"/>
      <c r="DF114" s="146"/>
      <c r="DG114" s="146"/>
      <c r="DH114" s="146"/>
      <c r="DI114" s="146"/>
      <c r="DJ114" s="146"/>
      <c r="DK114" s="146"/>
      <c r="DL114" s="146"/>
      <c r="DM114" s="146"/>
      <c r="DN114" s="146"/>
      <c r="DO114" s="146"/>
      <c r="DP114" s="146"/>
      <c r="DQ114" s="146"/>
      <c r="DR114" s="146"/>
      <c r="DS114" s="146"/>
      <c r="DT114" s="146"/>
      <c r="DU114" s="146"/>
      <c r="DV114" s="146"/>
      <c r="DW114" s="146"/>
      <c r="DX114" s="146"/>
      <c r="DY114" s="146"/>
      <c r="DZ114" s="146"/>
      <c r="EA114" s="146"/>
      <c r="EB114" s="146"/>
      <c r="EC114" s="146"/>
      <c r="ED114" s="146"/>
      <c r="EE114" s="146"/>
      <c r="EF114" s="146"/>
      <c r="EG114" s="146"/>
      <c r="EH114" s="146"/>
      <c r="EI114" s="146"/>
      <c r="EJ114" s="146"/>
      <c r="EK114" s="146"/>
      <c r="EL114" s="146"/>
      <c r="EM114" s="146"/>
      <c r="EN114" s="146"/>
      <c r="EO114" s="146"/>
      <c r="EP114" s="146"/>
      <c r="EQ114" s="146"/>
      <c r="ER114" s="146"/>
      <c r="ES114" s="146"/>
      <c r="ET114" s="146"/>
      <c r="EU114" s="146"/>
      <c r="EV114" s="146"/>
      <c r="EW114" s="146"/>
      <c r="EX114" s="146"/>
      <c r="EY114" s="146"/>
      <c r="EZ114" s="146"/>
      <c r="FA114" s="146"/>
      <c r="FB114" s="146"/>
      <c r="FC114" s="146"/>
      <c r="FD114" s="146"/>
      <c r="FE114" s="146"/>
      <c r="FF114" s="146"/>
      <c r="FG114" s="146"/>
      <c r="FH114" s="146"/>
      <c r="FI114" s="146"/>
      <c r="FJ114" s="146"/>
      <c r="FK114" s="146"/>
      <c r="FL114" s="146"/>
      <c r="FM114" s="146"/>
      <c r="FN114" s="146"/>
      <c r="FO114" s="146"/>
      <c r="FP114" s="146"/>
      <c r="FQ114" s="146"/>
      <c r="FR114" s="146"/>
      <c r="FS114" s="146"/>
      <c r="FT114" s="146"/>
      <c r="FU114" s="146"/>
      <c r="FV114" s="146"/>
      <c r="FW114" s="146"/>
      <c r="FX114" s="146"/>
      <c r="FY114" s="146"/>
      <c r="FZ114" s="146"/>
      <c r="GA114" s="146"/>
      <c r="GB114" s="146"/>
      <c r="GC114" s="146"/>
      <c r="GD114" s="146"/>
      <c r="GE114" s="146"/>
      <c r="GF114" s="146"/>
      <c r="GG114" s="146"/>
      <c r="GH114" s="146"/>
      <c r="GI114" s="146"/>
      <c r="GJ114" s="146"/>
    </row>
    <row r="115" spans="1:192" ht="42" outlineLevel="1" x14ac:dyDescent="0.35">
      <c r="A115" s="225" t="s">
        <v>9</v>
      </c>
      <c r="B115" s="192" t="s">
        <v>981</v>
      </c>
      <c r="C115" s="193" t="s">
        <v>350</v>
      </c>
      <c r="D115" s="194" t="s">
        <v>24</v>
      </c>
      <c r="E115" s="215" t="s">
        <v>982</v>
      </c>
      <c r="F115" s="82"/>
      <c r="G115" s="117"/>
      <c r="H115" s="117"/>
      <c r="I115" s="117"/>
      <c r="J115" s="117"/>
      <c r="K115" s="117"/>
      <c r="L115" s="117"/>
      <c r="M115" s="117"/>
      <c r="N115" s="117"/>
      <c r="O115" s="117"/>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46"/>
      <c r="AZ115" s="146"/>
      <c r="BA115" s="146"/>
      <c r="BB115" s="146"/>
      <c r="BC115" s="146"/>
      <c r="BD115" s="146"/>
      <c r="BE115" s="146"/>
      <c r="BF115" s="146"/>
      <c r="BG115" s="146"/>
      <c r="BH115" s="146"/>
      <c r="BI115" s="146"/>
      <c r="BJ115" s="146"/>
      <c r="BK115" s="146"/>
      <c r="BL115" s="146"/>
      <c r="BM115" s="146"/>
      <c r="BN115" s="146"/>
      <c r="BO115" s="146"/>
      <c r="BP115" s="146"/>
      <c r="BQ115" s="146"/>
      <c r="BR115" s="146"/>
      <c r="BS115" s="146"/>
      <c r="BT115" s="146"/>
      <c r="BU115" s="146"/>
      <c r="BV115" s="146"/>
      <c r="BW115" s="14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c r="CR115" s="146"/>
      <c r="CS115" s="146"/>
      <c r="CT115" s="146"/>
      <c r="CU115" s="146"/>
      <c r="CV115" s="146"/>
      <c r="CW115" s="146"/>
      <c r="CX115" s="146"/>
      <c r="CY115" s="146"/>
      <c r="CZ115" s="146"/>
      <c r="DA115" s="146"/>
      <c r="DB115" s="146"/>
      <c r="DC115" s="146"/>
      <c r="DD115" s="146"/>
      <c r="DE115" s="146"/>
      <c r="DF115" s="146"/>
      <c r="DG115" s="146"/>
      <c r="DH115" s="146"/>
      <c r="DI115" s="146"/>
      <c r="DJ115" s="146"/>
      <c r="DK115" s="146"/>
      <c r="DL115" s="146"/>
      <c r="DM115" s="146"/>
      <c r="DN115" s="146"/>
      <c r="DO115" s="146"/>
      <c r="DP115" s="146"/>
      <c r="DQ115" s="146"/>
      <c r="DR115" s="146"/>
      <c r="DS115" s="146"/>
      <c r="DT115" s="146"/>
      <c r="DU115" s="146"/>
      <c r="DV115" s="146"/>
      <c r="DW115" s="146"/>
      <c r="DX115" s="146"/>
      <c r="DY115" s="146"/>
      <c r="DZ115" s="146"/>
      <c r="EA115" s="146"/>
      <c r="EB115" s="146"/>
      <c r="EC115" s="146"/>
      <c r="ED115" s="146"/>
      <c r="EE115" s="146"/>
      <c r="EF115" s="146"/>
      <c r="EG115" s="146"/>
      <c r="EH115" s="146"/>
      <c r="EI115" s="146"/>
      <c r="EJ115" s="146"/>
      <c r="EK115" s="146"/>
      <c r="EL115" s="146"/>
      <c r="EM115" s="146"/>
      <c r="EN115" s="146"/>
      <c r="EO115" s="146"/>
      <c r="EP115" s="146"/>
      <c r="EQ115" s="146"/>
      <c r="ER115" s="146"/>
      <c r="ES115" s="146"/>
      <c r="ET115" s="146"/>
      <c r="EU115" s="146"/>
      <c r="EV115" s="146"/>
      <c r="EW115" s="146"/>
      <c r="EX115" s="146"/>
      <c r="EY115" s="146"/>
      <c r="EZ115" s="146"/>
      <c r="FA115" s="146"/>
      <c r="FB115" s="146"/>
      <c r="FC115" s="146"/>
      <c r="FD115" s="146"/>
      <c r="FE115" s="146"/>
      <c r="FF115" s="146"/>
      <c r="FG115" s="146"/>
      <c r="FH115" s="146"/>
      <c r="FI115" s="146"/>
      <c r="FJ115" s="146"/>
      <c r="FK115" s="146"/>
      <c r="FL115" s="146"/>
      <c r="FM115" s="146"/>
      <c r="FN115" s="146"/>
      <c r="FO115" s="146"/>
      <c r="FP115" s="146"/>
      <c r="FQ115" s="146"/>
      <c r="FR115" s="146"/>
      <c r="FS115" s="146"/>
      <c r="FT115" s="146"/>
      <c r="FU115" s="146"/>
      <c r="FV115" s="146"/>
      <c r="FW115" s="146"/>
      <c r="FX115" s="146"/>
      <c r="FY115" s="146"/>
      <c r="FZ115" s="146"/>
      <c r="GA115" s="146"/>
      <c r="GB115" s="146"/>
      <c r="GC115" s="146"/>
      <c r="GD115" s="146"/>
      <c r="GE115" s="146"/>
      <c r="GF115" s="146"/>
      <c r="GG115" s="146"/>
      <c r="GH115" s="146"/>
      <c r="GI115" s="146"/>
      <c r="GJ115" s="146"/>
    </row>
    <row r="116" spans="1:192" ht="92" outlineLevel="1" x14ac:dyDescent="0.35">
      <c r="A116" s="225" t="s">
        <v>9</v>
      </c>
      <c r="B116" s="189" t="s">
        <v>351</v>
      </c>
      <c r="C116" s="190" t="s">
        <v>352</v>
      </c>
      <c r="D116" s="191" t="s">
        <v>24</v>
      </c>
      <c r="E116" s="219" t="s">
        <v>983</v>
      </c>
      <c r="F116" s="78"/>
      <c r="G116" s="117"/>
      <c r="H116" s="117"/>
      <c r="I116" s="117"/>
      <c r="J116" s="117"/>
      <c r="K116" s="117"/>
      <c r="L116" s="117"/>
      <c r="M116" s="117"/>
      <c r="N116" s="117"/>
      <c r="O116" s="117"/>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46"/>
      <c r="AZ116" s="146"/>
      <c r="BA116" s="146"/>
      <c r="BB116" s="146"/>
      <c r="BC116" s="146"/>
      <c r="BD116" s="146"/>
      <c r="BE116" s="146"/>
      <c r="BF116" s="146"/>
      <c r="BG116" s="146"/>
      <c r="BH116" s="146"/>
      <c r="BI116" s="146"/>
      <c r="BJ116" s="146"/>
      <c r="BK116" s="146"/>
      <c r="BL116" s="146"/>
      <c r="BM116" s="146"/>
      <c r="BN116" s="146"/>
      <c r="BO116" s="146"/>
      <c r="BP116" s="146"/>
      <c r="BQ116" s="146"/>
      <c r="BR116" s="146"/>
      <c r="BS116" s="146"/>
      <c r="BT116" s="146"/>
      <c r="BU116" s="146"/>
      <c r="BV116" s="146"/>
      <c r="BW116" s="14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c r="CR116" s="146"/>
      <c r="CS116" s="146"/>
      <c r="CT116" s="146"/>
      <c r="CU116" s="146"/>
      <c r="CV116" s="146"/>
      <c r="CW116" s="146"/>
      <c r="CX116" s="146"/>
      <c r="CY116" s="146"/>
      <c r="CZ116" s="146"/>
      <c r="DA116" s="146"/>
      <c r="DB116" s="146"/>
      <c r="DC116" s="146"/>
      <c r="DD116" s="146"/>
      <c r="DE116" s="146"/>
      <c r="DF116" s="146"/>
      <c r="DG116" s="146"/>
      <c r="DH116" s="146"/>
      <c r="DI116" s="146"/>
      <c r="DJ116" s="146"/>
      <c r="DK116" s="146"/>
      <c r="DL116" s="146"/>
      <c r="DM116" s="146"/>
      <c r="DN116" s="146"/>
      <c r="DO116" s="146"/>
      <c r="DP116" s="146"/>
      <c r="DQ116" s="146"/>
      <c r="DR116" s="146"/>
      <c r="DS116" s="146"/>
      <c r="DT116" s="146"/>
      <c r="DU116" s="146"/>
      <c r="DV116" s="146"/>
      <c r="DW116" s="146"/>
      <c r="DX116" s="146"/>
      <c r="DY116" s="146"/>
      <c r="DZ116" s="146"/>
      <c r="EA116" s="146"/>
      <c r="EB116" s="146"/>
      <c r="EC116" s="146"/>
      <c r="ED116" s="146"/>
      <c r="EE116" s="146"/>
      <c r="EF116" s="146"/>
      <c r="EG116" s="146"/>
      <c r="EH116" s="146"/>
      <c r="EI116" s="146"/>
      <c r="EJ116" s="146"/>
      <c r="EK116" s="146"/>
      <c r="EL116" s="146"/>
      <c r="EM116" s="146"/>
      <c r="EN116" s="146"/>
      <c r="EO116" s="146"/>
      <c r="EP116" s="146"/>
      <c r="EQ116" s="146"/>
      <c r="ER116" s="146"/>
      <c r="ES116" s="146"/>
      <c r="ET116" s="146"/>
      <c r="EU116" s="146"/>
      <c r="EV116" s="146"/>
      <c r="EW116" s="146"/>
      <c r="EX116" s="146"/>
      <c r="EY116" s="146"/>
      <c r="EZ116" s="146"/>
      <c r="FA116" s="146"/>
      <c r="FB116" s="146"/>
      <c r="FC116" s="146"/>
      <c r="FD116" s="146"/>
      <c r="FE116" s="146"/>
      <c r="FF116" s="146"/>
      <c r="FG116" s="146"/>
      <c r="FH116" s="146"/>
      <c r="FI116" s="146"/>
      <c r="FJ116" s="146"/>
      <c r="FK116" s="146"/>
      <c r="FL116" s="146"/>
      <c r="FM116" s="146"/>
      <c r="FN116" s="146"/>
      <c r="FO116" s="146"/>
      <c r="FP116" s="146"/>
      <c r="FQ116" s="146"/>
      <c r="FR116" s="146"/>
      <c r="FS116" s="146"/>
      <c r="FT116" s="146"/>
      <c r="FU116" s="146"/>
      <c r="FV116" s="146"/>
      <c r="FW116" s="146"/>
      <c r="FX116" s="146"/>
      <c r="FY116" s="146"/>
      <c r="FZ116" s="146"/>
      <c r="GA116" s="146"/>
      <c r="GB116" s="146"/>
      <c r="GC116" s="146"/>
      <c r="GD116" s="146"/>
      <c r="GE116" s="146"/>
      <c r="GF116" s="146"/>
      <c r="GG116" s="146"/>
      <c r="GH116" s="146"/>
      <c r="GI116" s="146"/>
      <c r="GJ116" s="146"/>
    </row>
    <row r="117" spans="1:192" ht="92" outlineLevel="1" x14ac:dyDescent="0.35">
      <c r="A117" s="225" t="s">
        <v>9</v>
      </c>
      <c r="B117" s="189"/>
      <c r="C117" s="190" t="s">
        <v>353</v>
      </c>
      <c r="D117" s="191" t="s">
        <v>24</v>
      </c>
      <c r="E117" s="219" t="s">
        <v>984</v>
      </c>
      <c r="F117" s="78"/>
      <c r="G117" s="117"/>
      <c r="H117" s="117"/>
      <c r="I117" s="117"/>
      <c r="J117" s="117"/>
      <c r="K117" s="117"/>
      <c r="L117" s="117"/>
      <c r="M117" s="117"/>
      <c r="N117" s="117"/>
      <c r="O117" s="117"/>
      <c r="P117" s="117"/>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c r="BS117" s="146"/>
      <c r="BT117" s="146"/>
      <c r="BU117" s="146"/>
      <c r="BV117" s="146"/>
      <c r="BW117" s="14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c r="CR117" s="146"/>
      <c r="CS117" s="146"/>
      <c r="CT117" s="146"/>
      <c r="CU117" s="146"/>
      <c r="CV117" s="146"/>
      <c r="CW117" s="146"/>
      <c r="CX117" s="146"/>
      <c r="CY117" s="146"/>
      <c r="CZ117" s="146"/>
      <c r="DA117" s="146"/>
      <c r="DB117" s="146"/>
      <c r="DC117" s="146"/>
      <c r="DD117" s="146"/>
      <c r="DE117" s="146"/>
      <c r="DF117" s="146"/>
      <c r="DG117" s="146"/>
      <c r="DH117" s="146"/>
      <c r="DI117" s="146"/>
      <c r="DJ117" s="146"/>
      <c r="DK117" s="146"/>
      <c r="DL117" s="146"/>
      <c r="DM117" s="146"/>
      <c r="DN117" s="146"/>
      <c r="DO117" s="146"/>
      <c r="DP117" s="146"/>
      <c r="DQ117" s="146"/>
      <c r="DR117" s="146"/>
      <c r="DS117" s="146"/>
      <c r="DT117" s="146"/>
      <c r="DU117" s="146"/>
      <c r="DV117" s="146"/>
      <c r="DW117" s="146"/>
      <c r="DX117" s="146"/>
      <c r="DY117" s="146"/>
      <c r="DZ117" s="146"/>
      <c r="EA117" s="146"/>
      <c r="EB117" s="146"/>
      <c r="EC117" s="146"/>
      <c r="ED117" s="146"/>
      <c r="EE117" s="146"/>
      <c r="EF117" s="146"/>
      <c r="EG117" s="146"/>
      <c r="EH117" s="146"/>
      <c r="EI117" s="146"/>
      <c r="EJ117" s="146"/>
      <c r="EK117" s="146"/>
      <c r="EL117" s="146"/>
      <c r="EM117" s="146"/>
      <c r="EN117" s="146"/>
      <c r="EO117" s="146"/>
      <c r="EP117" s="146"/>
      <c r="EQ117" s="146"/>
      <c r="ER117" s="146"/>
      <c r="ES117" s="146"/>
      <c r="ET117" s="146"/>
      <c r="EU117" s="146"/>
      <c r="EV117" s="146"/>
      <c r="EW117" s="146"/>
      <c r="EX117" s="146"/>
      <c r="EY117" s="146"/>
      <c r="EZ117" s="146"/>
      <c r="FA117" s="146"/>
      <c r="FB117" s="146"/>
      <c r="FC117" s="146"/>
      <c r="FD117" s="146"/>
      <c r="FE117" s="146"/>
      <c r="FF117" s="146"/>
      <c r="FG117" s="146"/>
      <c r="FH117" s="146"/>
      <c r="FI117" s="146"/>
      <c r="FJ117" s="146"/>
      <c r="FK117" s="146"/>
      <c r="FL117" s="146"/>
      <c r="FM117" s="146"/>
      <c r="FN117" s="146"/>
      <c r="FO117" s="146"/>
      <c r="FP117" s="146"/>
      <c r="FQ117" s="146"/>
      <c r="FR117" s="146"/>
      <c r="FS117" s="146"/>
      <c r="FT117" s="146"/>
      <c r="FU117" s="146"/>
      <c r="FV117" s="146"/>
      <c r="FW117" s="146"/>
      <c r="FX117" s="146"/>
      <c r="FY117" s="146"/>
      <c r="FZ117" s="146"/>
      <c r="GA117" s="146"/>
      <c r="GB117" s="146"/>
      <c r="GC117" s="146"/>
      <c r="GD117" s="146"/>
      <c r="GE117" s="146"/>
      <c r="GF117" s="146"/>
      <c r="GG117" s="146"/>
      <c r="GH117" s="146"/>
      <c r="GI117" s="146"/>
      <c r="GJ117" s="146"/>
    </row>
    <row r="118" spans="1:192" ht="42" outlineLevel="1" x14ac:dyDescent="0.35">
      <c r="A118" s="225" t="s">
        <v>9</v>
      </c>
      <c r="B118" s="189"/>
      <c r="C118" s="190" t="s">
        <v>717</v>
      </c>
      <c r="D118" s="191" t="s">
        <v>24</v>
      </c>
      <c r="E118" s="219" t="s">
        <v>985</v>
      </c>
      <c r="F118" s="78"/>
      <c r="G118" s="117"/>
      <c r="H118" s="117"/>
      <c r="I118" s="117"/>
      <c r="J118" s="117"/>
      <c r="K118" s="117"/>
      <c r="L118" s="117"/>
      <c r="M118" s="117"/>
      <c r="N118" s="117"/>
      <c r="O118" s="117"/>
      <c r="P118" s="117"/>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c r="BS118" s="146"/>
      <c r="BT118" s="146"/>
      <c r="BU118" s="146"/>
      <c r="BV118" s="146"/>
      <c r="BW118" s="14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c r="CR118" s="146"/>
      <c r="CS118" s="146"/>
      <c r="CT118" s="146"/>
      <c r="CU118" s="146"/>
      <c r="CV118" s="146"/>
      <c r="CW118" s="146"/>
      <c r="CX118" s="146"/>
      <c r="CY118" s="146"/>
      <c r="CZ118" s="146"/>
      <c r="DA118" s="146"/>
      <c r="DB118" s="146"/>
      <c r="DC118" s="146"/>
      <c r="DD118" s="146"/>
      <c r="DE118" s="146"/>
      <c r="DF118" s="146"/>
      <c r="DG118" s="146"/>
      <c r="DH118" s="146"/>
      <c r="DI118" s="146"/>
      <c r="DJ118" s="146"/>
      <c r="DK118" s="146"/>
      <c r="DL118" s="146"/>
      <c r="DM118" s="146"/>
      <c r="DN118" s="146"/>
      <c r="DO118" s="146"/>
      <c r="DP118" s="146"/>
      <c r="DQ118" s="146"/>
      <c r="DR118" s="146"/>
      <c r="DS118" s="146"/>
      <c r="DT118" s="146"/>
      <c r="DU118" s="146"/>
      <c r="DV118" s="146"/>
      <c r="DW118" s="146"/>
      <c r="DX118" s="146"/>
      <c r="DY118" s="146"/>
      <c r="DZ118" s="146"/>
      <c r="EA118" s="146"/>
      <c r="EB118" s="146"/>
      <c r="EC118" s="146"/>
      <c r="ED118" s="146"/>
      <c r="EE118" s="146"/>
      <c r="EF118" s="146"/>
      <c r="EG118" s="146"/>
      <c r="EH118" s="146"/>
      <c r="EI118" s="146"/>
      <c r="EJ118" s="146"/>
      <c r="EK118" s="146"/>
      <c r="EL118" s="146"/>
      <c r="EM118" s="146"/>
      <c r="EN118" s="146"/>
      <c r="EO118" s="146"/>
      <c r="EP118" s="146"/>
      <c r="EQ118" s="146"/>
      <c r="ER118" s="146"/>
      <c r="ES118" s="146"/>
      <c r="ET118" s="146"/>
      <c r="EU118" s="146"/>
      <c r="EV118" s="146"/>
      <c r="EW118" s="146"/>
      <c r="EX118" s="146"/>
      <c r="EY118" s="146"/>
      <c r="EZ118" s="146"/>
      <c r="FA118" s="146"/>
      <c r="FB118" s="146"/>
      <c r="FC118" s="146"/>
      <c r="FD118" s="146"/>
      <c r="FE118" s="146"/>
      <c r="FF118" s="146"/>
      <c r="FG118" s="146"/>
      <c r="FH118" s="146"/>
      <c r="FI118" s="146"/>
      <c r="FJ118" s="146"/>
      <c r="FK118" s="146"/>
      <c r="FL118" s="146"/>
      <c r="FM118" s="146"/>
      <c r="FN118" s="146"/>
      <c r="FO118" s="146"/>
      <c r="FP118" s="146"/>
      <c r="FQ118" s="146"/>
      <c r="FR118" s="146"/>
      <c r="FS118" s="146"/>
      <c r="FT118" s="146"/>
      <c r="FU118" s="146"/>
      <c r="FV118" s="146"/>
      <c r="FW118" s="146"/>
      <c r="FX118" s="146"/>
      <c r="FY118" s="146"/>
      <c r="FZ118" s="146"/>
      <c r="GA118" s="146"/>
      <c r="GB118" s="146"/>
      <c r="GC118" s="146"/>
      <c r="GD118" s="146"/>
      <c r="GE118" s="146"/>
      <c r="GF118" s="146"/>
      <c r="GG118" s="146"/>
      <c r="GH118" s="146"/>
      <c r="GI118" s="146"/>
      <c r="GJ118" s="146"/>
    </row>
    <row r="119" spans="1:192" ht="82" outlineLevel="1" x14ac:dyDescent="0.35">
      <c r="A119" s="225" t="s">
        <v>9</v>
      </c>
      <c r="B119" s="192" t="s">
        <v>986</v>
      </c>
      <c r="C119" s="193" t="s">
        <v>354</v>
      </c>
      <c r="D119" s="194" t="s">
        <v>24</v>
      </c>
      <c r="E119" s="215" t="s">
        <v>987</v>
      </c>
      <c r="F119" s="82"/>
      <c r="G119" s="117"/>
      <c r="H119" s="117"/>
      <c r="I119" s="117"/>
      <c r="J119" s="117"/>
      <c r="K119" s="117"/>
      <c r="L119" s="117"/>
      <c r="M119" s="117"/>
      <c r="N119" s="117"/>
      <c r="O119" s="117"/>
      <c r="P119" s="117"/>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46"/>
      <c r="DZ119" s="146"/>
      <c r="EA119" s="146"/>
      <c r="EB119" s="146"/>
      <c r="EC119" s="146"/>
      <c r="ED119" s="146"/>
      <c r="EE119" s="146"/>
      <c r="EF119" s="146"/>
      <c r="EG119" s="146"/>
      <c r="EH119" s="146"/>
      <c r="EI119" s="146"/>
      <c r="EJ119" s="146"/>
      <c r="EK119" s="146"/>
      <c r="EL119" s="146"/>
      <c r="EM119" s="146"/>
      <c r="EN119" s="146"/>
      <c r="EO119" s="146"/>
      <c r="EP119" s="146"/>
      <c r="EQ119" s="146"/>
      <c r="ER119" s="146"/>
      <c r="ES119" s="146"/>
      <c r="ET119" s="146"/>
      <c r="EU119" s="146"/>
      <c r="EV119" s="146"/>
      <c r="EW119" s="146"/>
      <c r="EX119" s="146"/>
      <c r="EY119" s="146"/>
      <c r="EZ119" s="146"/>
      <c r="FA119" s="146"/>
      <c r="FB119" s="146"/>
      <c r="FC119" s="146"/>
      <c r="FD119" s="146"/>
      <c r="FE119" s="146"/>
      <c r="FF119" s="146"/>
      <c r="FG119" s="146"/>
      <c r="FH119" s="146"/>
      <c r="FI119" s="146"/>
      <c r="FJ119" s="146"/>
      <c r="FK119" s="146"/>
      <c r="FL119" s="146"/>
      <c r="FM119" s="146"/>
      <c r="FN119" s="146"/>
      <c r="FO119" s="146"/>
      <c r="FP119" s="146"/>
      <c r="FQ119" s="146"/>
      <c r="FR119" s="146"/>
      <c r="FS119" s="146"/>
      <c r="FT119" s="146"/>
      <c r="FU119" s="146"/>
      <c r="FV119" s="146"/>
      <c r="FW119" s="146"/>
      <c r="FX119" s="146"/>
      <c r="FY119" s="146"/>
      <c r="FZ119" s="146"/>
      <c r="GA119" s="146"/>
      <c r="GB119" s="146"/>
      <c r="GC119" s="146"/>
      <c r="GD119" s="146"/>
      <c r="GE119" s="146"/>
      <c r="GF119" s="146"/>
      <c r="GG119" s="146"/>
      <c r="GH119" s="146"/>
      <c r="GI119" s="146"/>
      <c r="GJ119" s="146"/>
    </row>
    <row r="120" spans="1:192" ht="102.5" outlineLevel="1" x14ac:dyDescent="0.35">
      <c r="A120" s="225" t="s">
        <v>9</v>
      </c>
      <c r="B120" s="192"/>
      <c r="C120" s="193" t="s">
        <v>355</v>
      </c>
      <c r="D120" s="194" t="s">
        <v>24</v>
      </c>
      <c r="E120" s="215" t="s">
        <v>988</v>
      </c>
      <c r="F120" s="82"/>
      <c r="G120" s="117"/>
      <c r="H120" s="117"/>
      <c r="I120" s="117"/>
      <c r="J120" s="117"/>
      <c r="K120" s="117"/>
      <c r="L120" s="117"/>
      <c r="M120" s="117"/>
      <c r="N120" s="117"/>
      <c r="O120" s="117"/>
      <c r="P120" s="117"/>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46"/>
      <c r="DZ120" s="146"/>
      <c r="EA120" s="146"/>
      <c r="EB120" s="146"/>
      <c r="EC120" s="146"/>
      <c r="ED120" s="146"/>
      <c r="EE120" s="146"/>
      <c r="EF120" s="146"/>
      <c r="EG120" s="146"/>
      <c r="EH120" s="146"/>
      <c r="EI120" s="146"/>
      <c r="EJ120" s="146"/>
      <c r="EK120" s="146"/>
      <c r="EL120" s="146"/>
      <c r="EM120" s="146"/>
      <c r="EN120" s="146"/>
      <c r="EO120" s="146"/>
      <c r="EP120" s="146"/>
      <c r="EQ120" s="146"/>
      <c r="ER120" s="146"/>
      <c r="ES120" s="146"/>
      <c r="ET120" s="146"/>
      <c r="EU120" s="146"/>
      <c r="EV120" s="146"/>
      <c r="EW120" s="146"/>
      <c r="EX120" s="146"/>
      <c r="EY120" s="146"/>
      <c r="EZ120" s="146"/>
      <c r="FA120" s="146"/>
      <c r="FB120" s="146"/>
      <c r="FC120" s="146"/>
      <c r="FD120" s="146"/>
      <c r="FE120" s="146"/>
      <c r="FF120" s="146"/>
      <c r="FG120" s="146"/>
      <c r="FH120" s="146"/>
      <c r="FI120" s="146"/>
      <c r="FJ120" s="146"/>
      <c r="FK120" s="146"/>
      <c r="FL120" s="146"/>
      <c r="FM120" s="146"/>
      <c r="FN120" s="146"/>
      <c r="FO120" s="146"/>
      <c r="FP120" s="146"/>
      <c r="FQ120" s="146"/>
      <c r="FR120" s="146"/>
      <c r="FS120" s="146"/>
      <c r="FT120" s="146"/>
      <c r="FU120" s="146"/>
      <c r="FV120" s="146"/>
      <c r="FW120" s="146"/>
      <c r="FX120" s="146"/>
      <c r="FY120" s="146"/>
      <c r="FZ120" s="146"/>
      <c r="GA120" s="146"/>
      <c r="GB120" s="146"/>
      <c r="GC120" s="146"/>
      <c r="GD120" s="146"/>
      <c r="GE120" s="146"/>
      <c r="GF120" s="146"/>
      <c r="GG120" s="146"/>
      <c r="GH120" s="146"/>
      <c r="GI120" s="146"/>
      <c r="GJ120" s="146"/>
    </row>
    <row r="121" spans="1:192" ht="102" outlineLevel="1" x14ac:dyDescent="0.35">
      <c r="A121" s="225" t="s">
        <v>9</v>
      </c>
      <c r="B121" s="192"/>
      <c r="C121" s="193" t="s">
        <v>356</v>
      </c>
      <c r="D121" s="194" t="s">
        <v>24</v>
      </c>
      <c r="E121" s="215" t="s">
        <v>989</v>
      </c>
      <c r="F121" s="82"/>
      <c r="G121" s="117"/>
      <c r="H121" s="117"/>
      <c r="I121" s="117"/>
      <c r="J121" s="117"/>
      <c r="K121" s="117"/>
      <c r="L121" s="117"/>
      <c r="M121" s="117"/>
      <c r="N121" s="117"/>
      <c r="O121" s="117"/>
      <c r="P121" s="117"/>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46"/>
      <c r="DZ121" s="146"/>
      <c r="EA121" s="146"/>
      <c r="EB121" s="146"/>
      <c r="EC121" s="146"/>
      <c r="ED121" s="146"/>
      <c r="EE121" s="146"/>
      <c r="EF121" s="146"/>
      <c r="EG121" s="146"/>
      <c r="EH121" s="146"/>
      <c r="EI121" s="146"/>
      <c r="EJ121" s="146"/>
      <c r="EK121" s="146"/>
      <c r="EL121" s="146"/>
      <c r="EM121" s="146"/>
      <c r="EN121" s="146"/>
      <c r="EO121" s="146"/>
      <c r="EP121" s="146"/>
      <c r="EQ121" s="146"/>
      <c r="ER121" s="146"/>
      <c r="ES121" s="146"/>
      <c r="ET121" s="146"/>
      <c r="EU121" s="146"/>
      <c r="EV121" s="146"/>
      <c r="EW121" s="146"/>
      <c r="EX121" s="146"/>
      <c r="EY121" s="146"/>
      <c r="EZ121" s="146"/>
      <c r="FA121" s="146"/>
      <c r="FB121" s="146"/>
      <c r="FC121" s="146"/>
      <c r="FD121" s="146"/>
      <c r="FE121" s="146"/>
      <c r="FF121" s="146"/>
      <c r="FG121" s="146"/>
      <c r="FH121" s="146"/>
      <c r="FI121" s="146"/>
      <c r="FJ121" s="146"/>
      <c r="FK121" s="146"/>
      <c r="FL121" s="146"/>
      <c r="FM121" s="146"/>
      <c r="FN121" s="146"/>
      <c r="FO121" s="146"/>
      <c r="FP121" s="146"/>
      <c r="FQ121" s="146"/>
      <c r="FR121" s="146"/>
      <c r="FS121" s="146"/>
      <c r="FT121" s="146"/>
      <c r="FU121" s="146"/>
      <c r="FV121" s="146"/>
      <c r="FW121" s="146"/>
      <c r="FX121" s="146"/>
      <c r="FY121" s="146"/>
      <c r="FZ121" s="146"/>
      <c r="GA121" s="146"/>
      <c r="GB121" s="146"/>
      <c r="GC121" s="146"/>
      <c r="GD121" s="146"/>
      <c r="GE121" s="146"/>
      <c r="GF121" s="146"/>
      <c r="GG121" s="146"/>
      <c r="GH121" s="146"/>
      <c r="GI121" s="146"/>
      <c r="GJ121" s="146"/>
    </row>
    <row r="122" spans="1:192" ht="72" outlineLevel="1" x14ac:dyDescent="0.35">
      <c r="A122" s="225" t="s">
        <v>9</v>
      </c>
      <c r="B122" s="192"/>
      <c r="C122" s="193" t="s">
        <v>357</v>
      </c>
      <c r="D122" s="194" t="s">
        <v>24</v>
      </c>
      <c r="E122" s="215" t="s">
        <v>990</v>
      </c>
      <c r="F122" s="82"/>
      <c r="G122" s="117"/>
      <c r="H122" s="117"/>
      <c r="I122" s="117"/>
      <c r="J122" s="117"/>
      <c r="K122" s="117"/>
      <c r="L122" s="117"/>
      <c r="M122" s="117"/>
      <c r="N122" s="117"/>
      <c r="O122" s="117"/>
      <c r="P122" s="117"/>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46"/>
      <c r="DZ122" s="146"/>
      <c r="EA122" s="146"/>
      <c r="EB122" s="146"/>
      <c r="EC122" s="146"/>
      <c r="ED122" s="146"/>
      <c r="EE122" s="146"/>
      <c r="EF122" s="146"/>
      <c r="EG122" s="146"/>
      <c r="EH122" s="146"/>
      <c r="EI122" s="146"/>
      <c r="EJ122" s="146"/>
      <c r="EK122" s="146"/>
      <c r="EL122" s="146"/>
      <c r="EM122" s="146"/>
      <c r="EN122" s="146"/>
      <c r="EO122" s="146"/>
      <c r="EP122" s="146"/>
      <c r="EQ122" s="146"/>
      <c r="ER122" s="146"/>
      <c r="ES122" s="146"/>
      <c r="ET122" s="146"/>
      <c r="EU122" s="146"/>
      <c r="EV122" s="146"/>
      <c r="EW122" s="146"/>
      <c r="EX122" s="146"/>
      <c r="EY122" s="146"/>
      <c r="EZ122" s="146"/>
      <c r="FA122" s="146"/>
      <c r="FB122" s="146"/>
      <c r="FC122" s="146"/>
      <c r="FD122" s="146"/>
      <c r="FE122" s="146"/>
      <c r="FF122" s="146"/>
      <c r="FG122" s="146"/>
      <c r="FH122" s="146"/>
      <c r="FI122" s="146"/>
      <c r="FJ122" s="146"/>
      <c r="FK122" s="146"/>
      <c r="FL122" s="146"/>
      <c r="FM122" s="146"/>
      <c r="FN122" s="146"/>
      <c r="FO122" s="146"/>
      <c r="FP122" s="146"/>
      <c r="FQ122" s="146"/>
      <c r="FR122" s="146"/>
      <c r="FS122" s="146"/>
      <c r="FT122" s="146"/>
      <c r="FU122" s="146"/>
      <c r="FV122" s="146"/>
      <c r="FW122" s="146"/>
      <c r="FX122" s="146"/>
      <c r="FY122" s="146"/>
      <c r="FZ122" s="146"/>
      <c r="GA122" s="146"/>
      <c r="GB122" s="146"/>
      <c r="GC122" s="146"/>
      <c r="GD122" s="146"/>
      <c r="GE122" s="146"/>
      <c r="GF122" s="146"/>
      <c r="GG122" s="146"/>
      <c r="GH122" s="146"/>
      <c r="GI122" s="146"/>
      <c r="GJ122" s="146"/>
    </row>
    <row r="123" spans="1:192" ht="113" outlineLevel="1" x14ac:dyDescent="0.35">
      <c r="A123" s="225" t="s">
        <v>9</v>
      </c>
      <c r="B123" s="192"/>
      <c r="C123" s="193" t="s">
        <v>718</v>
      </c>
      <c r="D123" s="194" t="s">
        <v>24</v>
      </c>
      <c r="E123" s="215" t="s">
        <v>991</v>
      </c>
      <c r="F123" s="82"/>
      <c r="G123" s="117"/>
      <c r="H123" s="117"/>
      <c r="I123" s="117"/>
      <c r="J123" s="117"/>
      <c r="K123" s="117"/>
      <c r="L123" s="117"/>
      <c r="M123" s="117"/>
      <c r="N123" s="117"/>
      <c r="O123" s="117"/>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46"/>
      <c r="DZ123" s="146"/>
      <c r="EA123" s="146"/>
      <c r="EB123" s="146"/>
      <c r="EC123" s="146"/>
      <c r="ED123" s="146"/>
      <c r="EE123" s="146"/>
      <c r="EF123" s="146"/>
      <c r="EG123" s="146"/>
      <c r="EH123" s="146"/>
      <c r="EI123" s="146"/>
      <c r="EJ123" s="146"/>
      <c r="EK123" s="146"/>
      <c r="EL123" s="146"/>
      <c r="EM123" s="146"/>
      <c r="EN123" s="146"/>
      <c r="EO123" s="146"/>
      <c r="EP123" s="146"/>
      <c r="EQ123" s="146"/>
      <c r="ER123" s="146"/>
      <c r="ES123" s="146"/>
      <c r="ET123" s="146"/>
      <c r="EU123" s="146"/>
      <c r="EV123" s="146"/>
      <c r="EW123" s="146"/>
      <c r="EX123" s="146"/>
      <c r="EY123" s="146"/>
      <c r="EZ123" s="146"/>
      <c r="FA123" s="146"/>
      <c r="FB123" s="146"/>
      <c r="FC123" s="146"/>
      <c r="FD123" s="146"/>
      <c r="FE123" s="146"/>
      <c r="FF123" s="146"/>
      <c r="FG123" s="146"/>
      <c r="FH123" s="146"/>
      <c r="FI123" s="146"/>
      <c r="FJ123" s="146"/>
      <c r="FK123" s="146"/>
      <c r="FL123" s="146"/>
      <c r="FM123" s="146"/>
      <c r="FN123" s="146"/>
      <c r="FO123" s="146"/>
      <c r="FP123" s="146"/>
      <c r="FQ123" s="146"/>
      <c r="FR123" s="146"/>
      <c r="FS123" s="146"/>
      <c r="FT123" s="146"/>
      <c r="FU123" s="146"/>
      <c r="FV123" s="146"/>
      <c r="FW123" s="146"/>
      <c r="FX123" s="146"/>
      <c r="FY123" s="146"/>
      <c r="FZ123" s="146"/>
      <c r="GA123" s="146"/>
      <c r="GB123" s="146"/>
      <c r="GC123" s="146"/>
      <c r="GD123" s="146"/>
      <c r="GE123" s="146"/>
      <c r="GF123" s="146"/>
      <c r="GG123" s="146"/>
      <c r="GH123" s="146"/>
      <c r="GI123" s="146"/>
      <c r="GJ123" s="146"/>
    </row>
    <row r="124" spans="1:192" ht="101" outlineLevel="1" x14ac:dyDescent="0.35">
      <c r="A124" s="225" t="s">
        <v>9</v>
      </c>
      <c r="B124" s="189" t="s">
        <v>992</v>
      </c>
      <c r="C124" s="190" t="s">
        <v>358</v>
      </c>
      <c r="D124" s="191" t="s">
        <v>24</v>
      </c>
      <c r="E124" s="217" t="s">
        <v>993</v>
      </c>
      <c r="F124" s="78"/>
      <c r="G124" s="117"/>
      <c r="H124" s="117"/>
      <c r="I124" s="117"/>
      <c r="J124" s="117"/>
      <c r="K124" s="117"/>
      <c r="L124" s="117"/>
      <c r="M124" s="117"/>
      <c r="N124" s="117"/>
      <c r="O124" s="117"/>
      <c r="P124" s="117"/>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46"/>
      <c r="DZ124" s="146"/>
      <c r="EA124" s="146"/>
      <c r="EB124" s="146"/>
      <c r="EC124" s="146"/>
      <c r="ED124" s="146"/>
      <c r="EE124" s="146"/>
      <c r="EF124" s="146"/>
      <c r="EG124" s="146"/>
      <c r="EH124" s="146"/>
      <c r="EI124" s="146"/>
      <c r="EJ124" s="146"/>
      <c r="EK124" s="146"/>
      <c r="EL124" s="146"/>
      <c r="EM124" s="146"/>
      <c r="EN124" s="146"/>
      <c r="EO124" s="146"/>
      <c r="EP124" s="146"/>
      <c r="EQ124" s="146"/>
      <c r="ER124" s="146"/>
      <c r="ES124" s="146"/>
      <c r="ET124" s="146"/>
      <c r="EU124" s="146"/>
      <c r="EV124" s="146"/>
      <c r="EW124" s="146"/>
      <c r="EX124" s="146"/>
      <c r="EY124" s="146"/>
      <c r="EZ124" s="146"/>
      <c r="FA124" s="146"/>
      <c r="FB124" s="146"/>
      <c r="FC124" s="146"/>
      <c r="FD124" s="146"/>
      <c r="FE124" s="146"/>
      <c r="FF124" s="146"/>
      <c r="FG124" s="146"/>
      <c r="FH124" s="146"/>
      <c r="FI124" s="146"/>
      <c r="FJ124" s="146"/>
      <c r="FK124" s="146"/>
      <c r="FL124" s="146"/>
      <c r="FM124" s="146"/>
      <c r="FN124" s="146"/>
      <c r="FO124" s="146"/>
      <c r="FP124" s="146"/>
      <c r="FQ124" s="146"/>
      <c r="FR124" s="146"/>
      <c r="FS124" s="146"/>
      <c r="FT124" s="146"/>
      <c r="FU124" s="146"/>
      <c r="FV124" s="146"/>
      <c r="FW124" s="146"/>
      <c r="FX124" s="146"/>
      <c r="FY124" s="146"/>
      <c r="FZ124" s="146"/>
      <c r="GA124" s="146"/>
      <c r="GB124" s="146"/>
      <c r="GC124" s="146"/>
      <c r="GD124" s="146"/>
      <c r="GE124" s="146"/>
      <c r="GF124" s="146"/>
      <c r="GG124" s="146"/>
      <c r="GH124" s="146"/>
      <c r="GI124" s="146"/>
      <c r="GJ124" s="146"/>
    </row>
    <row r="125" spans="1:192" ht="71" outlineLevel="1" x14ac:dyDescent="0.35">
      <c r="A125" s="226" t="s">
        <v>359</v>
      </c>
      <c r="B125" s="192" t="s">
        <v>994</v>
      </c>
      <c r="C125" s="193" t="s">
        <v>360</v>
      </c>
      <c r="D125" s="194" t="s">
        <v>24</v>
      </c>
      <c r="E125" s="209" t="s">
        <v>995</v>
      </c>
      <c r="F125" s="82"/>
      <c r="G125" s="117"/>
      <c r="H125" s="117"/>
      <c r="I125" s="117"/>
      <c r="J125" s="117"/>
      <c r="K125" s="117"/>
      <c r="L125" s="117"/>
      <c r="M125" s="117"/>
      <c r="N125" s="117"/>
      <c r="O125" s="117"/>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46"/>
      <c r="DZ125" s="146"/>
      <c r="EA125" s="146"/>
      <c r="EB125" s="146"/>
      <c r="EC125" s="146"/>
      <c r="ED125" s="146"/>
      <c r="EE125" s="146"/>
      <c r="EF125" s="146"/>
      <c r="EG125" s="146"/>
      <c r="EH125" s="146"/>
      <c r="EI125" s="146"/>
      <c r="EJ125" s="146"/>
      <c r="EK125" s="146"/>
      <c r="EL125" s="146"/>
      <c r="EM125" s="146"/>
      <c r="EN125" s="146"/>
      <c r="EO125" s="146"/>
      <c r="EP125" s="146"/>
      <c r="EQ125" s="146"/>
      <c r="ER125" s="146"/>
      <c r="ES125" s="146"/>
      <c r="ET125" s="146"/>
      <c r="EU125" s="146"/>
      <c r="EV125" s="146"/>
      <c r="EW125" s="146"/>
      <c r="EX125" s="146"/>
      <c r="EY125" s="146"/>
      <c r="EZ125" s="146"/>
      <c r="FA125" s="146"/>
      <c r="FB125" s="146"/>
      <c r="FC125" s="146"/>
      <c r="FD125" s="146"/>
      <c r="FE125" s="146"/>
      <c r="FF125" s="146"/>
      <c r="FG125" s="146"/>
      <c r="FH125" s="146"/>
      <c r="FI125" s="146"/>
      <c r="FJ125" s="146"/>
      <c r="FK125" s="146"/>
      <c r="FL125" s="146"/>
      <c r="FM125" s="146"/>
      <c r="FN125" s="146"/>
      <c r="FO125" s="146"/>
      <c r="FP125" s="146"/>
      <c r="FQ125" s="146"/>
      <c r="FR125" s="146"/>
      <c r="FS125" s="146"/>
      <c r="FT125" s="146"/>
      <c r="FU125" s="146"/>
      <c r="FV125" s="146"/>
      <c r="FW125" s="146"/>
      <c r="FX125" s="146"/>
      <c r="FY125" s="146"/>
      <c r="FZ125" s="146"/>
      <c r="GA125" s="146"/>
      <c r="GB125" s="146"/>
      <c r="GC125" s="146"/>
      <c r="GD125" s="146"/>
      <c r="GE125" s="146"/>
      <c r="GF125" s="146"/>
      <c r="GG125" s="146"/>
      <c r="GH125" s="146"/>
      <c r="GI125" s="146"/>
      <c r="GJ125" s="146"/>
    </row>
    <row r="126" spans="1:192" ht="71" x14ac:dyDescent="0.35">
      <c r="A126" s="226" t="s">
        <v>359</v>
      </c>
      <c r="B126" s="192"/>
      <c r="C126" s="193" t="s">
        <v>361</v>
      </c>
      <c r="D126" s="194" t="s">
        <v>24</v>
      </c>
      <c r="E126" s="209" t="s">
        <v>996</v>
      </c>
      <c r="F126" s="82"/>
      <c r="G126" s="117"/>
      <c r="H126" s="117"/>
      <c r="I126" s="117"/>
      <c r="J126" s="117"/>
      <c r="K126" s="117"/>
      <c r="L126" s="117"/>
      <c r="M126" s="117"/>
      <c r="N126" s="117"/>
      <c r="O126" s="117"/>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46"/>
      <c r="DZ126" s="146"/>
      <c r="EA126" s="146"/>
      <c r="EB126" s="146"/>
      <c r="EC126" s="146"/>
      <c r="ED126" s="146"/>
      <c r="EE126" s="146"/>
      <c r="EF126" s="146"/>
      <c r="EG126" s="146"/>
      <c r="EH126" s="146"/>
      <c r="EI126" s="146"/>
      <c r="EJ126" s="146"/>
      <c r="EK126" s="146"/>
      <c r="EL126" s="146"/>
      <c r="EM126" s="146"/>
      <c r="EN126" s="146"/>
      <c r="EO126" s="146"/>
      <c r="EP126" s="146"/>
      <c r="EQ126" s="146"/>
      <c r="ER126" s="146"/>
      <c r="ES126" s="146"/>
      <c r="ET126" s="146"/>
      <c r="EU126" s="146"/>
      <c r="EV126" s="146"/>
      <c r="EW126" s="146"/>
      <c r="EX126" s="146"/>
      <c r="EY126" s="146"/>
      <c r="EZ126" s="146"/>
      <c r="FA126" s="146"/>
      <c r="FB126" s="146"/>
      <c r="FC126" s="146"/>
      <c r="FD126" s="146"/>
      <c r="FE126" s="146"/>
      <c r="FF126" s="146"/>
      <c r="FG126" s="146"/>
      <c r="FH126" s="146"/>
      <c r="FI126" s="146"/>
      <c r="FJ126" s="146"/>
      <c r="FK126" s="146"/>
      <c r="FL126" s="146"/>
      <c r="FM126" s="146"/>
      <c r="FN126" s="146"/>
      <c r="FO126" s="146"/>
      <c r="FP126" s="146"/>
      <c r="FQ126" s="146"/>
      <c r="FR126" s="146"/>
      <c r="FS126" s="146"/>
      <c r="FT126" s="146"/>
      <c r="FU126" s="146"/>
      <c r="FV126" s="146"/>
      <c r="FW126" s="146"/>
      <c r="FX126" s="146"/>
      <c r="FY126" s="146"/>
      <c r="FZ126" s="146"/>
      <c r="GA126" s="146"/>
      <c r="GB126" s="146"/>
      <c r="GC126" s="146"/>
      <c r="GD126" s="146"/>
      <c r="GE126" s="146"/>
      <c r="GF126" s="146"/>
      <c r="GG126" s="146"/>
      <c r="GH126" s="146"/>
      <c r="GI126" s="146"/>
      <c r="GJ126" s="146"/>
    </row>
    <row r="127" spans="1:192" ht="71" outlineLevel="1" x14ac:dyDescent="0.35">
      <c r="A127" s="226" t="s">
        <v>359</v>
      </c>
      <c r="B127" s="192"/>
      <c r="C127" s="193" t="s">
        <v>362</v>
      </c>
      <c r="D127" s="194" t="s">
        <v>24</v>
      </c>
      <c r="E127" s="209" t="s">
        <v>997</v>
      </c>
      <c r="F127" s="82"/>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46"/>
      <c r="DZ127" s="146"/>
      <c r="EA127" s="146"/>
      <c r="EB127" s="146"/>
      <c r="EC127" s="146"/>
      <c r="ED127" s="146"/>
      <c r="EE127" s="146"/>
      <c r="EF127" s="146"/>
      <c r="EG127" s="146"/>
      <c r="EH127" s="146"/>
      <c r="EI127" s="146"/>
      <c r="EJ127" s="146"/>
      <c r="EK127" s="146"/>
      <c r="EL127" s="146"/>
      <c r="EM127" s="146"/>
      <c r="EN127" s="146"/>
      <c r="EO127" s="146"/>
      <c r="EP127" s="146"/>
      <c r="EQ127" s="146"/>
      <c r="ER127" s="146"/>
      <c r="ES127" s="146"/>
      <c r="ET127" s="146"/>
      <c r="EU127" s="146"/>
      <c r="EV127" s="146"/>
      <c r="EW127" s="146"/>
      <c r="EX127" s="146"/>
      <c r="EY127" s="146"/>
      <c r="EZ127" s="146"/>
      <c r="FA127" s="146"/>
      <c r="FB127" s="146"/>
      <c r="FC127" s="146"/>
      <c r="FD127" s="146"/>
      <c r="FE127" s="146"/>
      <c r="FF127" s="146"/>
      <c r="FG127" s="146"/>
      <c r="FH127" s="146"/>
      <c r="FI127" s="146"/>
      <c r="FJ127" s="146"/>
      <c r="FK127" s="146"/>
      <c r="FL127" s="146"/>
      <c r="FM127" s="146"/>
      <c r="FN127" s="146"/>
      <c r="FO127" s="146"/>
      <c r="FP127" s="146"/>
      <c r="FQ127" s="146"/>
      <c r="FR127" s="146"/>
      <c r="FS127" s="146"/>
      <c r="FT127" s="146"/>
      <c r="FU127" s="146"/>
      <c r="FV127" s="146"/>
      <c r="FW127" s="146"/>
      <c r="FX127" s="146"/>
      <c r="FY127" s="146"/>
      <c r="FZ127" s="146"/>
      <c r="GA127" s="146"/>
      <c r="GB127" s="146"/>
      <c r="GC127" s="146"/>
      <c r="GD127" s="146"/>
      <c r="GE127" s="146"/>
      <c r="GF127" s="146"/>
      <c r="GG127" s="146"/>
      <c r="GH127" s="146"/>
      <c r="GI127" s="146"/>
      <c r="GJ127" s="146"/>
    </row>
    <row r="128" spans="1:192" ht="71" outlineLevel="1" x14ac:dyDescent="0.35">
      <c r="A128" s="226" t="s">
        <v>359</v>
      </c>
      <c r="B128" s="192"/>
      <c r="C128" s="193" t="s">
        <v>719</v>
      </c>
      <c r="D128" s="194" t="s">
        <v>24</v>
      </c>
      <c r="E128" s="209" t="s">
        <v>998</v>
      </c>
      <c r="F128" s="82"/>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46"/>
      <c r="DZ128" s="146"/>
      <c r="EA128" s="146"/>
      <c r="EB128" s="146"/>
      <c r="EC128" s="146"/>
      <c r="ED128" s="146"/>
      <c r="EE128" s="146"/>
      <c r="EF128" s="146"/>
      <c r="EG128" s="146"/>
      <c r="EH128" s="146"/>
      <c r="EI128" s="146"/>
      <c r="EJ128" s="146"/>
      <c r="EK128" s="146"/>
      <c r="EL128" s="146"/>
      <c r="EM128" s="146"/>
      <c r="EN128" s="146"/>
      <c r="EO128" s="146"/>
      <c r="EP128" s="146"/>
      <c r="EQ128" s="146"/>
      <c r="ER128" s="146"/>
      <c r="ES128" s="146"/>
      <c r="ET128" s="146"/>
      <c r="EU128" s="146"/>
      <c r="EV128" s="146"/>
      <c r="EW128" s="146"/>
      <c r="EX128" s="146"/>
      <c r="EY128" s="146"/>
      <c r="EZ128" s="146"/>
      <c r="FA128" s="146"/>
      <c r="FB128" s="146"/>
      <c r="FC128" s="146"/>
      <c r="FD128" s="146"/>
      <c r="FE128" s="146"/>
      <c r="FF128" s="146"/>
      <c r="FG128" s="146"/>
      <c r="FH128" s="146"/>
      <c r="FI128" s="146"/>
      <c r="FJ128" s="146"/>
      <c r="FK128" s="146"/>
      <c r="FL128" s="146"/>
      <c r="FM128" s="146"/>
      <c r="FN128" s="146"/>
      <c r="FO128" s="146"/>
      <c r="FP128" s="146"/>
      <c r="FQ128" s="146"/>
      <c r="FR128" s="146"/>
      <c r="FS128" s="146"/>
      <c r="FT128" s="146"/>
      <c r="FU128" s="146"/>
      <c r="FV128" s="146"/>
      <c r="FW128" s="146"/>
      <c r="FX128" s="146"/>
      <c r="FY128" s="146"/>
      <c r="FZ128" s="146"/>
      <c r="GA128" s="146"/>
      <c r="GB128" s="146"/>
      <c r="GC128" s="146"/>
      <c r="GD128" s="146"/>
      <c r="GE128" s="146"/>
      <c r="GF128" s="146"/>
      <c r="GG128" s="146"/>
      <c r="GH128" s="146"/>
      <c r="GI128" s="146"/>
      <c r="GJ128" s="146"/>
    </row>
    <row r="129" spans="1:192" ht="42" outlineLevel="1" x14ac:dyDescent="0.35">
      <c r="A129" s="226" t="s">
        <v>359</v>
      </c>
      <c r="B129" s="192"/>
      <c r="C129" s="193" t="s">
        <v>720</v>
      </c>
      <c r="D129" s="194" t="s">
        <v>24</v>
      </c>
      <c r="E129" s="209" t="s">
        <v>999</v>
      </c>
      <c r="F129" s="82"/>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46"/>
      <c r="FB129" s="146"/>
      <c r="FC129" s="146"/>
      <c r="FD129" s="146"/>
      <c r="FE129" s="146"/>
      <c r="FF129" s="146"/>
      <c r="FG129" s="146"/>
      <c r="FH129" s="146"/>
      <c r="FI129" s="146"/>
      <c r="FJ129" s="146"/>
      <c r="FK129" s="146"/>
      <c r="FL129" s="146"/>
      <c r="FM129" s="146"/>
      <c r="FN129" s="146"/>
      <c r="FO129" s="146"/>
      <c r="FP129" s="146"/>
      <c r="FQ129" s="146"/>
      <c r="FR129" s="146"/>
      <c r="FS129" s="146"/>
      <c r="FT129" s="146"/>
      <c r="FU129" s="146"/>
      <c r="FV129" s="146"/>
      <c r="FW129" s="146"/>
      <c r="FX129" s="146"/>
      <c r="FY129" s="146"/>
      <c r="FZ129" s="146"/>
      <c r="GA129" s="146"/>
      <c r="GB129" s="146"/>
      <c r="GC129" s="146"/>
      <c r="GD129" s="146"/>
      <c r="GE129" s="146"/>
      <c r="GF129" s="146"/>
      <c r="GG129" s="146"/>
      <c r="GH129" s="146"/>
      <c r="GI129" s="146"/>
      <c r="GJ129" s="146"/>
    </row>
    <row r="130" spans="1:192" ht="31.5" outlineLevel="1" x14ac:dyDescent="0.35">
      <c r="A130" s="226" t="s">
        <v>359</v>
      </c>
      <c r="B130" s="189" t="s">
        <v>1000</v>
      </c>
      <c r="C130" s="190" t="s">
        <v>363</v>
      </c>
      <c r="D130" s="191" t="s">
        <v>24</v>
      </c>
      <c r="E130" s="219" t="s">
        <v>721</v>
      </c>
      <c r="F130" s="78"/>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46"/>
      <c r="FB130" s="146"/>
      <c r="FC130" s="146"/>
      <c r="FD130" s="146"/>
      <c r="FE130" s="146"/>
      <c r="FF130" s="146"/>
      <c r="FG130" s="146"/>
      <c r="FH130" s="146"/>
      <c r="FI130" s="146"/>
      <c r="FJ130" s="146"/>
      <c r="FK130" s="146"/>
      <c r="FL130" s="146"/>
      <c r="FM130" s="146"/>
      <c r="FN130" s="146"/>
      <c r="FO130" s="146"/>
      <c r="FP130" s="146"/>
      <c r="FQ130" s="146"/>
      <c r="FR130" s="146"/>
      <c r="FS130" s="146"/>
      <c r="FT130" s="146"/>
      <c r="FU130" s="146"/>
      <c r="FV130" s="146"/>
      <c r="FW130" s="146"/>
      <c r="FX130" s="146"/>
      <c r="FY130" s="146"/>
      <c r="FZ130" s="146"/>
      <c r="GA130" s="146"/>
      <c r="GB130" s="146"/>
      <c r="GC130" s="146"/>
      <c r="GD130" s="146"/>
      <c r="GE130" s="146"/>
      <c r="GF130" s="146"/>
      <c r="GG130" s="146"/>
      <c r="GH130" s="146"/>
      <c r="GI130" s="146"/>
      <c r="GJ130" s="146"/>
    </row>
    <row r="131" spans="1:192" ht="121.5" outlineLevel="1" x14ac:dyDescent="0.35">
      <c r="A131" s="225" t="s">
        <v>8</v>
      </c>
      <c r="B131" s="192" t="s">
        <v>1001</v>
      </c>
      <c r="C131" s="193" t="s">
        <v>364</v>
      </c>
      <c r="D131" s="194" t="s">
        <v>24</v>
      </c>
      <c r="E131" s="220" t="s">
        <v>1002</v>
      </c>
      <c r="F131" s="82"/>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46"/>
      <c r="DZ131" s="146"/>
      <c r="EA131" s="146"/>
      <c r="EB131" s="146"/>
      <c r="EC131" s="146"/>
      <c r="ED131" s="146"/>
      <c r="EE131" s="146"/>
      <c r="EF131" s="146"/>
      <c r="EG131" s="146"/>
      <c r="EH131" s="146"/>
      <c r="EI131" s="146"/>
      <c r="EJ131" s="146"/>
      <c r="EK131" s="146"/>
      <c r="EL131" s="146"/>
      <c r="EM131" s="146"/>
      <c r="EN131" s="146"/>
      <c r="EO131" s="146"/>
      <c r="EP131" s="146"/>
      <c r="EQ131" s="146"/>
      <c r="ER131" s="146"/>
      <c r="ES131" s="146"/>
      <c r="ET131" s="146"/>
      <c r="EU131" s="146"/>
      <c r="EV131" s="146"/>
      <c r="EW131" s="146"/>
      <c r="EX131" s="146"/>
      <c r="EY131" s="146"/>
      <c r="EZ131" s="146"/>
      <c r="FA131" s="146"/>
      <c r="FB131" s="146"/>
      <c r="FC131" s="146"/>
      <c r="FD131" s="146"/>
      <c r="FE131" s="146"/>
      <c r="FF131" s="146"/>
      <c r="FG131" s="146"/>
      <c r="FH131" s="146"/>
      <c r="FI131" s="146"/>
      <c r="FJ131" s="146"/>
      <c r="FK131" s="146"/>
      <c r="FL131" s="146"/>
      <c r="FM131" s="146"/>
      <c r="FN131" s="146"/>
      <c r="FO131" s="146"/>
      <c r="FP131" s="146"/>
      <c r="FQ131" s="146"/>
      <c r="FR131" s="146"/>
      <c r="FS131" s="146"/>
      <c r="FT131" s="146"/>
      <c r="FU131" s="146"/>
      <c r="FV131" s="146"/>
      <c r="FW131" s="146"/>
      <c r="FX131" s="146"/>
      <c r="FY131" s="146"/>
      <c r="FZ131" s="146"/>
      <c r="GA131" s="146"/>
      <c r="GB131" s="146"/>
      <c r="GC131" s="146"/>
      <c r="GD131" s="146"/>
      <c r="GE131" s="146"/>
      <c r="GF131" s="146"/>
      <c r="GG131" s="146"/>
      <c r="GH131" s="146"/>
      <c r="GI131" s="146"/>
      <c r="GJ131" s="146"/>
    </row>
    <row r="132" spans="1:192" ht="71.5" outlineLevel="1" x14ac:dyDescent="0.35">
      <c r="A132" s="225" t="s">
        <v>8</v>
      </c>
      <c r="B132" s="192"/>
      <c r="C132" s="193" t="s">
        <v>365</v>
      </c>
      <c r="D132" s="194" t="s">
        <v>24</v>
      </c>
      <c r="E132" s="215" t="s">
        <v>1003</v>
      </c>
      <c r="F132" s="82"/>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46"/>
      <c r="FB132" s="146"/>
      <c r="FC132" s="146"/>
      <c r="FD132" s="146"/>
      <c r="FE132" s="146"/>
      <c r="FF132" s="146"/>
      <c r="FG132" s="146"/>
      <c r="FH132" s="146"/>
      <c r="FI132" s="146"/>
      <c r="FJ132" s="146"/>
      <c r="FK132" s="146"/>
      <c r="FL132" s="146"/>
      <c r="FM132" s="146"/>
      <c r="FN132" s="146"/>
      <c r="FO132" s="146"/>
      <c r="FP132" s="146"/>
      <c r="FQ132" s="146"/>
      <c r="FR132" s="146"/>
      <c r="FS132" s="146"/>
      <c r="FT132" s="146"/>
      <c r="FU132" s="146"/>
      <c r="FV132" s="146"/>
      <c r="FW132" s="146"/>
      <c r="FX132" s="146"/>
      <c r="FY132" s="146"/>
      <c r="FZ132" s="146"/>
      <c r="GA132" s="146"/>
      <c r="GB132" s="146"/>
      <c r="GC132" s="146"/>
      <c r="GD132" s="146"/>
      <c r="GE132" s="146"/>
      <c r="GF132" s="146"/>
      <c r="GG132" s="146"/>
      <c r="GH132" s="146"/>
      <c r="GI132" s="146"/>
      <c r="GJ132" s="146"/>
    </row>
    <row r="133" spans="1:192" ht="71.5" outlineLevel="1" x14ac:dyDescent="0.35">
      <c r="A133" s="225" t="s">
        <v>8</v>
      </c>
      <c r="B133" s="192"/>
      <c r="C133" s="193" t="s">
        <v>366</v>
      </c>
      <c r="D133" s="194" t="s">
        <v>24</v>
      </c>
      <c r="E133" s="218" t="s">
        <v>1004</v>
      </c>
      <c r="F133" s="82"/>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46"/>
      <c r="DZ133" s="146"/>
      <c r="EA133" s="146"/>
      <c r="EB133" s="146"/>
      <c r="EC133" s="146"/>
      <c r="ED133" s="146"/>
      <c r="EE133" s="146"/>
      <c r="EF133" s="146"/>
      <c r="EG133" s="146"/>
      <c r="EH133" s="146"/>
      <c r="EI133" s="146"/>
      <c r="EJ133" s="146"/>
      <c r="EK133" s="146"/>
      <c r="EL133" s="146"/>
      <c r="EM133" s="146"/>
      <c r="EN133" s="146"/>
      <c r="EO133" s="146"/>
      <c r="EP133" s="146"/>
      <c r="EQ133" s="146"/>
      <c r="ER133" s="146"/>
      <c r="ES133" s="146"/>
      <c r="ET133" s="146"/>
      <c r="EU133" s="146"/>
      <c r="EV133" s="146"/>
      <c r="EW133" s="146"/>
      <c r="EX133" s="146"/>
      <c r="EY133" s="146"/>
      <c r="EZ133" s="146"/>
      <c r="FA133" s="146"/>
      <c r="FB133" s="146"/>
      <c r="FC133" s="146"/>
      <c r="FD133" s="146"/>
      <c r="FE133" s="146"/>
      <c r="FF133" s="146"/>
      <c r="FG133" s="146"/>
      <c r="FH133" s="146"/>
      <c r="FI133" s="146"/>
      <c r="FJ133" s="146"/>
      <c r="FK133" s="146"/>
      <c r="FL133" s="146"/>
      <c r="FM133" s="146"/>
      <c r="FN133" s="146"/>
      <c r="FO133" s="146"/>
      <c r="FP133" s="146"/>
      <c r="FQ133" s="146"/>
      <c r="FR133" s="146"/>
      <c r="FS133" s="146"/>
      <c r="FT133" s="146"/>
      <c r="FU133" s="146"/>
      <c r="FV133" s="146"/>
      <c r="FW133" s="146"/>
      <c r="FX133" s="146"/>
      <c r="FY133" s="146"/>
      <c r="FZ133" s="146"/>
      <c r="GA133" s="146"/>
      <c r="GB133" s="146"/>
      <c r="GC133" s="146"/>
      <c r="GD133" s="146"/>
      <c r="GE133" s="146"/>
      <c r="GF133" s="146"/>
      <c r="GG133" s="146"/>
      <c r="GH133" s="146"/>
      <c r="GI133" s="146"/>
      <c r="GJ133" s="146"/>
    </row>
    <row r="134" spans="1:192" ht="171.5" outlineLevel="1" x14ac:dyDescent="0.35">
      <c r="A134" s="225" t="s">
        <v>8</v>
      </c>
      <c r="B134" s="189" t="s">
        <v>1005</v>
      </c>
      <c r="C134" s="190" t="s">
        <v>367</v>
      </c>
      <c r="D134" s="191" t="s">
        <v>24</v>
      </c>
      <c r="E134" s="217" t="s">
        <v>1006</v>
      </c>
      <c r="F134" s="78"/>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46"/>
      <c r="DZ134" s="146"/>
      <c r="EA134" s="146"/>
      <c r="EB134" s="146"/>
      <c r="EC134" s="146"/>
      <c r="ED134" s="146"/>
      <c r="EE134" s="146"/>
      <c r="EF134" s="146"/>
      <c r="EG134" s="146"/>
      <c r="EH134" s="146"/>
      <c r="EI134" s="146"/>
      <c r="EJ134" s="146"/>
      <c r="EK134" s="146"/>
      <c r="EL134" s="146"/>
      <c r="EM134" s="146"/>
      <c r="EN134" s="146"/>
      <c r="EO134" s="146"/>
      <c r="EP134" s="146"/>
      <c r="EQ134" s="146"/>
      <c r="ER134" s="146"/>
      <c r="ES134" s="146"/>
      <c r="ET134" s="146"/>
      <c r="EU134" s="146"/>
      <c r="EV134" s="146"/>
      <c r="EW134" s="146"/>
      <c r="EX134" s="146"/>
      <c r="EY134" s="146"/>
      <c r="EZ134" s="146"/>
      <c r="FA134" s="146"/>
      <c r="FB134" s="146"/>
      <c r="FC134" s="146"/>
      <c r="FD134" s="146"/>
      <c r="FE134" s="146"/>
      <c r="FF134" s="146"/>
      <c r="FG134" s="146"/>
      <c r="FH134" s="146"/>
      <c r="FI134" s="146"/>
      <c r="FJ134" s="146"/>
      <c r="FK134" s="146"/>
      <c r="FL134" s="146"/>
      <c r="FM134" s="146"/>
      <c r="FN134" s="146"/>
      <c r="FO134" s="146"/>
      <c r="FP134" s="146"/>
      <c r="FQ134" s="146"/>
      <c r="FR134" s="146"/>
      <c r="FS134" s="146"/>
      <c r="FT134" s="146"/>
      <c r="FU134" s="146"/>
      <c r="FV134" s="146"/>
      <c r="FW134" s="146"/>
      <c r="FX134" s="146"/>
      <c r="FY134" s="146"/>
      <c r="FZ134" s="146"/>
      <c r="GA134" s="146"/>
      <c r="GB134" s="146"/>
      <c r="GC134" s="146"/>
      <c r="GD134" s="146"/>
      <c r="GE134" s="146"/>
      <c r="GF134" s="146"/>
      <c r="GG134" s="146"/>
      <c r="GH134" s="146"/>
      <c r="GI134" s="146"/>
      <c r="GJ134" s="146"/>
    </row>
    <row r="135" spans="1:192" ht="72" outlineLevel="1" x14ac:dyDescent="0.35">
      <c r="A135" s="225" t="s">
        <v>8</v>
      </c>
      <c r="B135" s="189"/>
      <c r="C135" s="190" t="s">
        <v>368</v>
      </c>
      <c r="D135" s="191" t="s">
        <v>24</v>
      </c>
      <c r="E135" s="217" t="s">
        <v>1007</v>
      </c>
      <c r="F135" s="78"/>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46"/>
      <c r="DZ135" s="146"/>
      <c r="EA135" s="146"/>
      <c r="EB135" s="146"/>
      <c r="EC135" s="146"/>
      <c r="ED135" s="146"/>
      <c r="EE135" s="146"/>
      <c r="EF135" s="146"/>
      <c r="EG135" s="146"/>
      <c r="EH135" s="146"/>
      <c r="EI135" s="146"/>
      <c r="EJ135" s="146"/>
      <c r="EK135" s="146"/>
      <c r="EL135" s="146"/>
      <c r="EM135" s="146"/>
      <c r="EN135" s="146"/>
      <c r="EO135" s="146"/>
      <c r="EP135" s="146"/>
      <c r="EQ135" s="146"/>
      <c r="ER135" s="146"/>
      <c r="ES135" s="146"/>
      <c r="ET135" s="146"/>
      <c r="EU135" s="146"/>
      <c r="EV135" s="146"/>
      <c r="EW135" s="146"/>
      <c r="EX135" s="146"/>
      <c r="EY135" s="146"/>
      <c r="EZ135" s="146"/>
      <c r="FA135" s="146"/>
      <c r="FB135" s="146"/>
      <c r="FC135" s="146"/>
      <c r="FD135" s="146"/>
      <c r="FE135" s="146"/>
      <c r="FF135" s="146"/>
      <c r="FG135" s="146"/>
      <c r="FH135" s="146"/>
      <c r="FI135" s="146"/>
      <c r="FJ135" s="146"/>
      <c r="FK135" s="146"/>
      <c r="FL135" s="146"/>
      <c r="FM135" s="146"/>
      <c r="FN135" s="146"/>
      <c r="FO135" s="146"/>
      <c r="FP135" s="146"/>
      <c r="FQ135" s="146"/>
      <c r="FR135" s="146"/>
      <c r="FS135" s="146"/>
      <c r="FT135" s="146"/>
      <c r="FU135" s="146"/>
      <c r="FV135" s="146"/>
      <c r="FW135" s="146"/>
      <c r="FX135" s="146"/>
      <c r="FY135" s="146"/>
      <c r="FZ135" s="146"/>
      <c r="GA135" s="146"/>
      <c r="GB135" s="146"/>
      <c r="GC135" s="146"/>
      <c r="GD135" s="146"/>
      <c r="GE135" s="146"/>
      <c r="GF135" s="146"/>
      <c r="GG135" s="146"/>
      <c r="GH135" s="146"/>
      <c r="GI135" s="146"/>
      <c r="GJ135" s="146"/>
    </row>
    <row r="136" spans="1:192" ht="92" outlineLevel="1" x14ac:dyDescent="0.35">
      <c r="A136" s="225" t="s">
        <v>8</v>
      </c>
      <c r="B136" s="192" t="s">
        <v>1008</v>
      </c>
      <c r="C136" s="193" t="s">
        <v>369</v>
      </c>
      <c r="D136" s="194" t="s">
        <v>24</v>
      </c>
      <c r="E136" s="195" t="s">
        <v>1009</v>
      </c>
      <c r="F136" s="82"/>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46"/>
      <c r="DZ136" s="146"/>
      <c r="EA136" s="146"/>
      <c r="EB136" s="146"/>
      <c r="EC136" s="146"/>
      <c r="ED136" s="146"/>
      <c r="EE136" s="146"/>
      <c r="EF136" s="146"/>
      <c r="EG136" s="146"/>
      <c r="EH136" s="146"/>
      <c r="EI136" s="146"/>
      <c r="EJ136" s="146"/>
      <c r="EK136" s="146"/>
      <c r="EL136" s="146"/>
      <c r="EM136" s="146"/>
      <c r="EN136" s="146"/>
      <c r="EO136" s="146"/>
      <c r="EP136" s="146"/>
      <c r="EQ136" s="146"/>
      <c r="ER136" s="146"/>
      <c r="ES136" s="146"/>
      <c r="ET136" s="146"/>
      <c r="EU136" s="146"/>
      <c r="EV136" s="146"/>
      <c r="EW136" s="146"/>
      <c r="EX136" s="146"/>
      <c r="EY136" s="146"/>
      <c r="EZ136" s="146"/>
      <c r="FA136" s="146"/>
      <c r="FB136" s="146"/>
      <c r="FC136" s="146"/>
      <c r="FD136" s="146"/>
      <c r="FE136" s="146"/>
      <c r="FF136" s="146"/>
      <c r="FG136" s="146"/>
      <c r="FH136" s="146"/>
      <c r="FI136" s="146"/>
      <c r="FJ136" s="146"/>
      <c r="FK136" s="146"/>
      <c r="FL136" s="146"/>
      <c r="FM136" s="146"/>
      <c r="FN136" s="146"/>
      <c r="FO136" s="146"/>
      <c r="FP136" s="146"/>
      <c r="FQ136" s="146"/>
      <c r="FR136" s="146"/>
      <c r="FS136" s="146"/>
      <c r="FT136" s="146"/>
      <c r="FU136" s="146"/>
      <c r="FV136" s="146"/>
      <c r="FW136" s="146"/>
      <c r="FX136" s="146"/>
      <c r="FY136" s="146"/>
      <c r="FZ136" s="146"/>
      <c r="GA136" s="146"/>
      <c r="GB136" s="146"/>
      <c r="GC136" s="146"/>
      <c r="GD136" s="146"/>
      <c r="GE136" s="146"/>
      <c r="GF136" s="146"/>
      <c r="GG136" s="146"/>
      <c r="GH136" s="146"/>
      <c r="GI136" s="146"/>
      <c r="GJ136" s="146"/>
    </row>
    <row r="137" spans="1:192" ht="31.5" outlineLevel="1" x14ac:dyDescent="0.35">
      <c r="A137" s="225" t="s">
        <v>8</v>
      </c>
      <c r="B137" s="192"/>
      <c r="C137" s="193" t="s">
        <v>371</v>
      </c>
      <c r="D137" s="194" t="s">
        <v>24</v>
      </c>
      <c r="E137" s="209" t="s">
        <v>370</v>
      </c>
      <c r="F137" s="82"/>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46"/>
      <c r="FB137" s="146"/>
      <c r="FC137" s="146"/>
      <c r="FD137" s="146"/>
      <c r="FE137" s="146"/>
      <c r="FF137" s="146"/>
      <c r="FG137" s="146"/>
      <c r="FH137" s="146"/>
      <c r="FI137" s="146"/>
      <c r="FJ137" s="146"/>
      <c r="FK137" s="146"/>
      <c r="FL137" s="146"/>
      <c r="FM137" s="146"/>
      <c r="FN137" s="146"/>
      <c r="FO137" s="146"/>
      <c r="FP137" s="146"/>
      <c r="FQ137" s="146"/>
      <c r="FR137" s="146"/>
      <c r="FS137" s="146"/>
      <c r="FT137" s="146"/>
      <c r="FU137" s="146"/>
      <c r="FV137" s="146"/>
      <c r="FW137" s="146"/>
      <c r="FX137" s="146"/>
      <c r="FY137" s="146"/>
      <c r="FZ137" s="146"/>
      <c r="GA137" s="146"/>
      <c r="GB137" s="146"/>
      <c r="GC137" s="146"/>
      <c r="GD137" s="146"/>
      <c r="GE137" s="146"/>
      <c r="GF137" s="146"/>
      <c r="GG137" s="146"/>
      <c r="GH137" s="146"/>
      <c r="GI137" s="146"/>
      <c r="GJ137" s="146"/>
    </row>
    <row r="138" spans="1:192" ht="101.5" outlineLevel="1" x14ac:dyDescent="0.35">
      <c r="A138" s="225" t="s">
        <v>8</v>
      </c>
      <c r="B138" s="189" t="s">
        <v>1010</v>
      </c>
      <c r="C138" s="190" t="s">
        <v>372</v>
      </c>
      <c r="D138" s="191" t="s">
        <v>24</v>
      </c>
      <c r="E138" s="217" t="s">
        <v>1011</v>
      </c>
      <c r="F138" s="78"/>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46"/>
      <c r="DZ138" s="146"/>
      <c r="EA138" s="146"/>
      <c r="EB138" s="146"/>
      <c r="EC138" s="146"/>
      <c r="ED138" s="146"/>
      <c r="EE138" s="146"/>
      <c r="EF138" s="146"/>
      <c r="EG138" s="146"/>
      <c r="EH138" s="146"/>
      <c r="EI138" s="146"/>
      <c r="EJ138" s="146"/>
      <c r="EK138" s="146"/>
      <c r="EL138" s="146"/>
      <c r="EM138" s="146"/>
      <c r="EN138" s="146"/>
      <c r="EO138" s="146"/>
      <c r="EP138" s="146"/>
      <c r="EQ138" s="146"/>
      <c r="ER138" s="146"/>
      <c r="ES138" s="146"/>
      <c r="ET138" s="146"/>
      <c r="EU138" s="146"/>
      <c r="EV138" s="146"/>
      <c r="EW138" s="146"/>
      <c r="EX138" s="146"/>
      <c r="EY138" s="146"/>
      <c r="EZ138" s="146"/>
      <c r="FA138" s="146"/>
      <c r="FB138" s="146"/>
      <c r="FC138" s="146"/>
      <c r="FD138" s="146"/>
      <c r="FE138" s="146"/>
      <c r="FF138" s="146"/>
      <c r="FG138" s="146"/>
      <c r="FH138" s="146"/>
      <c r="FI138" s="146"/>
      <c r="FJ138" s="146"/>
      <c r="FK138" s="146"/>
      <c r="FL138" s="146"/>
      <c r="FM138" s="146"/>
      <c r="FN138" s="146"/>
      <c r="FO138" s="146"/>
      <c r="FP138" s="146"/>
      <c r="FQ138" s="146"/>
      <c r="FR138" s="146"/>
      <c r="FS138" s="146"/>
      <c r="FT138" s="146"/>
      <c r="FU138" s="146"/>
      <c r="FV138" s="146"/>
      <c r="FW138" s="146"/>
      <c r="FX138" s="146"/>
      <c r="FY138" s="146"/>
      <c r="FZ138" s="146"/>
      <c r="GA138" s="146"/>
      <c r="GB138" s="146"/>
      <c r="GC138" s="146"/>
      <c r="GD138" s="146"/>
      <c r="GE138" s="146"/>
      <c r="GF138" s="146"/>
      <c r="GG138" s="146"/>
      <c r="GH138" s="146"/>
      <c r="GI138" s="146"/>
      <c r="GJ138" s="146"/>
    </row>
    <row r="139" spans="1:192" ht="42" outlineLevel="1" x14ac:dyDescent="0.35">
      <c r="A139" s="225" t="s">
        <v>8</v>
      </c>
      <c r="B139" s="192" t="s">
        <v>1012</v>
      </c>
      <c r="C139" s="193" t="s">
        <v>373</v>
      </c>
      <c r="D139" s="194" t="s">
        <v>25</v>
      </c>
      <c r="E139" s="215" t="s">
        <v>1013</v>
      </c>
      <c r="F139" s="82"/>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46"/>
      <c r="EP139" s="146"/>
      <c r="EQ139" s="146"/>
      <c r="ER139" s="146"/>
      <c r="ES139" s="146"/>
      <c r="ET139" s="146"/>
      <c r="EU139" s="146"/>
      <c r="EV139" s="146"/>
      <c r="EW139" s="146"/>
      <c r="EX139" s="146"/>
      <c r="EY139" s="146"/>
      <c r="EZ139" s="146"/>
      <c r="FA139" s="146"/>
      <c r="FB139" s="146"/>
      <c r="FC139" s="146"/>
      <c r="FD139" s="146"/>
      <c r="FE139" s="146"/>
      <c r="FF139" s="146"/>
      <c r="FG139" s="146"/>
      <c r="FH139" s="146"/>
      <c r="FI139" s="146"/>
      <c r="FJ139" s="146"/>
      <c r="FK139" s="146"/>
      <c r="FL139" s="146"/>
      <c r="FM139" s="146"/>
      <c r="FN139" s="146"/>
      <c r="FO139" s="146"/>
      <c r="FP139" s="146"/>
      <c r="FQ139" s="146"/>
      <c r="FR139" s="146"/>
      <c r="FS139" s="146"/>
      <c r="FT139" s="146"/>
      <c r="FU139" s="146"/>
      <c r="FV139" s="146"/>
      <c r="FW139" s="146"/>
      <c r="FX139" s="146"/>
      <c r="FY139" s="146"/>
      <c r="FZ139" s="146"/>
      <c r="GA139" s="146"/>
      <c r="GB139" s="146"/>
      <c r="GC139" s="146"/>
      <c r="GD139" s="146"/>
      <c r="GE139" s="146"/>
      <c r="GF139" s="146"/>
      <c r="GG139" s="146"/>
      <c r="GH139" s="146"/>
      <c r="GI139" s="146"/>
      <c r="GJ139" s="146"/>
    </row>
    <row r="140" spans="1:192" ht="42" outlineLevel="1" x14ac:dyDescent="0.35">
      <c r="A140" s="225" t="s">
        <v>8</v>
      </c>
      <c r="B140" s="197"/>
      <c r="C140" s="193" t="s">
        <v>722</v>
      </c>
      <c r="D140" s="194" t="s">
        <v>25</v>
      </c>
      <c r="E140" s="216" t="s">
        <v>1014</v>
      </c>
      <c r="F140" s="82"/>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46"/>
      <c r="DZ140" s="146"/>
      <c r="EA140" s="146"/>
      <c r="EB140" s="146"/>
      <c r="EC140" s="146"/>
      <c r="ED140" s="146"/>
      <c r="EE140" s="146"/>
      <c r="EF140" s="146"/>
      <c r="EG140" s="146"/>
      <c r="EH140" s="146"/>
      <c r="EI140" s="146"/>
      <c r="EJ140" s="146"/>
      <c r="EK140" s="146"/>
      <c r="EL140" s="146"/>
      <c r="EM140" s="146"/>
      <c r="EN140" s="146"/>
      <c r="EO140" s="146"/>
      <c r="EP140" s="146"/>
      <c r="EQ140" s="146"/>
      <c r="ER140" s="146"/>
      <c r="ES140" s="146"/>
      <c r="ET140" s="146"/>
      <c r="EU140" s="146"/>
      <c r="EV140" s="146"/>
      <c r="EW140" s="146"/>
      <c r="EX140" s="146"/>
      <c r="EY140" s="146"/>
      <c r="EZ140" s="146"/>
      <c r="FA140" s="146"/>
      <c r="FB140" s="146"/>
      <c r="FC140" s="146"/>
      <c r="FD140" s="146"/>
      <c r="FE140" s="146"/>
      <c r="FF140" s="146"/>
      <c r="FG140" s="146"/>
      <c r="FH140" s="146"/>
      <c r="FI140" s="146"/>
      <c r="FJ140" s="146"/>
      <c r="FK140" s="146"/>
      <c r="FL140" s="146"/>
      <c r="FM140" s="146"/>
      <c r="FN140" s="146"/>
      <c r="FO140" s="146"/>
      <c r="FP140" s="146"/>
      <c r="FQ140" s="146"/>
      <c r="FR140" s="146"/>
      <c r="FS140" s="146"/>
      <c r="FT140" s="146"/>
      <c r="FU140" s="146"/>
      <c r="FV140" s="146"/>
      <c r="FW140" s="146"/>
      <c r="FX140" s="146"/>
      <c r="FY140" s="146"/>
      <c r="FZ140" s="146"/>
      <c r="GA140" s="146"/>
      <c r="GB140" s="146"/>
      <c r="GC140" s="146"/>
      <c r="GD140" s="146"/>
      <c r="GE140" s="146"/>
      <c r="GF140" s="146"/>
      <c r="GG140" s="146"/>
      <c r="GH140" s="146"/>
      <c r="GI140" s="146"/>
      <c r="GJ140" s="146"/>
    </row>
    <row r="141" spans="1:192" ht="42" outlineLevel="1" x14ac:dyDescent="0.35">
      <c r="A141" s="225" t="s">
        <v>8</v>
      </c>
      <c r="B141" s="197"/>
      <c r="C141" s="193" t="s">
        <v>723</v>
      </c>
      <c r="D141" s="202" t="s">
        <v>25</v>
      </c>
      <c r="E141" s="216" t="s">
        <v>1015</v>
      </c>
      <c r="F141" s="82"/>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46"/>
      <c r="DZ141" s="146"/>
      <c r="EA141" s="146"/>
      <c r="EB141" s="146"/>
      <c r="EC141" s="146"/>
      <c r="ED141" s="146"/>
      <c r="EE141" s="146"/>
      <c r="EF141" s="146"/>
      <c r="EG141" s="146"/>
      <c r="EH141" s="146"/>
      <c r="EI141" s="146"/>
      <c r="EJ141" s="146"/>
      <c r="EK141" s="146"/>
      <c r="EL141" s="146"/>
      <c r="EM141" s="146"/>
      <c r="EN141" s="146"/>
      <c r="EO141" s="146"/>
      <c r="EP141" s="146"/>
      <c r="EQ141" s="146"/>
      <c r="ER141" s="146"/>
      <c r="ES141" s="146"/>
      <c r="ET141" s="146"/>
      <c r="EU141" s="146"/>
      <c r="EV141" s="146"/>
      <c r="EW141" s="146"/>
      <c r="EX141" s="146"/>
      <c r="EY141" s="146"/>
      <c r="EZ141" s="146"/>
      <c r="FA141" s="146"/>
      <c r="FB141" s="146"/>
      <c r="FC141" s="146"/>
      <c r="FD141" s="146"/>
      <c r="FE141" s="146"/>
      <c r="FF141" s="146"/>
      <c r="FG141" s="146"/>
      <c r="FH141" s="146"/>
      <c r="FI141" s="146"/>
      <c r="FJ141" s="146"/>
      <c r="FK141" s="146"/>
      <c r="FL141" s="146"/>
      <c r="FM141" s="146"/>
      <c r="FN141" s="146"/>
      <c r="FO141" s="146"/>
      <c r="FP141" s="146"/>
      <c r="FQ141" s="146"/>
      <c r="FR141" s="146"/>
      <c r="FS141" s="146"/>
      <c r="FT141" s="146"/>
      <c r="FU141" s="146"/>
      <c r="FV141" s="146"/>
      <c r="FW141" s="146"/>
      <c r="FX141" s="146"/>
      <c r="FY141" s="146"/>
      <c r="FZ141" s="146"/>
      <c r="GA141" s="146"/>
      <c r="GB141" s="146"/>
      <c r="GC141" s="146"/>
      <c r="GD141" s="146"/>
      <c r="GE141" s="146"/>
      <c r="GF141" s="146"/>
      <c r="GG141" s="146"/>
      <c r="GH141" s="146"/>
      <c r="GI141" s="146"/>
      <c r="GJ141" s="146"/>
    </row>
    <row r="142" spans="1:192" ht="30" outlineLevel="1" x14ac:dyDescent="0.35">
      <c r="A142" s="226" t="s">
        <v>374</v>
      </c>
      <c r="B142" s="189" t="s">
        <v>1016</v>
      </c>
      <c r="C142" s="189" t="s">
        <v>375</v>
      </c>
      <c r="D142" s="203" t="s">
        <v>24</v>
      </c>
      <c r="E142" s="219" t="s">
        <v>1017</v>
      </c>
      <c r="F142" s="78"/>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46"/>
      <c r="DZ142" s="146"/>
      <c r="EA142" s="146"/>
      <c r="EB142" s="146"/>
      <c r="EC142" s="146"/>
      <c r="ED142" s="146"/>
      <c r="EE142" s="146"/>
      <c r="EF142" s="146"/>
      <c r="EG142" s="146"/>
      <c r="EH142" s="146"/>
      <c r="EI142" s="146"/>
      <c r="EJ142" s="146"/>
      <c r="EK142" s="146"/>
      <c r="EL142" s="146"/>
      <c r="EM142" s="146"/>
      <c r="EN142" s="146"/>
      <c r="EO142" s="146"/>
      <c r="EP142" s="146"/>
      <c r="EQ142" s="146"/>
      <c r="ER142" s="146"/>
      <c r="ES142" s="146"/>
      <c r="ET142" s="146"/>
      <c r="EU142" s="146"/>
      <c r="EV142" s="146"/>
      <c r="EW142" s="146"/>
      <c r="EX142" s="146"/>
      <c r="EY142" s="146"/>
      <c r="EZ142" s="146"/>
      <c r="FA142" s="146"/>
      <c r="FB142" s="146"/>
      <c r="FC142" s="146"/>
      <c r="FD142" s="146"/>
      <c r="FE142" s="146"/>
      <c r="FF142" s="146"/>
      <c r="FG142" s="146"/>
      <c r="FH142" s="146"/>
      <c r="FI142" s="146"/>
      <c r="FJ142" s="146"/>
      <c r="FK142" s="146"/>
      <c r="FL142" s="146"/>
      <c r="FM142" s="146"/>
      <c r="FN142" s="146"/>
      <c r="FO142" s="146"/>
      <c r="FP142" s="146"/>
      <c r="FQ142" s="146"/>
      <c r="FR142" s="146"/>
      <c r="FS142" s="146"/>
      <c r="FT142" s="146"/>
      <c r="FU142" s="146"/>
      <c r="FV142" s="146"/>
      <c r="FW142" s="146"/>
      <c r="FX142" s="146"/>
      <c r="FY142" s="146"/>
      <c r="FZ142" s="146"/>
      <c r="GA142" s="146"/>
      <c r="GB142" s="146"/>
      <c r="GC142" s="146"/>
      <c r="GD142" s="146"/>
      <c r="GE142" s="146"/>
      <c r="GF142" s="146"/>
      <c r="GG142" s="146"/>
      <c r="GH142" s="146"/>
      <c r="GI142" s="146"/>
      <c r="GJ142" s="146"/>
    </row>
    <row r="143" spans="1:192" ht="21" outlineLevel="1" x14ac:dyDescent="0.35">
      <c r="A143" s="226" t="s">
        <v>374</v>
      </c>
      <c r="B143" s="189"/>
      <c r="C143" s="189" t="s">
        <v>376</v>
      </c>
      <c r="D143" s="203" t="s">
        <v>24</v>
      </c>
      <c r="E143" s="219" t="s">
        <v>1018</v>
      </c>
      <c r="F143" s="78"/>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46"/>
      <c r="DZ143" s="146"/>
      <c r="EA143" s="146"/>
      <c r="EB143" s="146"/>
      <c r="EC143" s="146"/>
      <c r="ED143" s="146"/>
      <c r="EE143" s="146"/>
      <c r="EF143" s="146"/>
      <c r="EG143" s="146"/>
      <c r="EH143" s="146"/>
      <c r="EI143" s="146"/>
      <c r="EJ143" s="146"/>
      <c r="EK143" s="146"/>
      <c r="EL143" s="146"/>
      <c r="EM143" s="146"/>
      <c r="EN143" s="146"/>
      <c r="EO143" s="146"/>
      <c r="EP143" s="146"/>
      <c r="EQ143" s="146"/>
      <c r="ER143" s="146"/>
      <c r="ES143" s="146"/>
      <c r="ET143" s="146"/>
      <c r="EU143" s="146"/>
      <c r="EV143" s="146"/>
      <c r="EW143" s="146"/>
      <c r="EX143" s="146"/>
      <c r="EY143" s="146"/>
      <c r="EZ143" s="146"/>
      <c r="FA143" s="146"/>
      <c r="FB143" s="146"/>
      <c r="FC143" s="146"/>
      <c r="FD143" s="146"/>
      <c r="FE143" s="146"/>
      <c r="FF143" s="146"/>
      <c r="FG143" s="146"/>
      <c r="FH143" s="146"/>
      <c r="FI143" s="146"/>
      <c r="FJ143" s="146"/>
      <c r="FK143" s="146"/>
      <c r="FL143" s="146"/>
      <c r="FM143" s="146"/>
      <c r="FN143" s="146"/>
      <c r="FO143" s="146"/>
      <c r="FP143" s="146"/>
      <c r="FQ143" s="146"/>
      <c r="FR143" s="146"/>
      <c r="FS143" s="146"/>
      <c r="FT143" s="146"/>
      <c r="FU143" s="146"/>
      <c r="FV143" s="146"/>
      <c r="FW143" s="146"/>
      <c r="FX143" s="146"/>
      <c r="FY143" s="146"/>
      <c r="FZ143" s="146"/>
      <c r="GA143" s="146"/>
      <c r="GB143" s="146"/>
      <c r="GC143" s="146"/>
      <c r="GD143" s="146"/>
      <c r="GE143" s="146"/>
      <c r="GF143" s="146"/>
      <c r="GG143" s="146"/>
      <c r="GH143" s="146"/>
      <c r="GI143" s="146"/>
      <c r="GJ143" s="146"/>
    </row>
    <row r="144" spans="1:192" ht="42" outlineLevel="1" x14ac:dyDescent="0.35">
      <c r="A144" s="226" t="s">
        <v>374</v>
      </c>
      <c r="B144" s="189"/>
      <c r="C144" s="189" t="s">
        <v>377</v>
      </c>
      <c r="D144" s="203" t="s">
        <v>24</v>
      </c>
      <c r="E144" s="219" t="s">
        <v>1019</v>
      </c>
      <c r="F144" s="78"/>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46"/>
      <c r="DZ144" s="146"/>
      <c r="EA144" s="146"/>
      <c r="EB144" s="146"/>
      <c r="EC144" s="146"/>
      <c r="ED144" s="146"/>
      <c r="EE144" s="146"/>
      <c r="EF144" s="146"/>
      <c r="EG144" s="146"/>
      <c r="EH144" s="146"/>
      <c r="EI144" s="146"/>
      <c r="EJ144" s="146"/>
      <c r="EK144" s="146"/>
      <c r="EL144" s="146"/>
      <c r="EM144" s="146"/>
      <c r="EN144" s="146"/>
      <c r="EO144" s="146"/>
      <c r="EP144" s="146"/>
      <c r="EQ144" s="146"/>
      <c r="ER144" s="146"/>
      <c r="ES144" s="146"/>
      <c r="ET144" s="146"/>
      <c r="EU144" s="146"/>
      <c r="EV144" s="146"/>
      <c r="EW144" s="146"/>
      <c r="EX144" s="146"/>
      <c r="EY144" s="146"/>
      <c r="EZ144" s="146"/>
      <c r="FA144" s="146"/>
      <c r="FB144" s="146"/>
      <c r="FC144" s="146"/>
      <c r="FD144" s="146"/>
      <c r="FE144" s="146"/>
      <c r="FF144" s="146"/>
      <c r="FG144" s="146"/>
      <c r="FH144" s="146"/>
      <c r="FI144" s="146"/>
      <c r="FJ144" s="146"/>
      <c r="FK144" s="146"/>
      <c r="FL144" s="146"/>
      <c r="FM144" s="146"/>
      <c r="FN144" s="146"/>
      <c r="FO144" s="146"/>
      <c r="FP144" s="146"/>
      <c r="FQ144" s="146"/>
      <c r="FR144" s="146"/>
      <c r="FS144" s="146"/>
      <c r="FT144" s="146"/>
      <c r="FU144" s="146"/>
      <c r="FV144" s="146"/>
      <c r="FW144" s="146"/>
      <c r="FX144" s="146"/>
      <c r="FY144" s="146"/>
      <c r="FZ144" s="146"/>
      <c r="GA144" s="146"/>
      <c r="GB144" s="146"/>
      <c r="GC144" s="146"/>
      <c r="GD144" s="146"/>
      <c r="GE144" s="146"/>
      <c r="GF144" s="146"/>
      <c r="GG144" s="146"/>
      <c r="GH144" s="146"/>
      <c r="GI144" s="146"/>
      <c r="GJ144" s="146"/>
    </row>
    <row r="145" spans="1:192" ht="132" x14ac:dyDescent="0.35">
      <c r="A145" s="226" t="s">
        <v>374</v>
      </c>
      <c r="B145" s="192" t="s">
        <v>1020</v>
      </c>
      <c r="C145" s="192" t="s">
        <v>378</v>
      </c>
      <c r="D145" s="202" t="s">
        <v>24</v>
      </c>
      <c r="E145" s="215" t="s">
        <v>1021</v>
      </c>
      <c r="F145" s="82"/>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46"/>
      <c r="DZ145" s="146"/>
      <c r="EA145" s="146"/>
      <c r="EB145" s="146"/>
      <c r="EC145" s="146"/>
      <c r="ED145" s="146"/>
      <c r="EE145" s="146"/>
      <c r="EF145" s="146"/>
      <c r="EG145" s="146"/>
      <c r="EH145" s="146"/>
      <c r="EI145" s="146"/>
      <c r="EJ145" s="146"/>
      <c r="EK145" s="146"/>
      <c r="EL145" s="146"/>
      <c r="EM145" s="146"/>
      <c r="EN145" s="146"/>
      <c r="EO145" s="146"/>
      <c r="EP145" s="146"/>
      <c r="EQ145" s="146"/>
      <c r="ER145" s="146"/>
      <c r="ES145" s="146"/>
      <c r="ET145" s="146"/>
      <c r="EU145" s="146"/>
      <c r="EV145" s="146"/>
      <c r="EW145" s="146"/>
      <c r="EX145" s="146"/>
      <c r="EY145" s="146"/>
      <c r="EZ145" s="146"/>
      <c r="FA145" s="146"/>
      <c r="FB145" s="146"/>
      <c r="FC145" s="146"/>
      <c r="FD145" s="146"/>
      <c r="FE145" s="146"/>
      <c r="FF145" s="146"/>
      <c r="FG145" s="146"/>
      <c r="FH145" s="146"/>
      <c r="FI145" s="146"/>
      <c r="FJ145" s="146"/>
      <c r="FK145" s="146"/>
      <c r="FL145" s="146"/>
      <c r="FM145" s="146"/>
      <c r="FN145" s="146"/>
      <c r="FO145" s="146"/>
      <c r="FP145" s="146"/>
      <c r="FQ145" s="146"/>
      <c r="FR145" s="146"/>
      <c r="FS145" s="146"/>
      <c r="FT145" s="146"/>
      <c r="FU145" s="146"/>
      <c r="FV145" s="146"/>
      <c r="FW145" s="146"/>
      <c r="FX145" s="146"/>
      <c r="FY145" s="146"/>
      <c r="FZ145" s="146"/>
      <c r="GA145" s="146"/>
      <c r="GB145" s="146"/>
      <c r="GC145" s="146"/>
      <c r="GD145" s="146"/>
      <c r="GE145" s="146"/>
      <c r="GF145" s="146"/>
      <c r="GG145" s="146"/>
      <c r="GH145" s="146"/>
      <c r="GI145" s="146"/>
      <c r="GJ145" s="146"/>
    </row>
    <row r="146" spans="1:192" ht="101.5" outlineLevel="1" x14ac:dyDescent="0.35">
      <c r="A146" s="226" t="s">
        <v>374</v>
      </c>
      <c r="B146" s="189" t="s">
        <v>1022</v>
      </c>
      <c r="C146" s="189" t="s">
        <v>379</v>
      </c>
      <c r="D146" s="203" t="s">
        <v>24</v>
      </c>
      <c r="E146" s="217" t="s">
        <v>1023</v>
      </c>
      <c r="F146" s="78"/>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46"/>
      <c r="DZ146" s="146"/>
      <c r="EA146" s="146"/>
      <c r="EB146" s="146"/>
      <c r="EC146" s="146"/>
      <c r="ED146" s="146"/>
      <c r="EE146" s="146"/>
      <c r="EF146" s="146"/>
      <c r="EG146" s="146"/>
      <c r="EH146" s="146"/>
      <c r="EI146" s="146"/>
      <c r="EJ146" s="146"/>
      <c r="EK146" s="146"/>
      <c r="EL146" s="146"/>
      <c r="EM146" s="146"/>
      <c r="EN146" s="146"/>
      <c r="EO146" s="146"/>
      <c r="EP146" s="146"/>
      <c r="EQ146" s="146"/>
      <c r="ER146" s="146"/>
      <c r="ES146" s="146"/>
      <c r="ET146" s="146"/>
      <c r="EU146" s="146"/>
      <c r="EV146" s="146"/>
      <c r="EW146" s="146"/>
      <c r="EX146" s="146"/>
      <c r="EY146" s="146"/>
      <c r="EZ146" s="146"/>
      <c r="FA146" s="146"/>
      <c r="FB146" s="146"/>
      <c r="FC146" s="146"/>
      <c r="FD146" s="146"/>
      <c r="FE146" s="146"/>
      <c r="FF146" s="146"/>
      <c r="FG146" s="146"/>
      <c r="FH146" s="146"/>
      <c r="FI146" s="146"/>
      <c r="FJ146" s="146"/>
      <c r="FK146" s="146"/>
      <c r="FL146" s="146"/>
      <c r="FM146" s="146"/>
      <c r="FN146" s="146"/>
      <c r="FO146" s="146"/>
      <c r="FP146" s="146"/>
      <c r="FQ146" s="146"/>
      <c r="FR146" s="146"/>
      <c r="FS146" s="146"/>
      <c r="FT146" s="146"/>
      <c r="FU146" s="146"/>
      <c r="FV146" s="146"/>
      <c r="FW146" s="146"/>
      <c r="FX146" s="146"/>
      <c r="FY146" s="146"/>
      <c r="FZ146" s="146"/>
      <c r="GA146" s="146"/>
      <c r="GB146" s="146"/>
      <c r="GC146" s="146"/>
      <c r="GD146" s="146"/>
      <c r="GE146" s="146"/>
      <c r="GF146" s="146"/>
      <c r="GG146" s="146"/>
      <c r="GH146" s="146"/>
      <c r="GI146" s="146"/>
      <c r="GJ146" s="146"/>
    </row>
    <row r="147" spans="1:192" ht="51.5" outlineLevel="1" x14ac:dyDescent="0.35">
      <c r="A147" s="226" t="s">
        <v>374</v>
      </c>
      <c r="B147" s="192" t="s">
        <v>1024</v>
      </c>
      <c r="C147" s="192" t="s">
        <v>380</v>
      </c>
      <c r="D147" s="202" t="s">
        <v>24</v>
      </c>
      <c r="E147" s="218" t="s">
        <v>1025</v>
      </c>
      <c r="F147" s="82"/>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46"/>
      <c r="DZ147" s="146"/>
      <c r="EA147" s="146"/>
      <c r="EB147" s="146"/>
      <c r="EC147" s="146"/>
      <c r="ED147" s="146"/>
      <c r="EE147" s="146"/>
      <c r="EF147" s="146"/>
      <c r="EG147" s="146"/>
      <c r="EH147" s="146"/>
      <c r="EI147" s="146"/>
      <c r="EJ147" s="146"/>
      <c r="EK147" s="146"/>
      <c r="EL147" s="146"/>
      <c r="EM147" s="146"/>
      <c r="EN147" s="146"/>
      <c r="EO147" s="146"/>
      <c r="EP147" s="146"/>
      <c r="EQ147" s="146"/>
      <c r="ER147" s="146"/>
      <c r="ES147" s="146"/>
      <c r="ET147" s="146"/>
      <c r="EU147" s="146"/>
      <c r="EV147" s="146"/>
      <c r="EW147" s="146"/>
      <c r="EX147" s="146"/>
      <c r="EY147" s="146"/>
      <c r="EZ147" s="146"/>
      <c r="FA147" s="146"/>
      <c r="FB147" s="146"/>
      <c r="FC147" s="146"/>
      <c r="FD147" s="146"/>
      <c r="FE147" s="146"/>
      <c r="FF147" s="146"/>
      <c r="FG147" s="146"/>
      <c r="FH147" s="146"/>
      <c r="FI147" s="146"/>
      <c r="FJ147" s="146"/>
      <c r="FK147" s="146"/>
      <c r="FL147" s="146"/>
      <c r="FM147" s="146"/>
      <c r="FN147" s="146"/>
      <c r="FO147" s="146"/>
      <c r="FP147" s="146"/>
      <c r="FQ147" s="146"/>
      <c r="FR147" s="146"/>
      <c r="FS147" s="146"/>
      <c r="FT147" s="146"/>
      <c r="FU147" s="146"/>
      <c r="FV147" s="146"/>
      <c r="FW147" s="146"/>
      <c r="FX147" s="146"/>
      <c r="FY147" s="146"/>
      <c r="FZ147" s="146"/>
      <c r="GA147" s="146"/>
      <c r="GB147" s="146"/>
      <c r="GC147" s="146"/>
      <c r="GD147" s="146"/>
      <c r="GE147" s="146"/>
      <c r="GF147" s="146"/>
      <c r="GG147" s="146"/>
      <c r="GH147" s="146"/>
      <c r="GI147" s="146"/>
      <c r="GJ147" s="146"/>
    </row>
    <row r="148" spans="1:192" ht="21" outlineLevel="1" x14ac:dyDescent="0.35">
      <c r="A148" s="226" t="s">
        <v>374</v>
      </c>
      <c r="B148" s="189" t="s">
        <v>1026</v>
      </c>
      <c r="C148" s="189" t="s">
        <v>381</v>
      </c>
      <c r="D148" s="203" t="s">
        <v>24</v>
      </c>
      <c r="E148" s="219" t="s">
        <v>1027</v>
      </c>
      <c r="F148" s="78"/>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46"/>
      <c r="DZ148" s="146"/>
      <c r="EA148" s="146"/>
      <c r="EB148" s="146"/>
      <c r="EC148" s="146"/>
      <c r="ED148" s="146"/>
      <c r="EE148" s="146"/>
      <c r="EF148" s="146"/>
      <c r="EG148" s="146"/>
      <c r="EH148" s="146"/>
      <c r="EI148" s="146"/>
      <c r="EJ148" s="146"/>
      <c r="EK148" s="146"/>
      <c r="EL148" s="146"/>
      <c r="EM148" s="146"/>
      <c r="EN148" s="146"/>
      <c r="EO148" s="146"/>
      <c r="EP148" s="146"/>
      <c r="EQ148" s="146"/>
      <c r="ER148" s="146"/>
      <c r="ES148" s="146"/>
      <c r="ET148" s="146"/>
      <c r="EU148" s="146"/>
      <c r="EV148" s="146"/>
      <c r="EW148" s="146"/>
      <c r="EX148" s="146"/>
      <c r="EY148" s="146"/>
      <c r="EZ148" s="146"/>
      <c r="FA148" s="146"/>
      <c r="FB148" s="146"/>
      <c r="FC148" s="146"/>
      <c r="FD148" s="146"/>
      <c r="FE148" s="146"/>
      <c r="FF148" s="146"/>
      <c r="FG148" s="146"/>
      <c r="FH148" s="146"/>
      <c r="FI148" s="146"/>
      <c r="FJ148" s="146"/>
      <c r="FK148" s="146"/>
      <c r="FL148" s="146"/>
      <c r="FM148" s="146"/>
      <c r="FN148" s="146"/>
      <c r="FO148" s="146"/>
      <c r="FP148" s="146"/>
      <c r="FQ148" s="146"/>
      <c r="FR148" s="146"/>
      <c r="FS148" s="146"/>
      <c r="FT148" s="146"/>
      <c r="FU148" s="146"/>
      <c r="FV148" s="146"/>
      <c r="FW148" s="146"/>
      <c r="FX148" s="146"/>
      <c r="FY148" s="146"/>
      <c r="FZ148" s="146"/>
      <c r="GA148" s="146"/>
      <c r="GB148" s="146"/>
      <c r="GC148" s="146"/>
      <c r="GD148" s="146"/>
      <c r="GE148" s="146"/>
      <c r="GF148" s="146"/>
      <c r="GG148" s="146"/>
      <c r="GH148" s="146"/>
      <c r="GI148" s="146"/>
      <c r="GJ148" s="146"/>
    </row>
    <row r="149" spans="1:192" ht="31.5" outlineLevel="1" x14ac:dyDescent="0.35">
      <c r="A149" s="226" t="s">
        <v>374</v>
      </c>
      <c r="B149" s="192" t="s">
        <v>1028</v>
      </c>
      <c r="C149" s="192" t="s">
        <v>382</v>
      </c>
      <c r="D149" s="202" t="s">
        <v>24</v>
      </c>
      <c r="E149" s="215" t="s">
        <v>1029</v>
      </c>
      <c r="F149" s="82"/>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46"/>
      <c r="DZ149" s="146"/>
      <c r="EA149" s="146"/>
      <c r="EB149" s="146"/>
      <c r="EC149" s="146"/>
      <c r="ED149" s="146"/>
      <c r="EE149" s="146"/>
      <c r="EF149" s="146"/>
      <c r="EG149" s="146"/>
      <c r="EH149" s="146"/>
      <c r="EI149" s="146"/>
      <c r="EJ149" s="146"/>
      <c r="EK149" s="146"/>
      <c r="EL149" s="146"/>
      <c r="EM149" s="146"/>
      <c r="EN149" s="146"/>
      <c r="EO149" s="146"/>
      <c r="EP149" s="146"/>
      <c r="EQ149" s="146"/>
      <c r="ER149" s="146"/>
      <c r="ES149" s="146"/>
      <c r="ET149" s="146"/>
      <c r="EU149" s="146"/>
      <c r="EV149" s="146"/>
      <c r="EW149" s="146"/>
      <c r="EX149" s="146"/>
      <c r="EY149" s="146"/>
      <c r="EZ149" s="146"/>
      <c r="FA149" s="146"/>
      <c r="FB149" s="146"/>
      <c r="FC149" s="146"/>
      <c r="FD149" s="146"/>
      <c r="FE149" s="146"/>
      <c r="FF149" s="146"/>
      <c r="FG149" s="146"/>
      <c r="FH149" s="146"/>
      <c r="FI149" s="146"/>
      <c r="FJ149" s="146"/>
      <c r="FK149" s="146"/>
      <c r="FL149" s="146"/>
      <c r="FM149" s="146"/>
      <c r="FN149" s="146"/>
      <c r="FO149" s="146"/>
      <c r="FP149" s="146"/>
      <c r="FQ149" s="146"/>
      <c r="FR149" s="146"/>
      <c r="FS149" s="146"/>
      <c r="FT149" s="146"/>
      <c r="FU149" s="146"/>
      <c r="FV149" s="146"/>
      <c r="FW149" s="146"/>
      <c r="FX149" s="146"/>
      <c r="FY149" s="146"/>
      <c r="FZ149" s="146"/>
      <c r="GA149" s="146"/>
      <c r="GB149" s="146"/>
      <c r="GC149" s="146"/>
      <c r="GD149" s="146"/>
      <c r="GE149" s="146"/>
      <c r="GF149" s="146"/>
      <c r="GG149" s="146"/>
      <c r="GH149" s="146"/>
      <c r="GI149" s="146"/>
      <c r="GJ149" s="146"/>
    </row>
    <row r="150" spans="1:192" ht="92" outlineLevel="1" x14ac:dyDescent="0.35">
      <c r="A150" s="226" t="s">
        <v>374</v>
      </c>
      <c r="B150" s="204" t="s">
        <v>1030</v>
      </c>
      <c r="C150" s="204" t="s">
        <v>383</v>
      </c>
      <c r="D150" s="203" t="s">
        <v>25</v>
      </c>
      <c r="E150" s="217" t="s">
        <v>1031</v>
      </c>
      <c r="F150" s="78"/>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46"/>
      <c r="DZ150" s="146"/>
      <c r="EA150" s="146"/>
      <c r="EB150" s="146"/>
      <c r="EC150" s="146"/>
      <c r="ED150" s="146"/>
      <c r="EE150" s="146"/>
      <c r="EF150" s="146"/>
      <c r="EG150" s="146"/>
      <c r="EH150" s="146"/>
      <c r="EI150" s="146"/>
      <c r="EJ150" s="146"/>
      <c r="EK150" s="146"/>
      <c r="EL150" s="146"/>
      <c r="EM150" s="146"/>
      <c r="EN150" s="146"/>
      <c r="EO150" s="146"/>
      <c r="EP150" s="146"/>
      <c r="EQ150" s="146"/>
      <c r="ER150" s="146"/>
      <c r="ES150" s="146"/>
      <c r="ET150" s="146"/>
      <c r="EU150" s="146"/>
      <c r="EV150" s="146"/>
      <c r="EW150" s="146"/>
      <c r="EX150" s="146"/>
      <c r="EY150" s="146"/>
      <c r="EZ150" s="146"/>
      <c r="FA150" s="146"/>
      <c r="FB150" s="146"/>
      <c r="FC150" s="146"/>
      <c r="FD150" s="146"/>
      <c r="FE150" s="146"/>
      <c r="FF150" s="146"/>
      <c r="FG150" s="146"/>
      <c r="FH150" s="146"/>
      <c r="FI150" s="146"/>
      <c r="FJ150" s="146"/>
      <c r="FK150" s="146"/>
      <c r="FL150" s="146"/>
      <c r="FM150" s="146"/>
      <c r="FN150" s="146"/>
      <c r="FO150" s="146"/>
      <c r="FP150" s="146"/>
      <c r="FQ150" s="146"/>
      <c r="FR150" s="146"/>
      <c r="FS150" s="146"/>
      <c r="FT150" s="146"/>
      <c r="FU150" s="146"/>
      <c r="FV150" s="146"/>
      <c r="FW150" s="146"/>
      <c r="FX150" s="146"/>
      <c r="FY150" s="146"/>
      <c r="FZ150" s="146"/>
      <c r="GA150" s="146"/>
      <c r="GB150" s="146"/>
      <c r="GC150" s="146"/>
      <c r="GD150" s="146"/>
      <c r="GE150" s="146"/>
      <c r="GF150" s="146"/>
      <c r="GG150" s="146"/>
      <c r="GH150" s="146"/>
      <c r="GI150" s="146"/>
      <c r="GJ150" s="146"/>
    </row>
    <row r="151" spans="1:192" ht="51.5" outlineLevel="1" x14ac:dyDescent="0.35">
      <c r="A151" s="226" t="s">
        <v>374</v>
      </c>
      <c r="B151" s="197" t="s">
        <v>724</v>
      </c>
      <c r="C151" s="197" t="s">
        <v>384</v>
      </c>
      <c r="D151" s="202" t="s">
        <v>25</v>
      </c>
      <c r="E151" s="215" t="s">
        <v>1032</v>
      </c>
      <c r="F151" s="82"/>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46"/>
      <c r="DZ151" s="146"/>
      <c r="EA151" s="146"/>
      <c r="EB151" s="146"/>
      <c r="EC151" s="146"/>
      <c r="ED151" s="146"/>
      <c r="EE151" s="146"/>
      <c r="EF151" s="146"/>
      <c r="EG151" s="146"/>
      <c r="EH151" s="146"/>
      <c r="EI151" s="146"/>
      <c r="EJ151" s="146"/>
      <c r="EK151" s="146"/>
      <c r="EL151" s="146"/>
      <c r="EM151" s="146"/>
      <c r="EN151" s="146"/>
      <c r="EO151" s="146"/>
      <c r="EP151" s="146"/>
      <c r="EQ151" s="146"/>
      <c r="ER151" s="146"/>
      <c r="ES151" s="146"/>
      <c r="ET151" s="146"/>
      <c r="EU151" s="146"/>
      <c r="EV151" s="146"/>
      <c r="EW151" s="146"/>
      <c r="EX151" s="146"/>
      <c r="EY151" s="146"/>
      <c r="EZ151" s="146"/>
      <c r="FA151" s="146"/>
      <c r="FB151" s="146"/>
      <c r="FC151" s="146"/>
      <c r="FD151" s="146"/>
      <c r="FE151" s="146"/>
      <c r="FF151" s="146"/>
      <c r="FG151" s="146"/>
      <c r="FH151" s="146"/>
      <c r="FI151" s="146"/>
      <c r="FJ151" s="146"/>
      <c r="FK151" s="146"/>
      <c r="FL151" s="146"/>
      <c r="FM151" s="146"/>
      <c r="FN151" s="146"/>
      <c r="FO151" s="146"/>
      <c r="FP151" s="146"/>
      <c r="FQ151" s="146"/>
      <c r="FR151" s="146"/>
      <c r="FS151" s="146"/>
      <c r="FT151" s="146"/>
      <c r="FU151" s="146"/>
      <c r="FV151" s="146"/>
      <c r="FW151" s="146"/>
      <c r="FX151" s="146"/>
      <c r="FY151" s="146"/>
      <c r="FZ151" s="146"/>
      <c r="GA151" s="146"/>
      <c r="GB151" s="146"/>
      <c r="GC151" s="146"/>
      <c r="GD151" s="146"/>
      <c r="GE151" s="146"/>
      <c r="GF151" s="146"/>
      <c r="GG151" s="146"/>
      <c r="GH151" s="146"/>
      <c r="GI151" s="146"/>
      <c r="GJ151" s="146"/>
    </row>
    <row r="152" spans="1:192" ht="52.5" outlineLevel="1" x14ac:dyDescent="0.35">
      <c r="A152" s="226" t="s">
        <v>374</v>
      </c>
      <c r="B152" s="204" t="s">
        <v>1033</v>
      </c>
      <c r="C152" s="204" t="s">
        <v>385</v>
      </c>
      <c r="D152" s="203" t="s">
        <v>24</v>
      </c>
      <c r="E152" s="219" t="s">
        <v>1034</v>
      </c>
      <c r="F152" s="78"/>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46"/>
      <c r="DZ152" s="146"/>
      <c r="EA152" s="146"/>
      <c r="EB152" s="146"/>
      <c r="EC152" s="146"/>
      <c r="ED152" s="146"/>
      <c r="EE152" s="146"/>
      <c r="EF152" s="146"/>
      <c r="EG152" s="146"/>
      <c r="EH152" s="146"/>
      <c r="EI152" s="146"/>
      <c r="EJ152" s="146"/>
      <c r="EK152" s="146"/>
      <c r="EL152" s="146"/>
      <c r="EM152" s="146"/>
      <c r="EN152" s="146"/>
      <c r="EO152" s="146"/>
      <c r="EP152" s="146"/>
      <c r="EQ152" s="146"/>
      <c r="ER152" s="146"/>
      <c r="ES152" s="146"/>
      <c r="ET152" s="146"/>
      <c r="EU152" s="146"/>
      <c r="EV152" s="146"/>
      <c r="EW152" s="146"/>
      <c r="EX152" s="146"/>
      <c r="EY152" s="146"/>
      <c r="EZ152" s="146"/>
      <c r="FA152" s="146"/>
      <c r="FB152" s="146"/>
      <c r="FC152" s="146"/>
      <c r="FD152" s="146"/>
      <c r="FE152" s="146"/>
      <c r="FF152" s="146"/>
      <c r="FG152" s="146"/>
      <c r="FH152" s="146"/>
      <c r="FI152" s="146"/>
      <c r="FJ152" s="146"/>
      <c r="FK152" s="146"/>
      <c r="FL152" s="146"/>
      <c r="FM152" s="146"/>
      <c r="FN152" s="146"/>
      <c r="FO152" s="146"/>
      <c r="FP152" s="146"/>
      <c r="FQ152" s="146"/>
      <c r="FR152" s="146"/>
      <c r="FS152" s="146"/>
      <c r="FT152" s="146"/>
      <c r="FU152" s="146"/>
      <c r="FV152" s="146"/>
      <c r="FW152" s="146"/>
      <c r="FX152" s="146"/>
      <c r="FY152" s="146"/>
      <c r="FZ152" s="146"/>
      <c r="GA152" s="146"/>
      <c r="GB152" s="146"/>
      <c r="GC152" s="146"/>
      <c r="GD152" s="146"/>
      <c r="GE152" s="146"/>
      <c r="GF152" s="146"/>
      <c r="GG152" s="146"/>
      <c r="GH152" s="146"/>
      <c r="GI152" s="146"/>
      <c r="GJ152" s="146"/>
    </row>
    <row r="153" spans="1:192" ht="42" outlineLevel="1" x14ac:dyDescent="0.35">
      <c r="A153" s="226" t="s">
        <v>374</v>
      </c>
      <c r="B153" s="197" t="s">
        <v>1035</v>
      </c>
      <c r="C153" s="197" t="s">
        <v>386</v>
      </c>
      <c r="D153" s="202" t="s">
        <v>24</v>
      </c>
      <c r="E153" s="215" t="s">
        <v>674</v>
      </c>
      <c r="F153" s="82"/>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46"/>
      <c r="DZ153" s="146"/>
      <c r="EA153" s="146"/>
      <c r="EB153" s="146"/>
      <c r="EC153" s="146"/>
      <c r="ED153" s="146"/>
      <c r="EE153" s="146"/>
      <c r="EF153" s="146"/>
      <c r="EG153" s="146"/>
      <c r="EH153" s="146"/>
      <c r="EI153" s="146"/>
      <c r="EJ153" s="146"/>
      <c r="EK153" s="146"/>
      <c r="EL153" s="146"/>
      <c r="EM153" s="146"/>
      <c r="EN153" s="146"/>
      <c r="EO153" s="146"/>
      <c r="EP153" s="146"/>
      <c r="EQ153" s="146"/>
      <c r="ER153" s="146"/>
      <c r="ES153" s="146"/>
      <c r="ET153" s="146"/>
      <c r="EU153" s="146"/>
      <c r="EV153" s="146"/>
      <c r="EW153" s="146"/>
      <c r="EX153" s="146"/>
      <c r="EY153" s="146"/>
      <c r="EZ153" s="146"/>
      <c r="FA153" s="146"/>
      <c r="FB153" s="146"/>
      <c r="FC153" s="146"/>
      <c r="FD153" s="146"/>
      <c r="FE153" s="146"/>
      <c r="FF153" s="146"/>
      <c r="FG153" s="146"/>
      <c r="FH153" s="146"/>
      <c r="FI153" s="146"/>
      <c r="FJ153" s="146"/>
      <c r="FK153" s="146"/>
      <c r="FL153" s="146"/>
      <c r="FM153" s="146"/>
      <c r="FN153" s="146"/>
      <c r="FO153" s="146"/>
      <c r="FP153" s="146"/>
      <c r="FQ153" s="146"/>
      <c r="FR153" s="146"/>
      <c r="FS153" s="146"/>
      <c r="FT153" s="146"/>
      <c r="FU153" s="146"/>
      <c r="FV153" s="146"/>
      <c r="FW153" s="146"/>
      <c r="FX153" s="146"/>
      <c r="FY153" s="146"/>
      <c r="FZ153" s="146"/>
      <c r="GA153" s="146"/>
      <c r="GB153" s="146"/>
      <c r="GC153" s="146"/>
      <c r="GD153" s="146"/>
      <c r="GE153" s="146"/>
      <c r="GF153" s="146"/>
      <c r="GG153" s="146"/>
      <c r="GH153" s="146"/>
      <c r="GI153" s="146"/>
      <c r="GJ153" s="146"/>
    </row>
    <row r="154" spans="1:192" ht="62" outlineLevel="1" x14ac:dyDescent="0.35">
      <c r="A154" s="226" t="s">
        <v>374</v>
      </c>
      <c r="B154" s="197"/>
      <c r="C154" s="197" t="s">
        <v>499</v>
      </c>
      <c r="D154" s="202" t="s">
        <v>24</v>
      </c>
      <c r="E154" s="209" t="s">
        <v>1036</v>
      </c>
      <c r="F154" s="82"/>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46"/>
      <c r="DZ154" s="146"/>
      <c r="EA154" s="146"/>
      <c r="EB154" s="146"/>
      <c r="EC154" s="146"/>
      <c r="ED154" s="146"/>
      <c r="EE154" s="146"/>
      <c r="EF154" s="146"/>
      <c r="EG154" s="146"/>
      <c r="EH154" s="146"/>
      <c r="EI154" s="146"/>
      <c r="EJ154" s="146"/>
      <c r="EK154" s="146"/>
      <c r="EL154" s="146"/>
      <c r="EM154" s="146"/>
      <c r="EN154" s="146"/>
      <c r="EO154" s="146"/>
      <c r="EP154" s="146"/>
      <c r="EQ154" s="146"/>
      <c r="ER154" s="146"/>
      <c r="ES154" s="146"/>
      <c r="ET154" s="146"/>
      <c r="EU154" s="146"/>
      <c r="EV154" s="146"/>
      <c r="EW154" s="146"/>
      <c r="EX154" s="146"/>
      <c r="EY154" s="146"/>
      <c r="EZ154" s="146"/>
      <c r="FA154" s="146"/>
      <c r="FB154" s="146"/>
      <c r="FC154" s="146"/>
      <c r="FD154" s="146"/>
      <c r="FE154" s="146"/>
      <c r="FF154" s="146"/>
      <c r="FG154" s="146"/>
      <c r="FH154" s="146"/>
      <c r="FI154" s="146"/>
      <c r="FJ154" s="146"/>
      <c r="FK154" s="146"/>
      <c r="FL154" s="146"/>
      <c r="FM154" s="146"/>
      <c r="FN154" s="146"/>
      <c r="FO154" s="146"/>
      <c r="FP154" s="146"/>
      <c r="FQ154" s="146"/>
      <c r="FR154" s="146"/>
      <c r="FS154" s="146"/>
      <c r="FT154" s="146"/>
      <c r="FU154" s="146"/>
      <c r="FV154" s="146"/>
      <c r="FW154" s="146"/>
      <c r="FX154" s="146"/>
      <c r="FY154" s="146"/>
      <c r="FZ154" s="146"/>
      <c r="GA154" s="146"/>
      <c r="GB154" s="146"/>
      <c r="GC154" s="146"/>
      <c r="GD154" s="146"/>
      <c r="GE154" s="146"/>
      <c r="GF154" s="146"/>
      <c r="GG154" s="146"/>
      <c r="GH154" s="146"/>
      <c r="GI154" s="146"/>
      <c r="GJ154" s="146"/>
    </row>
    <row r="155" spans="1:192" ht="52.5" outlineLevel="1" x14ac:dyDescent="0.35">
      <c r="A155" s="225" t="s">
        <v>387</v>
      </c>
      <c r="B155" s="204" t="s">
        <v>1037</v>
      </c>
      <c r="C155" s="204" t="s">
        <v>388</v>
      </c>
      <c r="D155" s="203" t="s">
        <v>24</v>
      </c>
      <c r="E155" s="208" t="s">
        <v>725</v>
      </c>
      <c r="F155" s="78"/>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46"/>
      <c r="DZ155" s="146"/>
      <c r="EA155" s="146"/>
      <c r="EB155" s="146"/>
      <c r="EC155" s="146"/>
      <c r="ED155" s="146"/>
      <c r="EE155" s="146"/>
      <c r="EF155" s="146"/>
      <c r="EG155" s="146"/>
      <c r="EH155" s="146"/>
      <c r="EI155" s="146"/>
      <c r="EJ155" s="146"/>
      <c r="EK155" s="146"/>
      <c r="EL155" s="146"/>
      <c r="EM155" s="146"/>
      <c r="EN155" s="146"/>
      <c r="EO155" s="146"/>
      <c r="EP155" s="146"/>
      <c r="EQ155" s="146"/>
      <c r="ER155" s="146"/>
      <c r="ES155" s="146"/>
      <c r="ET155" s="146"/>
      <c r="EU155" s="146"/>
      <c r="EV155" s="146"/>
      <c r="EW155" s="146"/>
      <c r="EX155" s="146"/>
      <c r="EY155" s="146"/>
      <c r="EZ155" s="146"/>
      <c r="FA155" s="146"/>
      <c r="FB155" s="146"/>
      <c r="FC155" s="146"/>
      <c r="FD155" s="146"/>
      <c r="FE155" s="146"/>
      <c r="FF155" s="146"/>
      <c r="FG155" s="146"/>
      <c r="FH155" s="146"/>
      <c r="FI155" s="146"/>
      <c r="FJ155" s="146"/>
      <c r="FK155" s="146"/>
      <c r="FL155" s="146"/>
      <c r="FM155" s="146"/>
      <c r="FN155" s="146"/>
      <c r="FO155" s="146"/>
      <c r="FP155" s="146"/>
      <c r="FQ155" s="146"/>
      <c r="FR155" s="146"/>
      <c r="FS155" s="146"/>
      <c r="FT155" s="146"/>
      <c r="FU155" s="146"/>
      <c r="FV155" s="146"/>
      <c r="FW155" s="146"/>
      <c r="FX155" s="146"/>
      <c r="FY155" s="146"/>
      <c r="FZ155" s="146"/>
      <c r="GA155" s="146"/>
      <c r="GB155" s="146"/>
      <c r="GC155" s="146"/>
      <c r="GD155" s="146"/>
      <c r="GE155" s="146"/>
      <c r="GF155" s="146"/>
      <c r="GG155" s="146"/>
      <c r="GH155" s="146"/>
      <c r="GI155" s="146"/>
      <c r="GJ155" s="146"/>
    </row>
    <row r="156" spans="1:192" ht="52.5" outlineLevel="1" x14ac:dyDescent="0.35">
      <c r="A156" s="225" t="s">
        <v>387</v>
      </c>
      <c r="B156" s="204"/>
      <c r="C156" s="204" t="s">
        <v>389</v>
      </c>
      <c r="D156" s="203" t="s">
        <v>24</v>
      </c>
      <c r="E156" s="208" t="s">
        <v>1038</v>
      </c>
      <c r="F156" s="78"/>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46"/>
      <c r="DZ156" s="146"/>
      <c r="EA156" s="146"/>
      <c r="EB156" s="146"/>
      <c r="EC156" s="146"/>
      <c r="ED156" s="146"/>
      <c r="EE156" s="146"/>
      <c r="EF156" s="146"/>
      <c r="EG156" s="146"/>
      <c r="EH156" s="146"/>
      <c r="EI156" s="146"/>
      <c r="EJ156" s="146"/>
      <c r="EK156" s="146"/>
      <c r="EL156" s="146"/>
      <c r="EM156" s="146"/>
      <c r="EN156" s="146"/>
      <c r="EO156" s="146"/>
      <c r="EP156" s="146"/>
      <c r="EQ156" s="146"/>
      <c r="ER156" s="146"/>
      <c r="ES156" s="146"/>
      <c r="ET156" s="146"/>
      <c r="EU156" s="146"/>
      <c r="EV156" s="146"/>
      <c r="EW156" s="146"/>
      <c r="EX156" s="146"/>
      <c r="EY156" s="146"/>
      <c r="EZ156" s="146"/>
      <c r="FA156" s="146"/>
      <c r="FB156" s="146"/>
      <c r="FC156" s="146"/>
      <c r="FD156" s="146"/>
      <c r="FE156" s="146"/>
      <c r="FF156" s="146"/>
      <c r="FG156" s="146"/>
      <c r="FH156" s="146"/>
      <c r="FI156" s="146"/>
      <c r="FJ156" s="146"/>
      <c r="FK156" s="146"/>
      <c r="FL156" s="146"/>
      <c r="FM156" s="146"/>
      <c r="FN156" s="146"/>
      <c r="FO156" s="146"/>
      <c r="FP156" s="146"/>
      <c r="FQ156" s="146"/>
      <c r="FR156" s="146"/>
      <c r="FS156" s="146"/>
      <c r="FT156" s="146"/>
      <c r="FU156" s="146"/>
      <c r="FV156" s="146"/>
      <c r="FW156" s="146"/>
      <c r="FX156" s="146"/>
      <c r="FY156" s="146"/>
      <c r="FZ156" s="146"/>
      <c r="GA156" s="146"/>
      <c r="GB156" s="146"/>
      <c r="GC156" s="146"/>
      <c r="GD156" s="146"/>
      <c r="GE156" s="146"/>
      <c r="GF156" s="146"/>
      <c r="GG156" s="146"/>
      <c r="GH156" s="146"/>
      <c r="GI156" s="146"/>
      <c r="GJ156" s="146"/>
    </row>
    <row r="157" spans="1:192" ht="63" outlineLevel="1" x14ac:dyDescent="0.35">
      <c r="A157" s="225" t="s">
        <v>387</v>
      </c>
      <c r="B157" s="204"/>
      <c r="C157" s="204" t="s">
        <v>390</v>
      </c>
      <c r="D157" s="203" t="s">
        <v>24</v>
      </c>
      <c r="E157" s="208" t="s">
        <v>726</v>
      </c>
      <c r="F157" s="78"/>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46"/>
      <c r="EZ157" s="146"/>
      <c r="FA157" s="146"/>
      <c r="FB157" s="146"/>
      <c r="FC157" s="146"/>
      <c r="FD157" s="146"/>
      <c r="FE157" s="146"/>
      <c r="FF157" s="146"/>
      <c r="FG157" s="146"/>
      <c r="FH157" s="146"/>
      <c r="FI157" s="146"/>
      <c r="FJ157" s="146"/>
      <c r="FK157" s="146"/>
      <c r="FL157" s="146"/>
      <c r="FM157" s="146"/>
      <c r="FN157" s="146"/>
      <c r="FO157" s="146"/>
      <c r="FP157" s="146"/>
      <c r="FQ157" s="146"/>
      <c r="FR157" s="146"/>
      <c r="FS157" s="146"/>
      <c r="FT157" s="146"/>
      <c r="FU157" s="146"/>
      <c r="FV157" s="146"/>
      <c r="FW157" s="146"/>
      <c r="FX157" s="146"/>
      <c r="FY157" s="146"/>
      <c r="FZ157" s="146"/>
      <c r="GA157" s="146"/>
      <c r="GB157" s="146"/>
      <c r="GC157" s="146"/>
      <c r="GD157" s="146"/>
      <c r="GE157" s="146"/>
      <c r="GF157" s="146"/>
      <c r="GG157" s="146"/>
      <c r="GH157" s="146"/>
      <c r="GI157" s="146"/>
      <c r="GJ157" s="146"/>
    </row>
    <row r="158" spans="1:192" ht="171.5" x14ac:dyDescent="0.35">
      <c r="A158" s="225" t="s">
        <v>387</v>
      </c>
      <c r="B158" s="197" t="s">
        <v>1039</v>
      </c>
      <c r="C158" s="197" t="s">
        <v>391</v>
      </c>
      <c r="D158" s="202" t="s">
        <v>24</v>
      </c>
      <c r="E158" s="216" t="s">
        <v>1040</v>
      </c>
      <c r="F158" s="82"/>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46"/>
      <c r="EZ158" s="146"/>
      <c r="FA158" s="146"/>
      <c r="FB158" s="146"/>
      <c r="FC158" s="146"/>
      <c r="FD158" s="146"/>
      <c r="FE158" s="146"/>
      <c r="FF158" s="146"/>
      <c r="FG158" s="146"/>
      <c r="FH158" s="146"/>
      <c r="FI158" s="146"/>
      <c r="FJ158" s="146"/>
      <c r="FK158" s="146"/>
      <c r="FL158" s="146"/>
      <c r="FM158" s="146"/>
      <c r="FN158" s="146"/>
      <c r="FO158" s="146"/>
      <c r="FP158" s="146"/>
      <c r="FQ158" s="146"/>
      <c r="FR158" s="146"/>
      <c r="FS158" s="146"/>
      <c r="FT158" s="146"/>
      <c r="FU158" s="146"/>
      <c r="FV158" s="146"/>
      <c r="FW158" s="146"/>
      <c r="FX158" s="146"/>
      <c r="FY158" s="146"/>
      <c r="FZ158" s="146"/>
      <c r="GA158" s="146"/>
      <c r="GB158" s="146"/>
      <c r="GC158" s="146"/>
      <c r="GD158" s="146"/>
      <c r="GE158" s="146"/>
      <c r="GF158" s="146"/>
      <c r="GG158" s="146"/>
      <c r="GH158" s="146"/>
      <c r="GI158" s="146"/>
      <c r="GJ158" s="146"/>
    </row>
    <row r="159" spans="1:192" ht="72" outlineLevel="1" x14ac:dyDescent="0.35">
      <c r="A159" s="225" t="s">
        <v>387</v>
      </c>
      <c r="B159" s="204" t="s">
        <v>1041</v>
      </c>
      <c r="C159" s="204" t="s">
        <v>392</v>
      </c>
      <c r="D159" s="203" t="s">
        <v>24</v>
      </c>
      <c r="E159" s="208" t="s">
        <v>1042</v>
      </c>
      <c r="F159" s="78"/>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46"/>
      <c r="DZ159" s="146"/>
      <c r="EA159" s="146"/>
      <c r="EB159" s="146"/>
      <c r="EC159" s="146"/>
      <c r="ED159" s="146"/>
      <c r="EE159" s="146"/>
      <c r="EF159" s="146"/>
      <c r="EG159" s="146"/>
      <c r="EH159" s="146"/>
      <c r="EI159" s="146"/>
      <c r="EJ159" s="146"/>
      <c r="EK159" s="146"/>
      <c r="EL159" s="146"/>
      <c r="EM159" s="146"/>
      <c r="EN159" s="146"/>
      <c r="EO159" s="146"/>
      <c r="EP159" s="146"/>
      <c r="EQ159" s="146"/>
      <c r="ER159" s="146"/>
      <c r="ES159" s="146"/>
      <c r="ET159" s="146"/>
      <c r="EU159" s="146"/>
      <c r="EV159" s="146"/>
      <c r="EW159" s="146"/>
      <c r="EX159" s="146"/>
      <c r="EY159" s="146"/>
      <c r="EZ159" s="146"/>
      <c r="FA159" s="146"/>
      <c r="FB159" s="146"/>
      <c r="FC159" s="146"/>
      <c r="FD159" s="146"/>
      <c r="FE159" s="146"/>
      <c r="FF159" s="146"/>
      <c r="FG159" s="146"/>
      <c r="FH159" s="146"/>
      <c r="FI159" s="146"/>
      <c r="FJ159" s="146"/>
      <c r="FK159" s="146"/>
      <c r="FL159" s="146"/>
      <c r="FM159" s="146"/>
      <c r="FN159" s="146"/>
      <c r="FO159" s="146"/>
      <c r="FP159" s="146"/>
      <c r="FQ159" s="146"/>
      <c r="FR159" s="146"/>
      <c r="FS159" s="146"/>
      <c r="FT159" s="146"/>
      <c r="FU159" s="146"/>
      <c r="FV159" s="146"/>
      <c r="FW159" s="146"/>
      <c r="FX159" s="146"/>
      <c r="FY159" s="146"/>
      <c r="FZ159" s="146"/>
      <c r="GA159" s="146"/>
      <c r="GB159" s="146"/>
      <c r="GC159" s="146"/>
      <c r="GD159" s="146"/>
      <c r="GE159" s="146"/>
      <c r="GF159" s="146"/>
      <c r="GG159" s="146"/>
      <c r="GH159" s="146"/>
      <c r="GI159" s="146"/>
      <c r="GJ159" s="146"/>
    </row>
    <row r="160" spans="1:192" ht="72" outlineLevel="1" x14ac:dyDescent="0.35">
      <c r="A160" s="225" t="s">
        <v>387</v>
      </c>
      <c r="B160" s="204"/>
      <c r="C160" s="204" t="s">
        <v>393</v>
      </c>
      <c r="D160" s="203" t="s">
        <v>24</v>
      </c>
      <c r="E160" s="208" t="s">
        <v>1043</v>
      </c>
      <c r="F160" s="78"/>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46"/>
      <c r="DZ160" s="146"/>
      <c r="EA160" s="146"/>
      <c r="EB160" s="146"/>
      <c r="EC160" s="146"/>
      <c r="ED160" s="146"/>
      <c r="EE160" s="146"/>
      <c r="EF160" s="146"/>
      <c r="EG160" s="146"/>
      <c r="EH160" s="146"/>
      <c r="EI160" s="146"/>
      <c r="EJ160" s="146"/>
      <c r="EK160" s="146"/>
      <c r="EL160" s="146"/>
      <c r="EM160" s="146"/>
      <c r="EN160" s="146"/>
      <c r="EO160" s="146"/>
      <c r="EP160" s="146"/>
      <c r="EQ160" s="146"/>
      <c r="ER160" s="146"/>
      <c r="ES160" s="146"/>
      <c r="ET160" s="146"/>
      <c r="EU160" s="146"/>
      <c r="EV160" s="146"/>
      <c r="EW160" s="146"/>
      <c r="EX160" s="146"/>
      <c r="EY160" s="146"/>
      <c r="EZ160" s="146"/>
      <c r="FA160" s="146"/>
      <c r="FB160" s="146"/>
      <c r="FC160" s="146"/>
      <c r="FD160" s="146"/>
      <c r="FE160" s="146"/>
      <c r="FF160" s="146"/>
      <c r="FG160" s="146"/>
      <c r="FH160" s="146"/>
      <c r="FI160" s="146"/>
      <c r="FJ160" s="146"/>
      <c r="FK160" s="146"/>
      <c r="FL160" s="146"/>
      <c r="FM160" s="146"/>
      <c r="FN160" s="146"/>
      <c r="FO160" s="146"/>
      <c r="FP160" s="146"/>
      <c r="FQ160" s="146"/>
      <c r="FR160" s="146"/>
      <c r="FS160" s="146"/>
      <c r="FT160" s="146"/>
      <c r="FU160" s="146"/>
      <c r="FV160" s="146"/>
      <c r="FW160" s="146"/>
      <c r="FX160" s="146"/>
      <c r="FY160" s="146"/>
      <c r="FZ160" s="146"/>
      <c r="GA160" s="146"/>
      <c r="GB160" s="146"/>
      <c r="GC160" s="146"/>
      <c r="GD160" s="146"/>
      <c r="GE160" s="146"/>
      <c r="GF160" s="146"/>
      <c r="GG160" s="146"/>
      <c r="GH160" s="146"/>
      <c r="GI160" s="146"/>
      <c r="GJ160" s="146"/>
    </row>
    <row r="161" spans="1:192" ht="42" outlineLevel="1" x14ac:dyDescent="0.35">
      <c r="A161" s="225" t="s">
        <v>387</v>
      </c>
      <c r="B161" s="204"/>
      <c r="C161" s="204" t="s">
        <v>394</v>
      </c>
      <c r="D161" s="203" t="s">
        <v>24</v>
      </c>
      <c r="E161" s="208" t="s">
        <v>1044</v>
      </c>
      <c r="F161" s="78"/>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46"/>
      <c r="DZ161" s="146"/>
      <c r="EA161" s="146"/>
      <c r="EB161" s="146"/>
      <c r="EC161" s="146"/>
      <c r="ED161" s="146"/>
      <c r="EE161" s="146"/>
      <c r="EF161" s="146"/>
      <c r="EG161" s="146"/>
      <c r="EH161" s="146"/>
      <c r="EI161" s="146"/>
      <c r="EJ161" s="146"/>
      <c r="EK161" s="146"/>
      <c r="EL161" s="146"/>
      <c r="EM161" s="146"/>
      <c r="EN161" s="146"/>
      <c r="EO161" s="146"/>
      <c r="EP161" s="146"/>
      <c r="EQ161" s="146"/>
      <c r="ER161" s="146"/>
      <c r="ES161" s="146"/>
      <c r="ET161" s="146"/>
      <c r="EU161" s="146"/>
      <c r="EV161" s="146"/>
      <c r="EW161" s="146"/>
      <c r="EX161" s="146"/>
      <c r="EY161" s="146"/>
      <c r="EZ161" s="146"/>
      <c r="FA161" s="146"/>
      <c r="FB161" s="146"/>
      <c r="FC161" s="146"/>
      <c r="FD161" s="146"/>
      <c r="FE161" s="146"/>
      <c r="FF161" s="146"/>
      <c r="FG161" s="146"/>
      <c r="FH161" s="146"/>
      <c r="FI161" s="146"/>
      <c r="FJ161" s="146"/>
      <c r="FK161" s="146"/>
      <c r="FL161" s="146"/>
      <c r="FM161" s="146"/>
      <c r="FN161" s="146"/>
      <c r="FO161" s="146"/>
      <c r="FP161" s="146"/>
      <c r="FQ161" s="146"/>
      <c r="FR161" s="146"/>
      <c r="FS161" s="146"/>
      <c r="FT161" s="146"/>
      <c r="FU161" s="146"/>
      <c r="FV161" s="146"/>
      <c r="FW161" s="146"/>
      <c r="FX161" s="146"/>
      <c r="FY161" s="146"/>
      <c r="FZ161" s="146"/>
      <c r="GA161" s="146"/>
      <c r="GB161" s="146"/>
      <c r="GC161" s="146"/>
      <c r="GD161" s="146"/>
      <c r="GE161" s="146"/>
      <c r="GF161" s="146"/>
      <c r="GG161" s="146"/>
      <c r="GH161" s="146"/>
      <c r="GI161" s="146"/>
      <c r="GJ161" s="146"/>
    </row>
    <row r="162" spans="1:192" ht="30" outlineLevel="1" x14ac:dyDescent="0.35">
      <c r="A162" s="225" t="s">
        <v>387</v>
      </c>
      <c r="B162" s="197" t="s">
        <v>1045</v>
      </c>
      <c r="C162" s="197" t="s">
        <v>395</v>
      </c>
      <c r="D162" s="202" t="s">
        <v>24</v>
      </c>
      <c r="E162" s="216" t="s">
        <v>1046</v>
      </c>
      <c r="F162" s="82"/>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46"/>
      <c r="DZ162" s="146"/>
      <c r="EA162" s="146"/>
      <c r="EB162" s="146"/>
      <c r="EC162" s="146"/>
      <c r="ED162" s="146"/>
      <c r="EE162" s="146"/>
      <c r="EF162" s="146"/>
      <c r="EG162" s="146"/>
      <c r="EH162" s="146"/>
      <c r="EI162" s="146"/>
      <c r="EJ162" s="146"/>
      <c r="EK162" s="146"/>
      <c r="EL162" s="146"/>
      <c r="EM162" s="146"/>
      <c r="EN162" s="146"/>
      <c r="EO162" s="146"/>
      <c r="EP162" s="146"/>
      <c r="EQ162" s="146"/>
      <c r="ER162" s="146"/>
      <c r="ES162" s="146"/>
      <c r="ET162" s="146"/>
      <c r="EU162" s="146"/>
      <c r="EV162" s="146"/>
      <c r="EW162" s="146"/>
      <c r="EX162" s="146"/>
      <c r="EY162" s="146"/>
      <c r="EZ162" s="146"/>
      <c r="FA162" s="146"/>
      <c r="FB162" s="146"/>
      <c r="FC162" s="146"/>
      <c r="FD162" s="146"/>
      <c r="FE162" s="146"/>
      <c r="FF162" s="146"/>
      <c r="FG162" s="146"/>
      <c r="FH162" s="146"/>
      <c r="FI162" s="146"/>
      <c r="FJ162" s="146"/>
      <c r="FK162" s="146"/>
      <c r="FL162" s="146"/>
      <c r="FM162" s="146"/>
      <c r="FN162" s="146"/>
      <c r="FO162" s="146"/>
      <c r="FP162" s="146"/>
      <c r="FQ162" s="146"/>
      <c r="FR162" s="146"/>
      <c r="FS162" s="146"/>
      <c r="FT162" s="146"/>
      <c r="FU162" s="146"/>
      <c r="FV162" s="146"/>
      <c r="FW162" s="146"/>
      <c r="FX162" s="146"/>
      <c r="FY162" s="146"/>
      <c r="FZ162" s="146"/>
      <c r="GA162" s="146"/>
      <c r="GB162" s="146"/>
      <c r="GC162" s="146"/>
      <c r="GD162" s="146"/>
      <c r="GE162" s="146"/>
      <c r="GF162" s="146"/>
      <c r="GG162" s="146"/>
      <c r="GH162" s="146"/>
      <c r="GI162" s="146"/>
      <c r="GJ162" s="146"/>
    </row>
    <row r="163" spans="1:192" ht="31.5" outlineLevel="1" x14ac:dyDescent="0.35">
      <c r="A163" s="225" t="s">
        <v>387</v>
      </c>
      <c r="B163" s="197"/>
      <c r="C163" s="197" t="s">
        <v>727</v>
      </c>
      <c r="D163" s="202" t="s">
        <v>24</v>
      </c>
      <c r="E163" s="215" t="s">
        <v>1047</v>
      </c>
      <c r="F163" s="82"/>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46"/>
      <c r="DZ163" s="146"/>
      <c r="EA163" s="146"/>
      <c r="EB163" s="146"/>
      <c r="EC163" s="146"/>
      <c r="ED163" s="146"/>
      <c r="EE163" s="146"/>
      <c r="EF163" s="146"/>
      <c r="EG163" s="146"/>
      <c r="EH163" s="146"/>
      <c r="EI163" s="146"/>
      <c r="EJ163" s="146"/>
      <c r="EK163" s="146"/>
      <c r="EL163" s="146"/>
      <c r="EM163" s="146"/>
      <c r="EN163" s="146"/>
      <c r="EO163" s="146"/>
      <c r="EP163" s="146"/>
      <c r="EQ163" s="146"/>
      <c r="ER163" s="146"/>
      <c r="ES163" s="146"/>
      <c r="ET163" s="146"/>
      <c r="EU163" s="146"/>
      <c r="EV163" s="146"/>
      <c r="EW163" s="146"/>
      <c r="EX163" s="146"/>
      <c r="EY163" s="146"/>
      <c r="EZ163" s="146"/>
      <c r="FA163" s="146"/>
      <c r="FB163" s="146"/>
      <c r="FC163" s="146"/>
      <c r="FD163" s="146"/>
      <c r="FE163" s="146"/>
      <c r="FF163" s="146"/>
      <c r="FG163" s="146"/>
      <c r="FH163" s="146"/>
      <c r="FI163" s="146"/>
      <c r="FJ163" s="146"/>
      <c r="FK163" s="146"/>
      <c r="FL163" s="146"/>
      <c r="FM163" s="146"/>
      <c r="FN163" s="146"/>
      <c r="FO163" s="146"/>
      <c r="FP163" s="146"/>
      <c r="FQ163" s="146"/>
      <c r="FR163" s="146"/>
      <c r="FS163" s="146"/>
      <c r="FT163" s="146"/>
      <c r="FU163" s="146"/>
      <c r="FV163" s="146"/>
      <c r="FW163" s="146"/>
      <c r="FX163" s="146"/>
      <c r="FY163" s="146"/>
      <c r="FZ163" s="146"/>
      <c r="GA163" s="146"/>
      <c r="GB163" s="146"/>
      <c r="GC163" s="146"/>
      <c r="GD163" s="146"/>
      <c r="GE163" s="146"/>
      <c r="GF163" s="146"/>
      <c r="GG163" s="146"/>
      <c r="GH163" s="146"/>
      <c r="GI163" s="146"/>
      <c r="GJ163" s="146"/>
    </row>
    <row r="164" spans="1:192" ht="52.5" outlineLevel="1" x14ac:dyDescent="0.35">
      <c r="A164" s="226" t="s">
        <v>396</v>
      </c>
      <c r="B164" s="204" t="s">
        <v>1048</v>
      </c>
      <c r="C164" s="204" t="s">
        <v>397</v>
      </c>
      <c r="D164" s="203" t="s">
        <v>24</v>
      </c>
      <c r="E164" s="221" t="s">
        <v>1049</v>
      </c>
      <c r="F164" s="78"/>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row>
    <row r="165" spans="1:192" ht="52.5" outlineLevel="1" x14ac:dyDescent="0.35">
      <c r="A165" s="226" t="s">
        <v>396</v>
      </c>
      <c r="B165" s="204"/>
      <c r="C165" s="204" t="s">
        <v>398</v>
      </c>
      <c r="D165" s="203" t="s">
        <v>24</v>
      </c>
      <c r="E165" s="208" t="s">
        <v>1050</v>
      </c>
      <c r="F165" s="78"/>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row>
    <row r="166" spans="1:192" ht="81" x14ac:dyDescent="0.35">
      <c r="A166" s="226" t="s">
        <v>396</v>
      </c>
      <c r="B166" s="204"/>
      <c r="C166" s="204" t="s">
        <v>399</v>
      </c>
      <c r="D166" s="203" t="s">
        <v>24</v>
      </c>
      <c r="E166" s="222" t="s">
        <v>1051</v>
      </c>
      <c r="F166" s="78"/>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row>
    <row r="167" spans="1:192" ht="40" outlineLevel="1" x14ac:dyDescent="0.35">
      <c r="A167" s="226" t="s">
        <v>396</v>
      </c>
      <c r="B167" s="197" t="s">
        <v>1052</v>
      </c>
      <c r="C167" s="197" t="s">
        <v>400</v>
      </c>
      <c r="D167" s="202" t="s">
        <v>24</v>
      </c>
      <c r="E167" s="216" t="s">
        <v>1053</v>
      </c>
      <c r="F167" s="82"/>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46"/>
      <c r="DZ167" s="146"/>
      <c r="EA167" s="146"/>
      <c r="EB167" s="146"/>
      <c r="EC167" s="146"/>
      <c r="ED167" s="146"/>
      <c r="EE167" s="146"/>
      <c r="EF167" s="146"/>
      <c r="EG167" s="146"/>
      <c r="EH167" s="146"/>
      <c r="EI167" s="146"/>
      <c r="EJ167" s="146"/>
      <c r="EK167" s="146"/>
      <c r="EL167" s="146"/>
      <c r="EM167" s="146"/>
      <c r="EN167" s="146"/>
      <c r="EO167" s="146"/>
      <c r="EP167" s="146"/>
      <c r="EQ167" s="146"/>
      <c r="ER167" s="146"/>
      <c r="ES167" s="146"/>
      <c r="ET167" s="146"/>
      <c r="EU167" s="146"/>
      <c r="EV167" s="146"/>
      <c r="EW167" s="146"/>
      <c r="EX167" s="146"/>
      <c r="EY167" s="146"/>
      <c r="EZ167" s="146"/>
      <c r="FA167" s="146"/>
      <c r="FB167" s="146"/>
      <c r="FC167" s="146"/>
      <c r="FD167" s="146"/>
      <c r="FE167" s="146"/>
      <c r="FF167" s="146"/>
      <c r="FG167" s="146"/>
      <c r="FH167" s="146"/>
      <c r="FI167" s="146"/>
      <c r="FJ167" s="146"/>
      <c r="FK167" s="146"/>
      <c r="FL167" s="146"/>
      <c r="FM167" s="146"/>
      <c r="FN167" s="146"/>
      <c r="FO167" s="146"/>
      <c r="FP167" s="146"/>
      <c r="FQ167" s="146"/>
      <c r="FR167" s="146"/>
      <c r="FS167" s="146"/>
      <c r="FT167" s="146"/>
      <c r="FU167" s="146"/>
      <c r="FV167" s="146"/>
      <c r="FW167" s="146"/>
      <c r="FX167" s="146"/>
      <c r="FY167" s="146"/>
      <c r="FZ167" s="146"/>
      <c r="GA167" s="146"/>
      <c r="GB167" s="146"/>
      <c r="GC167" s="146"/>
      <c r="GD167" s="146"/>
      <c r="GE167" s="146"/>
      <c r="GF167" s="146"/>
      <c r="GG167" s="146"/>
      <c r="GH167" s="146"/>
      <c r="GI167" s="146"/>
      <c r="GJ167" s="146"/>
    </row>
    <row r="168" spans="1:192" ht="50" outlineLevel="1" x14ac:dyDescent="0.35">
      <c r="A168" s="226" t="s">
        <v>396</v>
      </c>
      <c r="B168" s="204" t="s">
        <v>1054</v>
      </c>
      <c r="C168" s="204" t="s">
        <v>401</v>
      </c>
      <c r="D168" s="203" t="s">
        <v>24</v>
      </c>
      <c r="E168" s="208" t="s">
        <v>1054</v>
      </c>
      <c r="F168" s="78"/>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46"/>
      <c r="AZ168" s="146"/>
      <c r="BA168" s="146"/>
      <c r="BB168" s="146"/>
      <c r="BC168" s="146"/>
      <c r="BD168" s="146"/>
      <c r="BE168" s="146"/>
      <c r="BF168" s="146"/>
      <c r="BG168" s="146"/>
      <c r="BH168" s="146"/>
      <c r="BI168" s="146"/>
      <c r="BJ168" s="146"/>
      <c r="BK168" s="146"/>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c r="DH168" s="146"/>
      <c r="DI168" s="146"/>
      <c r="DJ168" s="146"/>
      <c r="DK168" s="146"/>
      <c r="DL168" s="146"/>
      <c r="DM168" s="146"/>
      <c r="DN168" s="146"/>
      <c r="DO168" s="146"/>
      <c r="DP168" s="146"/>
      <c r="DQ168" s="146"/>
      <c r="DR168" s="146"/>
      <c r="DS168" s="146"/>
      <c r="DT168" s="146"/>
      <c r="DU168" s="146"/>
      <c r="DV168" s="146"/>
      <c r="DW168" s="146"/>
      <c r="DX168" s="146"/>
      <c r="DY168" s="146"/>
      <c r="DZ168" s="146"/>
      <c r="EA168" s="146"/>
      <c r="EB168" s="146"/>
      <c r="EC168" s="146"/>
      <c r="ED168" s="146"/>
      <c r="EE168" s="146"/>
      <c r="EF168" s="146"/>
      <c r="EG168" s="146"/>
      <c r="EH168" s="146"/>
      <c r="EI168" s="146"/>
      <c r="EJ168" s="146"/>
      <c r="EK168" s="146"/>
      <c r="EL168" s="146"/>
      <c r="EM168" s="146"/>
      <c r="EN168" s="146"/>
      <c r="EO168" s="146"/>
      <c r="EP168" s="146"/>
      <c r="EQ168" s="146"/>
      <c r="ER168" s="146"/>
      <c r="ES168" s="146"/>
      <c r="ET168" s="146"/>
      <c r="EU168" s="146"/>
      <c r="EV168" s="146"/>
      <c r="EW168" s="146"/>
      <c r="EX168" s="146"/>
      <c r="EY168" s="146"/>
      <c r="EZ168" s="146"/>
      <c r="FA168" s="146"/>
      <c r="FB168" s="146"/>
      <c r="FC168" s="146"/>
      <c r="FD168" s="146"/>
      <c r="FE168" s="146"/>
      <c r="FF168" s="146"/>
      <c r="FG168" s="146"/>
      <c r="FH168" s="146"/>
      <c r="FI168" s="146"/>
      <c r="FJ168" s="146"/>
      <c r="FK168" s="146"/>
      <c r="FL168" s="146"/>
      <c r="FM168" s="146"/>
      <c r="FN168" s="146"/>
      <c r="FO168" s="146"/>
      <c r="FP168" s="146"/>
      <c r="FQ168" s="146"/>
      <c r="FR168" s="146"/>
      <c r="FS168" s="146"/>
      <c r="FT168" s="146"/>
      <c r="FU168" s="146"/>
      <c r="FV168" s="146"/>
      <c r="FW168" s="146"/>
      <c r="FX168" s="146"/>
      <c r="FY168" s="146"/>
      <c r="FZ168" s="146"/>
      <c r="GA168" s="146"/>
      <c r="GB168" s="146"/>
      <c r="GC168" s="146"/>
      <c r="GD168" s="146"/>
      <c r="GE168" s="146"/>
      <c r="GF168" s="146"/>
      <c r="GG168" s="146"/>
      <c r="GH168" s="146"/>
      <c r="GI168" s="146"/>
      <c r="GJ168" s="146"/>
    </row>
    <row r="169" spans="1:192" ht="63" outlineLevel="1" x14ac:dyDescent="0.35">
      <c r="A169" s="226" t="s">
        <v>396</v>
      </c>
      <c r="B169" s="197" t="s">
        <v>1055</v>
      </c>
      <c r="C169" s="197" t="s">
        <v>402</v>
      </c>
      <c r="D169" s="202" t="s">
        <v>25</v>
      </c>
      <c r="E169" s="216" t="s">
        <v>1056</v>
      </c>
      <c r="F169" s="82"/>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46"/>
      <c r="AZ169" s="146"/>
      <c r="BA169" s="146"/>
      <c r="BB169" s="146"/>
      <c r="BC169" s="146"/>
      <c r="BD169" s="146"/>
      <c r="BE169" s="146"/>
      <c r="BF169" s="146"/>
      <c r="BG169" s="146"/>
      <c r="BH169" s="146"/>
      <c r="BI169" s="146"/>
      <c r="BJ169" s="146"/>
      <c r="BK169" s="146"/>
      <c r="BL169" s="146"/>
      <c r="BM169" s="146"/>
      <c r="BN169" s="146"/>
      <c r="BO169" s="146"/>
      <c r="BP169" s="146"/>
      <c r="BQ169" s="146"/>
      <c r="BR169" s="146"/>
      <c r="BS169" s="146"/>
      <c r="BT169" s="146"/>
      <c r="BU169" s="146"/>
      <c r="BV169" s="146"/>
      <c r="BW169" s="146"/>
      <c r="BX169" s="146"/>
      <c r="BY169" s="146"/>
      <c r="BZ169" s="146"/>
      <c r="CA169" s="146"/>
      <c r="CB169" s="146"/>
      <c r="CC169" s="146"/>
      <c r="CD169" s="146"/>
      <c r="CE169" s="146"/>
      <c r="CF169" s="146"/>
      <c r="CG169" s="146"/>
      <c r="CH169" s="146"/>
      <c r="CI169" s="146"/>
      <c r="CJ169" s="146"/>
      <c r="CK169" s="146"/>
      <c r="CL169" s="146"/>
      <c r="CM169" s="146"/>
      <c r="CN169" s="146"/>
      <c r="CO169" s="146"/>
      <c r="CP169" s="146"/>
      <c r="CQ169" s="146"/>
      <c r="CR169" s="146"/>
      <c r="CS169" s="146"/>
      <c r="CT169" s="146"/>
      <c r="CU169" s="146"/>
      <c r="CV169" s="146"/>
      <c r="CW169" s="146"/>
      <c r="CX169" s="146"/>
      <c r="CY169" s="146"/>
      <c r="CZ169" s="146"/>
      <c r="DA169" s="146"/>
      <c r="DB169" s="146"/>
      <c r="DC169" s="146"/>
      <c r="DD169" s="146"/>
      <c r="DE169" s="146"/>
      <c r="DF169" s="146"/>
      <c r="DG169" s="146"/>
      <c r="DH169" s="146"/>
      <c r="DI169" s="146"/>
      <c r="DJ169" s="146"/>
      <c r="DK169" s="146"/>
      <c r="DL169" s="146"/>
      <c r="DM169" s="146"/>
      <c r="DN169" s="146"/>
      <c r="DO169" s="146"/>
      <c r="DP169" s="146"/>
      <c r="DQ169" s="146"/>
      <c r="DR169" s="146"/>
      <c r="DS169" s="146"/>
      <c r="DT169" s="146"/>
      <c r="DU169" s="146"/>
      <c r="DV169" s="146"/>
      <c r="DW169" s="146"/>
      <c r="DX169" s="146"/>
      <c r="DY169" s="146"/>
      <c r="DZ169" s="146"/>
      <c r="EA169" s="146"/>
      <c r="EB169" s="146"/>
      <c r="EC169" s="146"/>
      <c r="ED169" s="146"/>
      <c r="EE169" s="146"/>
      <c r="EF169" s="146"/>
      <c r="EG169" s="146"/>
      <c r="EH169" s="146"/>
      <c r="EI169" s="146"/>
      <c r="EJ169" s="146"/>
      <c r="EK169" s="146"/>
      <c r="EL169" s="146"/>
      <c r="EM169" s="146"/>
      <c r="EN169" s="146"/>
      <c r="EO169" s="146"/>
      <c r="EP169" s="146"/>
      <c r="EQ169" s="146"/>
      <c r="ER169" s="146"/>
      <c r="ES169" s="146"/>
      <c r="ET169" s="146"/>
      <c r="EU169" s="146"/>
      <c r="EV169" s="146"/>
      <c r="EW169" s="146"/>
      <c r="EX169" s="146"/>
      <c r="EY169" s="146"/>
      <c r="EZ169" s="146"/>
      <c r="FA169" s="146"/>
      <c r="FB169" s="146"/>
      <c r="FC169" s="146"/>
      <c r="FD169" s="146"/>
      <c r="FE169" s="146"/>
      <c r="FF169" s="146"/>
      <c r="FG169" s="146"/>
      <c r="FH169" s="146"/>
      <c r="FI169" s="146"/>
      <c r="FJ169" s="146"/>
      <c r="FK169" s="146"/>
      <c r="FL169" s="146"/>
      <c r="FM169" s="146"/>
      <c r="FN169" s="146"/>
      <c r="FO169" s="146"/>
      <c r="FP169" s="146"/>
      <c r="FQ169" s="146"/>
      <c r="FR169" s="146"/>
      <c r="FS169" s="146"/>
      <c r="FT169" s="146"/>
      <c r="FU169" s="146"/>
      <c r="FV169" s="146"/>
      <c r="FW169" s="146"/>
      <c r="FX169" s="146"/>
      <c r="FY169" s="146"/>
      <c r="FZ169" s="146"/>
      <c r="GA169" s="146"/>
      <c r="GB169" s="146"/>
      <c r="GC169" s="146"/>
      <c r="GD169" s="146"/>
      <c r="GE169" s="146"/>
      <c r="GF169" s="146"/>
      <c r="GG169" s="146"/>
      <c r="GH169" s="146"/>
      <c r="GI169" s="146"/>
      <c r="GJ169" s="146"/>
    </row>
    <row r="170" spans="1:192" ht="133.5" outlineLevel="1" x14ac:dyDescent="0.35">
      <c r="A170" s="226" t="s">
        <v>396</v>
      </c>
      <c r="B170" s="197"/>
      <c r="C170" s="197" t="s">
        <v>404</v>
      </c>
      <c r="D170" s="202" t="s">
        <v>25</v>
      </c>
      <c r="E170" s="216" t="s">
        <v>1057</v>
      </c>
      <c r="F170" s="82"/>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46"/>
      <c r="AZ170" s="146"/>
      <c r="BA170" s="146"/>
      <c r="BB170" s="146"/>
      <c r="BC170" s="146"/>
      <c r="BD170" s="146"/>
      <c r="BE170" s="146"/>
      <c r="BF170" s="146"/>
      <c r="BG170" s="146"/>
      <c r="BH170" s="146"/>
      <c r="BI170" s="146"/>
      <c r="BJ170" s="146"/>
      <c r="BK170" s="146"/>
      <c r="BL170" s="146"/>
      <c r="BM170" s="146"/>
      <c r="BN170" s="146"/>
      <c r="BO170" s="146"/>
      <c r="BP170" s="146"/>
      <c r="BQ170" s="146"/>
      <c r="BR170" s="146"/>
      <c r="BS170" s="146"/>
      <c r="BT170" s="146"/>
      <c r="BU170" s="146"/>
      <c r="BV170" s="146"/>
      <c r="BW170" s="146"/>
      <c r="BX170" s="146"/>
      <c r="BY170" s="146"/>
      <c r="BZ170" s="146"/>
      <c r="CA170" s="146"/>
      <c r="CB170" s="146"/>
      <c r="CC170" s="146"/>
      <c r="CD170" s="146"/>
      <c r="CE170" s="146"/>
      <c r="CF170" s="146"/>
      <c r="CG170" s="146"/>
      <c r="CH170" s="146"/>
      <c r="CI170" s="146"/>
      <c r="CJ170" s="146"/>
      <c r="CK170" s="146"/>
      <c r="CL170" s="146"/>
      <c r="CM170" s="146"/>
      <c r="CN170" s="146"/>
      <c r="CO170" s="146"/>
      <c r="CP170" s="146"/>
      <c r="CQ170" s="146"/>
      <c r="CR170" s="146"/>
      <c r="CS170" s="146"/>
      <c r="CT170" s="146"/>
      <c r="CU170" s="146"/>
      <c r="CV170" s="146"/>
      <c r="CW170" s="146"/>
      <c r="CX170" s="146"/>
      <c r="CY170" s="146"/>
      <c r="CZ170" s="146"/>
      <c r="DA170" s="146"/>
      <c r="DB170" s="146"/>
      <c r="DC170" s="146"/>
      <c r="DD170" s="146"/>
      <c r="DE170" s="146"/>
      <c r="DF170" s="146"/>
      <c r="DG170" s="146"/>
      <c r="DH170" s="146"/>
      <c r="DI170" s="146"/>
      <c r="DJ170" s="146"/>
      <c r="DK170" s="146"/>
      <c r="DL170" s="146"/>
      <c r="DM170" s="146"/>
      <c r="DN170" s="146"/>
      <c r="DO170" s="146"/>
      <c r="DP170" s="146"/>
      <c r="DQ170" s="146"/>
      <c r="DR170" s="146"/>
      <c r="DS170" s="146"/>
      <c r="DT170" s="146"/>
      <c r="DU170" s="146"/>
      <c r="DV170" s="146"/>
      <c r="DW170" s="146"/>
      <c r="DX170" s="146"/>
      <c r="DY170" s="146"/>
      <c r="DZ170" s="146"/>
      <c r="EA170" s="146"/>
      <c r="EB170" s="146"/>
      <c r="EC170" s="146"/>
      <c r="ED170" s="146"/>
      <c r="EE170" s="146"/>
      <c r="EF170" s="146"/>
      <c r="EG170" s="146"/>
      <c r="EH170" s="146"/>
      <c r="EI170" s="146"/>
      <c r="EJ170" s="146"/>
      <c r="EK170" s="146"/>
      <c r="EL170" s="146"/>
      <c r="EM170" s="146"/>
      <c r="EN170" s="146"/>
      <c r="EO170" s="146"/>
      <c r="EP170" s="146"/>
      <c r="EQ170" s="146"/>
      <c r="ER170" s="146"/>
      <c r="ES170" s="146"/>
      <c r="ET170" s="146"/>
      <c r="EU170" s="146"/>
      <c r="EV170" s="146"/>
      <c r="EW170" s="146"/>
      <c r="EX170" s="146"/>
      <c r="EY170" s="146"/>
      <c r="EZ170" s="146"/>
      <c r="FA170" s="146"/>
      <c r="FB170" s="146"/>
      <c r="FC170" s="146"/>
      <c r="FD170" s="146"/>
      <c r="FE170" s="146"/>
      <c r="FF170" s="146"/>
      <c r="FG170" s="146"/>
      <c r="FH170" s="146"/>
      <c r="FI170" s="146"/>
      <c r="FJ170" s="146"/>
      <c r="FK170" s="146"/>
      <c r="FL170" s="146"/>
      <c r="FM170" s="146"/>
      <c r="FN170" s="146"/>
      <c r="FO170" s="146"/>
      <c r="FP170" s="146"/>
      <c r="FQ170" s="146"/>
      <c r="FR170" s="146"/>
      <c r="FS170" s="146"/>
      <c r="FT170" s="146"/>
      <c r="FU170" s="146"/>
      <c r="FV170" s="146"/>
      <c r="FW170" s="146"/>
      <c r="FX170" s="146"/>
      <c r="FY170" s="146"/>
      <c r="FZ170" s="146"/>
      <c r="GA170" s="146"/>
      <c r="GB170" s="146"/>
      <c r="GC170" s="146"/>
      <c r="GD170" s="146"/>
      <c r="GE170" s="146"/>
      <c r="GF170" s="146"/>
      <c r="GG170" s="146"/>
      <c r="GH170" s="146"/>
      <c r="GI170" s="146"/>
      <c r="GJ170" s="146"/>
    </row>
    <row r="171" spans="1:192" ht="133" outlineLevel="1" x14ac:dyDescent="0.35">
      <c r="A171" s="226" t="s">
        <v>396</v>
      </c>
      <c r="B171" s="197"/>
      <c r="C171" s="197" t="s">
        <v>405</v>
      </c>
      <c r="D171" s="202" t="s">
        <v>25</v>
      </c>
      <c r="E171" s="216" t="s">
        <v>1058</v>
      </c>
      <c r="F171" s="82"/>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46"/>
      <c r="AZ171" s="146"/>
      <c r="BA171" s="146"/>
      <c r="BB171" s="146"/>
      <c r="BC171" s="146"/>
      <c r="BD171" s="146"/>
      <c r="BE171" s="146"/>
      <c r="BF171" s="146"/>
      <c r="BG171" s="146"/>
      <c r="BH171" s="146"/>
      <c r="BI171" s="146"/>
      <c r="BJ171" s="146"/>
      <c r="BK171" s="146"/>
      <c r="BL171" s="146"/>
      <c r="BM171" s="146"/>
      <c r="BN171" s="146"/>
      <c r="BO171" s="146"/>
      <c r="BP171" s="146"/>
      <c r="BQ171" s="146"/>
      <c r="BR171" s="146"/>
      <c r="BS171" s="146"/>
      <c r="BT171" s="146"/>
      <c r="BU171" s="146"/>
      <c r="BV171" s="146"/>
      <c r="BW171" s="146"/>
      <c r="BX171" s="146"/>
      <c r="BY171" s="146"/>
      <c r="BZ171" s="146"/>
      <c r="CA171" s="146"/>
      <c r="CB171" s="146"/>
      <c r="CC171" s="146"/>
      <c r="CD171" s="146"/>
      <c r="CE171" s="146"/>
      <c r="CF171" s="146"/>
      <c r="CG171" s="146"/>
      <c r="CH171" s="146"/>
      <c r="CI171" s="146"/>
      <c r="CJ171" s="146"/>
      <c r="CK171" s="146"/>
      <c r="CL171" s="146"/>
      <c r="CM171" s="146"/>
      <c r="CN171" s="146"/>
      <c r="CO171" s="146"/>
      <c r="CP171" s="146"/>
      <c r="CQ171" s="146"/>
      <c r="CR171" s="146"/>
      <c r="CS171" s="146"/>
      <c r="CT171" s="146"/>
      <c r="CU171" s="146"/>
      <c r="CV171" s="146"/>
      <c r="CW171" s="146"/>
      <c r="CX171" s="146"/>
      <c r="CY171" s="146"/>
      <c r="CZ171" s="146"/>
      <c r="DA171" s="146"/>
      <c r="DB171" s="146"/>
      <c r="DC171" s="146"/>
      <c r="DD171" s="146"/>
      <c r="DE171" s="146"/>
      <c r="DF171" s="146"/>
      <c r="DG171" s="146"/>
      <c r="DH171" s="146"/>
      <c r="DI171" s="146"/>
      <c r="DJ171" s="146"/>
      <c r="DK171" s="146"/>
      <c r="DL171" s="146"/>
      <c r="DM171" s="146"/>
      <c r="DN171" s="146"/>
      <c r="DO171" s="146"/>
      <c r="DP171" s="146"/>
      <c r="DQ171" s="146"/>
      <c r="DR171" s="146"/>
      <c r="DS171" s="146"/>
      <c r="DT171" s="146"/>
      <c r="DU171" s="146"/>
      <c r="DV171" s="146"/>
      <c r="DW171" s="146"/>
      <c r="DX171" s="146"/>
      <c r="DY171" s="146"/>
      <c r="DZ171" s="146"/>
      <c r="EA171" s="146"/>
      <c r="EB171" s="146"/>
      <c r="EC171" s="146"/>
      <c r="ED171" s="146"/>
      <c r="EE171" s="146"/>
      <c r="EF171" s="146"/>
      <c r="EG171" s="146"/>
      <c r="EH171" s="146"/>
      <c r="EI171" s="146"/>
      <c r="EJ171" s="146"/>
      <c r="EK171" s="146"/>
      <c r="EL171" s="146"/>
      <c r="EM171" s="146"/>
      <c r="EN171" s="146"/>
      <c r="EO171" s="146"/>
      <c r="EP171" s="146"/>
      <c r="EQ171" s="146"/>
      <c r="ER171" s="146"/>
      <c r="ES171" s="146"/>
      <c r="ET171" s="146"/>
      <c r="EU171" s="146"/>
      <c r="EV171" s="146"/>
      <c r="EW171" s="146"/>
      <c r="EX171" s="146"/>
      <c r="EY171" s="146"/>
      <c r="EZ171" s="146"/>
      <c r="FA171" s="146"/>
      <c r="FB171" s="146"/>
      <c r="FC171" s="146"/>
      <c r="FD171" s="146"/>
      <c r="FE171" s="146"/>
      <c r="FF171" s="146"/>
      <c r="FG171" s="146"/>
      <c r="FH171" s="146"/>
      <c r="FI171" s="146"/>
      <c r="FJ171" s="146"/>
      <c r="FK171" s="146"/>
      <c r="FL171" s="146"/>
      <c r="FM171" s="146"/>
      <c r="FN171" s="146"/>
      <c r="FO171" s="146"/>
      <c r="FP171" s="146"/>
      <c r="FQ171" s="146"/>
      <c r="FR171" s="146"/>
      <c r="FS171" s="146"/>
      <c r="FT171" s="146"/>
      <c r="FU171" s="146"/>
      <c r="FV171" s="146"/>
      <c r="FW171" s="146"/>
      <c r="FX171" s="146"/>
      <c r="FY171" s="146"/>
      <c r="FZ171" s="146"/>
      <c r="GA171" s="146"/>
      <c r="GB171" s="146"/>
      <c r="GC171" s="146"/>
      <c r="GD171" s="146"/>
      <c r="GE171" s="146"/>
      <c r="GF171" s="146"/>
      <c r="GG171" s="146"/>
      <c r="GH171" s="146"/>
      <c r="GI171" s="146"/>
      <c r="GJ171" s="146"/>
    </row>
    <row r="172" spans="1:192" ht="73.5" outlineLevel="1" x14ac:dyDescent="0.35">
      <c r="A172" s="226" t="s">
        <v>396</v>
      </c>
      <c r="B172" s="204" t="s">
        <v>1059</v>
      </c>
      <c r="C172" s="204" t="s">
        <v>403</v>
      </c>
      <c r="D172" s="203" t="s">
        <v>25</v>
      </c>
      <c r="E172" s="208" t="s">
        <v>1060</v>
      </c>
      <c r="F172" s="78"/>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46"/>
      <c r="AZ172" s="146"/>
      <c r="BA172" s="146"/>
      <c r="BB172" s="146"/>
      <c r="BC172" s="146"/>
      <c r="BD172" s="146"/>
      <c r="BE172" s="146"/>
      <c r="BF172" s="146"/>
      <c r="BG172" s="146"/>
      <c r="BH172" s="146"/>
      <c r="BI172" s="146"/>
      <c r="BJ172" s="146"/>
      <c r="BK172" s="146"/>
      <c r="BL172" s="146"/>
      <c r="BM172" s="146"/>
      <c r="BN172" s="146"/>
      <c r="BO172" s="146"/>
      <c r="BP172" s="146"/>
      <c r="BQ172" s="146"/>
      <c r="BR172" s="146"/>
      <c r="BS172" s="146"/>
      <c r="BT172" s="146"/>
      <c r="BU172" s="146"/>
      <c r="BV172" s="146"/>
      <c r="BW172" s="146"/>
      <c r="BX172" s="146"/>
      <c r="BY172" s="146"/>
      <c r="BZ172" s="146"/>
      <c r="CA172" s="146"/>
      <c r="CB172" s="146"/>
      <c r="CC172" s="146"/>
      <c r="CD172" s="146"/>
      <c r="CE172" s="146"/>
      <c r="CF172" s="146"/>
      <c r="CG172" s="146"/>
      <c r="CH172" s="146"/>
      <c r="CI172" s="146"/>
      <c r="CJ172" s="146"/>
      <c r="CK172" s="146"/>
      <c r="CL172" s="146"/>
      <c r="CM172" s="146"/>
      <c r="CN172" s="146"/>
      <c r="CO172" s="146"/>
      <c r="CP172" s="146"/>
      <c r="CQ172" s="146"/>
      <c r="CR172" s="146"/>
      <c r="CS172" s="146"/>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46"/>
      <c r="FB172" s="146"/>
      <c r="FC172" s="146"/>
      <c r="FD172" s="146"/>
      <c r="FE172" s="146"/>
      <c r="FF172" s="146"/>
      <c r="FG172" s="146"/>
      <c r="FH172" s="146"/>
      <c r="FI172" s="146"/>
      <c r="FJ172" s="146"/>
      <c r="FK172" s="146"/>
      <c r="FL172" s="146"/>
      <c r="FM172" s="146"/>
      <c r="FN172" s="146"/>
      <c r="FO172" s="146"/>
      <c r="FP172" s="146"/>
      <c r="FQ172" s="146"/>
      <c r="FR172" s="146"/>
      <c r="FS172" s="146"/>
      <c r="FT172" s="146"/>
      <c r="FU172" s="146"/>
      <c r="FV172" s="146"/>
      <c r="FW172" s="146"/>
      <c r="FX172" s="146"/>
      <c r="FY172" s="146"/>
      <c r="FZ172" s="146"/>
      <c r="GA172" s="146"/>
      <c r="GB172" s="146"/>
      <c r="GC172" s="146"/>
      <c r="GD172" s="146"/>
      <c r="GE172" s="146"/>
      <c r="GF172" s="146"/>
      <c r="GG172" s="146"/>
      <c r="GH172" s="146"/>
      <c r="GI172" s="146"/>
      <c r="GJ172" s="146"/>
    </row>
    <row r="173" spans="1:192" ht="73.5" outlineLevel="1" x14ac:dyDescent="0.35">
      <c r="A173" s="226" t="s">
        <v>396</v>
      </c>
      <c r="B173" s="204"/>
      <c r="C173" s="204" t="s">
        <v>406</v>
      </c>
      <c r="D173" s="203" t="s">
        <v>25</v>
      </c>
      <c r="E173" s="208" t="s">
        <v>1061</v>
      </c>
      <c r="F173" s="78"/>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46"/>
      <c r="AZ173" s="146"/>
      <c r="BA173" s="146"/>
      <c r="BB173" s="146"/>
      <c r="BC173" s="146"/>
      <c r="BD173" s="146"/>
      <c r="BE173" s="146"/>
      <c r="BF173" s="146"/>
      <c r="BG173" s="146"/>
      <c r="BH173" s="146"/>
      <c r="BI173" s="146"/>
      <c r="BJ173" s="146"/>
      <c r="BK173" s="146"/>
      <c r="BL173" s="146"/>
      <c r="BM173" s="146"/>
      <c r="BN173" s="146"/>
      <c r="BO173" s="146"/>
      <c r="BP173" s="146"/>
      <c r="BQ173" s="146"/>
      <c r="BR173" s="146"/>
      <c r="BS173" s="146"/>
      <c r="BT173" s="146"/>
      <c r="BU173" s="146"/>
      <c r="BV173" s="146"/>
      <c r="BW173" s="146"/>
      <c r="BX173" s="146"/>
      <c r="BY173" s="146"/>
      <c r="BZ173" s="146"/>
      <c r="CA173" s="146"/>
      <c r="CB173" s="146"/>
      <c r="CC173" s="146"/>
      <c r="CD173" s="146"/>
      <c r="CE173" s="146"/>
      <c r="CF173" s="146"/>
      <c r="CG173" s="146"/>
      <c r="CH173" s="146"/>
      <c r="CI173" s="146"/>
      <c r="CJ173" s="146"/>
      <c r="CK173" s="146"/>
      <c r="CL173" s="146"/>
      <c r="CM173" s="146"/>
      <c r="CN173" s="146"/>
      <c r="CO173" s="146"/>
      <c r="CP173" s="146"/>
      <c r="CQ173" s="146"/>
      <c r="CR173" s="146"/>
      <c r="CS173" s="146"/>
      <c r="CT173" s="146"/>
      <c r="CU173" s="146"/>
      <c r="CV173" s="146"/>
      <c r="CW173" s="146"/>
      <c r="CX173" s="146"/>
      <c r="CY173" s="146"/>
      <c r="CZ173" s="146"/>
      <c r="DA173" s="146"/>
      <c r="DB173" s="146"/>
      <c r="DC173" s="146"/>
      <c r="DD173" s="146"/>
      <c r="DE173" s="146"/>
      <c r="DF173" s="146"/>
      <c r="DG173" s="146"/>
      <c r="DH173" s="146"/>
      <c r="DI173" s="146"/>
      <c r="DJ173" s="146"/>
      <c r="DK173" s="146"/>
      <c r="DL173" s="146"/>
      <c r="DM173" s="146"/>
      <c r="DN173" s="146"/>
      <c r="DO173" s="146"/>
      <c r="DP173" s="146"/>
      <c r="DQ173" s="146"/>
      <c r="DR173" s="146"/>
      <c r="DS173" s="146"/>
      <c r="DT173" s="146"/>
      <c r="DU173" s="146"/>
      <c r="DV173" s="146"/>
      <c r="DW173" s="146"/>
      <c r="DX173" s="146"/>
      <c r="DY173" s="146"/>
      <c r="DZ173" s="146"/>
      <c r="EA173" s="146"/>
      <c r="EB173" s="146"/>
      <c r="EC173" s="146"/>
      <c r="ED173" s="146"/>
      <c r="EE173" s="146"/>
      <c r="EF173" s="146"/>
      <c r="EG173" s="146"/>
      <c r="EH173" s="146"/>
      <c r="EI173" s="146"/>
      <c r="EJ173" s="146"/>
      <c r="EK173" s="146"/>
      <c r="EL173" s="146"/>
      <c r="EM173" s="146"/>
      <c r="EN173" s="146"/>
      <c r="EO173" s="146"/>
      <c r="EP173" s="146"/>
      <c r="EQ173" s="146"/>
      <c r="ER173" s="146"/>
      <c r="ES173" s="146"/>
      <c r="ET173" s="146"/>
      <c r="EU173" s="146"/>
      <c r="EV173" s="146"/>
      <c r="EW173" s="146"/>
      <c r="EX173" s="146"/>
      <c r="EY173" s="146"/>
      <c r="EZ173" s="146"/>
      <c r="FA173" s="146"/>
      <c r="FB173" s="146"/>
      <c r="FC173" s="146"/>
      <c r="FD173" s="146"/>
      <c r="FE173" s="146"/>
      <c r="FF173" s="146"/>
      <c r="FG173" s="146"/>
      <c r="FH173" s="146"/>
      <c r="FI173" s="146"/>
      <c r="FJ173" s="146"/>
      <c r="FK173" s="146"/>
      <c r="FL173" s="146"/>
      <c r="FM173" s="146"/>
      <c r="FN173" s="146"/>
      <c r="FO173" s="146"/>
      <c r="FP173" s="146"/>
      <c r="FQ173" s="146"/>
      <c r="FR173" s="146"/>
      <c r="FS173" s="146"/>
      <c r="FT173" s="146"/>
      <c r="FU173" s="146"/>
      <c r="FV173" s="146"/>
      <c r="FW173" s="146"/>
      <c r="FX173" s="146"/>
      <c r="FY173" s="146"/>
      <c r="FZ173" s="146"/>
      <c r="GA173" s="146"/>
      <c r="GB173" s="146"/>
      <c r="GC173" s="146"/>
      <c r="GD173" s="146"/>
      <c r="GE173" s="146"/>
      <c r="GF173" s="146"/>
      <c r="GG173" s="146"/>
      <c r="GH173" s="146"/>
      <c r="GI173" s="146"/>
      <c r="GJ173" s="146"/>
    </row>
    <row r="174" spans="1:192" ht="84" outlineLevel="1" x14ac:dyDescent="0.35">
      <c r="A174" s="226" t="s">
        <v>396</v>
      </c>
      <c r="B174" s="204"/>
      <c r="C174" s="204" t="s">
        <v>407</v>
      </c>
      <c r="D174" s="203" t="s">
        <v>25</v>
      </c>
      <c r="E174" s="208" t="s">
        <v>1062</v>
      </c>
      <c r="F174" s="78"/>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46"/>
      <c r="DZ174" s="146"/>
      <c r="EA174" s="146"/>
      <c r="EB174" s="146"/>
      <c r="EC174" s="146"/>
      <c r="ED174" s="146"/>
      <c r="EE174" s="146"/>
      <c r="EF174" s="146"/>
      <c r="EG174" s="146"/>
      <c r="EH174" s="146"/>
      <c r="EI174" s="146"/>
      <c r="EJ174" s="146"/>
      <c r="EK174" s="146"/>
      <c r="EL174" s="146"/>
      <c r="EM174" s="146"/>
      <c r="EN174" s="146"/>
      <c r="EO174" s="146"/>
      <c r="EP174" s="146"/>
      <c r="EQ174" s="146"/>
      <c r="ER174" s="146"/>
      <c r="ES174" s="146"/>
      <c r="ET174" s="146"/>
      <c r="EU174" s="146"/>
      <c r="EV174" s="146"/>
      <c r="EW174" s="146"/>
      <c r="EX174" s="146"/>
      <c r="EY174" s="146"/>
      <c r="EZ174" s="146"/>
      <c r="FA174" s="146"/>
      <c r="FB174" s="146"/>
      <c r="FC174" s="146"/>
      <c r="FD174" s="146"/>
      <c r="FE174" s="146"/>
      <c r="FF174" s="146"/>
      <c r="FG174" s="146"/>
      <c r="FH174" s="146"/>
      <c r="FI174" s="146"/>
      <c r="FJ174" s="146"/>
      <c r="FK174" s="146"/>
      <c r="FL174" s="146"/>
      <c r="FM174" s="146"/>
      <c r="FN174" s="146"/>
      <c r="FO174" s="146"/>
      <c r="FP174" s="146"/>
      <c r="FQ174" s="146"/>
      <c r="FR174" s="146"/>
      <c r="FS174" s="146"/>
      <c r="FT174" s="146"/>
      <c r="FU174" s="146"/>
      <c r="FV174" s="146"/>
      <c r="FW174" s="146"/>
      <c r="FX174" s="146"/>
      <c r="FY174" s="146"/>
      <c r="FZ174" s="146"/>
      <c r="GA174" s="146"/>
      <c r="GB174" s="146"/>
      <c r="GC174" s="146"/>
      <c r="GD174" s="146"/>
      <c r="GE174" s="146"/>
      <c r="GF174" s="146"/>
      <c r="GG174" s="146"/>
      <c r="GH174" s="146"/>
      <c r="GI174" s="146"/>
      <c r="GJ174" s="146"/>
    </row>
    <row r="175" spans="1:192" ht="112" outlineLevel="1" x14ac:dyDescent="0.35">
      <c r="A175" s="226" t="s">
        <v>396</v>
      </c>
      <c r="B175" s="197" t="s">
        <v>1063</v>
      </c>
      <c r="C175" s="197" t="s">
        <v>408</v>
      </c>
      <c r="D175" s="202" t="s">
        <v>24</v>
      </c>
      <c r="E175" s="216" t="s">
        <v>1064</v>
      </c>
      <c r="F175" s="82"/>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46"/>
      <c r="DZ175" s="146"/>
      <c r="EA175" s="146"/>
      <c r="EB175" s="146"/>
      <c r="EC175" s="146"/>
      <c r="ED175" s="146"/>
      <c r="EE175" s="146"/>
      <c r="EF175" s="146"/>
      <c r="EG175" s="146"/>
      <c r="EH175" s="146"/>
      <c r="EI175" s="146"/>
      <c r="EJ175" s="146"/>
      <c r="EK175" s="146"/>
      <c r="EL175" s="146"/>
      <c r="EM175" s="146"/>
      <c r="EN175" s="146"/>
      <c r="EO175" s="146"/>
      <c r="EP175" s="146"/>
      <c r="EQ175" s="146"/>
      <c r="ER175" s="146"/>
      <c r="ES175" s="146"/>
      <c r="ET175" s="146"/>
      <c r="EU175" s="146"/>
      <c r="EV175" s="146"/>
      <c r="EW175" s="146"/>
      <c r="EX175" s="146"/>
      <c r="EY175" s="146"/>
      <c r="EZ175" s="146"/>
      <c r="FA175" s="146"/>
      <c r="FB175" s="146"/>
      <c r="FC175" s="146"/>
      <c r="FD175" s="146"/>
      <c r="FE175" s="146"/>
      <c r="FF175" s="146"/>
      <c r="FG175" s="146"/>
      <c r="FH175" s="146"/>
      <c r="FI175" s="146"/>
      <c r="FJ175" s="146"/>
      <c r="FK175" s="146"/>
      <c r="FL175" s="146"/>
      <c r="FM175" s="146"/>
      <c r="FN175" s="146"/>
      <c r="FO175" s="146"/>
      <c r="FP175" s="146"/>
      <c r="FQ175" s="146"/>
      <c r="FR175" s="146"/>
      <c r="FS175" s="146"/>
      <c r="FT175" s="146"/>
      <c r="FU175" s="146"/>
      <c r="FV175" s="146"/>
      <c r="FW175" s="146"/>
      <c r="FX175" s="146"/>
      <c r="FY175" s="146"/>
      <c r="FZ175" s="146"/>
      <c r="GA175" s="146"/>
      <c r="GB175" s="146"/>
      <c r="GC175" s="146"/>
      <c r="GD175" s="146"/>
      <c r="GE175" s="146"/>
      <c r="GF175" s="146"/>
      <c r="GG175" s="146"/>
      <c r="GH175" s="146"/>
      <c r="GI175" s="146"/>
      <c r="GJ175" s="146"/>
    </row>
    <row r="176" spans="1:192" ht="72" outlineLevel="1" x14ac:dyDescent="0.35">
      <c r="A176" s="226" t="s">
        <v>396</v>
      </c>
      <c r="B176" s="204" t="s">
        <v>1065</v>
      </c>
      <c r="C176" s="204" t="s">
        <v>409</v>
      </c>
      <c r="D176" s="203" t="s">
        <v>24</v>
      </c>
      <c r="E176" s="208" t="s">
        <v>1066</v>
      </c>
      <c r="F176" s="78"/>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row>
    <row r="177" spans="1:192" ht="121" outlineLevel="1" x14ac:dyDescent="0.35">
      <c r="A177" s="226" t="s">
        <v>396</v>
      </c>
      <c r="B177" s="197" t="s">
        <v>728</v>
      </c>
      <c r="C177" s="197" t="s">
        <v>410</v>
      </c>
      <c r="D177" s="202" t="s">
        <v>24</v>
      </c>
      <c r="E177" s="223" t="s">
        <v>1067</v>
      </c>
      <c r="F177" s="82"/>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46"/>
      <c r="DZ177" s="146"/>
      <c r="EA177" s="146"/>
      <c r="EB177" s="146"/>
      <c r="EC177" s="146"/>
      <c r="ED177" s="146"/>
      <c r="EE177" s="146"/>
      <c r="EF177" s="146"/>
      <c r="EG177" s="146"/>
      <c r="EH177" s="146"/>
      <c r="EI177" s="146"/>
      <c r="EJ177" s="146"/>
      <c r="EK177" s="146"/>
      <c r="EL177" s="146"/>
      <c r="EM177" s="146"/>
      <c r="EN177" s="146"/>
      <c r="EO177" s="146"/>
      <c r="EP177" s="146"/>
      <c r="EQ177" s="146"/>
      <c r="ER177" s="146"/>
      <c r="ES177" s="146"/>
      <c r="ET177" s="146"/>
      <c r="EU177" s="146"/>
      <c r="EV177" s="146"/>
      <c r="EW177" s="146"/>
      <c r="EX177" s="146"/>
      <c r="EY177" s="146"/>
      <c r="EZ177" s="146"/>
      <c r="FA177" s="146"/>
      <c r="FB177" s="146"/>
      <c r="FC177" s="146"/>
      <c r="FD177" s="146"/>
      <c r="FE177" s="146"/>
      <c r="FF177" s="146"/>
      <c r="FG177" s="146"/>
      <c r="FH177" s="146"/>
      <c r="FI177" s="146"/>
      <c r="FJ177" s="146"/>
      <c r="FK177" s="146"/>
      <c r="FL177" s="146"/>
      <c r="FM177" s="146"/>
      <c r="FN177" s="146"/>
      <c r="FO177" s="146"/>
      <c r="FP177" s="146"/>
      <c r="FQ177" s="146"/>
      <c r="FR177" s="146"/>
      <c r="FS177" s="146"/>
      <c r="FT177" s="146"/>
      <c r="FU177" s="146"/>
      <c r="FV177" s="146"/>
      <c r="FW177" s="146"/>
      <c r="FX177" s="146"/>
      <c r="FY177" s="146"/>
      <c r="FZ177" s="146"/>
      <c r="GA177" s="146"/>
      <c r="GB177" s="146"/>
      <c r="GC177" s="146"/>
      <c r="GD177" s="146"/>
      <c r="GE177" s="146"/>
      <c r="GF177" s="146"/>
      <c r="GG177" s="146"/>
      <c r="GH177" s="146"/>
      <c r="GI177" s="146"/>
      <c r="GJ177" s="146"/>
    </row>
    <row r="178" spans="1:192" ht="52.5" outlineLevel="1" x14ac:dyDescent="0.35">
      <c r="A178" s="226" t="s">
        <v>396</v>
      </c>
      <c r="B178" s="204" t="s">
        <v>1068</v>
      </c>
      <c r="C178" s="204" t="s">
        <v>411</v>
      </c>
      <c r="D178" s="203" t="s">
        <v>24</v>
      </c>
      <c r="E178" s="208" t="s">
        <v>1070</v>
      </c>
      <c r="F178" s="78"/>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46"/>
      <c r="FB178" s="146"/>
      <c r="FC178" s="146"/>
      <c r="FD178" s="146"/>
      <c r="FE178" s="146"/>
      <c r="FF178" s="146"/>
      <c r="FG178" s="146"/>
      <c r="FH178" s="146"/>
      <c r="FI178" s="146"/>
      <c r="FJ178" s="146"/>
      <c r="FK178" s="146"/>
      <c r="FL178" s="146"/>
      <c r="FM178" s="146"/>
      <c r="FN178" s="146"/>
      <c r="FO178" s="146"/>
      <c r="FP178" s="146"/>
      <c r="FQ178" s="146"/>
      <c r="FR178" s="146"/>
      <c r="FS178" s="146"/>
      <c r="FT178" s="146"/>
      <c r="FU178" s="146"/>
      <c r="FV178" s="146"/>
      <c r="FW178" s="146"/>
      <c r="FX178" s="146"/>
      <c r="FY178" s="146"/>
      <c r="FZ178" s="146"/>
      <c r="GA178" s="146"/>
      <c r="GB178" s="146"/>
      <c r="GC178" s="146"/>
      <c r="GD178" s="146"/>
      <c r="GE178" s="146"/>
      <c r="GF178" s="146"/>
      <c r="GG178" s="146"/>
      <c r="GH178" s="146"/>
      <c r="GI178" s="146"/>
      <c r="GJ178" s="146"/>
    </row>
    <row r="179" spans="1:192" ht="52.5" x14ac:dyDescent="0.35">
      <c r="A179" s="226" t="s">
        <v>396</v>
      </c>
      <c r="B179" s="204"/>
      <c r="C179" s="204" t="s">
        <v>729</v>
      </c>
      <c r="D179" s="203" t="s">
        <v>24</v>
      </c>
      <c r="E179" s="208" t="s">
        <v>1071</v>
      </c>
      <c r="F179" s="78"/>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46"/>
      <c r="FB179" s="146"/>
      <c r="FC179" s="146"/>
      <c r="FD179" s="146"/>
      <c r="FE179" s="146"/>
      <c r="FF179" s="146"/>
      <c r="FG179" s="146"/>
      <c r="FH179" s="146"/>
      <c r="FI179" s="146"/>
      <c r="FJ179" s="146"/>
      <c r="FK179" s="146"/>
      <c r="FL179" s="146"/>
      <c r="FM179" s="146"/>
      <c r="FN179" s="146"/>
      <c r="FO179" s="146"/>
      <c r="FP179" s="146"/>
      <c r="FQ179" s="146"/>
      <c r="FR179" s="146"/>
      <c r="FS179" s="146"/>
      <c r="FT179" s="146"/>
      <c r="FU179" s="146"/>
      <c r="FV179" s="146"/>
      <c r="FW179" s="146"/>
      <c r="FX179" s="146"/>
      <c r="FY179" s="146"/>
      <c r="FZ179" s="146"/>
      <c r="GA179" s="146"/>
      <c r="GB179" s="146"/>
      <c r="GC179" s="146"/>
      <c r="GD179" s="146"/>
      <c r="GE179" s="146"/>
      <c r="GF179" s="146"/>
      <c r="GG179" s="146"/>
      <c r="GH179" s="146"/>
      <c r="GI179" s="146"/>
      <c r="GJ179" s="146"/>
    </row>
    <row r="180" spans="1:192" ht="42" outlineLevel="1" x14ac:dyDescent="0.35">
      <c r="A180" s="226" t="s">
        <v>396</v>
      </c>
      <c r="B180" s="204"/>
      <c r="C180" s="204" t="s">
        <v>730</v>
      </c>
      <c r="D180" s="203" t="s">
        <v>24</v>
      </c>
      <c r="E180" s="208" t="s">
        <v>1072</v>
      </c>
      <c r="F180" s="78"/>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46"/>
      <c r="DZ180" s="146"/>
      <c r="EA180" s="146"/>
      <c r="EB180" s="146"/>
      <c r="EC180" s="146"/>
      <c r="ED180" s="146"/>
      <c r="EE180" s="146"/>
      <c r="EF180" s="146"/>
      <c r="EG180" s="146"/>
      <c r="EH180" s="146"/>
      <c r="EI180" s="146"/>
      <c r="EJ180" s="146"/>
      <c r="EK180" s="146"/>
      <c r="EL180" s="146"/>
      <c r="EM180" s="146"/>
      <c r="EN180" s="146"/>
      <c r="EO180" s="146"/>
      <c r="EP180" s="146"/>
      <c r="EQ180" s="146"/>
      <c r="ER180" s="146"/>
      <c r="ES180" s="146"/>
      <c r="ET180" s="146"/>
      <c r="EU180" s="146"/>
      <c r="EV180" s="146"/>
      <c r="EW180" s="146"/>
      <c r="EX180" s="146"/>
      <c r="EY180" s="146"/>
      <c r="EZ180" s="146"/>
      <c r="FA180" s="146"/>
      <c r="FB180" s="146"/>
      <c r="FC180" s="146"/>
      <c r="FD180" s="146"/>
      <c r="FE180" s="146"/>
      <c r="FF180" s="146"/>
      <c r="FG180" s="146"/>
      <c r="FH180" s="146"/>
      <c r="FI180" s="146"/>
      <c r="FJ180" s="146"/>
      <c r="FK180" s="146"/>
      <c r="FL180" s="146"/>
      <c r="FM180" s="146"/>
      <c r="FN180" s="146"/>
      <c r="FO180" s="146"/>
      <c r="FP180" s="146"/>
      <c r="FQ180" s="146"/>
      <c r="FR180" s="146"/>
      <c r="FS180" s="146"/>
      <c r="FT180" s="146"/>
      <c r="FU180" s="146"/>
      <c r="FV180" s="146"/>
      <c r="FW180" s="146"/>
      <c r="FX180" s="146"/>
      <c r="FY180" s="146"/>
      <c r="FZ180" s="146"/>
      <c r="GA180" s="146"/>
      <c r="GB180" s="146"/>
      <c r="GC180" s="146"/>
      <c r="GD180" s="146"/>
      <c r="GE180" s="146"/>
      <c r="GF180" s="146"/>
      <c r="GG180" s="146"/>
      <c r="GH180" s="146"/>
      <c r="GI180" s="146"/>
      <c r="GJ180" s="146"/>
    </row>
    <row r="181" spans="1:192" ht="52.5" outlineLevel="1" x14ac:dyDescent="0.35">
      <c r="A181" s="226" t="s">
        <v>396</v>
      </c>
      <c r="B181" s="204"/>
      <c r="C181" s="204" t="s">
        <v>731</v>
      </c>
      <c r="D181" s="203" t="s">
        <v>24</v>
      </c>
      <c r="E181" s="208" t="s">
        <v>1073</v>
      </c>
      <c r="F181" s="78"/>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46"/>
      <c r="DZ181" s="146"/>
      <c r="EA181" s="146"/>
      <c r="EB181" s="146"/>
      <c r="EC181" s="146"/>
      <c r="ED181" s="146"/>
      <c r="EE181" s="146"/>
      <c r="EF181" s="146"/>
      <c r="EG181" s="146"/>
      <c r="EH181" s="146"/>
      <c r="EI181" s="146"/>
      <c r="EJ181" s="146"/>
      <c r="EK181" s="146"/>
      <c r="EL181" s="146"/>
      <c r="EM181" s="146"/>
      <c r="EN181" s="146"/>
      <c r="EO181" s="146"/>
      <c r="EP181" s="146"/>
      <c r="EQ181" s="146"/>
      <c r="ER181" s="146"/>
      <c r="ES181" s="146"/>
      <c r="ET181" s="146"/>
      <c r="EU181" s="146"/>
      <c r="EV181" s="146"/>
      <c r="EW181" s="146"/>
      <c r="EX181" s="146"/>
      <c r="EY181" s="146"/>
      <c r="EZ181" s="146"/>
      <c r="FA181" s="146"/>
      <c r="FB181" s="146"/>
      <c r="FC181" s="146"/>
      <c r="FD181" s="146"/>
      <c r="FE181" s="146"/>
      <c r="FF181" s="146"/>
      <c r="FG181" s="146"/>
      <c r="FH181" s="146"/>
      <c r="FI181" s="146"/>
      <c r="FJ181" s="146"/>
      <c r="FK181" s="146"/>
      <c r="FL181" s="146"/>
      <c r="FM181" s="146"/>
      <c r="FN181" s="146"/>
      <c r="FO181" s="146"/>
      <c r="FP181" s="146"/>
      <c r="FQ181" s="146"/>
      <c r="FR181" s="146"/>
      <c r="FS181" s="146"/>
      <c r="FT181" s="146"/>
      <c r="FU181" s="146"/>
      <c r="FV181" s="146"/>
      <c r="FW181" s="146"/>
      <c r="FX181" s="146"/>
      <c r="FY181" s="146"/>
      <c r="FZ181" s="146"/>
      <c r="GA181" s="146"/>
      <c r="GB181" s="146"/>
      <c r="GC181" s="146"/>
      <c r="GD181" s="146"/>
      <c r="GE181" s="146"/>
      <c r="GF181" s="146"/>
      <c r="GG181" s="146"/>
      <c r="GH181" s="146"/>
      <c r="GI181" s="146"/>
      <c r="GJ181" s="146"/>
    </row>
    <row r="182" spans="1:192" ht="60" outlineLevel="1" x14ac:dyDescent="0.35">
      <c r="A182" s="226" t="s">
        <v>396</v>
      </c>
      <c r="B182" s="197" t="s">
        <v>1069</v>
      </c>
      <c r="C182" s="197" t="s">
        <v>412</v>
      </c>
      <c r="D182" s="202" t="s">
        <v>24</v>
      </c>
      <c r="E182" s="216" t="s">
        <v>1074</v>
      </c>
      <c r="F182" s="82"/>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46"/>
      <c r="DZ182" s="146"/>
      <c r="EA182" s="146"/>
      <c r="EB182" s="146"/>
      <c r="EC182" s="146"/>
      <c r="ED182" s="146"/>
      <c r="EE182" s="146"/>
      <c r="EF182" s="146"/>
      <c r="EG182" s="146"/>
      <c r="EH182" s="146"/>
      <c r="EI182" s="146"/>
      <c r="EJ182" s="146"/>
      <c r="EK182" s="146"/>
      <c r="EL182" s="146"/>
      <c r="EM182" s="146"/>
      <c r="EN182" s="146"/>
      <c r="EO182" s="146"/>
      <c r="EP182" s="146"/>
      <c r="EQ182" s="146"/>
      <c r="ER182" s="146"/>
      <c r="ES182" s="146"/>
      <c r="ET182" s="146"/>
      <c r="EU182" s="146"/>
      <c r="EV182" s="146"/>
      <c r="EW182" s="146"/>
      <c r="EX182" s="146"/>
      <c r="EY182" s="146"/>
      <c r="EZ182" s="146"/>
      <c r="FA182" s="146"/>
      <c r="FB182" s="146"/>
      <c r="FC182" s="146"/>
      <c r="FD182" s="146"/>
      <c r="FE182" s="146"/>
      <c r="FF182" s="146"/>
      <c r="FG182" s="146"/>
      <c r="FH182" s="146"/>
      <c r="FI182" s="146"/>
      <c r="FJ182" s="146"/>
      <c r="FK182" s="146"/>
      <c r="FL182" s="146"/>
      <c r="FM182" s="146"/>
      <c r="FN182" s="146"/>
      <c r="FO182" s="146"/>
      <c r="FP182" s="146"/>
      <c r="FQ182" s="146"/>
      <c r="FR182" s="146"/>
      <c r="FS182" s="146"/>
      <c r="FT182" s="146"/>
      <c r="FU182" s="146"/>
      <c r="FV182" s="146"/>
      <c r="FW182" s="146"/>
      <c r="FX182" s="146"/>
      <c r="FY182" s="146"/>
      <c r="FZ182" s="146"/>
      <c r="GA182" s="146"/>
      <c r="GB182" s="146"/>
      <c r="GC182" s="146"/>
      <c r="GD182" s="146"/>
      <c r="GE182" s="146"/>
      <c r="GF182" s="146"/>
      <c r="GG182" s="146"/>
      <c r="GH182" s="146"/>
      <c r="GI182" s="146"/>
      <c r="GJ182" s="146"/>
    </row>
    <row r="183" spans="1:192" ht="52.5" outlineLevel="1" x14ac:dyDescent="0.35">
      <c r="A183" s="226" t="s">
        <v>396</v>
      </c>
      <c r="B183" s="197"/>
      <c r="C183" s="197" t="s">
        <v>732</v>
      </c>
      <c r="D183" s="202" t="s">
        <v>24</v>
      </c>
      <c r="E183" s="216" t="s">
        <v>1075</v>
      </c>
      <c r="F183" s="82"/>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46"/>
      <c r="DZ183" s="146"/>
      <c r="EA183" s="146"/>
      <c r="EB183" s="146"/>
      <c r="EC183" s="146"/>
      <c r="ED183" s="146"/>
      <c r="EE183" s="146"/>
      <c r="EF183" s="146"/>
      <c r="EG183" s="146"/>
      <c r="EH183" s="146"/>
      <c r="EI183" s="146"/>
      <c r="EJ183" s="146"/>
      <c r="EK183" s="146"/>
      <c r="EL183" s="146"/>
      <c r="EM183" s="146"/>
      <c r="EN183" s="146"/>
      <c r="EO183" s="146"/>
      <c r="EP183" s="146"/>
      <c r="EQ183" s="146"/>
      <c r="ER183" s="146"/>
      <c r="ES183" s="146"/>
      <c r="ET183" s="146"/>
      <c r="EU183" s="146"/>
      <c r="EV183" s="146"/>
      <c r="EW183" s="146"/>
      <c r="EX183" s="146"/>
      <c r="EY183" s="146"/>
      <c r="EZ183" s="146"/>
      <c r="FA183" s="146"/>
      <c r="FB183" s="146"/>
      <c r="FC183" s="146"/>
      <c r="FD183" s="146"/>
      <c r="FE183" s="146"/>
      <c r="FF183" s="146"/>
      <c r="FG183" s="146"/>
      <c r="FH183" s="146"/>
      <c r="FI183" s="146"/>
      <c r="FJ183" s="146"/>
      <c r="FK183" s="146"/>
      <c r="FL183" s="146"/>
      <c r="FM183" s="146"/>
      <c r="FN183" s="146"/>
      <c r="FO183" s="146"/>
      <c r="FP183" s="146"/>
      <c r="FQ183" s="146"/>
      <c r="FR183" s="146"/>
      <c r="FS183" s="146"/>
      <c r="FT183" s="146"/>
      <c r="FU183" s="146"/>
      <c r="FV183" s="146"/>
      <c r="FW183" s="146"/>
      <c r="FX183" s="146"/>
      <c r="FY183" s="146"/>
      <c r="FZ183" s="146"/>
      <c r="GA183" s="146"/>
      <c r="GB183" s="146"/>
      <c r="GC183" s="146"/>
      <c r="GD183" s="146"/>
      <c r="GE183" s="146"/>
      <c r="GF183" s="146"/>
      <c r="GG183" s="146"/>
      <c r="GH183" s="146"/>
      <c r="GI183" s="146"/>
      <c r="GJ183" s="146"/>
    </row>
    <row r="184" spans="1:192" ht="52.5" outlineLevel="1" x14ac:dyDescent="0.35">
      <c r="A184" s="226" t="s">
        <v>396</v>
      </c>
      <c r="B184" s="197"/>
      <c r="C184" s="197" t="s">
        <v>733</v>
      </c>
      <c r="D184" s="202" t="s">
        <v>24</v>
      </c>
      <c r="E184" s="216" t="s">
        <v>1076</v>
      </c>
      <c r="F184" s="82"/>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46"/>
      <c r="DZ184" s="146"/>
      <c r="EA184" s="146"/>
      <c r="EB184" s="146"/>
      <c r="EC184" s="146"/>
      <c r="ED184" s="146"/>
      <c r="EE184" s="146"/>
      <c r="EF184" s="146"/>
      <c r="EG184" s="146"/>
      <c r="EH184" s="146"/>
      <c r="EI184" s="146"/>
      <c r="EJ184" s="146"/>
      <c r="EK184" s="146"/>
      <c r="EL184" s="146"/>
      <c r="EM184" s="146"/>
      <c r="EN184" s="146"/>
      <c r="EO184" s="146"/>
      <c r="EP184" s="146"/>
      <c r="EQ184" s="146"/>
      <c r="ER184" s="146"/>
      <c r="ES184" s="146"/>
      <c r="ET184" s="146"/>
      <c r="EU184" s="146"/>
      <c r="EV184" s="146"/>
      <c r="EW184" s="146"/>
      <c r="EX184" s="146"/>
      <c r="EY184" s="146"/>
      <c r="EZ184" s="146"/>
      <c r="FA184" s="146"/>
      <c r="FB184" s="146"/>
      <c r="FC184" s="146"/>
      <c r="FD184" s="146"/>
      <c r="FE184" s="146"/>
      <c r="FF184" s="146"/>
      <c r="FG184" s="146"/>
      <c r="FH184" s="146"/>
      <c r="FI184" s="146"/>
      <c r="FJ184" s="146"/>
      <c r="FK184" s="146"/>
      <c r="FL184" s="146"/>
      <c r="FM184" s="146"/>
      <c r="FN184" s="146"/>
      <c r="FO184" s="146"/>
      <c r="FP184" s="146"/>
      <c r="FQ184" s="146"/>
      <c r="FR184" s="146"/>
      <c r="FS184" s="146"/>
      <c r="FT184" s="146"/>
      <c r="FU184" s="146"/>
      <c r="FV184" s="146"/>
      <c r="FW184" s="146"/>
      <c r="FX184" s="146"/>
      <c r="FY184" s="146"/>
      <c r="FZ184" s="146"/>
      <c r="GA184" s="146"/>
      <c r="GB184" s="146"/>
      <c r="GC184" s="146"/>
      <c r="GD184" s="146"/>
      <c r="GE184" s="146"/>
      <c r="GF184" s="146"/>
      <c r="GG184" s="146"/>
      <c r="GH184" s="146"/>
      <c r="GI184" s="146"/>
      <c r="GJ184" s="146"/>
    </row>
    <row r="185" spans="1:192" ht="52.5" outlineLevel="1" x14ac:dyDescent="0.35">
      <c r="A185" s="226" t="s">
        <v>396</v>
      </c>
      <c r="B185" s="197"/>
      <c r="C185" s="197" t="s">
        <v>734</v>
      </c>
      <c r="D185" s="202" t="s">
        <v>24</v>
      </c>
      <c r="E185" s="215" t="s">
        <v>1077</v>
      </c>
      <c r="F185" s="82"/>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46"/>
      <c r="FB185" s="146"/>
      <c r="FC185" s="146"/>
      <c r="FD185" s="146"/>
      <c r="FE185" s="146"/>
      <c r="FF185" s="146"/>
      <c r="FG185" s="146"/>
      <c r="FH185" s="146"/>
      <c r="FI185" s="146"/>
      <c r="FJ185" s="146"/>
      <c r="FK185" s="146"/>
      <c r="FL185" s="146"/>
      <c r="FM185" s="146"/>
      <c r="FN185" s="146"/>
      <c r="FO185" s="146"/>
      <c r="FP185" s="146"/>
      <c r="FQ185" s="146"/>
      <c r="FR185" s="146"/>
      <c r="FS185" s="146"/>
      <c r="FT185" s="146"/>
      <c r="FU185" s="146"/>
      <c r="FV185" s="146"/>
      <c r="FW185" s="146"/>
      <c r="FX185" s="146"/>
      <c r="FY185" s="146"/>
      <c r="FZ185" s="146"/>
      <c r="GA185" s="146"/>
      <c r="GB185" s="146"/>
      <c r="GC185" s="146"/>
      <c r="GD185" s="146"/>
      <c r="GE185" s="146"/>
      <c r="GF185" s="146"/>
      <c r="GG185" s="146"/>
      <c r="GH185" s="146"/>
      <c r="GI185" s="146"/>
      <c r="GJ185" s="146"/>
    </row>
    <row r="186" spans="1:192" ht="80" outlineLevel="1" x14ac:dyDescent="0.35">
      <c r="A186" s="226" t="s">
        <v>396</v>
      </c>
      <c r="B186" s="204" t="s">
        <v>1078</v>
      </c>
      <c r="C186" s="204" t="s">
        <v>413</v>
      </c>
      <c r="D186" s="203" t="s">
        <v>25</v>
      </c>
      <c r="E186" s="219" t="s">
        <v>1079</v>
      </c>
      <c r="F186" s="78"/>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46"/>
      <c r="FB186" s="146"/>
      <c r="FC186" s="146"/>
      <c r="FD186" s="146"/>
      <c r="FE186" s="146"/>
      <c r="FF186" s="146"/>
      <c r="FG186" s="146"/>
      <c r="FH186" s="146"/>
      <c r="FI186" s="146"/>
      <c r="FJ186" s="146"/>
      <c r="FK186" s="146"/>
      <c r="FL186" s="146"/>
      <c r="FM186" s="146"/>
      <c r="FN186" s="146"/>
      <c r="FO186" s="146"/>
      <c r="FP186" s="146"/>
      <c r="FQ186" s="146"/>
      <c r="FR186" s="146"/>
      <c r="FS186" s="146"/>
      <c r="FT186" s="146"/>
      <c r="FU186" s="146"/>
      <c r="FV186" s="146"/>
      <c r="FW186" s="146"/>
      <c r="FX186" s="146"/>
      <c r="FY186" s="146"/>
      <c r="FZ186" s="146"/>
      <c r="GA186" s="146"/>
      <c r="GB186" s="146"/>
      <c r="GC186" s="146"/>
      <c r="GD186" s="146"/>
      <c r="GE186" s="146"/>
      <c r="GF186" s="146"/>
      <c r="GG186" s="146"/>
      <c r="GH186" s="146"/>
      <c r="GI186" s="146"/>
      <c r="GJ186" s="146"/>
    </row>
    <row r="187" spans="1:192" ht="73.5" outlineLevel="1" x14ac:dyDescent="0.35">
      <c r="A187" s="226" t="s">
        <v>396</v>
      </c>
      <c r="B187" s="204"/>
      <c r="C187" s="204" t="s">
        <v>735</v>
      </c>
      <c r="D187" s="203" t="s">
        <v>25</v>
      </c>
      <c r="E187" s="219" t="s">
        <v>1080</v>
      </c>
      <c r="F187" s="77"/>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46"/>
      <c r="DZ187" s="146"/>
      <c r="EA187" s="146"/>
      <c r="EB187" s="146"/>
      <c r="EC187" s="146"/>
      <c r="ED187" s="146"/>
      <c r="EE187" s="146"/>
      <c r="EF187" s="146"/>
      <c r="EG187" s="146"/>
      <c r="EH187" s="146"/>
      <c r="EI187" s="146"/>
      <c r="EJ187" s="146"/>
      <c r="EK187" s="146"/>
      <c r="EL187" s="146"/>
      <c r="EM187" s="146"/>
      <c r="EN187" s="146"/>
      <c r="EO187" s="146"/>
      <c r="EP187" s="146"/>
      <c r="EQ187" s="146"/>
      <c r="ER187" s="146"/>
      <c r="ES187" s="146"/>
      <c r="ET187" s="146"/>
      <c r="EU187" s="146"/>
      <c r="EV187" s="146"/>
      <c r="EW187" s="146"/>
      <c r="EX187" s="146"/>
      <c r="EY187" s="146"/>
      <c r="EZ187" s="146"/>
      <c r="FA187" s="146"/>
      <c r="FB187" s="146"/>
      <c r="FC187" s="146"/>
      <c r="FD187" s="146"/>
      <c r="FE187" s="146"/>
      <c r="FF187" s="146"/>
      <c r="FG187" s="146"/>
      <c r="FH187" s="146"/>
      <c r="FI187" s="146"/>
      <c r="FJ187" s="146"/>
      <c r="FK187" s="146"/>
      <c r="FL187" s="146"/>
      <c r="FM187" s="146"/>
      <c r="FN187" s="146"/>
      <c r="FO187" s="146"/>
      <c r="FP187" s="146"/>
      <c r="FQ187" s="146"/>
      <c r="FR187" s="146"/>
      <c r="FS187" s="146"/>
      <c r="FT187" s="146"/>
      <c r="FU187" s="146"/>
      <c r="FV187" s="146"/>
      <c r="FW187" s="146"/>
      <c r="FX187" s="146"/>
      <c r="FY187" s="146"/>
      <c r="FZ187" s="146"/>
      <c r="GA187" s="146"/>
      <c r="GB187" s="146"/>
      <c r="GC187" s="146"/>
      <c r="GD187" s="146"/>
      <c r="GE187" s="146"/>
      <c r="GF187" s="146"/>
      <c r="GG187" s="146"/>
      <c r="GH187" s="146"/>
      <c r="GI187" s="146"/>
      <c r="GJ187" s="146"/>
    </row>
    <row r="188" spans="1:192" ht="141.5" outlineLevel="1" x14ac:dyDescent="0.35">
      <c r="A188" s="226" t="s">
        <v>396</v>
      </c>
      <c r="B188" s="197" t="s">
        <v>1081</v>
      </c>
      <c r="C188" s="197" t="s">
        <v>414</v>
      </c>
      <c r="D188" s="202" t="s">
        <v>25</v>
      </c>
      <c r="E188" s="215" t="s">
        <v>1082</v>
      </c>
      <c r="F188" s="81"/>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46"/>
      <c r="DZ188" s="146"/>
      <c r="EA188" s="146"/>
      <c r="EB188" s="146"/>
      <c r="EC188" s="146"/>
      <c r="ED188" s="146"/>
      <c r="EE188" s="146"/>
      <c r="EF188" s="146"/>
      <c r="EG188" s="146"/>
      <c r="EH188" s="146"/>
      <c r="EI188" s="146"/>
      <c r="EJ188" s="146"/>
      <c r="EK188" s="146"/>
      <c r="EL188" s="146"/>
      <c r="EM188" s="146"/>
      <c r="EN188" s="146"/>
      <c r="EO188" s="146"/>
      <c r="EP188" s="146"/>
      <c r="EQ188" s="146"/>
      <c r="ER188" s="146"/>
      <c r="ES188" s="146"/>
      <c r="ET188" s="146"/>
      <c r="EU188" s="146"/>
      <c r="EV188" s="146"/>
      <c r="EW188" s="146"/>
      <c r="EX188" s="146"/>
      <c r="EY188" s="146"/>
      <c r="EZ188" s="146"/>
      <c r="FA188" s="146"/>
      <c r="FB188" s="146"/>
      <c r="FC188" s="146"/>
      <c r="FD188" s="146"/>
      <c r="FE188" s="146"/>
      <c r="FF188" s="146"/>
      <c r="FG188" s="146"/>
      <c r="FH188" s="146"/>
      <c r="FI188" s="146"/>
      <c r="FJ188" s="146"/>
      <c r="FK188" s="146"/>
      <c r="FL188" s="146"/>
      <c r="FM188" s="146"/>
      <c r="FN188" s="146"/>
      <c r="FO188" s="146"/>
      <c r="FP188" s="146"/>
      <c r="FQ188" s="146"/>
      <c r="FR188" s="146"/>
      <c r="FS188" s="146"/>
      <c r="FT188" s="146"/>
      <c r="FU188" s="146"/>
      <c r="FV188" s="146"/>
      <c r="FW188" s="146"/>
      <c r="FX188" s="146"/>
      <c r="FY188" s="146"/>
      <c r="FZ188" s="146"/>
      <c r="GA188" s="146"/>
      <c r="GB188" s="146"/>
      <c r="GC188" s="146"/>
      <c r="GD188" s="146"/>
      <c r="GE188" s="146"/>
      <c r="GF188" s="146"/>
      <c r="GG188" s="146"/>
      <c r="GH188" s="146"/>
      <c r="GI188" s="146"/>
      <c r="GJ188" s="146"/>
    </row>
    <row r="189" spans="1:192" ht="70" x14ac:dyDescent="0.35">
      <c r="A189" s="226" t="s">
        <v>396</v>
      </c>
      <c r="B189" s="204" t="s">
        <v>1083</v>
      </c>
      <c r="C189" s="204" t="s">
        <v>415</v>
      </c>
      <c r="D189" s="203" t="s">
        <v>25</v>
      </c>
      <c r="E189" s="219" t="s">
        <v>1084</v>
      </c>
      <c r="F189" s="77"/>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46"/>
      <c r="DZ189" s="146"/>
      <c r="EA189" s="146"/>
      <c r="EB189" s="146"/>
      <c r="EC189" s="146"/>
      <c r="ED189" s="146"/>
      <c r="EE189" s="146"/>
      <c r="EF189" s="146"/>
      <c r="EG189" s="146"/>
      <c r="EH189" s="146"/>
      <c r="EI189" s="146"/>
      <c r="EJ189" s="146"/>
      <c r="EK189" s="146"/>
      <c r="EL189" s="146"/>
      <c r="EM189" s="146"/>
      <c r="EN189" s="146"/>
      <c r="EO189" s="146"/>
      <c r="EP189" s="146"/>
      <c r="EQ189" s="146"/>
      <c r="ER189" s="146"/>
      <c r="ES189" s="146"/>
      <c r="ET189" s="146"/>
      <c r="EU189" s="146"/>
      <c r="EV189" s="146"/>
      <c r="EW189" s="146"/>
      <c r="EX189" s="146"/>
      <c r="EY189" s="146"/>
      <c r="EZ189" s="146"/>
      <c r="FA189" s="146"/>
      <c r="FB189" s="146"/>
      <c r="FC189" s="146"/>
      <c r="FD189" s="146"/>
      <c r="FE189" s="146"/>
      <c r="FF189" s="146"/>
      <c r="FG189" s="146"/>
      <c r="FH189" s="146"/>
      <c r="FI189" s="146"/>
      <c r="FJ189" s="146"/>
      <c r="FK189" s="146"/>
      <c r="FL189" s="146"/>
      <c r="FM189" s="146"/>
      <c r="FN189" s="146"/>
      <c r="FO189" s="146"/>
      <c r="FP189" s="146"/>
      <c r="FQ189" s="146"/>
      <c r="FR189" s="146"/>
      <c r="FS189" s="146"/>
      <c r="FT189" s="146"/>
      <c r="FU189" s="146"/>
      <c r="FV189" s="146"/>
      <c r="FW189" s="146"/>
      <c r="FX189" s="146"/>
      <c r="FY189" s="146"/>
      <c r="FZ189" s="146"/>
      <c r="GA189" s="146"/>
      <c r="GB189" s="146"/>
      <c r="GC189" s="146"/>
      <c r="GD189" s="146"/>
      <c r="GE189" s="146"/>
      <c r="GF189" s="146"/>
      <c r="GG189" s="146"/>
      <c r="GH189" s="146"/>
      <c r="GI189" s="146"/>
      <c r="GJ189" s="146"/>
    </row>
    <row r="190" spans="1:192" ht="42" outlineLevel="1" x14ac:dyDescent="0.35">
      <c r="A190" s="226" t="s">
        <v>396</v>
      </c>
      <c r="B190" s="204"/>
      <c r="C190" s="204" t="s">
        <v>736</v>
      </c>
      <c r="D190" s="203" t="s">
        <v>25</v>
      </c>
      <c r="E190" s="219" t="s">
        <v>1085</v>
      </c>
      <c r="F190" s="77"/>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46"/>
      <c r="DZ190" s="146"/>
      <c r="EA190" s="146"/>
      <c r="EB190" s="146"/>
      <c r="EC190" s="146"/>
      <c r="ED190" s="146"/>
      <c r="EE190" s="146"/>
      <c r="EF190" s="146"/>
      <c r="EG190" s="146"/>
      <c r="EH190" s="146"/>
      <c r="EI190" s="146"/>
      <c r="EJ190" s="146"/>
      <c r="EK190" s="146"/>
      <c r="EL190" s="146"/>
      <c r="EM190" s="146"/>
      <c r="EN190" s="146"/>
      <c r="EO190" s="146"/>
      <c r="EP190" s="146"/>
      <c r="EQ190" s="146"/>
      <c r="ER190" s="146"/>
      <c r="ES190" s="146"/>
      <c r="ET190" s="146"/>
      <c r="EU190" s="146"/>
      <c r="EV190" s="146"/>
      <c r="EW190" s="146"/>
      <c r="EX190" s="146"/>
      <c r="EY190" s="146"/>
      <c r="EZ190" s="146"/>
      <c r="FA190" s="146"/>
      <c r="FB190" s="146"/>
      <c r="FC190" s="146"/>
      <c r="FD190" s="146"/>
      <c r="FE190" s="146"/>
      <c r="FF190" s="146"/>
      <c r="FG190" s="146"/>
      <c r="FH190" s="146"/>
      <c r="FI190" s="146"/>
      <c r="FJ190" s="146"/>
      <c r="FK190" s="146"/>
      <c r="FL190" s="146"/>
      <c r="FM190" s="146"/>
      <c r="FN190" s="146"/>
      <c r="FO190" s="146"/>
      <c r="FP190" s="146"/>
      <c r="FQ190" s="146"/>
      <c r="FR190" s="146"/>
      <c r="FS190" s="146"/>
      <c r="FT190" s="146"/>
      <c r="FU190" s="146"/>
      <c r="FV190" s="146"/>
      <c r="FW190" s="146"/>
      <c r="FX190" s="146"/>
      <c r="FY190" s="146"/>
      <c r="FZ190" s="146"/>
      <c r="GA190" s="146"/>
      <c r="GB190" s="146"/>
      <c r="GC190" s="146"/>
      <c r="GD190" s="146"/>
      <c r="GE190" s="146"/>
      <c r="GF190" s="146"/>
      <c r="GG190" s="146"/>
      <c r="GH190" s="146"/>
      <c r="GI190" s="146"/>
      <c r="GJ190" s="146"/>
    </row>
    <row r="191" spans="1:192" ht="152" outlineLevel="1" x14ac:dyDescent="0.35">
      <c r="A191" s="226" t="s">
        <v>396</v>
      </c>
      <c r="B191" s="204"/>
      <c r="C191" s="204" t="s">
        <v>737</v>
      </c>
      <c r="D191" s="203" t="s">
        <v>25</v>
      </c>
      <c r="E191" s="219" t="s">
        <v>1086</v>
      </c>
      <c r="F191" s="77"/>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46"/>
      <c r="DZ191" s="146"/>
      <c r="EA191" s="146"/>
      <c r="EB191" s="146"/>
      <c r="EC191" s="146"/>
      <c r="ED191" s="146"/>
      <c r="EE191" s="146"/>
      <c r="EF191" s="146"/>
      <c r="EG191" s="146"/>
      <c r="EH191" s="146"/>
      <c r="EI191" s="146"/>
      <c r="EJ191" s="146"/>
      <c r="EK191" s="146"/>
      <c r="EL191" s="146"/>
      <c r="EM191" s="146"/>
      <c r="EN191" s="146"/>
      <c r="EO191" s="146"/>
      <c r="EP191" s="146"/>
      <c r="EQ191" s="146"/>
      <c r="ER191" s="146"/>
      <c r="ES191" s="146"/>
      <c r="ET191" s="146"/>
      <c r="EU191" s="146"/>
      <c r="EV191" s="146"/>
      <c r="EW191" s="146"/>
      <c r="EX191" s="146"/>
      <c r="EY191" s="146"/>
      <c r="EZ191" s="146"/>
      <c r="FA191" s="146"/>
      <c r="FB191" s="146"/>
      <c r="FC191" s="146"/>
      <c r="FD191" s="146"/>
      <c r="FE191" s="146"/>
      <c r="FF191" s="146"/>
      <c r="FG191" s="146"/>
      <c r="FH191" s="146"/>
      <c r="FI191" s="146"/>
      <c r="FJ191" s="146"/>
      <c r="FK191" s="146"/>
      <c r="FL191" s="146"/>
      <c r="FM191" s="146"/>
      <c r="FN191" s="146"/>
      <c r="FO191" s="146"/>
      <c r="FP191" s="146"/>
      <c r="FQ191" s="146"/>
      <c r="FR191" s="146"/>
      <c r="FS191" s="146"/>
      <c r="FT191" s="146"/>
      <c r="FU191" s="146"/>
      <c r="FV191" s="146"/>
      <c r="FW191" s="146"/>
      <c r="FX191" s="146"/>
      <c r="FY191" s="146"/>
      <c r="FZ191" s="146"/>
      <c r="GA191" s="146"/>
      <c r="GB191" s="146"/>
      <c r="GC191" s="146"/>
      <c r="GD191" s="146"/>
      <c r="GE191" s="146"/>
      <c r="GF191" s="146"/>
      <c r="GG191" s="146"/>
      <c r="GH191" s="146"/>
      <c r="GI191" s="146"/>
      <c r="GJ191" s="146"/>
    </row>
    <row r="192" spans="1:192" ht="132.5" outlineLevel="1" x14ac:dyDescent="0.35">
      <c r="A192" s="226" t="s">
        <v>396</v>
      </c>
      <c r="B192" s="197" t="s">
        <v>738</v>
      </c>
      <c r="C192" s="197" t="s">
        <v>416</v>
      </c>
      <c r="D192" s="202" t="s">
        <v>24</v>
      </c>
      <c r="E192" s="215" t="s">
        <v>1087</v>
      </c>
      <c r="F192" s="81"/>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46"/>
      <c r="FF192" s="146"/>
      <c r="FG192" s="146"/>
      <c r="FH192" s="146"/>
      <c r="FI192" s="146"/>
      <c r="FJ192" s="146"/>
      <c r="FK192" s="146"/>
      <c r="FL192" s="146"/>
      <c r="FM192" s="146"/>
      <c r="FN192" s="146"/>
      <c r="FO192" s="146"/>
      <c r="FP192" s="146"/>
      <c r="FQ192" s="146"/>
      <c r="FR192" s="146"/>
      <c r="FS192" s="146"/>
      <c r="FT192" s="146"/>
      <c r="FU192" s="146"/>
      <c r="FV192" s="146"/>
      <c r="FW192" s="146"/>
      <c r="FX192" s="146"/>
      <c r="FY192" s="146"/>
      <c r="FZ192" s="146"/>
      <c r="GA192" s="146"/>
      <c r="GB192" s="146"/>
      <c r="GC192" s="146"/>
      <c r="GD192" s="146"/>
      <c r="GE192" s="146"/>
      <c r="GF192" s="146"/>
      <c r="GG192" s="146"/>
      <c r="GH192" s="146"/>
      <c r="GI192" s="146"/>
      <c r="GJ192" s="146"/>
    </row>
    <row r="193" spans="1:192" ht="132.5" outlineLevel="1" x14ac:dyDescent="0.35">
      <c r="A193" s="226" t="s">
        <v>396</v>
      </c>
      <c r="B193" s="197"/>
      <c r="C193" s="197" t="s">
        <v>417</v>
      </c>
      <c r="D193" s="202" t="s">
        <v>24</v>
      </c>
      <c r="E193" s="215" t="s">
        <v>1088</v>
      </c>
      <c r="F193" s="81"/>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46"/>
      <c r="FF193" s="146"/>
      <c r="FG193" s="146"/>
      <c r="FH193" s="146"/>
      <c r="FI193" s="146"/>
      <c r="FJ193" s="146"/>
      <c r="FK193" s="146"/>
      <c r="FL193" s="146"/>
      <c r="FM193" s="146"/>
      <c r="FN193" s="146"/>
      <c r="FO193" s="146"/>
      <c r="FP193" s="146"/>
      <c r="FQ193" s="146"/>
      <c r="FR193" s="146"/>
      <c r="FS193" s="146"/>
      <c r="FT193" s="146"/>
      <c r="FU193" s="146"/>
      <c r="FV193" s="146"/>
      <c r="FW193" s="146"/>
      <c r="FX193" s="146"/>
      <c r="FY193" s="146"/>
      <c r="FZ193" s="146"/>
      <c r="GA193" s="146"/>
      <c r="GB193" s="146"/>
      <c r="GC193" s="146"/>
      <c r="GD193" s="146"/>
      <c r="GE193" s="146"/>
      <c r="GF193" s="146"/>
      <c r="GG193" s="146"/>
      <c r="GH193" s="146"/>
      <c r="GI193" s="146"/>
      <c r="GJ193" s="146"/>
    </row>
    <row r="194" spans="1:192" ht="151" outlineLevel="1" x14ac:dyDescent="0.35">
      <c r="A194" s="225" t="s">
        <v>4</v>
      </c>
      <c r="B194" s="204" t="s">
        <v>1089</v>
      </c>
      <c r="C194" s="204" t="s">
        <v>418</v>
      </c>
      <c r="D194" s="203" t="s">
        <v>24</v>
      </c>
      <c r="E194" s="204" t="s">
        <v>1090</v>
      </c>
      <c r="F194" s="77"/>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46"/>
      <c r="FF194" s="146"/>
      <c r="FG194" s="146"/>
      <c r="FH194" s="146"/>
      <c r="FI194" s="146"/>
      <c r="FJ194" s="146"/>
      <c r="FK194" s="146"/>
      <c r="FL194" s="146"/>
      <c r="FM194" s="146"/>
      <c r="FN194" s="146"/>
      <c r="FO194" s="146"/>
      <c r="FP194" s="146"/>
      <c r="FQ194" s="146"/>
      <c r="FR194" s="146"/>
      <c r="FS194" s="146"/>
      <c r="FT194" s="146"/>
      <c r="FU194" s="146"/>
      <c r="FV194" s="146"/>
      <c r="FW194" s="146"/>
      <c r="FX194" s="146"/>
      <c r="FY194" s="146"/>
      <c r="FZ194" s="146"/>
      <c r="GA194" s="146"/>
      <c r="GB194" s="146"/>
      <c r="GC194" s="146"/>
      <c r="GD194" s="146"/>
      <c r="GE194" s="146"/>
      <c r="GF194" s="146"/>
      <c r="GG194" s="146"/>
      <c r="GH194" s="146"/>
      <c r="GI194" s="146"/>
      <c r="GJ194" s="146"/>
    </row>
    <row r="195" spans="1:192" ht="71.5" outlineLevel="1" x14ac:dyDescent="0.35">
      <c r="A195" s="225" t="s">
        <v>4</v>
      </c>
      <c r="B195" s="204"/>
      <c r="C195" s="204" t="s">
        <v>419</v>
      </c>
      <c r="D195" s="203" t="s">
        <v>24</v>
      </c>
      <c r="E195" s="204" t="s">
        <v>1091</v>
      </c>
      <c r="F195" s="77"/>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46"/>
      <c r="FF195" s="146"/>
      <c r="FG195" s="146"/>
      <c r="FH195" s="146"/>
      <c r="FI195" s="146"/>
      <c r="FJ195" s="146"/>
      <c r="FK195" s="146"/>
      <c r="FL195" s="146"/>
      <c r="FM195" s="146"/>
      <c r="FN195" s="146"/>
      <c r="FO195" s="146"/>
      <c r="FP195" s="146"/>
      <c r="FQ195" s="146"/>
      <c r="FR195" s="146"/>
      <c r="FS195" s="146"/>
      <c r="FT195" s="146"/>
      <c r="FU195" s="146"/>
      <c r="FV195" s="146"/>
      <c r="FW195" s="146"/>
      <c r="FX195" s="146"/>
      <c r="FY195" s="146"/>
      <c r="FZ195" s="146"/>
      <c r="GA195" s="146"/>
      <c r="GB195" s="146"/>
      <c r="GC195" s="146"/>
      <c r="GD195" s="146"/>
      <c r="GE195" s="146"/>
      <c r="GF195" s="146"/>
      <c r="GG195" s="146"/>
      <c r="GH195" s="146"/>
      <c r="GI195" s="146"/>
      <c r="GJ195" s="146"/>
    </row>
    <row r="196" spans="1:192" ht="173" outlineLevel="1" x14ac:dyDescent="0.35">
      <c r="A196" s="225" t="s">
        <v>4</v>
      </c>
      <c r="B196" s="204"/>
      <c r="C196" s="204" t="s">
        <v>420</v>
      </c>
      <c r="D196" s="203" t="s">
        <v>24</v>
      </c>
      <c r="E196" s="204" t="s">
        <v>1092</v>
      </c>
      <c r="F196" s="87"/>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46"/>
      <c r="FF196" s="146"/>
      <c r="FG196" s="146"/>
      <c r="FH196" s="146"/>
      <c r="FI196" s="146"/>
      <c r="FJ196" s="146"/>
      <c r="FK196" s="146"/>
      <c r="FL196" s="146"/>
      <c r="FM196" s="146"/>
      <c r="FN196" s="146"/>
      <c r="FO196" s="146"/>
      <c r="FP196" s="146"/>
      <c r="FQ196" s="146"/>
      <c r="FR196" s="146"/>
      <c r="FS196" s="146"/>
      <c r="FT196" s="146"/>
      <c r="FU196" s="146"/>
      <c r="FV196" s="146"/>
      <c r="FW196" s="146"/>
      <c r="FX196" s="146"/>
      <c r="FY196" s="146"/>
      <c r="FZ196" s="146"/>
      <c r="GA196" s="146"/>
      <c r="GB196" s="146"/>
      <c r="GC196" s="146"/>
      <c r="GD196" s="146"/>
      <c r="GE196" s="146"/>
      <c r="GF196" s="146"/>
      <c r="GG196" s="146"/>
      <c r="GH196" s="146"/>
      <c r="GI196" s="146"/>
      <c r="GJ196" s="146"/>
    </row>
    <row r="197" spans="1:192" ht="40" outlineLevel="1" x14ac:dyDescent="0.35">
      <c r="A197" s="225" t="s">
        <v>4</v>
      </c>
      <c r="B197" s="197" t="s">
        <v>1093</v>
      </c>
      <c r="C197" s="197" t="s">
        <v>421</v>
      </c>
      <c r="D197" s="202" t="s">
        <v>24</v>
      </c>
      <c r="E197" s="216" t="s">
        <v>739</v>
      </c>
      <c r="F197" s="88"/>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46"/>
      <c r="DZ197" s="146"/>
      <c r="EA197" s="146"/>
      <c r="EB197" s="146"/>
      <c r="EC197" s="146"/>
      <c r="ED197" s="146"/>
      <c r="EE197" s="146"/>
      <c r="EF197" s="146"/>
      <c r="EG197" s="146"/>
      <c r="EH197" s="146"/>
      <c r="EI197" s="146"/>
      <c r="EJ197" s="146"/>
      <c r="EK197" s="146"/>
      <c r="EL197" s="146"/>
      <c r="EM197" s="146"/>
      <c r="EN197" s="146"/>
      <c r="EO197" s="146"/>
      <c r="EP197" s="146"/>
      <c r="EQ197" s="146"/>
      <c r="ER197" s="146"/>
      <c r="ES197" s="146"/>
      <c r="ET197" s="146"/>
      <c r="EU197" s="146"/>
      <c r="EV197" s="146"/>
      <c r="EW197" s="146"/>
      <c r="EX197" s="146"/>
      <c r="EY197" s="146"/>
      <c r="EZ197" s="146"/>
      <c r="FA197" s="146"/>
      <c r="FB197" s="146"/>
      <c r="FC197" s="146"/>
      <c r="FD197" s="146"/>
      <c r="FE197" s="146"/>
      <c r="FF197" s="146"/>
      <c r="FG197" s="146"/>
      <c r="FH197" s="146"/>
      <c r="FI197" s="146"/>
      <c r="FJ197" s="146"/>
      <c r="FK197" s="146"/>
      <c r="FL197" s="146"/>
      <c r="FM197" s="146"/>
      <c r="FN197" s="146"/>
      <c r="FO197" s="146"/>
      <c r="FP197" s="146"/>
      <c r="FQ197" s="146"/>
      <c r="FR197" s="146"/>
      <c r="FS197" s="146"/>
      <c r="FT197" s="146"/>
      <c r="FU197" s="146"/>
      <c r="FV197" s="146"/>
      <c r="FW197" s="146"/>
      <c r="FX197" s="146"/>
      <c r="FY197" s="146"/>
      <c r="FZ197" s="146"/>
      <c r="GA197" s="146"/>
      <c r="GB197" s="146"/>
      <c r="GC197" s="146"/>
      <c r="GD197" s="146"/>
      <c r="GE197" s="146"/>
      <c r="GF197" s="146"/>
      <c r="GG197" s="146"/>
      <c r="GH197" s="146"/>
      <c r="GI197" s="146"/>
      <c r="GJ197" s="146"/>
    </row>
    <row r="198" spans="1:192" ht="31.5" outlineLevel="1" x14ac:dyDescent="0.35">
      <c r="A198" s="225" t="s">
        <v>4</v>
      </c>
      <c r="B198" s="197"/>
      <c r="C198" s="197" t="s">
        <v>423</v>
      </c>
      <c r="D198" s="202" t="s">
        <v>24</v>
      </c>
      <c r="E198" s="216" t="s">
        <v>427</v>
      </c>
      <c r="F198" s="88"/>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46"/>
      <c r="DZ198" s="146"/>
      <c r="EA198" s="146"/>
      <c r="EB198" s="146"/>
      <c r="EC198" s="146"/>
      <c r="ED198" s="146"/>
      <c r="EE198" s="146"/>
      <c r="EF198" s="146"/>
      <c r="EG198" s="146"/>
      <c r="EH198" s="146"/>
      <c r="EI198" s="146"/>
      <c r="EJ198" s="146"/>
      <c r="EK198" s="146"/>
      <c r="EL198" s="146"/>
      <c r="EM198" s="146"/>
      <c r="EN198" s="146"/>
      <c r="EO198" s="146"/>
      <c r="EP198" s="146"/>
      <c r="EQ198" s="146"/>
      <c r="ER198" s="146"/>
      <c r="ES198" s="146"/>
      <c r="ET198" s="146"/>
      <c r="EU198" s="146"/>
      <c r="EV198" s="146"/>
      <c r="EW198" s="146"/>
      <c r="EX198" s="146"/>
      <c r="EY198" s="146"/>
      <c r="EZ198" s="146"/>
      <c r="FA198" s="146"/>
      <c r="FB198" s="146"/>
      <c r="FC198" s="146"/>
      <c r="FD198" s="146"/>
      <c r="FE198" s="146"/>
      <c r="FF198" s="146"/>
      <c r="FG198" s="146"/>
      <c r="FH198" s="146"/>
      <c r="FI198" s="146"/>
      <c r="FJ198" s="146"/>
      <c r="FK198" s="146"/>
      <c r="FL198" s="146"/>
      <c r="FM198" s="146"/>
      <c r="FN198" s="146"/>
      <c r="FO198" s="146"/>
      <c r="FP198" s="146"/>
      <c r="FQ198" s="146"/>
      <c r="FR198" s="146"/>
      <c r="FS198" s="146"/>
      <c r="FT198" s="146"/>
      <c r="FU198" s="146"/>
      <c r="FV198" s="146"/>
      <c r="FW198" s="146"/>
      <c r="FX198" s="146"/>
      <c r="FY198" s="146"/>
      <c r="FZ198" s="146"/>
      <c r="GA198" s="146"/>
      <c r="GB198" s="146"/>
      <c r="GC198" s="146"/>
      <c r="GD198" s="146"/>
      <c r="GE198" s="146"/>
      <c r="GF198" s="146"/>
      <c r="GG198" s="146"/>
      <c r="GH198" s="146"/>
      <c r="GI198" s="146"/>
      <c r="GJ198" s="146"/>
    </row>
    <row r="199" spans="1:192" ht="42" x14ac:dyDescent="0.35">
      <c r="A199" s="225" t="s">
        <v>4</v>
      </c>
      <c r="B199" s="197"/>
      <c r="C199" s="197" t="s">
        <v>424</v>
      </c>
      <c r="D199" s="202" t="s">
        <v>24</v>
      </c>
      <c r="E199" s="216" t="s">
        <v>1094</v>
      </c>
      <c r="F199" s="88"/>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46"/>
      <c r="DZ199" s="146"/>
      <c r="EA199" s="146"/>
      <c r="EB199" s="146"/>
      <c r="EC199" s="146"/>
      <c r="ED199" s="146"/>
      <c r="EE199" s="146"/>
      <c r="EF199" s="146"/>
      <c r="EG199" s="146"/>
      <c r="EH199" s="146"/>
      <c r="EI199" s="146"/>
      <c r="EJ199" s="146"/>
      <c r="EK199" s="146"/>
      <c r="EL199" s="146"/>
      <c r="EM199" s="146"/>
      <c r="EN199" s="146"/>
      <c r="EO199" s="146"/>
      <c r="EP199" s="146"/>
      <c r="EQ199" s="146"/>
      <c r="ER199" s="146"/>
      <c r="ES199" s="146"/>
      <c r="ET199" s="146"/>
      <c r="EU199" s="146"/>
      <c r="EV199" s="146"/>
      <c r="EW199" s="146"/>
      <c r="EX199" s="146"/>
      <c r="EY199" s="146"/>
      <c r="EZ199" s="146"/>
      <c r="FA199" s="146"/>
      <c r="FB199" s="146"/>
      <c r="FC199" s="146"/>
      <c r="FD199" s="146"/>
      <c r="FE199" s="146"/>
      <c r="FF199" s="146"/>
      <c r="FG199" s="146"/>
      <c r="FH199" s="146"/>
      <c r="FI199" s="146"/>
      <c r="FJ199" s="146"/>
      <c r="FK199" s="146"/>
      <c r="FL199" s="146"/>
      <c r="FM199" s="146"/>
      <c r="FN199" s="146"/>
      <c r="FO199" s="146"/>
      <c r="FP199" s="146"/>
      <c r="FQ199" s="146"/>
      <c r="FR199" s="146"/>
      <c r="FS199" s="146"/>
      <c r="FT199" s="146"/>
      <c r="FU199" s="146"/>
      <c r="FV199" s="146"/>
      <c r="FW199" s="146"/>
      <c r="FX199" s="146"/>
      <c r="FY199" s="146"/>
      <c r="FZ199" s="146"/>
      <c r="GA199" s="146"/>
      <c r="GB199" s="146"/>
      <c r="GC199" s="146"/>
      <c r="GD199" s="146"/>
      <c r="GE199" s="146"/>
      <c r="GF199" s="146"/>
      <c r="GG199" s="146"/>
      <c r="GH199" s="146"/>
      <c r="GI199" s="146"/>
      <c r="GJ199" s="146"/>
    </row>
    <row r="200" spans="1:192" ht="42" x14ac:dyDescent="0.35">
      <c r="A200" s="225" t="s">
        <v>4</v>
      </c>
      <c r="B200" s="197"/>
      <c r="C200" s="197" t="s">
        <v>425</v>
      </c>
      <c r="D200" s="202" t="s">
        <v>24</v>
      </c>
      <c r="E200" s="216" t="s">
        <v>1095</v>
      </c>
      <c r="F200" s="88"/>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46"/>
      <c r="DZ200" s="146"/>
      <c r="EA200" s="146"/>
      <c r="EB200" s="146"/>
      <c r="EC200" s="146"/>
      <c r="ED200" s="146"/>
      <c r="EE200" s="146"/>
      <c r="EF200" s="146"/>
      <c r="EG200" s="146"/>
      <c r="EH200" s="146"/>
      <c r="EI200" s="146"/>
      <c r="EJ200" s="146"/>
      <c r="EK200" s="146"/>
      <c r="EL200" s="146"/>
      <c r="EM200" s="146"/>
      <c r="EN200" s="146"/>
      <c r="EO200" s="146"/>
      <c r="EP200" s="146"/>
      <c r="EQ200" s="146"/>
      <c r="ER200" s="146"/>
      <c r="ES200" s="146"/>
      <c r="ET200" s="146"/>
      <c r="EU200" s="146"/>
      <c r="EV200" s="146"/>
      <c r="EW200" s="146"/>
      <c r="EX200" s="146"/>
      <c r="EY200" s="146"/>
      <c r="EZ200" s="146"/>
      <c r="FA200" s="146"/>
      <c r="FB200" s="146"/>
      <c r="FC200" s="146"/>
      <c r="FD200" s="146"/>
      <c r="FE200" s="146"/>
      <c r="FF200" s="146"/>
      <c r="FG200" s="146"/>
      <c r="FH200" s="146"/>
      <c r="FI200" s="146"/>
      <c r="FJ200" s="146"/>
      <c r="FK200" s="146"/>
      <c r="FL200" s="146"/>
      <c r="FM200" s="146"/>
      <c r="FN200" s="146"/>
      <c r="FO200" s="146"/>
      <c r="FP200" s="146"/>
      <c r="FQ200" s="146"/>
      <c r="FR200" s="146"/>
      <c r="FS200" s="146"/>
      <c r="FT200" s="146"/>
      <c r="FU200" s="146"/>
      <c r="FV200" s="146"/>
      <c r="FW200" s="146"/>
      <c r="FX200" s="146"/>
      <c r="FY200" s="146"/>
      <c r="FZ200" s="146"/>
      <c r="GA200" s="146"/>
      <c r="GB200" s="146"/>
      <c r="GC200" s="146"/>
      <c r="GD200" s="146"/>
      <c r="GE200" s="146"/>
      <c r="GF200" s="146"/>
      <c r="GG200" s="146"/>
      <c r="GH200" s="146"/>
      <c r="GI200" s="146"/>
      <c r="GJ200" s="146"/>
    </row>
    <row r="201" spans="1:192" ht="161.5" x14ac:dyDescent="0.35">
      <c r="A201" s="225" t="s">
        <v>4</v>
      </c>
      <c r="B201" s="197"/>
      <c r="C201" s="197" t="s">
        <v>740</v>
      </c>
      <c r="D201" s="202" t="s">
        <v>24</v>
      </c>
      <c r="E201" s="216" t="s">
        <v>1096</v>
      </c>
      <c r="F201" s="88"/>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46"/>
      <c r="DZ201" s="146"/>
      <c r="EA201" s="146"/>
      <c r="EB201" s="146"/>
      <c r="EC201" s="146"/>
      <c r="ED201" s="146"/>
      <c r="EE201" s="146"/>
      <c r="EF201" s="146"/>
      <c r="EG201" s="146"/>
      <c r="EH201" s="146"/>
      <c r="EI201" s="146"/>
      <c r="EJ201" s="146"/>
      <c r="EK201" s="146"/>
      <c r="EL201" s="146"/>
      <c r="EM201" s="146"/>
      <c r="EN201" s="146"/>
      <c r="EO201" s="146"/>
      <c r="EP201" s="146"/>
      <c r="EQ201" s="146"/>
      <c r="ER201" s="146"/>
      <c r="ES201" s="146"/>
      <c r="ET201" s="146"/>
      <c r="EU201" s="146"/>
      <c r="EV201" s="146"/>
      <c r="EW201" s="146"/>
      <c r="EX201" s="146"/>
      <c r="EY201" s="146"/>
      <c r="EZ201" s="146"/>
      <c r="FA201" s="146"/>
      <c r="FB201" s="146"/>
      <c r="FC201" s="146"/>
      <c r="FD201" s="146"/>
      <c r="FE201" s="146"/>
      <c r="FF201" s="146"/>
      <c r="FG201" s="146"/>
      <c r="FH201" s="146"/>
      <c r="FI201" s="146"/>
      <c r="FJ201" s="146"/>
      <c r="FK201" s="146"/>
      <c r="FL201" s="146"/>
      <c r="FM201" s="146"/>
      <c r="FN201" s="146"/>
      <c r="FO201" s="146"/>
      <c r="FP201" s="146"/>
      <c r="FQ201" s="146"/>
      <c r="FR201" s="146"/>
      <c r="FS201" s="146"/>
      <c r="FT201" s="146"/>
      <c r="FU201" s="146"/>
      <c r="FV201" s="146"/>
      <c r="FW201" s="146"/>
      <c r="FX201" s="146"/>
      <c r="FY201" s="146"/>
      <c r="FZ201" s="146"/>
      <c r="GA201" s="146"/>
      <c r="GB201" s="146"/>
      <c r="GC201" s="146"/>
      <c r="GD201" s="146"/>
      <c r="GE201" s="146"/>
      <c r="GF201" s="146"/>
      <c r="GG201" s="146"/>
      <c r="GH201" s="146"/>
      <c r="GI201" s="146"/>
      <c r="GJ201" s="146"/>
    </row>
    <row r="202" spans="1:192" ht="52.5" x14ac:dyDescent="0.35">
      <c r="A202" s="225" t="s">
        <v>4</v>
      </c>
      <c r="B202" s="197"/>
      <c r="C202" s="197" t="s">
        <v>741</v>
      </c>
      <c r="D202" s="202" t="s">
        <v>24</v>
      </c>
      <c r="E202" s="216" t="s">
        <v>742</v>
      </c>
      <c r="F202" s="88"/>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46"/>
      <c r="DZ202" s="146"/>
      <c r="EA202" s="146"/>
      <c r="EB202" s="146"/>
      <c r="EC202" s="146"/>
      <c r="ED202" s="146"/>
      <c r="EE202" s="146"/>
      <c r="EF202" s="146"/>
      <c r="EG202" s="146"/>
      <c r="EH202" s="146"/>
      <c r="EI202" s="146"/>
      <c r="EJ202" s="146"/>
      <c r="EK202" s="146"/>
      <c r="EL202" s="146"/>
      <c r="EM202" s="146"/>
      <c r="EN202" s="146"/>
      <c r="EO202" s="146"/>
      <c r="EP202" s="146"/>
      <c r="EQ202" s="146"/>
      <c r="ER202" s="146"/>
      <c r="ES202" s="146"/>
      <c r="ET202" s="146"/>
      <c r="EU202" s="146"/>
      <c r="EV202" s="146"/>
      <c r="EW202" s="146"/>
      <c r="EX202" s="146"/>
      <c r="EY202" s="146"/>
      <c r="EZ202" s="146"/>
      <c r="FA202" s="146"/>
      <c r="FB202" s="146"/>
      <c r="FC202" s="146"/>
      <c r="FD202" s="146"/>
      <c r="FE202" s="146"/>
      <c r="FF202" s="146"/>
      <c r="FG202" s="146"/>
      <c r="FH202" s="146"/>
      <c r="FI202" s="146"/>
      <c r="FJ202" s="146"/>
      <c r="FK202" s="146"/>
      <c r="FL202" s="146"/>
      <c r="FM202" s="146"/>
      <c r="FN202" s="146"/>
      <c r="FO202" s="146"/>
      <c r="FP202" s="146"/>
      <c r="FQ202" s="146"/>
      <c r="FR202" s="146"/>
      <c r="FS202" s="146"/>
      <c r="FT202" s="146"/>
      <c r="FU202" s="146"/>
      <c r="FV202" s="146"/>
      <c r="FW202" s="146"/>
      <c r="FX202" s="146"/>
      <c r="FY202" s="146"/>
      <c r="FZ202" s="146"/>
      <c r="GA202" s="146"/>
      <c r="GB202" s="146"/>
      <c r="GC202" s="146"/>
      <c r="GD202" s="146"/>
      <c r="GE202" s="146"/>
      <c r="GF202" s="146"/>
      <c r="GG202" s="146"/>
      <c r="GH202" s="146"/>
      <c r="GI202" s="146"/>
      <c r="GJ202" s="146"/>
    </row>
    <row r="203" spans="1:192" ht="70" x14ac:dyDescent="0.35">
      <c r="A203" s="225" t="s">
        <v>4</v>
      </c>
      <c r="B203" s="204" t="s">
        <v>1183</v>
      </c>
      <c r="C203" s="204" t="s">
        <v>422</v>
      </c>
      <c r="D203" s="203" t="s">
        <v>25</v>
      </c>
      <c r="E203" s="208" t="s">
        <v>428</v>
      </c>
      <c r="F203" s="87"/>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46"/>
      <c r="FF203" s="146"/>
      <c r="FG203" s="146"/>
      <c r="FH203" s="146"/>
      <c r="FI203" s="146"/>
      <c r="FJ203" s="146"/>
      <c r="FK203" s="146"/>
      <c r="FL203" s="146"/>
      <c r="FM203" s="146"/>
      <c r="FN203" s="146"/>
      <c r="FO203" s="146"/>
      <c r="FP203" s="146"/>
      <c r="FQ203" s="146"/>
      <c r="FR203" s="146"/>
      <c r="FS203" s="146"/>
      <c r="FT203" s="146"/>
      <c r="FU203" s="146"/>
      <c r="FV203" s="146"/>
      <c r="FW203" s="146"/>
      <c r="FX203" s="146"/>
      <c r="FY203" s="146"/>
      <c r="FZ203" s="146"/>
      <c r="GA203" s="146"/>
      <c r="GB203" s="146"/>
      <c r="GC203" s="146"/>
      <c r="GD203" s="146"/>
      <c r="GE203" s="146"/>
      <c r="GF203" s="146"/>
      <c r="GG203" s="146"/>
      <c r="GH203" s="146"/>
      <c r="GI203" s="146"/>
      <c r="GJ203" s="146"/>
    </row>
    <row r="204" spans="1:192" ht="42" x14ac:dyDescent="0.35">
      <c r="A204" s="225" t="s">
        <v>4</v>
      </c>
      <c r="B204" s="204"/>
      <c r="C204" s="204" t="s">
        <v>426</v>
      </c>
      <c r="D204" s="203" t="s">
        <v>25</v>
      </c>
      <c r="E204" s="208" t="s">
        <v>429</v>
      </c>
      <c r="F204" s="87"/>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46"/>
      <c r="DZ204" s="146"/>
      <c r="EA204" s="146"/>
      <c r="EB204" s="146"/>
      <c r="EC204" s="146"/>
      <c r="ED204" s="146"/>
      <c r="EE204" s="146"/>
      <c r="EF204" s="146"/>
      <c r="EG204" s="146"/>
      <c r="EH204" s="146"/>
      <c r="EI204" s="146"/>
      <c r="EJ204" s="146"/>
      <c r="EK204" s="146"/>
      <c r="EL204" s="146"/>
      <c r="EM204" s="146"/>
      <c r="EN204" s="146"/>
      <c r="EO204" s="146"/>
      <c r="EP204" s="146"/>
      <c r="EQ204" s="146"/>
      <c r="ER204" s="146"/>
      <c r="ES204" s="146"/>
      <c r="ET204" s="146"/>
      <c r="EU204" s="146"/>
      <c r="EV204" s="146"/>
      <c r="EW204" s="146"/>
      <c r="EX204" s="146"/>
      <c r="EY204" s="146"/>
      <c r="EZ204" s="146"/>
      <c r="FA204" s="146"/>
      <c r="FB204" s="146"/>
      <c r="FC204" s="146"/>
      <c r="FD204" s="146"/>
      <c r="FE204" s="146"/>
      <c r="FF204" s="146"/>
      <c r="FG204" s="146"/>
      <c r="FH204" s="146"/>
      <c r="FI204" s="146"/>
      <c r="FJ204" s="146"/>
      <c r="FK204" s="146"/>
      <c r="FL204" s="146"/>
      <c r="FM204" s="146"/>
      <c r="FN204" s="146"/>
      <c r="FO204" s="146"/>
      <c r="FP204" s="146"/>
      <c r="FQ204" s="146"/>
      <c r="FR204" s="146"/>
      <c r="FS204" s="146"/>
      <c r="FT204" s="146"/>
      <c r="FU204" s="146"/>
      <c r="FV204" s="146"/>
      <c r="FW204" s="146"/>
      <c r="FX204" s="146"/>
      <c r="FY204" s="146"/>
      <c r="FZ204" s="146"/>
      <c r="GA204" s="146"/>
      <c r="GB204" s="146"/>
      <c r="GC204" s="146"/>
      <c r="GD204" s="146"/>
      <c r="GE204" s="146"/>
      <c r="GF204" s="146"/>
      <c r="GG204" s="146"/>
      <c r="GH204" s="146"/>
      <c r="GI204" s="146"/>
      <c r="GJ204" s="146"/>
    </row>
    <row r="205" spans="1:192" ht="40" x14ac:dyDescent="0.35">
      <c r="A205" s="225" t="s">
        <v>4</v>
      </c>
      <c r="B205" s="197" t="s">
        <v>743</v>
      </c>
      <c r="C205" s="197" t="s">
        <v>430</v>
      </c>
      <c r="D205" s="202" t="s">
        <v>25</v>
      </c>
      <c r="E205" s="216" t="s">
        <v>1097</v>
      </c>
      <c r="F205" s="88"/>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46"/>
      <c r="DZ205" s="146"/>
      <c r="EA205" s="146"/>
      <c r="EB205" s="146"/>
      <c r="EC205" s="146"/>
      <c r="ED205" s="146"/>
      <c r="EE205" s="146"/>
      <c r="EF205" s="146"/>
      <c r="EG205" s="146"/>
      <c r="EH205" s="146"/>
      <c r="EI205" s="146"/>
      <c r="EJ205" s="146"/>
      <c r="EK205" s="146"/>
      <c r="EL205" s="146"/>
      <c r="EM205" s="146"/>
      <c r="EN205" s="146"/>
      <c r="EO205" s="146"/>
      <c r="EP205" s="146"/>
      <c r="EQ205" s="146"/>
      <c r="ER205" s="146"/>
      <c r="ES205" s="146"/>
      <c r="ET205" s="146"/>
      <c r="EU205" s="146"/>
      <c r="EV205" s="146"/>
      <c r="EW205" s="146"/>
      <c r="EX205" s="146"/>
      <c r="EY205" s="146"/>
      <c r="EZ205" s="146"/>
      <c r="FA205" s="146"/>
      <c r="FB205" s="146"/>
      <c r="FC205" s="146"/>
      <c r="FD205" s="146"/>
      <c r="FE205" s="146"/>
      <c r="FF205" s="146"/>
      <c r="FG205" s="146"/>
      <c r="FH205" s="146"/>
      <c r="FI205" s="146"/>
      <c r="FJ205" s="146"/>
      <c r="FK205" s="146"/>
      <c r="FL205" s="146"/>
      <c r="FM205" s="146"/>
      <c r="FN205" s="146"/>
      <c r="FO205" s="146"/>
      <c r="FP205" s="146"/>
      <c r="FQ205" s="146"/>
      <c r="FR205" s="146"/>
      <c r="FS205" s="146"/>
      <c r="FT205" s="146"/>
      <c r="FU205" s="146"/>
      <c r="FV205" s="146"/>
      <c r="FW205" s="146"/>
      <c r="FX205" s="146"/>
      <c r="FY205" s="146"/>
      <c r="FZ205" s="146"/>
      <c r="GA205" s="146"/>
      <c r="GB205" s="146"/>
      <c r="GC205" s="146"/>
      <c r="GD205" s="146"/>
      <c r="GE205" s="146"/>
      <c r="GF205" s="146"/>
      <c r="GG205" s="146"/>
      <c r="GH205" s="146"/>
      <c r="GI205" s="146"/>
      <c r="GJ205" s="146"/>
    </row>
    <row r="206" spans="1:192" ht="163" x14ac:dyDescent="0.35">
      <c r="A206" s="225" t="s">
        <v>4</v>
      </c>
      <c r="B206" s="197"/>
      <c r="C206" s="197" t="s">
        <v>744</v>
      </c>
      <c r="D206" s="202" t="s">
        <v>25</v>
      </c>
      <c r="E206" s="216" t="s">
        <v>1098</v>
      </c>
      <c r="F206" s="88"/>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46"/>
      <c r="FF206" s="146"/>
      <c r="FG206" s="146"/>
      <c r="FH206" s="146"/>
      <c r="FI206" s="146"/>
      <c r="FJ206" s="146"/>
      <c r="FK206" s="146"/>
      <c r="FL206" s="146"/>
      <c r="FM206" s="146"/>
      <c r="FN206" s="146"/>
      <c r="FO206" s="146"/>
      <c r="FP206" s="146"/>
      <c r="FQ206" s="146"/>
      <c r="FR206" s="146"/>
      <c r="FS206" s="146"/>
      <c r="FT206" s="146"/>
      <c r="FU206" s="146"/>
      <c r="FV206" s="146"/>
      <c r="FW206" s="146"/>
      <c r="FX206" s="146"/>
      <c r="FY206" s="146"/>
      <c r="FZ206" s="146"/>
      <c r="GA206" s="146"/>
      <c r="GB206" s="146"/>
      <c r="GC206" s="146"/>
      <c r="GD206" s="146"/>
      <c r="GE206" s="146"/>
      <c r="GF206" s="146"/>
      <c r="GG206" s="146"/>
      <c r="GH206" s="146"/>
      <c r="GI206" s="146"/>
      <c r="GJ206" s="146"/>
    </row>
    <row r="207" spans="1:192" ht="163.5" x14ac:dyDescent="0.35">
      <c r="A207" s="225" t="s">
        <v>4</v>
      </c>
      <c r="B207" s="197"/>
      <c r="C207" s="197" t="s">
        <v>745</v>
      </c>
      <c r="D207" s="202" t="s">
        <v>25</v>
      </c>
      <c r="E207" s="216" t="s">
        <v>1099</v>
      </c>
      <c r="F207" s="88"/>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46"/>
      <c r="DZ207" s="146"/>
      <c r="EA207" s="146"/>
      <c r="EB207" s="146"/>
      <c r="EC207" s="146"/>
      <c r="ED207" s="146"/>
      <c r="EE207" s="146"/>
      <c r="EF207" s="146"/>
      <c r="EG207" s="146"/>
      <c r="EH207" s="146"/>
      <c r="EI207" s="146"/>
      <c r="EJ207" s="146"/>
      <c r="EK207" s="146"/>
      <c r="EL207" s="146"/>
      <c r="EM207" s="146"/>
      <c r="EN207" s="146"/>
      <c r="EO207" s="146"/>
      <c r="EP207" s="146"/>
      <c r="EQ207" s="146"/>
      <c r="ER207" s="146"/>
      <c r="ES207" s="146"/>
      <c r="ET207" s="146"/>
      <c r="EU207" s="146"/>
      <c r="EV207" s="146"/>
      <c r="EW207" s="146"/>
      <c r="EX207" s="146"/>
      <c r="EY207" s="146"/>
      <c r="EZ207" s="146"/>
      <c r="FA207" s="146"/>
      <c r="FB207" s="146"/>
      <c r="FC207" s="146"/>
      <c r="FD207" s="146"/>
      <c r="FE207" s="146"/>
      <c r="FF207" s="146"/>
      <c r="FG207" s="146"/>
      <c r="FH207" s="146"/>
      <c r="FI207" s="146"/>
      <c r="FJ207" s="146"/>
      <c r="FK207" s="146"/>
      <c r="FL207" s="146"/>
      <c r="FM207" s="146"/>
      <c r="FN207" s="146"/>
      <c r="FO207" s="146"/>
      <c r="FP207" s="146"/>
      <c r="FQ207" s="146"/>
      <c r="FR207" s="146"/>
      <c r="FS207" s="146"/>
      <c r="FT207" s="146"/>
      <c r="FU207" s="146"/>
      <c r="FV207" s="146"/>
      <c r="FW207" s="146"/>
      <c r="FX207" s="146"/>
      <c r="FY207" s="146"/>
      <c r="FZ207" s="146"/>
      <c r="GA207" s="146"/>
      <c r="GB207" s="146"/>
      <c r="GC207" s="146"/>
      <c r="GD207" s="146"/>
      <c r="GE207" s="146"/>
      <c r="GF207" s="146"/>
      <c r="GG207" s="146"/>
      <c r="GH207" s="146"/>
      <c r="GI207" s="146"/>
      <c r="GJ207" s="146"/>
    </row>
    <row r="208" spans="1:192" ht="121" x14ac:dyDescent="0.35">
      <c r="A208" s="225" t="s">
        <v>4</v>
      </c>
      <c r="B208" s="204" t="s">
        <v>1100</v>
      </c>
      <c r="C208" s="204" t="s">
        <v>431</v>
      </c>
      <c r="D208" s="203" t="s">
        <v>24</v>
      </c>
      <c r="E208" s="208" t="s">
        <v>1101</v>
      </c>
      <c r="F208" s="87"/>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46"/>
      <c r="FF208" s="146"/>
      <c r="FG208" s="146"/>
      <c r="FH208" s="146"/>
      <c r="FI208" s="146"/>
      <c r="FJ208" s="146"/>
      <c r="FK208" s="146"/>
      <c r="FL208" s="146"/>
      <c r="FM208" s="146"/>
      <c r="FN208" s="146"/>
      <c r="FO208" s="146"/>
      <c r="FP208" s="146"/>
      <c r="FQ208" s="146"/>
      <c r="FR208" s="146"/>
      <c r="FS208" s="146"/>
      <c r="FT208" s="146"/>
      <c r="FU208" s="146"/>
      <c r="FV208" s="146"/>
      <c r="FW208" s="146"/>
      <c r="FX208" s="146"/>
      <c r="FY208" s="146"/>
      <c r="FZ208" s="146"/>
      <c r="GA208" s="146"/>
      <c r="GB208" s="146"/>
      <c r="GC208" s="146"/>
      <c r="GD208" s="146"/>
      <c r="GE208" s="146"/>
      <c r="GF208" s="146"/>
      <c r="GG208" s="146"/>
      <c r="GH208" s="146"/>
      <c r="GI208" s="146"/>
      <c r="GJ208" s="146"/>
    </row>
    <row r="209" spans="1:192" ht="40" x14ac:dyDescent="0.35">
      <c r="A209" s="225" t="s">
        <v>4</v>
      </c>
      <c r="B209" s="197" t="s">
        <v>1102</v>
      </c>
      <c r="C209" s="197" t="s">
        <v>432</v>
      </c>
      <c r="D209" s="202" t="s">
        <v>24</v>
      </c>
      <c r="E209" s="216" t="s">
        <v>746</v>
      </c>
      <c r="F209" s="88"/>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46"/>
      <c r="FF209" s="146"/>
      <c r="FG209" s="146"/>
      <c r="FH209" s="146"/>
      <c r="FI209" s="146"/>
      <c r="FJ209" s="146"/>
      <c r="FK209" s="146"/>
      <c r="FL209" s="146"/>
      <c r="FM209" s="146"/>
      <c r="FN209" s="146"/>
      <c r="FO209" s="146"/>
      <c r="FP209" s="146"/>
      <c r="FQ209" s="146"/>
      <c r="FR209" s="146"/>
      <c r="FS209" s="146"/>
      <c r="FT209" s="146"/>
      <c r="FU209" s="146"/>
      <c r="FV209" s="146"/>
      <c r="FW209" s="146"/>
      <c r="FX209" s="146"/>
      <c r="FY209" s="146"/>
      <c r="FZ209" s="146"/>
      <c r="GA209" s="146"/>
      <c r="GB209" s="146"/>
      <c r="GC209" s="146"/>
      <c r="GD209" s="146"/>
      <c r="GE209" s="146"/>
      <c r="GF209" s="146"/>
      <c r="GG209" s="146"/>
      <c r="GH209" s="146"/>
      <c r="GI209" s="146"/>
      <c r="GJ209" s="146"/>
    </row>
    <row r="210" spans="1:192" ht="50" x14ac:dyDescent="0.35">
      <c r="A210" s="225" t="s">
        <v>4</v>
      </c>
      <c r="B210" s="204" t="s">
        <v>747</v>
      </c>
      <c r="C210" s="204" t="s">
        <v>433</v>
      </c>
      <c r="D210" s="203" t="s">
        <v>24</v>
      </c>
      <c r="E210" s="208" t="s">
        <v>1103</v>
      </c>
      <c r="F210" s="87"/>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46"/>
      <c r="DZ210" s="146"/>
      <c r="EA210" s="146"/>
      <c r="EB210" s="146"/>
      <c r="EC210" s="146"/>
      <c r="ED210" s="146"/>
      <c r="EE210" s="146"/>
      <c r="EF210" s="146"/>
      <c r="EG210" s="146"/>
      <c r="EH210" s="146"/>
      <c r="EI210" s="146"/>
      <c r="EJ210" s="146"/>
      <c r="EK210" s="146"/>
      <c r="EL210" s="146"/>
      <c r="EM210" s="146"/>
      <c r="EN210" s="146"/>
      <c r="EO210" s="146"/>
      <c r="EP210" s="146"/>
      <c r="EQ210" s="146"/>
      <c r="ER210" s="146"/>
      <c r="ES210" s="146"/>
      <c r="ET210" s="146"/>
      <c r="EU210" s="146"/>
      <c r="EV210" s="146"/>
      <c r="EW210" s="146"/>
      <c r="EX210" s="146"/>
      <c r="EY210" s="146"/>
      <c r="EZ210" s="146"/>
      <c r="FA210" s="146"/>
      <c r="FB210" s="146"/>
      <c r="FC210" s="146"/>
      <c r="FD210" s="146"/>
      <c r="FE210" s="146"/>
      <c r="FF210" s="146"/>
      <c r="FG210" s="146"/>
      <c r="FH210" s="146"/>
      <c r="FI210" s="146"/>
      <c r="FJ210" s="146"/>
      <c r="FK210" s="146"/>
      <c r="FL210" s="146"/>
      <c r="FM210" s="146"/>
      <c r="FN210" s="146"/>
      <c r="FO210" s="146"/>
      <c r="FP210" s="146"/>
      <c r="FQ210" s="146"/>
      <c r="FR210" s="146"/>
      <c r="FS210" s="146"/>
      <c r="FT210" s="146"/>
      <c r="FU210" s="146"/>
      <c r="FV210" s="146"/>
      <c r="FW210" s="146"/>
      <c r="FX210" s="146"/>
      <c r="FY210" s="146"/>
      <c r="FZ210" s="146"/>
      <c r="GA210" s="146"/>
      <c r="GB210" s="146"/>
      <c r="GC210" s="146"/>
      <c r="GD210" s="146"/>
      <c r="GE210" s="146"/>
      <c r="GF210" s="146"/>
      <c r="GG210" s="146"/>
      <c r="GH210" s="146"/>
      <c r="GI210" s="146"/>
      <c r="GJ210" s="146"/>
    </row>
    <row r="211" spans="1:192" ht="42" x14ac:dyDescent="0.35">
      <c r="A211" s="225" t="s">
        <v>4</v>
      </c>
      <c r="B211" s="197" t="s">
        <v>1104</v>
      </c>
      <c r="C211" s="197" t="s">
        <v>434</v>
      </c>
      <c r="D211" s="202" t="s">
        <v>24</v>
      </c>
      <c r="E211" s="216" t="s">
        <v>1105</v>
      </c>
      <c r="F211" s="88"/>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46"/>
      <c r="DZ211" s="146"/>
      <c r="EA211" s="146"/>
      <c r="EB211" s="146"/>
      <c r="EC211" s="146"/>
      <c r="ED211" s="146"/>
      <c r="EE211" s="146"/>
      <c r="EF211" s="146"/>
      <c r="EG211" s="146"/>
      <c r="EH211" s="146"/>
      <c r="EI211" s="146"/>
      <c r="EJ211" s="146"/>
      <c r="EK211" s="146"/>
      <c r="EL211" s="146"/>
      <c r="EM211" s="146"/>
      <c r="EN211" s="146"/>
      <c r="EO211" s="146"/>
      <c r="EP211" s="146"/>
      <c r="EQ211" s="146"/>
      <c r="ER211" s="146"/>
      <c r="ES211" s="146"/>
      <c r="ET211" s="146"/>
      <c r="EU211" s="146"/>
      <c r="EV211" s="146"/>
      <c r="EW211" s="146"/>
      <c r="EX211" s="146"/>
      <c r="EY211" s="146"/>
      <c r="EZ211" s="146"/>
      <c r="FA211" s="146"/>
      <c r="FB211" s="146"/>
      <c r="FC211" s="146"/>
      <c r="FD211" s="146"/>
      <c r="FE211" s="146"/>
      <c r="FF211" s="146"/>
      <c r="FG211" s="146"/>
      <c r="FH211" s="146"/>
      <c r="FI211" s="146"/>
      <c r="FJ211" s="146"/>
      <c r="FK211" s="146"/>
      <c r="FL211" s="146"/>
      <c r="FM211" s="146"/>
      <c r="FN211" s="146"/>
      <c r="FO211" s="146"/>
      <c r="FP211" s="146"/>
      <c r="FQ211" s="146"/>
      <c r="FR211" s="146"/>
      <c r="FS211" s="146"/>
      <c r="FT211" s="146"/>
      <c r="FU211" s="146"/>
      <c r="FV211" s="146"/>
      <c r="FW211" s="146"/>
      <c r="FX211" s="146"/>
      <c r="FY211" s="146"/>
      <c r="FZ211" s="146"/>
      <c r="GA211" s="146"/>
      <c r="GB211" s="146"/>
      <c r="GC211" s="146"/>
      <c r="GD211" s="146"/>
      <c r="GE211" s="146"/>
      <c r="GF211" s="146"/>
      <c r="GG211" s="146"/>
      <c r="GH211" s="146"/>
      <c r="GI211" s="146"/>
      <c r="GJ211" s="146"/>
    </row>
    <row r="212" spans="1:192" ht="31.5" x14ac:dyDescent="0.35">
      <c r="A212" s="225" t="s">
        <v>4</v>
      </c>
      <c r="B212" s="197"/>
      <c r="C212" s="197" t="s">
        <v>435</v>
      </c>
      <c r="D212" s="202" t="s">
        <v>24</v>
      </c>
      <c r="E212" s="216" t="s">
        <v>748</v>
      </c>
      <c r="F212" s="88"/>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46"/>
      <c r="DZ212" s="146"/>
      <c r="EA212" s="146"/>
      <c r="EB212" s="146"/>
      <c r="EC212" s="146"/>
      <c r="ED212" s="146"/>
      <c r="EE212" s="146"/>
      <c r="EF212" s="146"/>
      <c r="EG212" s="146"/>
      <c r="EH212" s="146"/>
      <c r="EI212" s="146"/>
      <c r="EJ212" s="146"/>
      <c r="EK212" s="146"/>
      <c r="EL212" s="146"/>
      <c r="EM212" s="146"/>
      <c r="EN212" s="146"/>
      <c r="EO212" s="146"/>
      <c r="EP212" s="146"/>
      <c r="EQ212" s="146"/>
      <c r="ER212" s="146"/>
      <c r="ES212" s="146"/>
      <c r="ET212" s="146"/>
      <c r="EU212" s="146"/>
      <c r="EV212" s="146"/>
      <c r="EW212" s="146"/>
      <c r="EX212" s="146"/>
      <c r="EY212" s="146"/>
      <c r="EZ212" s="146"/>
      <c r="FA212" s="146"/>
      <c r="FB212" s="146"/>
      <c r="FC212" s="146"/>
      <c r="FD212" s="146"/>
      <c r="FE212" s="146"/>
      <c r="FF212" s="146"/>
      <c r="FG212" s="146"/>
      <c r="FH212" s="146"/>
      <c r="FI212" s="146"/>
      <c r="FJ212" s="146"/>
      <c r="FK212" s="146"/>
      <c r="FL212" s="146"/>
      <c r="FM212" s="146"/>
      <c r="FN212" s="146"/>
      <c r="FO212" s="146"/>
      <c r="FP212" s="146"/>
      <c r="FQ212" s="146"/>
      <c r="FR212" s="146"/>
      <c r="FS212" s="146"/>
      <c r="FT212" s="146"/>
      <c r="FU212" s="146"/>
      <c r="FV212" s="146"/>
      <c r="FW212" s="146"/>
      <c r="FX212" s="146"/>
      <c r="FY212" s="146"/>
      <c r="FZ212" s="146"/>
      <c r="GA212" s="146"/>
      <c r="GB212" s="146"/>
      <c r="GC212" s="146"/>
      <c r="GD212" s="146"/>
      <c r="GE212" s="146"/>
      <c r="GF212" s="146"/>
      <c r="GG212" s="146"/>
      <c r="GH212" s="146"/>
      <c r="GI212" s="146"/>
      <c r="GJ212" s="146"/>
    </row>
    <row r="213" spans="1:192" ht="31.5" x14ac:dyDescent="0.35">
      <c r="A213" s="225" t="s">
        <v>4</v>
      </c>
      <c r="B213" s="197"/>
      <c r="C213" s="197" t="s">
        <v>436</v>
      </c>
      <c r="D213" s="202" t="s">
        <v>24</v>
      </c>
      <c r="E213" s="216" t="s">
        <v>1106</v>
      </c>
      <c r="F213" s="88"/>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46"/>
      <c r="DZ213" s="146"/>
      <c r="EA213" s="146"/>
      <c r="EB213" s="146"/>
      <c r="EC213" s="146"/>
      <c r="ED213" s="146"/>
      <c r="EE213" s="146"/>
      <c r="EF213" s="146"/>
      <c r="EG213" s="146"/>
      <c r="EH213" s="146"/>
      <c r="EI213" s="146"/>
      <c r="EJ213" s="146"/>
      <c r="EK213" s="146"/>
      <c r="EL213" s="146"/>
      <c r="EM213" s="146"/>
      <c r="EN213" s="146"/>
      <c r="EO213" s="146"/>
      <c r="EP213" s="146"/>
      <c r="EQ213" s="146"/>
      <c r="ER213" s="146"/>
      <c r="ES213" s="146"/>
      <c r="ET213" s="146"/>
      <c r="EU213" s="146"/>
      <c r="EV213" s="146"/>
      <c r="EW213" s="146"/>
      <c r="EX213" s="146"/>
      <c r="EY213" s="146"/>
      <c r="EZ213" s="146"/>
      <c r="FA213" s="146"/>
      <c r="FB213" s="146"/>
      <c r="FC213" s="146"/>
      <c r="FD213" s="146"/>
      <c r="FE213" s="146"/>
      <c r="FF213" s="146"/>
      <c r="FG213" s="146"/>
      <c r="FH213" s="146"/>
      <c r="FI213" s="146"/>
      <c r="FJ213" s="146"/>
      <c r="FK213" s="146"/>
      <c r="FL213" s="146"/>
      <c r="FM213" s="146"/>
      <c r="FN213" s="146"/>
      <c r="FO213" s="146"/>
      <c r="FP213" s="146"/>
      <c r="FQ213" s="146"/>
      <c r="FR213" s="146"/>
      <c r="FS213" s="146"/>
      <c r="FT213" s="146"/>
      <c r="FU213" s="146"/>
      <c r="FV213" s="146"/>
      <c r="FW213" s="146"/>
      <c r="FX213" s="146"/>
      <c r="FY213" s="146"/>
      <c r="FZ213" s="146"/>
      <c r="GA213" s="146"/>
      <c r="GB213" s="146"/>
      <c r="GC213" s="146"/>
      <c r="GD213" s="146"/>
      <c r="GE213" s="146"/>
      <c r="GF213" s="146"/>
      <c r="GG213" s="146"/>
      <c r="GH213" s="146"/>
      <c r="GI213" s="146"/>
      <c r="GJ213" s="146"/>
    </row>
    <row r="214" spans="1:192" ht="171" x14ac:dyDescent="0.35">
      <c r="A214" s="225" t="s">
        <v>4</v>
      </c>
      <c r="B214" s="204" t="s">
        <v>1107</v>
      </c>
      <c r="C214" s="204" t="s">
        <v>437</v>
      </c>
      <c r="D214" s="203" t="s">
        <v>24</v>
      </c>
      <c r="E214" s="204" t="s">
        <v>1108</v>
      </c>
      <c r="F214" s="87"/>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46"/>
      <c r="FF214" s="146"/>
      <c r="FG214" s="146"/>
      <c r="FH214" s="146"/>
      <c r="FI214" s="146"/>
      <c r="FJ214" s="146"/>
      <c r="FK214" s="146"/>
      <c r="FL214" s="146"/>
      <c r="FM214" s="146"/>
      <c r="FN214" s="146"/>
      <c r="FO214" s="146"/>
      <c r="FP214" s="146"/>
      <c r="FQ214" s="146"/>
      <c r="FR214" s="146"/>
      <c r="FS214" s="146"/>
      <c r="FT214" s="146"/>
      <c r="FU214" s="146"/>
      <c r="FV214" s="146"/>
      <c r="FW214" s="146"/>
      <c r="FX214" s="146"/>
      <c r="FY214" s="146"/>
      <c r="FZ214" s="146"/>
      <c r="GA214" s="146"/>
      <c r="GB214" s="146"/>
      <c r="GC214" s="146"/>
      <c r="GD214" s="146"/>
      <c r="GE214" s="146"/>
      <c r="GF214" s="146"/>
      <c r="GG214" s="146"/>
      <c r="GH214" s="146"/>
      <c r="GI214" s="146"/>
      <c r="GJ214" s="146"/>
    </row>
    <row r="215" spans="1:192" ht="191.5" x14ac:dyDescent="0.35">
      <c r="A215" s="225" t="s">
        <v>4</v>
      </c>
      <c r="B215" s="204"/>
      <c r="C215" s="204" t="s">
        <v>438</v>
      </c>
      <c r="D215" s="203" t="s">
        <v>24</v>
      </c>
      <c r="E215" s="204" t="s">
        <v>1109</v>
      </c>
      <c r="F215" s="87"/>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46"/>
      <c r="DZ215" s="146"/>
      <c r="EA215" s="146"/>
      <c r="EB215" s="146"/>
      <c r="EC215" s="146"/>
      <c r="ED215" s="146"/>
      <c r="EE215" s="146"/>
      <c r="EF215" s="146"/>
      <c r="EG215" s="146"/>
      <c r="EH215" s="146"/>
      <c r="EI215" s="146"/>
      <c r="EJ215" s="146"/>
      <c r="EK215" s="146"/>
      <c r="EL215" s="146"/>
      <c r="EM215" s="146"/>
      <c r="EN215" s="146"/>
      <c r="EO215" s="146"/>
      <c r="EP215" s="146"/>
      <c r="EQ215" s="146"/>
      <c r="ER215" s="146"/>
      <c r="ES215" s="146"/>
      <c r="ET215" s="146"/>
      <c r="EU215" s="146"/>
      <c r="EV215" s="146"/>
      <c r="EW215" s="146"/>
      <c r="EX215" s="146"/>
      <c r="EY215" s="146"/>
      <c r="EZ215" s="146"/>
      <c r="FA215" s="146"/>
      <c r="FB215" s="146"/>
      <c r="FC215" s="146"/>
      <c r="FD215" s="146"/>
      <c r="FE215" s="146"/>
      <c r="FF215" s="146"/>
      <c r="FG215" s="146"/>
      <c r="FH215" s="146"/>
      <c r="FI215" s="146"/>
      <c r="FJ215" s="146"/>
      <c r="FK215" s="146"/>
      <c r="FL215" s="146"/>
      <c r="FM215" s="146"/>
      <c r="FN215" s="146"/>
      <c r="FO215" s="146"/>
      <c r="FP215" s="146"/>
      <c r="FQ215" s="146"/>
      <c r="FR215" s="146"/>
      <c r="FS215" s="146"/>
      <c r="FT215" s="146"/>
      <c r="FU215" s="146"/>
      <c r="FV215" s="146"/>
      <c r="FW215" s="146"/>
      <c r="FX215" s="146"/>
      <c r="FY215" s="146"/>
      <c r="FZ215" s="146"/>
      <c r="GA215" s="146"/>
      <c r="GB215" s="146"/>
      <c r="GC215" s="146"/>
      <c r="GD215" s="146"/>
      <c r="GE215" s="146"/>
      <c r="GF215" s="146"/>
      <c r="GG215" s="146"/>
      <c r="GH215" s="146"/>
      <c r="GI215" s="146"/>
      <c r="GJ215" s="146"/>
    </row>
    <row r="216" spans="1:192" ht="101.5" x14ac:dyDescent="0.35">
      <c r="A216" s="225" t="s">
        <v>4</v>
      </c>
      <c r="B216" s="197" t="s">
        <v>1110</v>
      </c>
      <c r="C216" s="197" t="s">
        <v>439</v>
      </c>
      <c r="D216" s="202" t="s">
        <v>24</v>
      </c>
      <c r="E216" s="197" t="s">
        <v>1111</v>
      </c>
      <c r="F216" s="88"/>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46"/>
      <c r="DZ216" s="146"/>
      <c r="EA216" s="146"/>
      <c r="EB216" s="146"/>
      <c r="EC216" s="146"/>
      <c r="ED216" s="146"/>
      <c r="EE216" s="146"/>
      <c r="EF216" s="146"/>
      <c r="EG216" s="146"/>
      <c r="EH216" s="146"/>
      <c r="EI216" s="146"/>
      <c r="EJ216" s="146"/>
      <c r="EK216" s="146"/>
      <c r="EL216" s="146"/>
      <c r="EM216" s="146"/>
      <c r="EN216" s="146"/>
      <c r="EO216" s="146"/>
      <c r="EP216" s="146"/>
      <c r="EQ216" s="146"/>
      <c r="ER216" s="146"/>
      <c r="ES216" s="146"/>
      <c r="ET216" s="146"/>
      <c r="EU216" s="146"/>
      <c r="EV216" s="146"/>
      <c r="EW216" s="146"/>
      <c r="EX216" s="146"/>
      <c r="EY216" s="146"/>
      <c r="EZ216" s="146"/>
      <c r="FA216" s="146"/>
      <c r="FB216" s="146"/>
      <c r="FC216" s="146"/>
      <c r="FD216" s="146"/>
      <c r="FE216" s="146"/>
      <c r="FF216" s="146"/>
      <c r="FG216" s="146"/>
      <c r="FH216" s="146"/>
      <c r="FI216" s="146"/>
      <c r="FJ216" s="146"/>
      <c r="FK216" s="146"/>
      <c r="FL216" s="146"/>
      <c r="FM216" s="146"/>
      <c r="FN216" s="146"/>
      <c r="FO216" s="146"/>
      <c r="FP216" s="146"/>
      <c r="FQ216" s="146"/>
      <c r="FR216" s="146"/>
      <c r="FS216" s="146"/>
      <c r="FT216" s="146"/>
      <c r="FU216" s="146"/>
      <c r="FV216" s="146"/>
      <c r="FW216" s="146"/>
      <c r="FX216" s="146"/>
      <c r="FY216" s="146"/>
      <c r="FZ216" s="146"/>
      <c r="GA216" s="146"/>
      <c r="GB216" s="146"/>
      <c r="GC216" s="146"/>
      <c r="GD216" s="146"/>
      <c r="GE216" s="146"/>
      <c r="GF216" s="146"/>
      <c r="GG216" s="146"/>
      <c r="GH216" s="146"/>
      <c r="GI216" s="146"/>
      <c r="GJ216" s="146"/>
    </row>
    <row r="217" spans="1:192" ht="111.5" x14ac:dyDescent="0.35">
      <c r="A217" s="225" t="s">
        <v>4</v>
      </c>
      <c r="B217" s="197"/>
      <c r="C217" s="197" t="s">
        <v>440</v>
      </c>
      <c r="D217" s="202" t="s">
        <v>24</v>
      </c>
      <c r="E217" s="209" t="s">
        <v>1112</v>
      </c>
      <c r="F217" s="88"/>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46"/>
      <c r="DZ217" s="146"/>
      <c r="EA217" s="146"/>
      <c r="EB217" s="146"/>
      <c r="EC217" s="146"/>
      <c r="ED217" s="146"/>
      <c r="EE217" s="146"/>
      <c r="EF217" s="146"/>
      <c r="EG217" s="146"/>
      <c r="EH217" s="146"/>
      <c r="EI217" s="146"/>
      <c r="EJ217" s="146"/>
      <c r="EK217" s="146"/>
      <c r="EL217" s="146"/>
      <c r="EM217" s="146"/>
      <c r="EN217" s="146"/>
      <c r="EO217" s="146"/>
      <c r="EP217" s="146"/>
      <c r="EQ217" s="146"/>
      <c r="ER217" s="146"/>
      <c r="ES217" s="146"/>
      <c r="ET217" s="146"/>
      <c r="EU217" s="146"/>
      <c r="EV217" s="146"/>
      <c r="EW217" s="146"/>
      <c r="EX217" s="146"/>
      <c r="EY217" s="146"/>
      <c r="EZ217" s="146"/>
      <c r="FA217" s="146"/>
      <c r="FB217" s="146"/>
      <c r="FC217" s="146"/>
      <c r="FD217" s="146"/>
      <c r="FE217" s="146"/>
      <c r="FF217" s="146"/>
      <c r="FG217" s="146"/>
      <c r="FH217" s="146"/>
      <c r="FI217" s="146"/>
      <c r="FJ217" s="146"/>
      <c r="FK217" s="146"/>
      <c r="FL217" s="146"/>
      <c r="FM217" s="146"/>
      <c r="FN217" s="146"/>
      <c r="FO217" s="146"/>
      <c r="FP217" s="146"/>
      <c r="FQ217" s="146"/>
      <c r="FR217" s="146"/>
      <c r="FS217" s="146"/>
      <c r="FT217" s="146"/>
      <c r="FU217" s="146"/>
      <c r="FV217" s="146"/>
      <c r="FW217" s="146"/>
      <c r="FX217" s="146"/>
      <c r="FY217" s="146"/>
      <c r="FZ217" s="146"/>
      <c r="GA217" s="146"/>
      <c r="GB217" s="146"/>
      <c r="GC217" s="146"/>
      <c r="GD217" s="146"/>
      <c r="GE217" s="146"/>
      <c r="GF217" s="146"/>
      <c r="GG217" s="146"/>
      <c r="GH217" s="146"/>
      <c r="GI217" s="146"/>
      <c r="GJ217" s="146"/>
    </row>
    <row r="218" spans="1:192" ht="91.5" x14ac:dyDescent="0.35">
      <c r="A218" s="225" t="s">
        <v>4</v>
      </c>
      <c r="B218" s="197"/>
      <c r="C218" s="197" t="s">
        <v>441</v>
      </c>
      <c r="D218" s="202" t="s">
        <v>24</v>
      </c>
      <c r="E218" s="197" t="s">
        <v>1113</v>
      </c>
      <c r="F218" s="88"/>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46"/>
      <c r="DZ218" s="146"/>
      <c r="EA218" s="146"/>
      <c r="EB218" s="146"/>
      <c r="EC218" s="146"/>
      <c r="ED218" s="146"/>
      <c r="EE218" s="146"/>
      <c r="EF218" s="146"/>
      <c r="EG218" s="146"/>
      <c r="EH218" s="146"/>
      <c r="EI218" s="146"/>
      <c r="EJ218" s="146"/>
      <c r="EK218" s="146"/>
      <c r="EL218" s="146"/>
      <c r="EM218" s="146"/>
      <c r="EN218" s="146"/>
      <c r="EO218" s="146"/>
      <c r="EP218" s="146"/>
      <c r="EQ218" s="146"/>
      <c r="ER218" s="146"/>
      <c r="ES218" s="146"/>
      <c r="ET218" s="146"/>
      <c r="EU218" s="146"/>
      <c r="EV218" s="146"/>
      <c r="EW218" s="146"/>
      <c r="EX218" s="146"/>
      <c r="EY218" s="146"/>
      <c r="EZ218" s="146"/>
      <c r="FA218" s="146"/>
      <c r="FB218" s="146"/>
      <c r="FC218" s="146"/>
      <c r="FD218" s="146"/>
      <c r="FE218" s="146"/>
      <c r="FF218" s="146"/>
      <c r="FG218" s="146"/>
      <c r="FH218" s="146"/>
      <c r="FI218" s="146"/>
      <c r="FJ218" s="146"/>
      <c r="FK218" s="146"/>
      <c r="FL218" s="146"/>
      <c r="FM218" s="146"/>
      <c r="FN218" s="146"/>
      <c r="FO218" s="146"/>
      <c r="FP218" s="146"/>
      <c r="FQ218" s="146"/>
      <c r="FR218" s="146"/>
      <c r="FS218" s="146"/>
      <c r="FT218" s="146"/>
      <c r="FU218" s="146"/>
      <c r="FV218" s="146"/>
      <c r="FW218" s="146"/>
      <c r="FX218" s="146"/>
      <c r="FY218" s="146"/>
      <c r="FZ218" s="146"/>
      <c r="GA218" s="146"/>
      <c r="GB218" s="146"/>
      <c r="GC218" s="146"/>
      <c r="GD218" s="146"/>
      <c r="GE218" s="146"/>
      <c r="GF218" s="146"/>
      <c r="GG218" s="146"/>
      <c r="GH218" s="146"/>
      <c r="GI218" s="146"/>
      <c r="GJ218" s="146"/>
    </row>
    <row r="219" spans="1:192" ht="91.5" x14ac:dyDescent="0.35">
      <c r="A219" s="225" t="s">
        <v>4</v>
      </c>
      <c r="B219" s="197"/>
      <c r="C219" s="197" t="s">
        <v>442</v>
      </c>
      <c r="D219" s="202" t="s">
        <v>24</v>
      </c>
      <c r="E219" s="197" t="s">
        <v>1114</v>
      </c>
      <c r="F219" s="88"/>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46"/>
      <c r="DZ219" s="146"/>
      <c r="EA219" s="146"/>
      <c r="EB219" s="146"/>
      <c r="EC219" s="146"/>
      <c r="ED219" s="146"/>
      <c r="EE219" s="146"/>
      <c r="EF219" s="146"/>
      <c r="EG219" s="146"/>
      <c r="EH219" s="146"/>
      <c r="EI219" s="146"/>
      <c r="EJ219" s="146"/>
      <c r="EK219" s="146"/>
      <c r="EL219" s="146"/>
      <c r="EM219" s="146"/>
      <c r="EN219" s="146"/>
      <c r="EO219" s="146"/>
      <c r="EP219" s="146"/>
      <c r="EQ219" s="146"/>
      <c r="ER219" s="146"/>
      <c r="ES219" s="146"/>
      <c r="ET219" s="146"/>
      <c r="EU219" s="146"/>
      <c r="EV219" s="146"/>
      <c r="EW219" s="146"/>
      <c r="EX219" s="146"/>
      <c r="EY219" s="146"/>
      <c r="EZ219" s="146"/>
      <c r="FA219" s="146"/>
      <c r="FB219" s="146"/>
      <c r="FC219" s="146"/>
      <c r="FD219" s="146"/>
      <c r="FE219" s="146"/>
      <c r="FF219" s="146"/>
      <c r="FG219" s="146"/>
      <c r="FH219" s="146"/>
      <c r="FI219" s="146"/>
      <c r="FJ219" s="146"/>
      <c r="FK219" s="146"/>
      <c r="FL219" s="146"/>
      <c r="FM219" s="146"/>
      <c r="FN219" s="146"/>
      <c r="FO219" s="146"/>
      <c r="FP219" s="146"/>
      <c r="FQ219" s="146"/>
      <c r="FR219" s="146"/>
      <c r="FS219" s="146"/>
      <c r="FT219" s="146"/>
      <c r="FU219" s="146"/>
      <c r="FV219" s="146"/>
      <c r="FW219" s="146"/>
      <c r="FX219" s="146"/>
      <c r="FY219" s="146"/>
      <c r="FZ219" s="146"/>
      <c r="GA219" s="146"/>
      <c r="GB219" s="146"/>
      <c r="GC219" s="146"/>
      <c r="GD219" s="146"/>
      <c r="GE219" s="146"/>
      <c r="GF219" s="146"/>
      <c r="GG219" s="146"/>
      <c r="GH219" s="146"/>
      <c r="GI219" s="146"/>
      <c r="GJ219" s="146"/>
    </row>
    <row r="220" spans="1:192" ht="131.5" x14ac:dyDescent="0.35">
      <c r="A220" s="225" t="s">
        <v>4</v>
      </c>
      <c r="B220" s="197"/>
      <c r="C220" s="197" t="s">
        <v>443</v>
      </c>
      <c r="D220" s="202" t="s">
        <v>24</v>
      </c>
      <c r="E220" s="209" t="s">
        <v>1115</v>
      </c>
      <c r="F220" s="88"/>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46"/>
      <c r="DZ220" s="146"/>
      <c r="EA220" s="146"/>
      <c r="EB220" s="146"/>
      <c r="EC220" s="146"/>
      <c r="ED220" s="146"/>
      <c r="EE220" s="146"/>
      <c r="EF220" s="146"/>
      <c r="EG220" s="146"/>
      <c r="EH220" s="146"/>
      <c r="EI220" s="146"/>
      <c r="EJ220" s="146"/>
      <c r="EK220" s="146"/>
      <c r="EL220" s="146"/>
      <c r="EM220" s="146"/>
      <c r="EN220" s="146"/>
      <c r="EO220" s="146"/>
      <c r="EP220" s="146"/>
      <c r="EQ220" s="146"/>
      <c r="ER220" s="146"/>
      <c r="ES220" s="146"/>
      <c r="ET220" s="146"/>
      <c r="EU220" s="146"/>
      <c r="EV220" s="146"/>
      <c r="EW220" s="146"/>
      <c r="EX220" s="146"/>
      <c r="EY220" s="146"/>
      <c r="EZ220" s="146"/>
      <c r="FA220" s="146"/>
      <c r="FB220" s="146"/>
      <c r="FC220" s="146"/>
      <c r="FD220" s="146"/>
      <c r="FE220" s="146"/>
      <c r="FF220" s="146"/>
      <c r="FG220" s="146"/>
      <c r="FH220" s="146"/>
      <c r="FI220" s="146"/>
      <c r="FJ220" s="146"/>
      <c r="FK220" s="146"/>
      <c r="FL220" s="146"/>
      <c r="FM220" s="146"/>
      <c r="FN220" s="146"/>
      <c r="FO220" s="146"/>
      <c r="FP220" s="146"/>
      <c r="FQ220" s="146"/>
      <c r="FR220" s="146"/>
      <c r="FS220" s="146"/>
      <c r="FT220" s="146"/>
      <c r="FU220" s="146"/>
      <c r="FV220" s="146"/>
      <c r="FW220" s="146"/>
      <c r="FX220" s="146"/>
      <c r="FY220" s="146"/>
      <c r="FZ220" s="146"/>
      <c r="GA220" s="146"/>
      <c r="GB220" s="146"/>
      <c r="GC220" s="146"/>
      <c r="GD220" s="146"/>
      <c r="GE220" s="146"/>
      <c r="GF220" s="146"/>
      <c r="GG220" s="146"/>
      <c r="GH220" s="146"/>
      <c r="GI220" s="146"/>
      <c r="GJ220" s="146"/>
    </row>
    <row r="221" spans="1:192" ht="112.5" x14ac:dyDescent="0.35">
      <c r="A221" s="225" t="s">
        <v>4</v>
      </c>
      <c r="B221" s="197"/>
      <c r="C221" s="197" t="s">
        <v>444</v>
      </c>
      <c r="D221" s="202" t="s">
        <v>24</v>
      </c>
      <c r="E221" s="197" t="s">
        <v>1116</v>
      </c>
      <c r="F221" s="88"/>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46"/>
      <c r="DZ221" s="146"/>
      <c r="EA221" s="146"/>
      <c r="EB221" s="146"/>
      <c r="EC221" s="146"/>
      <c r="ED221" s="146"/>
      <c r="EE221" s="146"/>
      <c r="EF221" s="146"/>
      <c r="EG221" s="146"/>
      <c r="EH221" s="146"/>
      <c r="EI221" s="146"/>
      <c r="EJ221" s="146"/>
      <c r="EK221" s="146"/>
      <c r="EL221" s="146"/>
      <c r="EM221" s="146"/>
      <c r="EN221" s="146"/>
      <c r="EO221" s="146"/>
      <c r="EP221" s="146"/>
      <c r="EQ221" s="146"/>
      <c r="ER221" s="146"/>
      <c r="ES221" s="146"/>
      <c r="ET221" s="146"/>
      <c r="EU221" s="146"/>
      <c r="EV221" s="146"/>
      <c r="EW221" s="146"/>
      <c r="EX221" s="146"/>
      <c r="EY221" s="146"/>
      <c r="EZ221" s="146"/>
      <c r="FA221" s="146"/>
      <c r="FB221" s="146"/>
      <c r="FC221" s="146"/>
      <c r="FD221" s="146"/>
      <c r="FE221" s="146"/>
      <c r="FF221" s="146"/>
      <c r="FG221" s="146"/>
      <c r="FH221" s="146"/>
      <c r="FI221" s="146"/>
      <c r="FJ221" s="146"/>
      <c r="FK221" s="146"/>
      <c r="FL221" s="146"/>
      <c r="FM221" s="146"/>
      <c r="FN221" s="146"/>
      <c r="FO221" s="146"/>
      <c r="FP221" s="146"/>
      <c r="FQ221" s="146"/>
      <c r="FR221" s="146"/>
      <c r="FS221" s="146"/>
      <c r="FT221" s="146"/>
      <c r="FU221" s="146"/>
      <c r="FV221" s="146"/>
      <c r="FW221" s="146"/>
      <c r="FX221" s="146"/>
      <c r="FY221" s="146"/>
      <c r="FZ221" s="146"/>
      <c r="GA221" s="146"/>
      <c r="GB221" s="146"/>
      <c r="GC221" s="146"/>
      <c r="GD221" s="146"/>
      <c r="GE221" s="146"/>
      <c r="GF221" s="146"/>
      <c r="GG221" s="146"/>
      <c r="GH221" s="146"/>
      <c r="GI221" s="146"/>
      <c r="GJ221" s="146"/>
    </row>
    <row r="222" spans="1:192" ht="132.5" x14ac:dyDescent="0.35">
      <c r="A222" s="225" t="s">
        <v>4</v>
      </c>
      <c r="B222" s="197"/>
      <c r="C222" s="197" t="s">
        <v>445</v>
      </c>
      <c r="D222" s="202" t="s">
        <v>24</v>
      </c>
      <c r="E222" s="197" t="s">
        <v>1117</v>
      </c>
      <c r="F222" s="88"/>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46"/>
      <c r="DZ222" s="146"/>
      <c r="EA222" s="146"/>
      <c r="EB222" s="146"/>
      <c r="EC222" s="146"/>
      <c r="ED222" s="146"/>
      <c r="EE222" s="146"/>
      <c r="EF222" s="146"/>
      <c r="EG222" s="146"/>
      <c r="EH222" s="146"/>
      <c r="EI222" s="146"/>
      <c r="EJ222" s="146"/>
      <c r="EK222" s="146"/>
      <c r="EL222" s="146"/>
      <c r="EM222" s="146"/>
      <c r="EN222" s="146"/>
      <c r="EO222" s="146"/>
      <c r="EP222" s="146"/>
      <c r="EQ222" s="146"/>
      <c r="ER222" s="146"/>
      <c r="ES222" s="146"/>
      <c r="ET222" s="146"/>
      <c r="EU222" s="146"/>
      <c r="EV222" s="146"/>
      <c r="EW222" s="146"/>
      <c r="EX222" s="146"/>
      <c r="EY222" s="146"/>
      <c r="EZ222" s="146"/>
      <c r="FA222" s="146"/>
      <c r="FB222" s="146"/>
      <c r="FC222" s="146"/>
      <c r="FD222" s="146"/>
      <c r="FE222" s="146"/>
      <c r="FF222" s="146"/>
      <c r="FG222" s="146"/>
      <c r="FH222" s="146"/>
      <c r="FI222" s="146"/>
      <c r="FJ222" s="146"/>
      <c r="FK222" s="146"/>
      <c r="FL222" s="146"/>
      <c r="FM222" s="146"/>
      <c r="FN222" s="146"/>
      <c r="FO222" s="146"/>
      <c r="FP222" s="146"/>
      <c r="FQ222" s="146"/>
      <c r="FR222" s="146"/>
      <c r="FS222" s="146"/>
      <c r="FT222" s="146"/>
      <c r="FU222" s="146"/>
      <c r="FV222" s="146"/>
      <c r="FW222" s="146"/>
      <c r="FX222" s="146"/>
      <c r="FY222" s="146"/>
      <c r="FZ222" s="146"/>
      <c r="GA222" s="146"/>
      <c r="GB222" s="146"/>
      <c r="GC222" s="146"/>
      <c r="GD222" s="146"/>
      <c r="GE222" s="146"/>
      <c r="GF222" s="146"/>
      <c r="GG222" s="146"/>
      <c r="GH222" s="146"/>
      <c r="GI222" s="146"/>
      <c r="GJ222" s="146"/>
    </row>
    <row r="223" spans="1:192" ht="60" x14ac:dyDescent="0.35">
      <c r="A223" s="225" t="s">
        <v>4</v>
      </c>
      <c r="B223" s="204" t="s">
        <v>1118</v>
      </c>
      <c r="C223" s="204" t="s">
        <v>446</v>
      </c>
      <c r="D223" s="203" t="s">
        <v>25</v>
      </c>
      <c r="E223" s="208" t="s">
        <v>1119</v>
      </c>
      <c r="F223" s="87"/>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46"/>
      <c r="AZ223" s="146"/>
      <c r="BA223" s="146"/>
      <c r="BB223" s="146"/>
      <c r="BC223" s="146"/>
      <c r="BD223" s="146"/>
      <c r="BE223" s="146"/>
      <c r="BF223" s="146"/>
      <c r="BG223" s="146"/>
      <c r="BH223" s="146"/>
      <c r="BI223" s="146"/>
      <c r="BJ223" s="146"/>
      <c r="BK223" s="146"/>
      <c r="BL223" s="146"/>
      <c r="BM223" s="146"/>
      <c r="BN223" s="146"/>
      <c r="BO223" s="146"/>
      <c r="BP223" s="146"/>
      <c r="BQ223" s="146"/>
      <c r="BR223" s="146"/>
      <c r="BS223" s="146"/>
      <c r="BT223" s="146"/>
      <c r="BU223" s="146"/>
      <c r="BV223" s="146"/>
      <c r="BW223" s="146"/>
      <c r="BX223" s="146"/>
      <c r="BY223" s="146"/>
      <c r="BZ223" s="146"/>
      <c r="CA223" s="146"/>
      <c r="CB223" s="146"/>
      <c r="CC223" s="146"/>
      <c r="CD223" s="146"/>
      <c r="CE223" s="146"/>
      <c r="CF223" s="146"/>
      <c r="CG223" s="146"/>
      <c r="CH223" s="146"/>
      <c r="CI223" s="146"/>
      <c r="CJ223" s="146"/>
      <c r="CK223" s="146"/>
      <c r="CL223" s="146"/>
      <c r="CM223" s="146"/>
      <c r="CN223" s="146"/>
      <c r="CO223" s="146"/>
      <c r="CP223" s="146"/>
      <c r="CQ223" s="146"/>
      <c r="CR223" s="146"/>
      <c r="CS223" s="146"/>
      <c r="CT223" s="146"/>
      <c r="CU223" s="146"/>
      <c r="CV223" s="146"/>
      <c r="CW223" s="146"/>
      <c r="CX223" s="146"/>
      <c r="CY223" s="146"/>
      <c r="CZ223" s="146"/>
      <c r="DA223" s="146"/>
      <c r="DB223" s="146"/>
      <c r="DC223" s="146"/>
      <c r="DD223" s="146"/>
      <c r="DE223" s="146"/>
      <c r="DF223" s="146"/>
      <c r="DG223" s="146"/>
      <c r="DH223" s="146"/>
      <c r="DI223" s="146"/>
      <c r="DJ223" s="146"/>
      <c r="DK223" s="146"/>
      <c r="DL223" s="146"/>
      <c r="DM223" s="146"/>
      <c r="DN223" s="146"/>
      <c r="DO223" s="146"/>
      <c r="DP223" s="146"/>
      <c r="DQ223" s="146"/>
      <c r="DR223" s="146"/>
      <c r="DS223" s="146"/>
      <c r="DT223" s="146"/>
      <c r="DU223" s="146"/>
      <c r="DV223" s="146"/>
      <c r="DW223" s="146"/>
      <c r="DX223" s="146"/>
      <c r="DY223" s="146"/>
      <c r="DZ223" s="146"/>
      <c r="EA223" s="146"/>
      <c r="EB223" s="146"/>
      <c r="EC223" s="146"/>
      <c r="ED223" s="146"/>
      <c r="EE223" s="146"/>
      <c r="EF223" s="146"/>
      <c r="EG223" s="146"/>
      <c r="EH223" s="146"/>
      <c r="EI223" s="146"/>
      <c r="EJ223" s="146"/>
      <c r="EK223" s="146"/>
      <c r="EL223" s="146"/>
      <c r="EM223" s="146"/>
      <c r="EN223" s="146"/>
      <c r="EO223" s="146"/>
      <c r="EP223" s="146"/>
      <c r="EQ223" s="146"/>
      <c r="ER223" s="146"/>
      <c r="ES223" s="146"/>
      <c r="ET223" s="146"/>
      <c r="EU223" s="146"/>
      <c r="EV223" s="146"/>
      <c r="EW223" s="146"/>
      <c r="EX223" s="146"/>
      <c r="EY223" s="146"/>
      <c r="EZ223" s="146"/>
      <c r="FA223" s="146"/>
      <c r="FB223" s="146"/>
      <c r="FC223" s="146"/>
      <c r="FD223" s="146"/>
      <c r="FE223" s="146"/>
      <c r="FF223" s="146"/>
      <c r="FG223" s="146"/>
      <c r="FH223" s="146"/>
      <c r="FI223" s="146"/>
      <c r="FJ223" s="146"/>
      <c r="FK223" s="146"/>
      <c r="FL223" s="146"/>
      <c r="FM223" s="146"/>
      <c r="FN223" s="146"/>
      <c r="FO223" s="146"/>
      <c r="FP223" s="146"/>
      <c r="FQ223" s="146"/>
      <c r="FR223" s="146"/>
      <c r="FS223" s="146"/>
      <c r="FT223" s="146"/>
      <c r="FU223" s="146"/>
      <c r="FV223" s="146"/>
      <c r="FW223" s="146"/>
      <c r="FX223" s="146"/>
      <c r="FY223" s="146"/>
      <c r="FZ223" s="146"/>
      <c r="GA223" s="146"/>
      <c r="GB223" s="146"/>
      <c r="GC223" s="146"/>
      <c r="GD223" s="146"/>
      <c r="GE223" s="146"/>
      <c r="GF223" s="146"/>
      <c r="GG223" s="146"/>
      <c r="GH223" s="146"/>
      <c r="GI223" s="146"/>
      <c r="GJ223" s="146"/>
    </row>
    <row r="224" spans="1:192" ht="31.5" x14ac:dyDescent="0.35">
      <c r="A224" s="225" t="s">
        <v>4</v>
      </c>
      <c r="B224" s="204"/>
      <c r="C224" s="204" t="s">
        <v>448</v>
      </c>
      <c r="D224" s="203" t="s">
        <v>25</v>
      </c>
      <c r="E224" s="208" t="s">
        <v>1120</v>
      </c>
      <c r="F224" s="87"/>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46"/>
      <c r="AZ224" s="146"/>
      <c r="BA224" s="146"/>
      <c r="BB224" s="146"/>
      <c r="BC224" s="146"/>
      <c r="BD224" s="146"/>
      <c r="BE224" s="146"/>
      <c r="BF224" s="146"/>
      <c r="BG224" s="146"/>
      <c r="BH224" s="146"/>
      <c r="BI224" s="146"/>
      <c r="BJ224" s="146"/>
      <c r="BK224" s="146"/>
      <c r="BL224" s="146"/>
      <c r="BM224" s="146"/>
      <c r="BN224" s="146"/>
      <c r="BO224" s="146"/>
      <c r="BP224" s="146"/>
      <c r="BQ224" s="146"/>
      <c r="BR224" s="146"/>
      <c r="BS224" s="146"/>
      <c r="BT224" s="146"/>
      <c r="BU224" s="146"/>
      <c r="BV224" s="146"/>
      <c r="BW224" s="146"/>
      <c r="BX224" s="146"/>
      <c r="BY224" s="146"/>
      <c r="BZ224" s="146"/>
      <c r="CA224" s="146"/>
      <c r="CB224" s="146"/>
      <c r="CC224" s="146"/>
      <c r="CD224" s="146"/>
      <c r="CE224" s="146"/>
      <c r="CF224" s="146"/>
      <c r="CG224" s="146"/>
      <c r="CH224" s="146"/>
      <c r="CI224" s="146"/>
      <c r="CJ224" s="146"/>
      <c r="CK224" s="146"/>
      <c r="CL224" s="146"/>
      <c r="CM224" s="146"/>
      <c r="CN224" s="146"/>
      <c r="CO224" s="146"/>
      <c r="CP224" s="146"/>
      <c r="CQ224" s="146"/>
      <c r="CR224" s="146"/>
      <c r="CS224" s="146"/>
      <c r="CT224" s="146"/>
      <c r="CU224" s="146"/>
      <c r="CV224" s="146"/>
      <c r="CW224" s="146"/>
      <c r="CX224" s="146"/>
      <c r="CY224" s="146"/>
      <c r="CZ224" s="146"/>
      <c r="DA224" s="146"/>
      <c r="DB224" s="146"/>
      <c r="DC224" s="146"/>
      <c r="DD224" s="146"/>
      <c r="DE224" s="146"/>
      <c r="DF224" s="146"/>
      <c r="DG224" s="146"/>
      <c r="DH224" s="146"/>
      <c r="DI224" s="146"/>
      <c r="DJ224" s="146"/>
      <c r="DK224" s="146"/>
      <c r="DL224" s="146"/>
      <c r="DM224" s="146"/>
      <c r="DN224" s="146"/>
      <c r="DO224" s="146"/>
      <c r="DP224" s="146"/>
      <c r="DQ224" s="146"/>
      <c r="DR224" s="146"/>
      <c r="DS224" s="146"/>
      <c r="DT224" s="146"/>
      <c r="DU224" s="146"/>
      <c r="DV224" s="146"/>
      <c r="DW224" s="146"/>
      <c r="DX224" s="146"/>
      <c r="DY224" s="146"/>
      <c r="DZ224" s="146"/>
      <c r="EA224" s="146"/>
      <c r="EB224" s="146"/>
      <c r="EC224" s="146"/>
      <c r="ED224" s="146"/>
      <c r="EE224" s="146"/>
      <c r="EF224" s="146"/>
      <c r="EG224" s="146"/>
      <c r="EH224" s="146"/>
      <c r="EI224" s="146"/>
      <c r="EJ224" s="146"/>
      <c r="EK224" s="146"/>
      <c r="EL224" s="146"/>
      <c r="EM224" s="146"/>
      <c r="EN224" s="146"/>
      <c r="EO224" s="146"/>
      <c r="EP224" s="146"/>
      <c r="EQ224" s="146"/>
      <c r="ER224" s="146"/>
      <c r="ES224" s="146"/>
      <c r="ET224" s="146"/>
      <c r="EU224" s="146"/>
      <c r="EV224" s="146"/>
      <c r="EW224" s="146"/>
      <c r="EX224" s="146"/>
      <c r="EY224" s="146"/>
      <c r="EZ224" s="146"/>
      <c r="FA224" s="146"/>
      <c r="FB224" s="146"/>
      <c r="FC224" s="146"/>
      <c r="FD224" s="146"/>
      <c r="FE224" s="146"/>
      <c r="FF224" s="146"/>
      <c r="FG224" s="146"/>
      <c r="FH224" s="146"/>
      <c r="FI224" s="146"/>
      <c r="FJ224" s="146"/>
      <c r="FK224" s="146"/>
      <c r="FL224" s="146"/>
      <c r="FM224" s="146"/>
      <c r="FN224" s="146"/>
      <c r="FO224" s="146"/>
      <c r="FP224" s="146"/>
      <c r="FQ224" s="146"/>
      <c r="FR224" s="146"/>
      <c r="FS224" s="146"/>
      <c r="FT224" s="146"/>
      <c r="FU224" s="146"/>
      <c r="FV224" s="146"/>
      <c r="FW224" s="146"/>
      <c r="FX224" s="146"/>
      <c r="FY224" s="146"/>
      <c r="FZ224" s="146"/>
      <c r="GA224" s="146"/>
      <c r="GB224" s="146"/>
      <c r="GC224" s="146"/>
      <c r="GD224" s="146"/>
      <c r="GE224" s="146"/>
      <c r="GF224" s="146"/>
      <c r="GG224" s="146"/>
      <c r="GH224" s="146"/>
      <c r="GI224" s="146"/>
      <c r="GJ224" s="146"/>
    </row>
    <row r="225" spans="1:192" ht="183.5" x14ac:dyDescent="0.35">
      <c r="A225" s="225" t="s">
        <v>4</v>
      </c>
      <c r="B225" s="197" t="s">
        <v>1121</v>
      </c>
      <c r="C225" s="197" t="s">
        <v>447</v>
      </c>
      <c r="D225" s="202" t="s">
        <v>25</v>
      </c>
      <c r="E225" s="223" t="s">
        <v>1122</v>
      </c>
      <c r="F225" s="88"/>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c r="BS225" s="146"/>
      <c r="BT225" s="146"/>
      <c r="BU225" s="146"/>
      <c r="BV225" s="146"/>
      <c r="BW225" s="146"/>
      <c r="BX225" s="146"/>
      <c r="BY225" s="146"/>
      <c r="BZ225" s="146"/>
      <c r="CA225" s="146"/>
      <c r="CB225" s="146"/>
      <c r="CC225" s="146"/>
      <c r="CD225" s="146"/>
      <c r="CE225" s="146"/>
      <c r="CF225" s="146"/>
      <c r="CG225" s="146"/>
      <c r="CH225" s="146"/>
      <c r="CI225" s="146"/>
      <c r="CJ225" s="146"/>
      <c r="CK225" s="146"/>
      <c r="CL225" s="146"/>
      <c r="CM225" s="146"/>
      <c r="CN225" s="146"/>
      <c r="CO225" s="146"/>
      <c r="CP225" s="146"/>
      <c r="CQ225" s="146"/>
      <c r="CR225" s="146"/>
      <c r="CS225" s="146"/>
      <c r="CT225" s="146"/>
      <c r="CU225" s="146"/>
      <c r="CV225" s="146"/>
      <c r="CW225" s="146"/>
      <c r="CX225" s="146"/>
      <c r="CY225" s="146"/>
      <c r="CZ225" s="146"/>
      <c r="DA225" s="146"/>
      <c r="DB225" s="146"/>
      <c r="DC225" s="146"/>
      <c r="DD225" s="146"/>
      <c r="DE225" s="146"/>
      <c r="DF225" s="146"/>
      <c r="DG225" s="146"/>
      <c r="DH225" s="146"/>
      <c r="DI225" s="146"/>
      <c r="DJ225" s="146"/>
      <c r="DK225" s="146"/>
      <c r="DL225" s="146"/>
      <c r="DM225" s="146"/>
      <c r="DN225" s="146"/>
      <c r="DO225" s="146"/>
      <c r="DP225" s="146"/>
      <c r="DQ225" s="146"/>
      <c r="DR225" s="146"/>
      <c r="DS225" s="146"/>
      <c r="DT225" s="146"/>
      <c r="DU225" s="146"/>
      <c r="DV225" s="146"/>
      <c r="DW225" s="146"/>
      <c r="DX225" s="146"/>
      <c r="DY225" s="146"/>
      <c r="DZ225" s="146"/>
      <c r="EA225" s="146"/>
      <c r="EB225" s="146"/>
      <c r="EC225" s="146"/>
      <c r="ED225" s="146"/>
      <c r="EE225" s="146"/>
      <c r="EF225" s="146"/>
      <c r="EG225" s="146"/>
      <c r="EH225" s="146"/>
      <c r="EI225" s="146"/>
      <c r="EJ225" s="146"/>
      <c r="EK225" s="146"/>
      <c r="EL225" s="146"/>
      <c r="EM225" s="146"/>
      <c r="EN225" s="146"/>
      <c r="EO225" s="146"/>
      <c r="EP225" s="146"/>
      <c r="EQ225" s="146"/>
      <c r="ER225" s="146"/>
      <c r="ES225" s="146"/>
      <c r="ET225" s="146"/>
      <c r="EU225" s="146"/>
      <c r="EV225" s="146"/>
      <c r="EW225" s="146"/>
      <c r="EX225" s="146"/>
      <c r="EY225" s="146"/>
      <c r="EZ225" s="146"/>
      <c r="FA225" s="146"/>
      <c r="FB225" s="146"/>
      <c r="FC225" s="146"/>
      <c r="FD225" s="146"/>
      <c r="FE225" s="146"/>
      <c r="FF225" s="146"/>
      <c r="FG225" s="146"/>
      <c r="FH225" s="146"/>
      <c r="FI225" s="146"/>
      <c r="FJ225" s="146"/>
      <c r="FK225" s="146"/>
      <c r="FL225" s="146"/>
      <c r="FM225" s="146"/>
      <c r="FN225" s="146"/>
      <c r="FO225" s="146"/>
      <c r="FP225" s="146"/>
      <c r="FQ225" s="146"/>
      <c r="FR225" s="146"/>
      <c r="FS225" s="146"/>
      <c r="FT225" s="146"/>
      <c r="FU225" s="146"/>
      <c r="FV225" s="146"/>
      <c r="FW225" s="146"/>
      <c r="FX225" s="146"/>
      <c r="FY225" s="146"/>
      <c r="FZ225" s="146"/>
      <c r="GA225" s="146"/>
      <c r="GB225" s="146"/>
      <c r="GC225" s="146"/>
      <c r="GD225" s="146"/>
      <c r="GE225" s="146"/>
      <c r="GF225" s="146"/>
      <c r="GG225" s="146"/>
      <c r="GH225" s="146"/>
      <c r="GI225" s="146"/>
      <c r="GJ225" s="146"/>
    </row>
    <row r="226" spans="1:192" ht="112" x14ac:dyDescent="0.35">
      <c r="A226" s="225" t="s">
        <v>4</v>
      </c>
      <c r="B226" s="197"/>
      <c r="C226" s="197" t="s">
        <v>449</v>
      </c>
      <c r="D226" s="202" t="s">
        <v>25</v>
      </c>
      <c r="E226" s="223" t="s">
        <v>1123</v>
      </c>
      <c r="F226" s="88"/>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c r="BS226" s="146"/>
      <c r="BT226" s="146"/>
      <c r="BU226" s="146"/>
      <c r="BV226" s="146"/>
      <c r="BW226" s="146"/>
      <c r="BX226" s="146"/>
      <c r="BY226" s="146"/>
      <c r="BZ226" s="146"/>
      <c r="CA226" s="146"/>
      <c r="CB226" s="146"/>
      <c r="CC226" s="146"/>
      <c r="CD226" s="146"/>
      <c r="CE226" s="146"/>
      <c r="CF226" s="146"/>
      <c r="CG226" s="146"/>
      <c r="CH226" s="146"/>
      <c r="CI226" s="146"/>
      <c r="CJ226" s="146"/>
      <c r="CK226" s="146"/>
      <c r="CL226" s="146"/>
      <c r="CM226" s="146"/>
      <c r="CN226" s="146"/>
      <c r="CO226" s="146"/>
      <c r="CP226" s="146"/>
      <c r="CQ226" s="146"/>
      <c r="CR226" s="146"/>
      <c r="CS226" s="146"/>
      <c r="CT226" s="146"/>
      <c r="CU226" s="146"/>
      <c r="CV226" s="146"/>
      <c r="CW226" s="146"/>
      <c r="CX226" s="146"/>
      <c r="CY226" s="146"/>
      <c r="CZ226" s="146"/>
      <c r="DA226" s="146"/>
      <c r="DB226" s="146"/>
      <c r="DC226" s="146"/>
      <c r="DD226" s="146"/>
      <c r="DE226" s="146"/>
      <c r="DF226" s="146"/>
      <c r="DG226" s="146"/>
      <c r="DH226" s="146"/>
      <c r="DI226" s="146"/>
      <c r="DJ226" s="146"/>
      <c r="DK226" s="146"/>
      <c r="DL226" s="146"/>
      <c r="DM226" s="146"/>
      <c r="DN226" s="146"/>
      <c r="DO226" s="146"/>
      <c r="DP226" s="146"/>
      <c r="DQ226" s="146"/>
      <c r="DR226" s="146"/>
      <c r="DS226" s="146"/>
      <c r="DT226" s="146"/>
      <c r="DU226" s="146"/>
      <c r="DV226" s="146"/>
      <c r="DW226" s="146"/>
      <c r="DX226" s="146"/>
      <c r="DY226" s="146"/>
      <c r="DZ226" s="146"/>
      <c r="EA226" s="146"/>
      <c r="EB226" s="146"/>
      <c r="EC226" s="146"/>
      <c r="ED226" s="146"/>
      <c r="EE226" s="146"/>
      <c r="EF226" s="146"/>
      <c r="EG226" s="146"/>
      <c r="EH226" s="146"/>
      <c r="EI226" s="146"/>
      <c r="EJ226" s="146"/>
      <c r="EK226" s="146"/>
      <c r="EL226" s="146"/>
      <c r="EM226" s="146"/>
      <c r="EN226" s="146"/>
      <c r="EO226" s="146"/>
      <c r="EP226" s="146"/>
      <c r="EQ226" s="146"/>
      <c r="ER226" s="146"/>
      <c r="ES226" s="146"/>
      <c r="ET226" s="146"/>
      <c r="EU226" s="146"/>
      <c r="EV226" s="146"/>
      <c r="EW226" s="146"/>
      <c r="EX226" s="146"/>
      <c r="EY226" s="146"/>
      <c r="EZ226" s="146"/>
      <c r="FA226" s="146"/>
      <c r="FB226" s="146"/>
      <c r="FC226" s="146"/>
      <c r="FD226" s="146"/>
      <c r="FE226" s="146"/>
      <c r="FF226" s="146"/>
      <c r="FG226" s="146"/>
      <c r="FH226" s="146"/>
      <c r="FI226" s="146"/>
      <c r="FJ226" s="146"/>
      <c r="FK226" s="146"/>
      <c r="FL226" s="146"/>
      <c r="FM226" s="146"/>
      <c r="FN226" s="146"/>
      <c r="FO226" s="146"/>
      <c r="FP226" s="146"/>
      <c r="FQ226" s="146"/>
      <c r="FR226" s="146"/>
      <c r="FS226" s="146"/>
      <c r="FT226" s="146"/>
      <c r="FU226" s="146"/>
      <c r="FV226" s="146"/>
      <c r="FW226" s="146"/>
      <c r="FX226" s="146"/>
      <c r="FY226" s="146"/>
      <c r="FZ226" s="146"/>
      <c r="GA226" s="146"/>
      <c r="GB226" s="146"/>
      <c r="GC226" s="146"/>
      <c r="GD226" s="146"/>
      <c r="GE226" s="146"/>
      <c r="GF226" s="146"/>
      <c r="GG226" s="146"/>
      <c r="GH226" s="146"/>
      <c r="GI226" s="146"/>
      <c r="GJ226" s="146"/>
    </row>
    <row r="227" spans="1:192" ht="121.5" x14ac:dyDescent="0.35">
      <c r="A227" s="225" t="s">
        <v>4</v>
      </c>
      <c r="B227" s="204" t="s">
        <v>1124</v>
      </c>
      <c r="C227" s="204" t="s">
        <v>450</v>
      </c>
      <c r="D227" s="203" t="s">
        <v>25</v>
      </c>
      <c r="E227" s="210" t="s">
        <v>1125</v>
      </c>
      <c r="F227" s="87"/>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c r="BS227" s="146"/>
      <c r="BT227" s="146"/>
      <c r="BU227" s="146"/>
      <c r="BV227" s="146"/>
      <c r="BW227" s="146"/>
      <c r="BX227" s="146"/>
      <c r="BY227" s="146"/>
      <c r="BZ227" s="146"/>
      <c r="CA227" s="146"/>
      <c r="CB227" s="146"/>
      <c r="CC227" s="146"/>
      <c r="CD227" s="146"/>
      <c r="CE227" s="146"/>
      <c r="CF227" s="146"/>
      <c r="CG227" s="146"/>
      <c r="CH227" s="146"/>
      <c r="CI227" s="146"/>
      <c r="CJ227" s="146"/>
      <c r="CK227" s="146"/>
      <c r="CL227" s="146"/>
      <c r="CM227" s="146"/>
      <c r="CN227" s="146"/>
      <c r="CO227" s="146"/>
      <c r="CP227" s="146"/>
      <c r="CQ227" s="146"/>
      <c r="CR227" s="146"/>
      <c r="CS227" s="146"/>
      <c r="CT227" s="146"/>
      <c r="CU227" s="146"/>
      <c r="CV227" s="146"/>
      <c r="CW227" s="146"/>
      <c r="CX227" s="146"/>
      <c r="CY227" s="146"/>
      <c r="CZ227" s="146"/>
      <c r="DA227" s="146"/>
      <c r="DB227" s="146"/>
      <c r="DC227" s="146"/>
      <c r="DD227" s="146"/>
      <c r="DE227" s="146"/>
      <c r="DF227" s="146"/>
      <c r="DG227" s="146"/>
      <c r="DH227" s="146"/>
      <c r="DI227" s="146"/>
      <c r="DJ227" s="146"/>
      <c r="DK227" s="146"/>
      <c r="DL227" s="146"/>
      <c r="DM227" s="146"/>
      <c r="DN227" s="146"/>
      <c r="DO227" s="146"/>
      <c r="DP227" s="146"/>
      <c r="DQ227" s="146"/>
      <c r="DR227" s="146"/>
      <c r="DS227" s="146"/>
      <c r="DT227" s="146"/>
      <c r="DU227" s="146"/>
      <c r="DV227" s="146"/>
      <c r="DW227" s="146"/>
      <c r="DX227" s="146"/>
      <c r="DY227" s="146"/>
      <c r="DZ227" s="146"/>
      <c r="EA227" s="146"/>
      <c r="EB227" s="146"/>
      <c r="EC227" s="146"/>
      <c r="ED227" s="146"/>
      <c r="EE227" s="146"/>
      <c r="EF227" s="146"/>
      <c r="EG227" s="146"/>
      <c r="EH227" s="146"/>
      <c r="EI227" s="146"/>
      <c r="EJ227" s="146"/>
      <c r="EK227" s="146"/>
      <c r="EL227" s="146"/>
      <c r="EM227" s="146"/>
      <c r="EN227" s="146"/>
      <c r="EO227" s="146"/>
      <c r="EP227" s="146"/>
      <c r="EQ227" s="146"/>
      <c r="ER227" s="146"/>
      <c r="ES227" s="146"/>
      <c r="ET227" s="146"/>
      <c r="EU227" s="146"/>
      <c r="EV227" s="146"/>
      <c r="EW227" s="146"/>
      <c r="EX227" s="146"/>
      <c r="EY227" s="146"/>
      <c r="EZ227" s="146"/>
      <c r="FA227" s="146"/>
      <c r="FB227" s="146"/>
      <c r="FC227" s="146"/>
      <c r="FD227" s="146"/>
      <c r="FE227" s="146"/>
      <c r="FF227" s="146"/>
      <c r="FG227" s="146"/>
      <c r="FH227" s="146"/>
      <c r="FI227" s="146"/>
      <c r="FJ227" s="146"/>
      <c r="FK227" s="146"/>
      <c r="FL227" s="146"/>
      <c r="FM227" s="146"/>
      <c r="FN227" s="146"/>
      <c r="FO227" s="146"/>
      <c r="FP227" s="146"/>
      <c r="FQ227" s="146"/>
      <c r="FR227" s="146"/>
      <c r="FS227" s="146"/>
      <c r="FT227" s="146"/>
      <c r="FU227" s="146"/>
      <c r="FV227" s="146"/>
      <c r="FW227" s="146"/>
      <c r="FX227" s="146"/>
      <c r="FY227" s="146"/>
      <c r="FZ227" s="146"/>
      <c r="GA227" s="146"/>
      <c r="GB227" s="146"/>
      <c r="GC227" s="146"/>
      <c r="GD227" s="146"/>
      <c r="GE227" s="146"/>
      <c r="GF227" s="146"/>
      <c r="GG227" s="146"/>
      <c r="GH227" s="146"/>
      <c r="GI227" s="146"/>
      <c r="GJ227" s="146"/>
    </row>
    <row r="228" spans="1:192" ht="81" x14ac:dyDescent="0.35">
      <c r="A228" s="226" t="s">
        <v>7</v>
      </c>
      <c r="B228" s="197" t="s">
        <v>451</v>
      </c>
      <c r="C228" s="197" t="s">
        <v>452</v>
      </c>
      <c r="D228" s="202" t="s">
        <v>25</v>
      </c>
      <c r="E228" s="224" t="s">
        <v>1126</v>
      </c>
      <c r="F228" s="88"/>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c r="BS228" s="146"/>
      <c r="BT228" s="146"/>
      <c r="BU228" s="146"/>
      <c r="BV228" s="146"/>
      <c r="BW228" s="146"/>
      <c r="BX228" s="146"/>
      <c r="BY228" s="146"/>
      <c r="BZ228" s="146"/>
      <c r="CA228" s="146"/>
      <c r="CB228" s="146"/>
      <c r="CC228" s="146"/>
      <c r="CD228" s="146"/>
      <c r="CE228" s="146"/>
      <c r="CF228" s="146"/>
      <c r="CG228" s="146"/>
      <c r="CH228" s="146"/>
      <c r="CI228" s="146"/>
      <c r="CJ228" s="146"/>
      <c r="CK228" s="146"/>
      <c r="CL228" s="146"/>
      <c r="CM228" s="146"/>
      <c r="CN228" s="146"/>
      <c r="CO228" s="146"/>
      <c r="CP228" s="146"/>
      <c r="CQ228" s="146"/>
      <c r="CR228" s="146"/>
      <c r="CS228" s="146"/>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46"/>
      <c r="EK228" s="146"/>
      <c r="EL228" s="146"/>
      <c r="EM228" s="146"/>
      <c r="EN228" s="146"/>
      <c r="EO228" s="146"/>
      <c r="EP228" s="146"/>
      <c r="EQ228" s="146"/>
      <c r="ER228" s="146"/>
      <c r="ES228" s="146"/>
      <c r="ET228" s="146"/>
      <c r="EU228" s="146"/>
      <c r="EV228" s="146"/>
      <c r="EW228" s="146"/>
      <c r="EX228" s="146"/>
      <c r="EY228" s="146"/>
      <c r="EZ228" s="146"/>
      <c r="FA228" s="146"/>
      <c r="FB228" s="146"/>
      <c r="FC228" s="146"/>
      <c r="FD228" s="146"/>
      <c r="FE228" s="146"/>
      <c r="FF228" s="146"/>
      <c r="FG228" s="146"/>
      <c r="FH228" s="146"/>
      <c r="FI228" s="146"/>
      <c r="FJ228" s="146"/>
      <c r="FK228" s="146"/>
      <c r="FL228" s="146"/>
      <c r="FM228" s="146"/>
      <c r="FN228" s="146"/>
      <c r="FO228" s="146"/>
      <c r="FP228" s="146"/>
      <c r="FQ228" s="146"/>
      <c r="FR228" s="146"/>
      <c r="FS228" s="146"/>
      <c r="FT228" s="146"/>
      <c r="FU228" s="146"/>
      <c r="FV228" s="146"/>
      <c r="FW228" s="146"/>
      <c r="FX228" s="146"/>
      <c r="FY228" s="146"/>
      <c r="FZ228" s="146"/>
      <c r="GA228" s="146"/>
      <c r="GB228" s="146"/>
      <c r="GC228" s="146"/>
      <c r="GD228" s="146"/>
      <c r="GE228" s="146"/>
      <c r="GF228" s="146"/>
      <c r="GG228" s="146"/>
      <c r="GH228" s="146"/>
      <c r="GI228" s="146"/>
      <c r="GJ228" s="146"/>
    </row>
    <row r="229" spans="1:192" ht="92" x14ac:dyDescent="0.35">
      <c r="A229" s="226" t="s">
        <v>7</v>
      </c>
      <c r="B229" s="204" t="s">
        <v>1127</v>
      </c>
      <c r="C229" s="204" t="s">
        <v>453</v>
      </c>
      <c r="D229" s="203" t="s">
        <v>25</v>
      </c>
      <c r="E229" s="208" t="s">
        <v>1128</v>
      </c>
      <c r="F229" s="87"/>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46"/>
      <c r="DZ229" s="146"/>
      <c r="EA229" s="146"/>
      <c r="EB229" s="146"/>
      <c r="EC229" s="146"/>
      <c r="ED229" s="146"/>
      <c r="EE229" s="146"/>
      <c r="EF229" s="146"/>
      <c r="EG229" s="146"/>
      <c r="EH229" s="146"/>
      <c r="EI229" s="146"/>
      <c r="EJ229" s="146"/>
      <c r="EK229" s="146"/>
      <c r="EL229" s="146"/>
      <c r="EM229" s="146"/>
      <c r="EN229" s="146"/>
      <c r="EO229" s="146"/>
      <c r="EP229" s="146"/>
      <c r="EQ229" s="146"/>
      <c r="ER229" s="146"/>
      <c r="ES229" s="146"/>
      <c r="ET229" s="146"/>
      <c r="EU229" s="146"/>
      <c r="EV229" s="146"/>
      <c r="EW229" s="146"/>
      <c r="EX229" s="146"/>
      <c r="EY229" s="146"/>
      <c r="EZ229" s="146"/>
      <c r="FA229" s="146"/>
      <c r="FB229" s="146"/>
      <c r="FC229" s="146"/>
      <c r="FD229" s="146"/>
      <c r="FE229" s="146"/>
      <c r="FF229" s="146"/>
      <c r="FG229" s="146"/>
      <c r="FH229" s="146"/>
      <c r="FI229" s="146"/>
      <c r="FJ229" s="146"/>
      <c r="FK229" s="146"/>
      <c r="FL229" s="146"/>
      <c r="FM229" s="146"/>
      <c r="FN229" s="146"/>
      <c r="FO229" s="146"/>
      <c r="FP229" s="146"/>
      <c r="FQ229" s="146"/>
      <c r="FR229" s="146"/>
      <c r="FS229" s="146"/>
      <c r="FT229" s="146"/>
      <c r="FU229" s="146"/>
      <c r="FV229" s="146"/>
      <c r="FW229" s="146"/>
      <c r="FX229" s="146"/>
      <c r="FY229" s="146"/>
      <c r="FZ229" s="146"/>
      <c r="GA229" s="146"/>
      <c r="GB229" s="146"/>
      <c r="GC229" s="146"/>
      <c r="GD229" s="146"/>
      <c r="GE229" s="146"/>
      <c r="GF229" s="146"/>
      <c r="GG229" s="146"/>
      <c r="GH229" s="146"/>
      <c r="GI229" s="146"/>
      <c r="GJ229" s="146"/>
    </row>
    <row r="230" spans="1:192" ht="31.5" x14ac:dyDescent="0.35">
      <c r="A230" s="226" t="s">
        <v>7</v>
      </c>
      <c r="B230" s="197" t="s">
        <v>1129</v>
      </c>
      <c r="C230" s="197" t="s">
        <v>454</v>
      </c>
      <c r="D230" s="202" t="s">
        <v>25</v>
      </c>
      <c r="E230" s="216" t="s">
        <v>1130</v>
      </c>
      <c r="F230" s="88"/>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46"/>
      <c r="DZ230" s="146"/>
      <c r="EA230" s="146"/>
      <c r="EB230" s="146"/>
      <c r="EC230" s="146"/>
      <c r="ED230" s="146"/>
      <c r="EE230" s="146"/>
      <c r="EF230" s="146"/>
      <c r="EG230" s="146"/>
      <c r="EH230" s="146"/>
      <c r="EI230" s="146"/>
      <c r="EJ230" s="146"/>
      <c r="EK230" s="146"/>
      <c r="EL230" s="146"/>
      <c r="EM230" s="146"/>
      <c r="EN230" s="146"/>
      <c r="EO230" s="146"/>
      <c r="EP230" s="146"/>
      <c r="EQ230" s="146"/>
      <c r="ER230" s="146"/>
      <c r="ES230" s="146"/>
      <c r="ET230" s="146"/>
      <c r="EU230" s="146"/>
      <c r="EV230" s="146"/>
      <c r="EW230" s="146"/>
      <c r="EX230" s="146"/>
      <c r="EY230" s="146"/>
      <c r="EZ230" s="146"/>
      <c r="FA230" s="146"/>
      <c r="FB230" s="146"/>
      <c r="FC230" s="146"/>
      <c r="FD230" s="146"/>
      <c r="FE230" s="146"/>
      <c r="FF230" s="146"/>
      <c r="FG230" s="146"/>
      <c r="FH230" s="146"/>
      <c r="FI230" s="146"/>
      <c r="FJ230" s="146"/>
      <c r="FK230" s="146"/>
      <c r="FL230" s="146"/>
      <c r="FM230" s="146"/>
      <c r="FN230" s="146"/>
      <c r="FO230" s="146"/>
      <c r="FP230" s="146"/>
      <c r="FQ230" s="146"/>
      <c r="FR230" s="146"/>
      <c r="FS230" s="146"/>
      <c r="FT230" s="146"/>
      <c r="FU230" s="146"/>
      <c r="FV230" s="146"/>
      <c r="FW230" s="146"/>
      <c r="FX230" s="146"/>
      <c r="FY230" s="146"/>
      <c r="FZ230" s="146"/>
      <c r="GA230" s="146"/>
      <c r="GB230" s="146"/>
      <c r="GC230" s="146"/>
      <c r="GD230" s="146"/>
      <c r="GE230" s="146"/>
      <c r="GF230" s="146"/>
      <c r="GG230" s="146"/>
      <c r="GH230" s="146"/>
      <c r="GI230" s="146"/>
      <c r="GJ230" s="146"/>
    </row>
    <row r="231" spans="1:192" ht="21" x14ac:dyDescent="0.35">
      <c r="A231" s="226" t="s">
        <v>7</v>
      </c>
      <c r="B231" s="197"/>
      <c r="C231" s="197" t="s">
        <v>456</v>
      </c>
      <c r="D231" s="202" t="s">
        <v>25</v>
      </c>
      <c r="E231" s="216" t="s">
        <v>459</v>
      </c>
      <c r="F231" s="88"/>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46"/>
      <c r="DZ231" s="146"/>
      <c r="EA231" s="146"/>
      <c r="EB231" s="146"/>
      <c r="EC231" s="146"/>
      <c r="ED231" s="146"/>
      <c r="EE231" s="146"/>
      <c r="EF231" s="146"/>
      <c r="EG231" s="146"/>
      <c r="EH231" s="146"/>
      <c r="EI231" s="146"/>
      <c r="EJ231" s="146"/>
      <c r="EK231" s="146"/>
      <c r="EL231" s="146"/>
      <c r="EM231" s="146"/>
      <c r="EN231" s="146"/>
      <c r="EO231" s="146"/>
      <c r="EP231" s="146"/>
      <c r="EQ231" s="146"/>
      <c r="ER231" s="146"/>
      <c r="ES231" s="146"/>
      <c r="ET231" s="146"/>
      <c r="EU231" s="146"/>
      <c r="EV231" s="146"/>
      <c r="EW231" s="146"/>
      <c r="EX231" s="146"/>
      <c r="EY231" s="146"/>
      <c r="EZ231" s="146"/>
      <c r="FA231" s="146"/>
      <c r="FB231" s="146"/>
      <c r="FC231" s="146"/>
      <c r="FD231" s="146"/>
      <c r="FE231" s="146"/>
      <c r="FF231" s="146"/>
      <c r="FG231" s="146"/>
      <c r="FH231" s="146"/>
      <c r="FI231" s="146"/>
      <c r="FJ231" s="146"/>
      <c r="FK231" s="146"/>
      <c r="FL231" s="146"/>
      <c r="FM231" s="146"/>
      <c r="FN231" s="146"/>
      <c r="FO231" s="146"/>
      <c r="FP231" s="146"/>
      <c r="FQ231" s="146"/>
      <c r="FR231" s="146"/>
      <c r="FS231" s="146"/>
      <c r="FT231" s="146"/>
      <c r="FU231" s="146"/>
      <c r="FV231" s="146"/>
      <c r="FW231" s="146"/>
      <c r="FX231" s="146"/>
      <c r="FY231" s="146"/>
      <c r="FZ231" s="146"/>
      <c r="GA231" s="146"/>
      <c r="GB231" s="146"/>
      <c r="GC231" s="146"/>
      <c r="GD231" s="146"/>
      <c r="GE231" s="146"/>
      <c r="GF231" s="146"/>
      <c r="GG231" s="146"/>
      <c r="GH231" s="146"/>
      <c r="GI231" s="146"/>
      <c r="GJ231" s="146"/>
    </row>
    <row r="232" spans="1:192" ht="21" x14ac:dyDescent="0.35">
      <c r="A232" s="226" t="s">
        <v>7</v>
      </c>
      <c r="B232" s="197"/>
      <c r="C232" s="197" t="s">
        <v>749</v>
      </c>
      <c r="D232" s="202" t="s">
        <v>25</v>
      </c>
      <c r="E232" s="216" t="s">
        <v>460</v>
      </c>
      <c r="F232" s="88"/>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46"/>
      <c r="DZ232" s="146"/>
      <c r="EA232" s="146"/>
      <c r="EB232" s="146"/>
      <c r="EC232" s="146"/>
      <c r="ED232" s="146"/>
      <c r="EE232" s="146"/>
      <c r="EF232" s="146"/>
      <c r="EG232" s="146"/>
      <c r="EH232" s="146"/>
      <c r="EI232" s="146"/>
      <c r="EJ232" s="146"/>
      <c r="EK232" s="146"/>
      <c r="EL232" s="146"/>
      <c r="EM232" s="146"/>
      <c r="EN232" s="146"/>
      <c r="EO232" s="146"/>
      <c r="EP232" s="146"/>
      <c r="EQ232" s="146"/>
      <c r="ER232" s="146"/>
      <c r="ES232" s="146"/>
      <c r="ET232" s="146"/>
      <c r="EU232" s="146"/>
      <c r="EV232" s="146"/>
      <c r="EW232" s="146"/>
      <c r="EX232" s="146"/>
      <c r="EY232" s="146"/>
      <c r="EZ232" s="146"/>
      <c r="FA232" s="146"/>
      <c r="FB232" s="146"/>
      <c r="FC232" s="146"/>
      <c r="FD232" s="146"/>
      <c r="FE232" s="146"/>
      <c r="FF232" s="146"/>
      <c r="FG232" s="146"/>
      <c r="FH232" s="146"/>
      <c r="FI232" s="146"/>
      <c r="FJ232" s="146"/>
      <c r="FK232" s="146"/>
      <c r="FL232" s="146"/>
      <c r="FM232" s="146"/>
      <c r="FN232" s="146"/>
      <c r="FO232" s="146"/>
      <c r="FP232" s="146"/>
      <c r="FQ232" s="146"/>
      <c r="FR232" s="146"/>
      <c r="FS232" s="146"/>
      <c r="FT232" s="146"/>
      <c r="FU232" s="146"/>
      <c r="FV232" s="146"/>
      <c r="FW232" s="146"/>
      <c r="FX232" s="146"/>
      <c r="FY232" s="146"/>
      <c r="FZ232" s="146"/>
      <c r="GA232" s="146"/>
      <c r="GB232" s="146"/>
      <c r="GC232" s="146"/>
      <c r="GD232" s="146"/>
      <c r="GE232" s="146"/>
      <c r="GF232" s="146"/>
      <c r="GG232" s="146"/>
      <c r="GH232" s="146"/>
      <c r="GI232" s="146"/>
      <c r="GJ232" s="146"/>
    </row>
    <row r="233" spans="1:192" ht="40" x14ac:dyDescent="0.35">
      <c r="A233" s="226" t="s">
        <v>7</v>
      </c>
      <c r="B233" s="204" t="s">
        <v>1131</v>
      </c>
      <c r="C233" s="204" t="s">
        <v>455</v>
      </c>
      <c r="D233" s="203" t="s">
        <v>25</v>
      </c>
      <c r="E233" s="208" t="s">
        <v>1132</v>
      </c>
      <c r="F233" s="87"/>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46"/>
      <c r="DZ233" s="146"/>
      <c r="EA233" s="146"/>
      <c r="EB233" s="146"/>
      <c r="EC233" s="146"/>
      <c r="ED233" s="146"/>
      <c r="EE233" s="146"/>
      <c r="EF233" s="146"/>
      <c r="EG233" s="146"/>
      <c r="EH233" s="146"/>
      <c r="EI233" s="146"/>
      <c r="EJ233" s="146"/>
      <c r="EK233" s="146"/>
      <c r="EL233" s="146"/>
      <c r="EM233" s="146"/>
      <c r="EN233" s="146"/>
      <c r="EO233" s="146"/>
      <c r="EP233" s="146"/>
      <c r="EQ233" s="146"/>
      <c r="ER233" s="146"/>
      <c r="ES233" s="146"/>
      <c r="ET233" s="146"/>
      <c r="EU233" s="146"/>
      <c r="EV233" s="146"/>
      <c r="EW233" s="146"/>
      <c r="EX233" s="146"/>
      <c r="EY233" s="146"/>
      <c r="EZ233" s="146"/>
      <c r="FA233" s="146"/>
      <c r="FB233" s="146"/>
      <c r="FC233" s="146"/>
      <c r="FD233" s="146"/>
      <c r="FE233" s="146"/>
      <c r="FF233" s="146"/>
      <c r="FG233" s="146"/>
      <c r="FH233" s="146"/>
      <c r="FI233" s="146"/>
      <c r="FJ233" s="146"/>
      <c r="FK233" s="146"/>
      <c r="FL233" s="146"/>
      <c r="FM233" s="146"/>
      <c r="FN233" s="146"/>
      <c r="FO233" s="146"/>
      <c r="FP233" s="146"/>
      <c r="FQ233" s="146"/>
      <c r="FR233" s="146"/>
      <c r="FS233" s="146"/>
      <c r="FT233" s="146"/>
      <c r="FU233" s="146"/>
      <c r="FV233" s="146"/>
      <c r="FW233" s="146"/>
      <c r="FX233" s="146"/>
      <c r="FY233" s="146"/>
      <c r="FZ233" s="146"/>
      <c r="GA233" s="146"/>
      <c r="GB233" s="146"/>
      <c r="GC233" s="146"/>
      <c r="GD233" s="146"/>
      <c r="GE233" s="146"/>
      <c r="GF233" s="146"/>
      <c r="GG233" s="146"/>
      <c r="GH233" s="146"/>
      <c r="GI233" s="146"/>
      <c r="GJ233" s="146"/>
    </row>
    <row r="234" spans="1:192" ht="42" x14ac:dyDescent="0.35">
      <c r="A234" s="226" t="s">
        <v>7</v>
      </c>
      <c r="B234" s="204"/>
      <c r="C234" s="204" t="s">
        <v>457</v>
      </c>
      <c r="D234" s="203" t="s">
        <v>25</v>
      </c>
      <c r="E234" s="208" t="s">
        <v>1134</v>
      </c>
      <c r="F234" s="87"/>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46"/>
      <c r="DZ234" s="146"/>
      <c r="EA234" s="146"/>
      <c r="EB234" s="146"/>
      <c r="EC234" s="146"/>
      <c r="ED234" s="146"/>
      <c r="EE234" s="146"/>
      <c r="EF234" s="146"/>
      <c r="EG234" s="146"/>
      <c r="EH234" s="146"/>
      <c r="EI234" s="146"/>
      <c r="EJ234" s="146"/>
      <c r="EK234" s="146"/>
      <c r="EL234" s="146"/>
      <c r="EM234" s="146"/>
      <c r="EN234" s="146"/>
      <c r="EO234" s="146"/>
      <c r="EP234" s="146"/>
      <c r="EQ234" s="146"/>
      <c r="ER234" s="146"/>
      <c r="ES234" s="146"/>
      <c r="ET234" s="146"/>
      <c r="EU234" s="146"/>
      <c r="EV234" s="146"/>
      <c r="EW234" s="146"/>
      <c r="EX234" s="146"/>
      <c r="EY234" s="146"/>
      <c r="EZ234" s="146"/>
      <c r="FA234" s="146"/>
      <c r="FB234" s="146"/>
      <c r="FC234" s="146"/>
      <c r="FD234" s="146"/>
      <c r="FE234" s="146"/>
      <c r="FF234" s="146"/>
      <c r="FG234" s="146"/>
      <c r="FH234" s="146"/>
      <c r="FI234" s="146"/>
      <c r="FJ234" s="146"/>
      <c r="FK234" s="146"/>
      <c r="FL234" s="146"/>
      <c r="FM234" s="146"/>
      <c r="FN234" s="146"/>
      <c r="FO234" s="146"/>
      <c r="FP234" s="146"/>
      <c r="FQ234" s="146"/>
      <c r="FR234" s="146"/>
      <c r="FS234" s="146"/>
      <c r="FT234" s="146"/>
      <c r="FU234" s="146"/>
      <c r="FV234" s="146"/>
      <c r="FW234" s="146"/>
      <c r="FX234" s="146"/>
      <c r="FY234" s="146"/>
      <c r="FZ234" s="146"/>
      <c r="GA234" s="146"/>
      <c r="GB234" s="146"/>
      <c r="GC234" s="146"/>
      <c r="GD234" s="146"/>
      <c r="GE234" s="146"/>
      <c r="GF234" s="146"/>
      <c r="GG234" s="146"/>
      <c r="GH234" s="146"/>
      <c r="GI234" s="146"/>
      <c r="GJ234" s="146"/>
    </row>
    <row r="235" spans="1:192" ht="42" x14ac:dyDescent="0.35">
      <c r="A235" s="226" t="s">
        <v>7</v>
      </c>
      <c r="B235" s="204"/>
      <c r="C235" s="204" t="s">
        <v>458</v>
      </c>
      <c r="D235" s="203" t="s">
        <v>25</v>
      </c>
      <c r="E235" s="208" t="s">
        <v>1133</v>
      </c>
      <c r="F235" s="87"/>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46"/>
      <c r="DZ235" s="146"/>
      <c r="EA235" s="146"/>
      <c r="EB235" s="146"/>
      <c r="EC235" s="146"/>
      <c r="ED235" s="146"/>
      <c r="EE235" s="146"/>
      <c r="EF235" s="146"/>
      <c r="EG235" s="146"/>
      <c r="EH235" s="146"/>
      <c r="EI235" s="146"/>
      <c r="EJ235" s="146"/>
      <c r="EK235" s="146"/>
      <c r="EL235" s="146"/>
      <c r="EM235" s="146"/>
      <c r="EN235" s="146"/>
      <c r="EO235" s="146"/>
      <c r="EP235" s="146"/>
      <c r="EQ235" s="146"/>
      <c r="ER235" s="146"/>
      <c r="ES235" s="146"/>
      <c r="ET235" s="146"/>
      <c r="EU235" s="146"/>
      <c r="EV235" s="146"/>
      <c r="EW235" s="146"/>
      <c r="EX235" s="146"/>
      <c r="EY235" s="146"/>
      <c r="EZ235" s="146"/>
      <c r="FA235" s="146"/>
      <c r="FB235" s="146"/>
      <c r="FC235" s="146"/>
      <c r="FD235" s="146"/>
      <c r="FE235" s="146"/>
      <c r="FF235" s="146"/>
      <c r="FG235" s="146"/>
      <c r="FH235" s="146"/>
      <c r="FI235" s="146"/>
      <c r="FJ235" s="146"/>
      <c r="FK235" s="146"/>
      <c r="FL235" s="146"/>
      <c r="FM235" s="146"/>
      <c r="FN235" s="146"/>
      <c r="FO235" s="146"/>
      <c r="FP235" s="146"/>
      <c r="FQ235" s="146"/>
      <c r="FR235" s="146"/>
      <c r="FS235" s="146"/>
      <c r="FT235" s="146"/>
      <c r="FU235" s="146"/>
      <c r="FV235" s="146"/>
      <c r="FW235" s="146"/>
      <c r="FX235" s="146"/>
      <c r="FY235" s="146"/>
      <c r="FZ235" s="146"/>
      <c r="GA235" s="146"/>
      <c r="GB235" s="146"/>
      <c r="GC235" s="146"/>
      <c r="GD235" s="146"/>
      <c r="GE235" s="146"/>
      <c r="GF235" s="146"/>
      <c r="GG235" s="146"/>
      <c r="GH235" s="146"/>
      <c r="GI235" s="146"/>
      <c r="GJ235" s="146"/>
    </row>
    <row r="236" spans="1:192" ht="40" x14ac:dyDescent="0.35">
      <c r="A236" s="226" t="s">
        <v>7</v>
      </c>
      <c r="B236" s="197" t="s">
        <v>461</v>
      </c>
      <c r="C236" s="197" t="s">
        <v>462</v>
      </c>
      <c r="D236" s="202" t="s">
        <v>25</v>
      </c>
      <c r="E236" s="216" t="s">
        <v>466</v>
      </c>
      <c r="F236" s="88"/>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46"/>
      <c r="DZ236" s="146"/>
      <c r="EA236" s="146"/>
      <c r="EB236" s="146"/>
      <c r="EC236" s="146"/>
      <c r="ED236" s="146"/>
      <c r="EE236" s="146"/>
      <c r="EF236" s="146"/>
      <c r="EG236" s="146"/>
      <c r="EH236" s="146"/>
      <c r="EI236" s="146"/>
      <c r="EJ236" s="146"/>
      <c r="EK236" s="146"/>
      <c r="EL236" s="146"/>
      <c r="EM236" s="146"/>
      <c r="EN236" s="146"/>
      <c r="EO236" s="146"/>
      <c r="EP236" s="146"/>
      <c r="EQ236" s="146"/>
      <c r="ER236" s="146"/>
      <c r="ES236" s="146"/>
      <c r="ET236" s="146"/>
      <c r="EU236" s="146"/>
      <c r="EV236" s="146"/>
      <c r="EW236" s="146"/>
      <c r="EX236" s="146"/>
      <c r="EY236" s="146"/>
      <c r="EZ236" s="146"/>
      <c r="FA236" s="146"/>
      <c r="FB236" s="146"/>
      <c r="FC236" s="146"/>
      <c r="FD236" s="146"/>
      <c r="FE236" s="146"/>
      <c r="FF236" s="146"/>
      <c r="FG236" s="146"/>
      <c r="FH236" s="146"/>
      <c r="FI236" s="146"/>
      <c r="FJ236" s="146"/>
      <c r="FK236" s="146"/>
      <c r="FL236" s="146"/>
      <c r="FM236" s="146"/>
      <c r="FN236" s="146"/>
      <c r="FO236" s="146"/>
      <c r="FP236" s="146"/>
      <c r="FQ236" s="146"/>
      <c r="FR236" s="146"/>
      <c r="FS236" s="146"/>
      <c r="FT236" s="146"/>
      <c r="FU236" s="146"/>
      <c r="FV236" s="146"/>
      <c r="FW236" s="146"/>
      <c r="FX236" s="146"/>
      <c r="FY236" s="146"/>
      <c r="FZ236" s="146"/>
      <c r="GA236" s="146"/>
      <c r="GB236" s="146"/>
      <c r="GC236" s="146"/>
      <c r="GD236" s="146"/>
      <c r="GE236" s="146"/>
      <c r="GF236" s="146"/>
      <c r="GG236" s="146"/>
      <c r="GH236" s="146"/>
      <c r="GI236" s="146"/>
      <c r="GJ236" s="146"/>
    </row>
    <row r="237" spans="1:192" ht="42" x14ac:dyDescent="0.35">
      <c r="A237" s="226" t="s">
        <v>7</v>
      </c>
      <c r="B237" s="197"/>
      <c r="C237" s="197" t="s">
        <v>464</v>
      </c>
      <c r="D237" s="202" t="s">
        <v>25</v>
      </c>
      <c r="E237" s="216" t="s">
        <v>1135</v>
      </c>
      <c r="F237" s="88"/>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46"/>
      <c r="DZ237" s="146"/>
      <c r="EA237" s="146"/>
      <c r="EB237" s="146"/>
      <c r="EC237" s="146"/>
      <c r="ED237" s="146"/>
      <c r="EE237" s="146"/>
      <c r="EF237" s="146"/>
      <c r="EG237" s="146"/>
      <c r="EH237" s="146"/>
      <c r="EI237" s="146"/>
      <c r="EJ237" s="146"/>
      <c r="EK237" s="146"/>
      <c r="EL237" s="146"/>
      <c r="EM237" s="146"/>
      <c r="EN237" s="146"/>
      <c r="EO237" s="146"/>
      <c r="EP237" s="146"/>
      <c r="EQ237" s="146"/>
      <c r="ER237" s="146"/>
      <c r="ES237" s="146"/>
      <c r="ET237" s="146"/>
      <c r="EU237" s="146"/>
      <c r="EV237" s="146"/>
      <c r="EW237" s="146"/>
      <c r="EX237" s="146"/>
      <c r="EY237" s="146"/>
      <c r="EZ237" s="146"/>
      <c r="FA237" s="146"/>
      <c r="FB237" s="146"/>
      <c r="FC237" s="146"/>
      <c r="FD237" s="146"/>
      <c r="FE237" s="146"/>
      <c r="FF237" s="146"/>
      <c r="FG237" s="146"/>
      <c r="FH237" s="146"/>
      <c r="FI237" s="146"/>
      <c r="FJ237" s="146"/>
      <c r="FK237" s="146"/>
      <c r="FL237" s="146"/>
      <c r="FM237" s="146"/>
      <c r="FN237" s="146"/>
      <c r="FO237" s="146"/>
      <c r="FP237" s="146"/>
      <c r="FQ237" s="146"/>
      <c r="FR237" s="146"/>
      <c r="FS237" s="146"/>
      <c r="FT237" s="146"/>
      <c r="FU237" s="146"/>
      <c r="FV237" s="146"/>
      <c r="FW237" s="146"/>
      <c r="FX237" s="146"/>
      <c r="FY237" s="146"/>
      <c r="FZ237" s="146"/>
      <c r="GA237" s="146"/>
      <c r="GB237" s="146"/>
      <c r="GC237" s="146"/>
      <c r="GD237" s="146"/>
      <c r="GE237" s="146"/>
      <c r="GF237" s="146"/>
      <c r="GG237" s="146"/>
      <c r="GH237" s="146"/>
      <c r="GI237" s="146"/>
      <c r="GJ237" s="146"/>
    </row>
    <row r="238" spans="1:192" ht="42" x14ac:dyDescent="0.35">
      <c r="A238" s="226" t="s">
        <v>7</v>
      </c>
      <c r="B238" s="197"/>
      <c r="C238" s="197" t="s">
        <v>465</v>
      </c>
      <c r="D238" s="202" t="s">
        <v>25</v>
      </c>
      <c r="E238" s="216" t="s">
        <v>467</v>
      </c>
      <c r="F238" s="88"/>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46"/>
      <c r="DZ238" s="146"/>
      <c r="EA238" s="146"/>
      <c r="EB238" s="146"/>
      <c r="EC238" s="146"/>
      <c r="ED238" s="146"/>
      <c r="EE238" s="146"/>
      <c r="EF238" s="146"/>
      <c r="EG238" s="146"/>
      <c r="EH238" s="146"/>
      <c r="EI238" s="146"/>
      <c r="EJ238" s="146"/>
      <c r="EK238" s="146"/>
      <c r="EL238" s="146"/>
      <c r="EM238" s="146"/>
      <c r="EN238" s="146"/>
      <c r="EO238" s="146"/>
      <c r="EP238" s="146"/>
      <c r="EQ238" s="146"/>
      <c r="ER238" s="146"/>
      <c r="ES238" s="146"/>
      <c r="ET238" s="146"/>
      <c r="EU238" s="146"/>
      <c r="EV238" s="146"/>
      <c r="EW238" s="146"/>
      <c r="EX238" s="146"/>
      <c r="EY238" s="146"/>
      <c r="EZ238" s="146"/>
      <c r="FA238" s="146"/>
      <c r="FB238" s="146"/>
      <c r="FC238" s="146"/>
      <c r="FD238" s="146"/>
      <c r="FE238" s="146"/>
      <c r="FF238" s="146"/>
      <c r="FG238" s="146"/>
      <c r="FH238" s="146"/>
      <c r="FI238" s="146"/>
      <c r="FJ238" s="146"/>
      <c r="FK238" s="146"/>
      <c r="FL238" s="146"/>
      <c r="FM238" s="146"/>
      <c r="FN238" s="146"/>
      <c r="FO238" s="146"/>
      <c r="FP238" s="146"/>
      <c r="FQ238" s="146"/>
      <c r="FR238" s="146"/>
      <c r="FS238" s="146"/>
      <c r="FT238" s="146"/>
      <c r="FU238" s="146"/>
      <c r="FV238" s="146"/>
      <c r="FW238" s="146"/>
      <c r="FX238" s="146"/>
      <c r="FY238" s="146"/>
      <c r="FZ238" s="146"/>
      <c r="GA238" s="146"/>
      <c r="GB238" s="146"/>
      <c r="GC238" s="146"/>
      <c r="GD238" s="146"/>
      <c r="GE238" s="146"/>
      <c r="GF238" s="146"/>
      <c r="GG238" s="146"/>
      <c r="GH238" s="146"/>
      <c r="GI238" s="146"/>
      <c r="GJ238" s="146"/>
    </row>
    <row r="239" spans="1:192" ht="192.5" x14ac:dyDescent="0.35">
      <c r="A239" s="226" t="s">
        <v>7</v>
      </c>
      <c r="B239" s="204" t="s">
        <v>1136</v>
      </c>
      <c r="C239" s="204" t="s">
        <v>463</v>
      </c>
      <c r="D239" s="203" t="s">
        <v>24</v>
      </c>
      <c r="E239" s="222" t="s">
        <v>1137</v>
      </c>
      <c r="F239" s="87"/>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46"/>
      <c r="DZ239" s="146"/>
      <c r="EA239" s="146"/>
      <c r="EB239" s="146"/>
      <c r="EC239" s="146"/>
      <c r="ED239" s="146"/>
      <c r="EE239" s="146"/>
      <c r="EF239" s="146"/>
      <c r="EG239" s="146"/>
      <c r="EH239" s="146"/>
      <c r="EI239" s="146"/>
      <c r="EJ239" s="146"/>
      <c r="EK239" s="146"/>
      <c r="EL239" s="146"/>
      <c r="EM239" s="146"/>
      <c r="EN239" s="146"/>
      <c r="EO239" s="146"/>
      <c r="EP239" s="146"/>
      <c r="EQ239" s="146"/>
      <c r="ER239" s="146"/>
      <c r="ES239" s="146"/>
      <c r="ET239" s="146"/>
      <c r="EU239" s="146"/>
      <c r="EV239" s="146"/>
      <c r="EW239" s="146"/>
      <c r="EX239" s="146"/>
      <c r="EY239" s="146"/>
      <c r="EZ239" s="146"/>
      <c r="FA239" s="146"/>
      <c r="FB239" s="146"/>
      <c r="FC239" s="146"/>
      <c r="FD239" s="146"/>
      <c r="FE239" s="146"/>
      <c r="FF239" s="146"/>
      <c r="FG239" s="146"/>
      <c r="FH239" s="146"/>
      <c r="FI239" s="146"/>
      <c r="FJ239" s="146"/>
      <c r="FK239" s="146"/>
      <c r="FL239" s="146"/>
      <c r="FM239" s="146"/>
      <c r="FN239" s="146"/>
      <c r="FO239" s="146"/>
      <c r="FP239" s="146"/>
      <c r="FQ239" s="146"/>
      <c r="FR239" s="146"/>
      <c r="FS239" s="146"/>
      <c r="FT239" s="146"/>
      <c r="FU239" s="146"/>
      <c r="FV239" s="146"/>
      <c r="FW239" s="146"/>
      <c r="FX239" s="146"/>
      <c r="FY239" s="146"/>
      <c r="FZ239" s="146"/>
      <c r="GA239" s="146"/>
      <c r="GB239" s="146"/>
      <c r="GC239" s="146"/>
      <c r="GD239" s="146"/>
      <c r="GE239" s="146"/>
      <c r="GF239" s="146"/>
      <c r="GG239" s="146"/>
      <c r="GH239" s="146"/>
      <c r="GI239" s="146"/>
      <c r="GJ239" s="146"/>
    </row>
    <row r="240" spans="1:192" ht="50" x14ac:dyDescent="0.35">
      <c r="A240" s="226" t="s">
        <v>7</v>
      </c>
      <c r="B240" s="197" t="s">
        <v>1138</v>
      </c>
      <c r="C240" s="197" t="s">
        <v>468</v>
      </c>
      <c r="D240" s="202" t="s">
        <v>24</v>
      </c>
      <c r="E240" s="216" t="s">
        <v>750</v>
      </c>
      <c r="F240" s="88"/>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46"/>
      <c r="DZ240" s="146"/>
      <c r="EA240" s="146"/>
      <c r="EB240" s="146"/>
      <c r="EC240" s="146"/>
      <c r="ED240" s="146"/>
      <c r="EE240" s="146"/>
      <c r="EF240" s="146"/>
      <c r="EG240" s="146"/>
      <c r="EH240" s="146"/>
      <c r="EI240" s="146"/>
      <c r="EJ240" s="146"/>
      <c r="EK240" s="146"/>
      <c r="EL240" s="146"/>
      <c r="EM240" s="146"/>
      <c r="EN240" s="146"/>
      <c r="EO240" s="146"/>
      <c r="EP240" s="146"/>
      <c r="EQ240" s="146"/>
      <c r="ER240" s="146"/>
      <c r="ES240" s="146"/>
      <c r="ET240" s="146"/>
      <c r="EU240" s="146"/>
      <c r="EV240" s="146"/>
      <c r="EW240" s="146"/>
      <c r="EX240" s="146"/>
      <c r="EY240" s="146"/>
      <c r="EZ240" s="146"/>
      <c r="FA240" s="146"/>
      <c r="FB240" s="146"/>
      <c r="FC240" s="146"/>
      <c r="FD240" s="146"/>
      <c r="FE240" s="146"/>
      <c r="FF240" s="146"/>
      <c r="FG240" s="146"/>
      <c r="FH240" s="146"/>
      <c r="FI240" s="146"/>
      <c r="FJ240" s="146"/>
      <c r="FK240" s="146"/>
      <c r="FL240" s="146"/>
      <c r="FM240" s="146"/>
      <c r="FN240" s="146"/>
      <c r="FO240" s="146"/>
      <c r="FP240" s="146"/>
      <c r="FQ240" s="146"/>
      <c r="FR240" s="146"/>
      <c r="FS240" s="146"/>
      <c r="FT240" s="146"/>
      <c r="FU240" s="146"/>
      <c r="FV240" s="146"/>
      <c r="FW240" s="146"/>
      <c r="FX240" s="146"/>
      <c r="FY240" s="146"/>
      <c r="FZ240" s="146"/>
      <c r="GA240" s="146"/>
      <c r="GB240" s="146"/>
      <c r="GC240" s="146"/>
      <c r="GD240" s="146"/>
      <c r="GE240" s="146"/>
      <c r="GF240" s="146"/>
      <c r="GG240" s="146"/>
      <c r="GH240" s="146"/>
      <c r="GI240" s="146"/>
      <c r="GJ240" s="146"/>
    </row>
    <row r="241" spans="1:192" ht="102" x14ac:dyDescent="0.35">
      <c r="A241" s="226" t="s">
        <v>7</v>
      </c>
      <c r="B241" s="197"/>
      <c r="C241" s="197" t="s">
        <v>751</v>
      </c>
      <c r="D241" s="202" t="s">
        <v>24</v>
      </c>
      <c r="E241" s="216" t="s">
        <v>1139</v>
      </c>
      <c r="F241" s="88"/>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46"/>
      <c r="DZ241" s="146"/>
      <c r="EA241" s="146"/>
      <c r="EB241" s="146"/>
      <c r="EC241" s="146"/>
      <c r="ED241" s="146"/>
      <c r="EE241" s="146"/>
      <c r="EF241" s="146"/>
      <c r="EG241" s="146"/>
      <c r="EH241" s="146"/>
      <c r="EI241" s="146"/>
      <c r="EJ241" s="146"/>
      <c r="EK241" s="146"/>
      <c r="EL241" s="146"/>
      <c r="EM241" s="146"/>
      <c r="EN241" s="146"/>
      <c r="EO241" s="146"/>
      <c r="EP241" s="146"/>
      <c r="EQ241" s="146"/>
      <c r="ER241" s="146"/>
      <c r="ES241" s="146"/>
      <c r="ET241" s="146"/>
      <c r="EU241" s="146"/>
      <c r="EV241" s="146"/>
      <c r="EW241" s="146"/>
      <c r="EX241" s="146"/>
      <c r="EY241" s="146"/>
      <c r="EZ241" s="146"/>
      <c r="FA241" s="146"/>
      <c r="FB241" s="146"/>
      <c r="FC241" s="146"/>
      <c r="FD241" s="146"/>
      <c r="FE241" s="146"/>
      <c r="FF241" s="146"/>
      <c r="FG241" s="146"/>
      <c r="FH241" s="146"/>
      <c r="FI241" s="146"/>
      <c r="FJ241" s="146"/>
      <c r="FK241" s="146"/>
      <c r="FL241" s="146"/>
      <c r="FM241" s="146"/>
      <c r="FN241" s="146"/>
      <c r="FO241" s="146"/>
      <c r="FP241" s="146"/>
      <c r="FQ241" s="146"/>
      <c r="FR241" s="146"/>
      <c r="FS241" s="146"/>
      <c r="FT241" s="146"/>
      <c r="FU241" s="146"/>
      <c r="FV241" s="146"/>
      <c r="FW241" s="146"/>
      <c r="FX241" s="146"/>
      <c r="FY241" s="146"/>
      <c r="FZ241" s="146"/>
      <c r="GA241" s="146"/>
      <c r="GB241" s="146"/>
      <c r="GC241" s="146"/>
      <c r="GD241" s="146"/>
      <c r="GE241" s="146"/>
      <c r="GF241" s="146"/>
      <c r="GG241" s="146"/>
      <c r="GH241" s="146"/>
      <c r="GI241" s="146"/>
      <c r="GJ241" s="146"/>
    </row>
    <row r="242" spans="1:192" ht="31.5" x14ac:dyDescent="0.35">
      <c r="A242" s="226" t="s">
        <v>7</v>
      </c>
      <c r="B242" s="204" t="s">
        <v>1140</v>
      </c>
      <c r="C242" s="204" t="s">
        <v>469</v>
      </c>
      <c r="D242" s="203" t="s">
        <v>24</v>
      </c>
      <c r="E242" s="208" t="s">
        <v>1141</v>
      </c>
      <c r="F242" s="87"/>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46"/>
      <c r="DZ242" s="146"/>
      <c r="EA242" s="146"/>
      <c r="EB242" s="146"/>
      <c r="EC242" s="146"/>
      <c r="ED242" s="146"/>
      <c r="EE242" s="146"/>
      <c r="EF242" s="146"/>
      <c r="EG242" s="146"/>
      <c r="EH242" s="146"/>
      <c r="EI242" s="146"/>
      <c r="EJ242" s="146"/>
      <c r="EK242" s="146"/>
      <c r="EL242" s="146"/>
      <c r="EM242" s="146"/>
      <c r="EN242" s="146"/>
      <c r="EO242" s="146"/>
      <c r="EP242" s="146"/>
      <c r="EQ242" s="146"/>
      <c r="ER242" s="146"/>
      <c r="ES242" s="146"/>
      <c r="ET242" s="146"/>
      <c r="EU242" s="146"/>
      <c r="EV242" s="146"/>
      <c r="EW242" s="146"/>
      <c r="EX242" s="146"/>
      <c r="EY242" s="146"/>
      <c r="EZ242" s="146"/>
      <c r="FA242" s="146"/>
      <c r="FB242" s="146"/>
      <c r="FC242" s="146"/>
      <c r="FD242" s="146"/>
      <c r="FE242" s="146"/>
      <c r="FF242" s="146"/>
      <c r="FG242" s="146"/>
      <c r="FH242" s="146"/>
      <c r="FI242" s="146"/>
      <c r="FJ242" s="146"/>
      <c r="FK242" s="146"/>
      <c r="FL242" s="146"/>
      <c r="FM242" s="146"/>
      <c r="FN242" s="146"/>
      <c r="FO242" s="146"/>
      <c r="FP242" s="146"/>
      <c r="FQ242" s="146"/>
      <c r="FR242" s="146"/>
      <c r="FS242" s="146"/>
      <c r="FT242" s="146"/>
      <c r="FU242" s="146"/>
      <c r="FV242" s="146"/>
      <c r="FW242" s="146"/>
      <c r="FX242" s="146"/>
      <c r="FY242" s="146"/>
      <c r="FZ242" s="146"/>
      <c r="GA242" s="146"/>
      <c r="GB242" s="146"/>
      <c r="GC242" s="146"/>
      <c r="GD242" s="146"/>
      <c r="GE242" s="146"/>
      <c r="GF242" s="146"/>
      <c r="GG242" s="146"/>
      <c r="GH242" s="146"/>
      <c r="GI242" s="146"/>
      <c r="GJ242" s="146"/>
    </row>
    <row r="243" spans="1:192" ht="31.5" x14ac:dyDescent="0.35">
      <c r="A243" s="226" t="s">
        <v>7</v>
      </c>
      <c r="B243" s="204"/>
      <c r="C243" s="204" t="s">
        <v>752</v>
      </c>
      <c r="D243" s="203" t="s">
        <v>24</v>
      </c>
      <c r="E243" s="208" t="s">
        <v>1142</v>
      </c>
      <c r="F243" s="87"/>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46"/>
      <c r="DZ243" s="146"/>
      <c r="EA243" s="146"/>
      <c r="EB243" s="146"/>
      <c r="EC243" s="146"/>
      <c r="ED243" s="146"/>
      <c r="EE243" s="146"/>
      <c r="EF243" s="146"/>
      <c r="EG243" s="146"/>
      <c r="EH243" s="146"/>
      <c r="EI243" s="146"/>
      <c r="EJ243" s="146"/>
      <c r="EK243" s="146"/>
      <c r="EL243" s="146"/>
      <c r="EM243" s="146"/>
      <c r="EN243" s="146"/>
      <c r="EO243" s="146"/>
      <c r="EP243" s="146"/>
      <c r="EQ243" s="146"/>
      <c r="ER243" s="146"/>
      <c r="ES243" s="146"/>
      <c r="ET243" s="146"/>
      <c r="EU243" s="146"/>
      <c r="EV243" s="146"/>
      <c r="EW243" s="146"/>
      <c r="EX243" s="146"/>
      <c r="EY243" s="146"/>
      <c r="EZ243" s="146"/>
      <c r="FA243" s="146"/>
      <c r="FB243" s="146"/>
      <c r="FC243" s="146"/>
      <c r="FD243" s="146"/>
      <c r="FE243" s="146"/>
      <c r="FF243" s="146"/>
      <c r="FG243" s="146"/>
      <c r="FH243" s="146"/>
      <c r="FI243" s="146"/>
      <c r="FJ243" s="146"/>
      <c r="FK243" s="146"/>
      <c r="FL243" s="146"/>
      <c r="FM243" s="146"/>
      <c r="FN243" s="146"/>
      <c r="FO243" s="146"/>
      <c r="FP243" s="146"/>
      <c r="FQ243" s="146"/>
      <c r="FR243" s="146"/>
      <c r="FS243" s="146"/>
      <c r="FT243" s="146"/>
      <c r="FU243" s="146"/>
      <c r="FV243" s="146"/>
      <c r="FW243" s="146"/>
      <c r="FX243" s="146"/>
      <c r="FY243" s="146"/>
      <c r="FZ243" s="146"/>
      <c r="GA243" s="146"/>
      <c r="GB243" s="146"/>
      <c r="GC243" s="146"/>
      <c r="GD243" s="146"/>
      <c r="GE243" s="146"/>
      <c r="GF243" s="146"/>
      <c r="GG243" s="146"/>
      <c r="GH243" s="146"/>
      <c r="GI243" s="146"/>
      <c r="GJ243" s="146"/>
    </row>
    <row r="244" spans="1:192" ht="101.5" x14ac:dyDescent="0.35">
      <c r="A244" s="226" t="s">
        <v>7</v>
      </c>
      <c r="B244" s="197" t="s">
        <v>1143</v>
      </c>
      <c r="C244" s="197" t="s">
        <v>470</v>
      </c>
      <c r="D244" s="202" t="s">
        <v>24</v>
      </c>
      <c r="E244" s="218" t="s">
        <v>1144</v>
      </c>
      <c r="F244" s="88"/>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46"/>
      <c r="DZ244" s="146"/>
      <c r="EA244" s="146"/>
      <c r="EB244" s="146"/>
      <c r="EC244" s="146"/>
      <c r="ED244" s="146"/>
      <c r="EE244" s="146"/>
      <c r="EF244" s="146"/>
      <c r="EG244" s="146"/>
      <c r="EH244" s="146"/>
      <c r="EI244" s="146"/>
      <c r="EJ244" s="146"/>
      <c r="EK244" s="146"/>
      <c r="EL244" s="146"/>
      <c r="EM244" s="146"/>
      <c r="EN244" s="146"/>
      <c r="EO244" s="146"/>
      <c r="EP244" s="146"/>
      <c r="EQ244" s="146"/>
      <c r="ER244" s="146"/>
      <c r="ES244" s="146"/>
      <c r="ET244" s="146"/>
      <c r="EU244" s="146"/>
      <c r="EV244" s="146"/>
      <c r="EW244" s="146"/>
      <c r="EX244" s="146"/>
      <c r="EY244" s="146"/>
      <c r="EZ244" s="146"/>
      <c r="FA244" s="146"/>
      <c r="FB244" s="146"/>
      <c r="FC244" s="146"/>
      <c r="FD244" s="146"/>
      <c r="FE244" s="146"/>
      <c r="FF244" s="146"/>
      <c r="FG244" s="146"/>
      <c r="FH244" s="146"/>
      <c r="FI244" s="146"/>
      <c r="FJ244" s="146"/>
      <c r="FK244" s="146"/>
      <c r="FL244" s="146"/>
      <c r="FM244" s="146"/>
      <c r="FN244" s="146"/>
      <c r="FO244" s="146"/>
      <c r="FP244" s="146"/>
      <c r="FQ244" s="146"/>
      <c r="FR244" s="146"/>
      <c r="FS244" s="146"/>
      <c r="FT244" s="146"/>
      <c r="FU244" s="146"/>
      <c r="FV244" s="146"/>
      <c r="FW244" s="146"/>
      <c r="FX244" s="146"/>
      <c r="FY244" s="146"/>
      <c r="FZ244" s="146"/>
      <c r="GA244" s="146"/>
      <c r="GB244" s="146"/>
      <c r="GC244" s="146"/>
      <c r="GD244" s="146"/>
      <c r="GE244" s="146"/>
      <c r="GF244" s="146"/>
      <c r="GG244" s="146"/>
      <c r="GH244" s="146"/>
      <c r="GI244" s="146"/>
      <c r="GJ244" s="146"/>
    </row>
    <row r="245" spans="1:192" ht="142.5" x14ac:dyDescent="0.35">
      <c r="A245" s="226" t="s">
        <v>7</v>
      </c>
      <c r="B245" s="204" t="s">
        <v>1145</v>
      </c>
      <c r="C245" s="204" t="s">
        <v>471</v>
      </c>
      <c r="D245" s="203" t="s">
        <v>24</v>
      </c>
      <c r="E245" s="222" t="s">
        <v>1146</v>
      </c>
      <c r="F245" s="87"/>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46"/>
      <c r="DZ245" s="146"/>
      <c r="EA245" s="146"/>
      <c r="EB245" s="146"/>
      <c r="EC245" s="146"/>
      <c r="ED245" s="146"/>
      <c r="EE245" s="146"/>
      <c r="EF245" s="146"/>
      <c r="EG245" s="146"/>
      <c r="EH245" s="146"/>
      <c r="EI245" s="146"/>
      <c r="EJ245" s="146"/>
      <c r="EK245" s="146"/>
      <c r="EL245" s="146"/>
      <c r="EM245" s="146"/>
      <c r="EN245" s="146"/>
      <c r="EO245" s="146"/>
      <c r="EP245" s="146"/>
      <c r="EQ245" s="146"/>
      <c r="ER245" s="146"/>
      <c r="ES245" s="146"/>
      <c r="ET245" s="146"/>
      <c r="EU245" s="146"/>
      <c r="EV245" s="146"/>
      <c r="EW245" s="146"/>
      <c r="EX245" s="146"/>
      <c r="EY245" s="146"/>
      <c r="EZ245" s="146"/>
      <c r="FA245" s="146"/>
      <c r="FB245" s="146"/>
      <c r="FC245" s="146"/>
      <c r="FD245" s="146"/>
      <c r="FE245" s="146"/>
      <c r="FF245" s="146"/>
      <c r="FG245" s="146"/>
      <c r="FH245" s="146"/>
      <c r="FI245" s="146"/>
      <c r="FJ245" s="146"/>
      <c r="FK245" s="146"/>
      <c r="FL245" s="146"/>
      <c r="FM245" s="146"/>
      <c r="FN245" s="146"/>
      <c r="FO245" s="146"/>
      <c r="FP245" s="146"/>
      <c r="FQ245" s="146"/>
      <c r="FR245" s="146"/>
      <c r="FS245" s="146"/>
      <c r="FT245" s="146"/>
      <c r="FU245" s="146"/>
      <c r="FV245" s="146"/>
      <c r="FW245" s="146"/>
      <c r="FX245" s="146"/>
      <c r="FY245" s="146"/>
      <c r="FZ245" s="146"/>
      <c r="GA245" s="146"/>
      <c r="GB245" s="146"/>
      <c r="GC245" s="146"/>
      <c r="GD245" s="146"/>
      <c r="GE245" s="146"/>
      <c r="GF245" s="146"/>
      <c r="GG245" s="146"/>
      <c r="GH245" s="146"/>
      <c r="GI245" s="146"/>
      <c r="GJ245" s="146"/>
    </row>
    <row r="246" spans="1:192" ht="70" x14ac:dyDescent="0.35">
      <c r="A246" s="226" t="s">
        <v>7</v>
      </c>
      <c r="B246" s="197" t="s">
        <v>1147</v>
      </c>
      <c r="C246" s="197" t="s">
        <v>472</v>
      </c>
      <c r="D246" s="202" t="s">
        <v>24</v>
      </c>
      <c r="E246" s="216" t="s">
        <v>1148</v>
      </c>
      <c r="F246" s="88"/>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46"/>
      <c r="DZ246" s="146"/>
      <c r="EA246" s="146"/>
      <c r="EB246" s="146"/>
      <c r="EC246" s="146"/>
      <c r="ED246" s="146"/>
      <c r="EE246" s="146"/>
      <c r="EF246" s="146"/>
      <c r="EG246" s="146"/>
      <c r="EH246" s="146"/>
      <c r="EI246" s="146"/>
      <c r="EJ246" s="146"/>
      <c r="EK246" s="146"/>
      <c r="EL246" s="146"/>
      <c r="EM246" s="146"/>
      <c r="EN246" s="146"/>
      <c r="EO246" s="146"/>
      <c r="EP246" s="146"/>
      <c r="EQ246" s="146"/>
      <c r="ER246" s="146"/>
      <c r="ES246" s="146"/>
      <c r="ET246" s="146"/>
      <c r="EU246" s="146"/>
      <c r="EV246" s="146"/>
      <c r="EW246" s="146"/>
      <c r="EX246" s="146"/>
      <c r="EY246" s="146"/>
      <c r="EZ246" s="146"/>
      <c r="FA246" s="146"/>
      <c r="FB246" s="146"/>
      <c r="FC246" s="146"/>
      <c r="FD246" s="146"/>
      <c r="FE246" s="146"/>
      <c r="FF246" s="146"/>
      <c r="FG246" s="146"/>
      <c r="FH246" s="146"/>
      <c r="FI246" s="146"/>
      <c r="FJ246" s="146"/>
      <c r="FK246" s="146"/>
      <c r="FL246" s="146"/>
      <c r="FM246" s="146"/>
      <c r="FN246" s="146"/>
      <c r="FO246" s="146"/>
      <c r="FP246" s="146"/>
      <c r="FQ246" s="146"/>
      <c r="FR246" s="146"/>
      <c r="FS246" s="146"/>
      <c r="FT246" s="146"/>
      <c r="FU246" s="146"/>
      <c r="FV246" s="146"/>
      <c r="FW246" s="146"/>
      <c r="FX246" s="146"/>
      <c r="FY246" s="146"/>
      <c r="FZ246" s="146"/>
      <c r="GA246" s="146"/>
      <c r="GB246" s="146"/>
      <c r="GC246" s="146"/>
      <c r="GD246" s="146"/>
      <c r="GE246" s="146"/>
      <c r="GF246" s="146"/>
      <c r="GG246" s="146"/>
      <c r="GH246" s="146"/>
      <c r="GI246" s="146"/>
      <c r="GJ246" s="146"/>
    </row>
    <row r="247" spans="1:192" ht="172.5" x14ac:dyDescent="0.35">
      <c r="A247" s="225" t="s">
        <v>473</v>
      </c>
      <c r="B247" s="204" t="s">
        <v>1149</v>
      </c>
      <c r="C247" s="204" t="s">
        <v>474</v>
      </c>
      <c r="D247" s="203" t="s">
        <v>24</v>
      </c>
      <c r="E247" s="204" t="s">
        <v>1150</v>
      </c>
      <c r="F247" s="87"/>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46"/>
      <c r="DZ247" s="146"/>
      <c r="EA247" s="146"/>
      <c r="EB247" s="146"/>
      <c r="EC247" s="146"/>
      <c r="ED247" s="146"/>
      <c r="EE247" s="146"/>
      <c r="EF247" s="146"/>
      <c r="EG247" s="146"/>
      <c r="EH247" s="146"/>
      <c r="EI247" s="146"/>
      <c r="EJ247" s="146"/>
      <c r="EK247" s="146"/>
      <c r="EL247" s="146"/>
      <c r="EM247" s="146"/>
      <c r="EN247" s="146"/>
      <c r="EO247" s="146"/>
      <c r="EP247" s="146"/>
      <c r="EQ247" s="146"/>
      <c r="ER247" s="146"/>
      <c r="ES247" s="146"/>
      <c r="ET247" s="146"/>
      <c r="EU247" s="146"/>
      <c r="EV247" s="146"/>
      <c r="EW247" s="146"/>
      <c r="EX247" s="146"/>
      <c r="EY247" s="146"/>
      <c r="EZ247" s="146"/>
      <c r="FA247" s="146"/>
      <c r="FB247" s="146"/>
      <c r="FC247" s="146"/>
      <c r="FD247" s="146"/>
      <c r="FE247" s="146"/>
      <c r="FF247" s="146"/>
      <c r="FG247" s="146"/>
      <c r="FH247" s="146"/>
      <c r="FI247" s="146"/>
      <c r="FJ247" s="146"/>
      <c r="FK247" s="146"/>
      <c r="FL247" s="146"/>
      <c r="FM247" s="146"/>
      <c r="FN247" s="146"/>
      <c r="FO247" s="146"/>
      <c r="FP247" s="146"/>
      <c r="FQ247" s="146"/>
      <c r="FR247" s="146"/>
      <c r="FS247" s="146"/>
      <c r="FT247" s="146"/>
      <c r="FU247" s="146"/>
      <c r="FV247" s="146"/>
      <c r="FW247" s="146"/>
      <c r="FX247" s="146"/>
      <c r="FY247" s="146"/>
      <c r="FZ247" s="146"/>
      <c r="GA247" s="146"/>
      <c r="GB247" s="146"/>
      <c r="GC247" s="146"/>
      <c r="GD247" s="146"/>
      <c r="GE247" s="146"/>
      <c r="GF247" s="146"/>
      <c r="GG247" s="146"/>
      <c r="GH247" s="146"/>
      <c r="GI247" s="146"/>
      <c r="GJ247" s="146"/>
    </row>
    <row r="248" spans="1:192" ht="42" x14ac:dyDescent="0.35">
      <c r="A248" s="225" t="s">
        <v>473</v>
      </c>
      <c r="B248" s="204"/>
      <c r="C248" s="204" t="s">
        <v>475</v>
      </c>
      <c r="D248" s="203" t="s">
        <v>24</v>
      </c>
      <c r="E248" s="210" t="s">
        <v>1151</v>
      </c>
      <c r="F248" s="87"/>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46"/>
      <c r="DZ248" s="146"/>
      <c r="EA248" s="146"/>
      <c r="EB248" s="146"/>
      <c r="EC248" s="146"/>
      <c r="ED248" s="146"/>
      <c r="EE248" s="146"/>
      <c r="EF248" s="146"/>
      <c r="EG248" s="146"/>
      <c r="EH248" s="146"/>
      <c r="EI248" s="146"/>
      <c r="EJ248" s="146"/>
      <c r="EK248" s="146"/>
      <c r="EL248" s="146"/>
      <c r="EM248" s="146"/>
      <c r="EN248" s="146"/>
      <c r="EO248" s="146"/>
      <c r="EP248" s="146"/>
      <c r="EQ248" s="146"/>
      <c r="ER248" s="146"/>
      <c r="ES248" s="146"/>
      <c r="ET248" s="146"/>
      <c r="EU248" s="146"/>
      <c r="EV248" s="146"/>
      <c r="EW248" s="146"/>
      <c r="EX248" s="146"/>
      <c r="EY248" s="146"/>
      <c r="EZ248" s="146"/>
      <c r="FA248" s="146"/>
      <c r="FB248" s="146"/>
      <c r="FC248" s="146"/>
      <c r="FD248" s="146"/>
      <c r="FE248" s="146"/>
      <c r="FF248" s="146"/>
      <c r="FG248" s="146"/>
      <c r="FH248" s="146"/>
      <c r="FI248" s="146"/>
      <c r="FJ248" s="146"/>
      <c r="FK248" s="146"/>
      <c r="FL248" s="146"/>
      <c r="FM248" s="146"/>
      <c r="FN248" s="146"/>
      <c r="FO248" s="146"/>
      <c r="FP248" s="146"/>
      <c r="FQ248" s="146"/>
      <c r="FR248" s="146"/>
      <c r="FS248" s="146"/>
      <c r="FT248" s="146"/>
      <c r="FU248" s="146"/>
      <c r="FV248" s="146"/>
      <c r="FW248" s="146"/>
      <c r="FX248" s="146"/>
      <c r="FY248" s="146"/>
      <c r="FZ248" s="146"/>
      <c r="GA248" s="146"/>
      <c r="GB248" s="146"/>
      <c r="GC248" s="146"/>
      <c r="GD248" s="146"/>
      <c r="GE248" s="146"/>
      <c r="GF248" s="146"/>
      <c r="GG248" s="146"/>
      <c r="GH248" s="146"/>
      <c r="GI248" s="146"/>
      <c r="GJ248" s="146"/>
    </row>
    <row r="249" spans="1:192" ht="152" x14ac:dyDescent="0.35">
      <c r="A249" s="225" t="s">
        <v>473</v>
      </c>
      <c r="B249" s="204"/>
      <c r="C249" s="204" t="s">
        <v>476</v>
      </c>
      <c r="D249" s="203" t="s">
        <v>24</v>
      </c>
      <c r="E249" s="204" t="s">
        <v>1152</v>
      </c>
      <c r="F249" s="87"/>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46"/>
      <c r="DZ249" s="146"/>
      <c r="EA249" s="146"/>
      <c r="EB249" s="146"/>
      <c r="EC249" s="146"/>
      <c r="ED249" s="146"/>
      <c r="EE249" s="146"/>
      <c r="EF249" s="146"/>
      <c r="EG249" s="146"/>
      <c r="EH249" s="146"/>
      <c r="EI249" s="146"/>
      <c r="EJ249" s="146"/>
      <c r="EK249" s="146"/>
      <c r="EL249" s="146"/>
      <c r="EM249" s="146"/>
      <c r="EN249" s="146"/>
      <c r="EO249" s="146"/>
      <c r="EP249" s="146"/>
      <c r="EQ249" s="146"/>
      <c r="ER249" s="146"/>
      <c r="ES249" s="146"/>
      <c r="ET249" s="146"/>
      <c r="EU249" s="146"/>
      <c r="EV249" s="146"/>
      <c r="EW249" s="146"/>
      <c r="EX249" s="146"/>
      <c r="EY249" s="146"/>
      <c r="EZ249" s="146"/>
      <c r="FA249" s="146"/>
      <c r="FB249" s="146"/>
      <c r="FC249" s="146"/>
      <c r="FD249" s="146"/>
      <c r="FE249" s="146"/>
      <c r="FF249" s="146"/>
      <c r="FG249" s="146"/>
      <c r="FH249" s="146"/>
      <c r="FI249" s="146"/>
      <c r="FJ249" s="146"/>
      <c r="FK249" s="146"/>
      <c r="FL249" s="146"/>
      <c r="FM249" s="146"/>
      <c r="FN249" s="146"/>
      <c r="FO249" s="146"/>
      <c r="FP249" s="146"/>
      <c r="FQ249" s="146"/>
      <c r="FR249" s="146"/>
      <c r="FS249" s="146"/>
      <c r="FT249" s="146"/>
      <c r="FU249" s="146"/>
      <c r="FV249" s="146"/>
      <c r="FW249" s="146"/>
      <c r="FX249" s="146"/>
      <c r="FY249" s="146"/>
      <c r="FZ249" s="146"/>
      <c r="GA249" s="146"/>
      <c r="GB249" s="146"/>
      <c r="GC249" s="146"/>
      <c r="GD249" s="146"/>
      <c r="GE249" s="146"/>
      <c r="GF249" s="146"/>
      <c r="GG249" s="146"/>
      <c r="GH249" s="146"/>
      <c r="GI249" s="146"/>
      <c r="GJ249" s="146"/>
    </row>
    <row r="250" spans="1:192" ht="102" x14ac:dyDescent="0.35">
      <c r="A250" s="225" t="s">
        <v>473</v>
      </c>
      <c r="B250" s="204"/>
      <c r="C250" s="204" t="s">
        <v>477</v>
      </c>
      <c r="D250" s="203" t="s">
        <v>24</v>
      </c>
      <c r="E250" s="204" t="s">
        <v>1153</v>
      </c>
      <c r="F250" s="87"/>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46"/>
      <c r="DZ250" s="146"/>
      <c r="EA250" s="146"/>
      <c r="EB250" s="146"/>
      <c r="EC250" s="146"/>
      <c r="ED250" s="146"/>
      <c r="EE250" s="146"/>
      <c r="EF250" s="146"/>
      <c r="EG250" s="146"/>
      <c r="EH250" s="146"/>
      <c r="EI250" s="146"/>
      <c r="EJ250" s="146"/>
      <c r="EK250" s="146"/>
      <c r="EL250" s="146"/>
      <c r="EM250" s="146"/>
      <c r="EN250" s="146"/>
      <c r="EO250" s="146"/>
      <c r="EP250" s="146"/>
      <c r="EQ250" s="146"/>
      <c r="ER250" s="146"/>
      <c r="ES250" s="146"/>
      <c r="ET250" s="146"/>
      <c r="EU250" s="146"/>
      <c r="EV250" s="146"/>
      <c r="EW250" s="146"/>
      <c r="EX250" s="146"/>
      <c r="EY250" s="146"/>
      <c r="EZ250" s="146"/>
      <c r="FA250" s="146"/>
      <c r="FB250" s="146"/>
      <c r="FC250" s="146"/>
      <c r="FD250" s="146"/>
      <c r="FE250" s="146"/>
      <c r="FF250" s="146"/>
      <c r="FG250" s="146"/>
      <c r="FH250" s="146"/>
      <c r="FI250" s="146"/>
      <c r="FJ250" s="146"/>
      <c r="FK250" s="146"/>
      <c r="FL250" s="146"/>
      <c r="FM250" s="146"/>
      <c r="FN250" s="146"/>
      <c r="FO250" s="146"/>
      <c r="FP250" s="146"/>
      <c r="FQ250" s="146"/>
      <c r="FR250" s="146"/>
      <c r="FS250" s="146"/>
      <c r="FT250" s="146"/>
      <c r="FU250" s="146"/>
      <c r="FV250" s="146"/>
      <c r="FW250" s="146"/>
      <c r="FX250" s="146"/>
      <c r="FY250" s="146"/>
      <c r="FZ250" s="146"/>
      <c r="GA250" s="146"/>
      <c r="GB250" s="146"/>
      <c r="GC250" s="146"/>
      <c r="GD250" s="146"/>
      <c r="GE250" s="146"/>
      <c r="GF250" s="146"/>
      <c r="GG250" s="146"/>
      <c r="GH250" s="146"/>
      <c r="GI250" s="146"/>
      <c r="GJ250" s="146"/>
    </row>
    <row r="251" spans="1:192" ht="50" x14ac:dyDescent="0.35">
      <c r="A251" s="225" t="s">
        <v>473</v>
      </c>
      <c r="B251" s="197" t="s">
        <v>1154</v>
      </c>
      <c r="C251" s="197" t="s">
        <v>478</v>
      </c>
      <c r="D251" s="202" t="s">
        <v>24</v>
      </c>
      <c r="E251" s="216" t="s">
        <v>1154</v>
      </c>
      <c r="F251" s="88"/>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46"/>
      <c r="DZ251" s="146"/>
      <c r="EA251" s="146"/>
      <c r="EB251" s="146"/>
      <c r="EC251" s="146"/>
      <c r="ED251" s="146"/>
      <c r="EE251" s="146"/>
      <c r="EF251" s="146"/>
      <c r="EG251" s="146"/>
      <c r="EH251" s="146"/>
      <c r="EI251" s="146"/>
      <c r="EJ251" s="146"/>
      <c r="EK251" s="146"/>
      <c r="EL251" s="146"/>
      <c r="EM251" s="146"/>
      <c r="EN251" s="146"/>
      <c r="EO251" s="146"/>
      <c r="EP251" s="146"/>
      <c r="EQ251" s="146"/>
      <c r="ER251" s="146"/>
      <c r="ES251" s="146"/>
      <c r="ET251" s="146"/>
      <c r="EU251" s="146"/>
      <c r="EV251" s="146"/>
      <c r="EW251" s="146"/>
      <c r="EX251" s="146"/>
      <c r="EY251" s="146"/>
      <c r="EZ251" s="146"/>
      <c r="FA251" s="146"/>
      <c r="FB251" s="146"/>
      <c r="FC251" s="146"/>
      <c r="FD251" s="146"/>
      <c r="FE251" s="146"/>
      <c r="FF251" s="146"/>
      <c r="FG251" s="146"/>
      <c r="FH251" s="146"/>
      <c r="FI251" s="146"/>
      <c r="FJ251" s="146"/>
      <c r="FK251" s="146"/>
      <c r="FL251" s="146"/>
      <c r="FM251" s="146"/>
      <c r="FN251" s="146"/>
      <c r="FO251" s="146"/>
      <c r="FP251" s="146"/>
      <c r="FQ251" s="146"/>
      <c r="FR251" s="146"/>
      <c r="FS251" s="146"/>
      <c r="FT251" s="146"/>
      <c r="FU251" s="146"/>
      <c r="FV251" s="146"/>
      <c r="FW251" s="146"/>
      <c r="FX251" s="146"/>
      <c r="FY251" s="146"/>
      <c r="FZ251" s="146"/>
      <c r="GA251" s="146"/>
      <c r="GB251" s="146"/>
      <c r="GC251" s="146"/>
      <c r="GD251" s="146"/>
      <c r="GE251" s="146"/>
      <c r="GF251" s="146"/>
      <c r="GG251" s="146"/>
      <c r="GH251" s="146"/>
      <c r="GI251" s="146"/>
      <c r="GJ251" s="146"/>
    </row>
    <row r="252" spans="1:192" ht="112" x14ac:dyDescent="0.35">
      <c r="A252" s="225" t="s">
        <v>473</v>
      </c>
      <c r="B252" s="204" t="s">
        <v>1155</v>
      </c>
      <c r="C252" s="204" t="s">
        <v>479</v>
      </c>
      <c r="D252" s="203" t="s">
        <v>24</v>
      </c>
      <c r="E252" s="222" t="s">
        <v>1156</v>
      </c>
      <c r="F252" s="87"/>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46"/>
      <c r="DZ252" s="146"/>
      <c r="EA252" s="146"/>
      <c r="EB252" s="146"/>
      <c r="EC252" s="146"/>
      <c r="ED252" s="146"/>
      <c r="EE252" s="146"/>
      <c r="EF252" s="146"/>
      <c r="EG252" s="146"/>
      <c r="EH252" s="146"/>
      <c r="EI252" s="146"/>
      <c r="EJ252" s="146"/>
      <c r="EK252" s="146"/>
      <c r="EL252" s="146"/>
      <c r="EM252" s="146"/>
      <c r="EN252" s="146"/>
      <c r="EO252" s="146"/>
      <c r="EP252" s="146"/>
      <c r="EQ252" s="146"/>
      <c r="ER252" s="146"/>
      <c r="ES252" s="146"/>
      <c r="ET252" s="146"/>
      <c r="EU252" s="146"/>
      <c r="EV252" s="146"/>
      <c r="EW252" s="146"/>
      <c r="EX252" s="146"/>
      <c r="EY252" s="146"/>
      <c r="EZ252" s="146"/>
      <c r="FA252" s="146"/>
      <c r="FB252" s="146"/>
      <c r="FC252" s="146"/>
      <c r="FD252" s="146"/>
      <c r="FE252" s="146"/>
      <c r="FF252" s="146"/>
      <c r="FG252" s="146"/>
      <c r="FH252" s="146"/>
      <c r="FI252" s="146"/>
      <c r="FJ252" s="146"/>
      <c r="FK252" s="146"/>
      <c r="FL252" s="146"/>
      <c r="FM252" s="146"/>
      <c r="FN252" s="146"/>
      <c r="FO252" s="146"/>
      <c r="FP252" s="146"/>
      <c r="FQ252" s="146"/>
      <c r="FR252" s="146"/>
      <c r="FS252" s="146"/>
      <c r="FT252" s="146"/>
      <c r="FU252" s="146"/>
      <c r="FV252" s="146"/>
      <c r="FW252" s="146"/>
      <c r="FX252" s="146"/>
      <c r="FY252" s="146"/>
      <c r="FZ252" s="146"/>
      <c r="GA252" s="146"/>
      <c r="GB252" s="146"/>
      <c r="GC252" s="146"/>
      <c r="GD252" s="146"/>
      <c r="GE252" s="146"/>
      <c r="GF252" s="146"/>
      <c r="GG252" s="146"/>
      <c r="GH252" s="146"/>
      <c r="GI252" s="146"/>
      <c r="GJ252" s="146"/>
    </row>
    <row r="253" spans="1:192" ht="71.5" x14ac:dyDescent="0.35">
      <c r="A253" s="225" t="s">
        <v>473</v>
      </c>
      <c r="B253" s="197" t="s">
        <v>483</v>
      </c>
      <c r="C253" s="197" t="s">
        <v>480</v>
      </c>
      <c r="D253" s="202" t="s">
        <v>24</v>
      </c>
      <c r="E253" s="223" t="s">
        <v>1157</v>
      </c>
      <c r="F253" s="88"/>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46"/>
      <c r="DZ253" s="146"/>
      <c r="EA253" s="146"/>
      <c r="EB253" s="146"/>
      <c r="EC253" s="146"/>
      <c r="ED253" s="146"/>
      <c r="EE253" s="146"/>
      <c r="EF253" s="146"/>
      <c r="EG253" s="146"/>
      <c r="EH253" s="146"/>
      <c r="EI253" s="146"/>
      <c r="EJ253" s="146"/>
      <c r="EK253" s="146"/>
      <c r="EL253" s="146"/>
      <c r="EM253" s="146"/>
      <c r="EN253" s="146"/>
      <c r="EO253" s="146"/>
      <c r="EP253" s="146"/>
      <c r="EQ253" s="146"/>
      <c r="ER253" s="146"/>
      <c r="ES253" s="146"/>
      <c r="ET253" s="146"/>
      <c r="EU253" s="146"/>
      <c r="EV253" s="146"/>
      <c r="EW253" s="146"/>
      <c r="EX253" s="146"/>
      <c r="EY253" s="146"/>
      <c r="EZ253" s="146"/>
      <c r="FA253" s="146"/>
      <c r="FB253" s="146"/>
      <c r="FC253" s="146"/>
      <c r="FD253" s="146"/>
      <c r="FE253" s="146"/>
      <c r="FF253" s="146"/>
      <c r="FG253" s="146"/>
      <c r="FH253" s="146"/>
      <c r="FI253" s="146"/>
      <c r="FJ253" s="146"/>
      <c r="FK253" s="146"/>
      <c r="FL253" s="146"/>
      <c r="FM253" s="146"/>
      <c r="FN253" s="146"/>
      <c r="FO253" s="146"/>
      <c r="FP253" s="146"/>
      <c r="FQ253" s="146"/>
      <c r="FR253" s="146"/>
      <c r="FS253" s="146"/>
      <c r="FT253" s="146"/>
      <c r="FU253" s="146"/>
      <c r="FV253" s="146"/>
      <c r="FW253" s="146"/>
      <c r="FX253" s="146"/>
      <c r="FY253" s="146"/>
      <c r="FZ253" s="146"/>
      <c r="GA253" s="146"/>
      <c r="GB253" s="146"/>
      <c r="GC253" s="146"/>
      <c r="GD253" s="146"/>
      <c r="GE253" s="146"/>
      <c r="GF253" s="146"/>
      <c r="GG253" s="146"/>
      <c r="GH253" s="146"/>
      <c r="GI253" s="146"/>
      <c r="GJ253" s="146"/>
    </row>
    <row r="254" spans="1:192" ht="72" x14ac:dyDescent="0.35">
      <c r="A254" s="225" t="s">
        <v>473</v>
      </c>
      <c r="B254" s="204" t="s">
        <v>1158</v>
      </c>
      <c r="C254" s="204" t="s">
        <v>481</v>
      </c>
      <c r="D254" s="203" t="s">
        <v>24</v>
      </c>
      <c r="E254" s="222" t="s">
        <v>1159</v>
      </c>
      <c r="F254" s="87"/>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46"/>
      <c r="DZ254" s="146"/>
      <c r="EA254" s="146"/>
      <c r="EB254" s="146"/>
      <c r="EC254" s="146"/>
      <c r="ED254" s="146"/>
      <c r="EE254" s="146"/>
      <c r="EF254" s="146"/>
      <c r="EG254" s="146"/>
      <c r="EH254" s="146"/>
      <c r="EI254" s="146"/>
      <c r="EJ254" s="146"/>
      <c r="EK254" s="146"/>
      <c r="EL254" s="146"/>
      <c r="EM254" s="146"/>
      <c r="EN254" s="146"/>
      <c r="EO254" s="146"/>
      <c r="EP254" s="146"/>
      <c r="EQ254" s="146"/>
      <c r="ER254" s="146"/>
      <c r="ES254" s="146"/>
      <c r="ET254" s="146"/>
      <c r="EU254" s="146"/>
      <c r="EV254" s="146"/>
      <c r="EW254" s="146"/>
      <c r="EX254" s="146"/>
      <c r="EY254" s="146"/>
      <c r="EZ254" s="146"/>
      <c r="FA254" s="146"/>
      <c r="FB254" s="146"/>
      <c r="FC254" s="146"/>
      <c r="FD254" s="146"/>
      <c r="FE254" s="146"/>
      <c r="FF254" s="146"/>
      <c r="FG254" s="146"/>
      <c r="FH254" s="146"/>
      <c r="FI254" s="146"/>
      <c r="FJ254" s="146"/>
      <c r="FK254" s="146"/>
      <c r="FL254" s="146"/>
      <c r="FM254" s="146"/>
      <c r="FN254" s="146"/>
      <c r="FO254" s="146"/>
      <c r="FP254" s="146"/>
      <c r="FQ254" s="146"/>
      <c r="FR254" s="146"/>
      <c r="FS254" s="146"/>
      <c r="FT254" s="146"/>
      <c r="FU254" s="146"/>
      <c r="FV254" s="146"/>
      <c r="FW254" s="146"/>
      <c r="FX254" s="146"/>
      <c r="FY254" s="146"/>
      <c r="FZ254" s="146"/>
      <c r="GA254" s="146"/>
      <c r="GB254" s="146"/>
      <c r="GC254" s="146"/>
      <c r="GD254" s="146"/>
      <c r="GE254" s="146"/>
      <c r="GF254" s="146"/>
      <c r="GG254" s="146"/>
      <c r="GH254" s="146"/>
      <c r="GI254" s="146"/>
      <c r="GJ254" s="146"/>
    </row>
    <row r="255" spans="1:192" ht="72" x14ac:dyDescent="0.35">
      <c r="A255" s="225" t="s">
        <v>473</v>
      </c>
      <c r="B255" s="197" t="s">
        <v>1160</v>
      </c>
      <c r="C255" s="197" t="s">
        <v>482</v>
      </c>
      <c r="D255" s="202" t="s">
        <v>24</v>
      </c>
      <c r="E255" s="223" t="s">
        <v>1161</v>
      </c>
      <c r="F255" s="88"/>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46"/>
      <c r="DZ255" s="146"/>
      <c r="EA255" s="146"/>
      <c r="EB255" s="146"/>
      <c r="EC255" s="146"/>
      <c r="ED255" s="146"/>
      <c r="EE255" s="146"/>
      <c r="EF255" s="146"/>
      <c r="EG255" s="146"/>
      <c r="EH255" s="146"/>
      <c r="EI255" s="146"/>
      <c r="EJ255" s="146"/>
      <c r="EK255" s="146"/>
      <c r="EL255" s="146"/>
      <c r="EM255" s="146"/>
      <c r="EN255" s="146"/>
      <c r="EO255" s="146"/>
      <c r="EP255" s="146"/>
      <c r="EQ255" s="146"/>
      <c r="ER255" s="146"/>
      <c r="ES255" s="146"/>
      <c r="ET255" s="146"/>
      <c r="EU255" s="146"/>
      <c r="EV255" s="146"/>
      <c r="EW255" s="146"/>
      <c r="EX255" s="146"/>
      <c r="EY255" s="146"/>
      <c r="EZ255" s="146"/>
      <c r="FA255" s="146"/>
      <c r="FB255" s="146"/>
      <c r="FC255" s="146"/>
      <c r="FD255" s="146"/>
      <c r="FE255" s="146"/>
      <c r="FF255" s="146"/>
      <c r="FG255" s="146"/>
      <c r="FH255" s="146"/>
      <c r="FI255" s="146"/>
      <c r="FJ255" s="146"/>
      <c r="FK255" s="146"/>
      <c r="FL255" s="146"/>
      <c r="FM255" s="146"/>
      <c r="FN255" s="146"/>
      <c r="FO255" s="146"/>
      <c r="FP255" s="146"/>
      <c r="FQ255" s="146"/>
      <c r="FR255" s="146"/>
      <c r="FS255" s="146"/>
      <c r="FT255" s="146"/>
      <c r="FU255" s="146"/>
      <c r="FV255" s="146"/>
      <c r="FW255" s="146"/>
      <c r="FX255" s="146"/>
      <c r="FY255" s="146"/>
      <c r="FZ255" s="146"/>
      <c r="GA255" s="146"/>
      <c r="GB255" s="146"/>
      <c r="GC255" s="146"/>
      <c r="GD255" s="146"/>
      <c r="GE255" s="146"/>
      <c r="GF255" s="146"/>
      <c r="GG255" s="146"/>
      <c r="GH255" s="146"/>
      <c r="GI255" s="146"/>
      <c r="GJ255" s="146"/>
    </row>
    <row r="256" spans="1:192" ht="103" x14ac:dyDescent="0.35">
      <c r="A256" s="225" t="s">
        <v>473</v>
      </c>
      <c r="B256" s="204" t="s">
        <v>1162</v>
      </c>
      <c r="C256" s="204" t="s">
        <v>484</v>
      </c>
      <c r="D256" s="203" t="s">
        <v>24</v>
      </c>
      <c r="E256" s="210" t="s">
        <v>1163</v>
      </c>
      <c r="F256" s="87"/>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46"/>
      <c r="DZ256" s="146"/>
      <c r="EA256" s="146"/>
      <c r="EB256" s="146"/>
      <c r="EC256" s="146"/>
      <c r="ED256" s="146"/>
      <c r="EE256" s="146"/>
      <c r="EF256" s="146"/>
      <c r="EG256" s="146"/>
      <c r="EH256" s="146"/>
      <c r="EI256" s="146"/>
      <c r="EJ256" s="146"/>
      <c r="EK256" s="146"/>
      <c r="EL256" s="146"/>
      <c r="EM256" s="146"/>
      <c r="EN256" s="146"/>
      <c r="EO256" s="146"/>
      <c r="EP256" s="146"/>
      <c r="EQ256" s="146"/>
      <c r="ER256" s="146"/>
      <c r="ES256" s="146"/>
      <c r="ET256" s="146"/>
      <c r="EU256" s="146"/>
      <c r="EV256" s="146"/>
      <c r="EW256" s="146"/>
      <c r="EX256" s="146"/>
      <c r="EY256" s="146"/>
      <c r="EZ256" s="146"/>
      <c r="FA256" s="146"/>
      <c r="FB256" s="146"/>
      <c r="FC256" s="146"/>
      <c r="FD256" s="146"/>
      <c r="FE256" s="146"/>
      <c r="FF256" s="146"/>
      <c r="FG256" s="146"/>
      <c r="FH256" s="146"/>
      <c r="FI256" s="146"/>
      <c r="FJ256" s="146"/>
      <c r="FK256" s="146"/>
      <c r="FL256" s="146"/>
      <c r="FM256" s="146"/>
      <c r="FN256" s="146"/>
      <c r="FO256" s="146"/>
      <c r="FP256" s="146"/>
      <c r="FQ256" s="146"/>
      <c r="FR256" s="146"/>
      <c r="FS256" s="146"/>
      <c r="FT256" s="146"/>
      <c r="FU256" s="146"/>
      <c r="FV256" s="146"/>
      <c r="FW256" s="146"/>
      <c r="FX256" s="146"/>
      <c r="FY256" s="146"/>
      <c r="FZ256" s="146"/>
      <c r="GA256" s="146"/>
      <c r="GB256" s="146"/>
      <c r="GC256" s="146"/>
      <c r="GD256" s="146"/>
      <c r="GE256" s="146"/>
      <c r="GF256" s="146"/>
      <c r="GG256" s="146"/>
      <c r="GH256" s="146"/>
      <c r="GI256" s="146"/>
      <c r="GJ256" s="146"/>
    </row>
    <row r="257" spans="1:192" ht="82" x14ac:dyDescent="0.35">
      <c r="A257" s="225" t="s">
        <v>473</v>
      </c>
      <c r="B257" s="204"/>
      <c r="C257" s="204" t="s">
        <v>753</v>
      </c>
      <c r="D257" s="203" t="s">
        <v>24</v>
      </c>
      <c r="E257" s="222" t="s">
        <v>1164</v>
      </c>
      <c r="F257" s="87"/>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46"/>
      <c r="DZ257" s="146"/>
      <c r="EA257" s="146"/>
      <c r="EB257" s="146"/>
      <c r="EC257" s="146"/>
      <c r="ED257" s="146"/>
      <c r="EE257" s="146"/>
      <c r="EF257" s="146"/>
      <c r="EG257" s="146"/>
      <c r="EH257" s="146"/>
      <c r="EI257" s="146"/>
      <c r="EJ257" s="146"/>
      <c r="EK257" s="146"/>
      <c r="EL257" s="146"/>
      <c r="EM257" s="146"/>
      <c r="EN257" s="146"/>
      <c r="EO257" s="146"/>
      <c r="EP257" s="146"/>
      <c r="EQ257" s="146"/>
      <c r="ER257" s="146"/>
      <c r="ES257" s="146"/>
      <c r="ET257" s="146"/>
      <c r="EU257" s="146"/>
      <c r="EV257" s="146"/>
      <c r="EW257" s="146"/>
      <c r="EX257" s="146"/>
      <c r="EY257" s="146"/>
      <c r="EZ257" s="146"/>
      <c r="FA257" s="146"/>
      <c r="FB257" s="146"/>
      <c r="FC257" s="146"/>
      <c r="FD257" s="146"/>
      <c r="FE257" s="146"/>
      <c r="FF257" s="146"/>
      <c r="FG257" s="146"/>
      <c r="FH257" s="146"/>
      <c r="FI257" s="146"/>
      <c r="FJ257" s="146"/>
      <c r="FK257" s="146"/>
      <c r="FL257" s="146"/>
      <c r="FM257" s="146"/>
      <c r="FN257" s="146"/>
      <c r="FO257" s="146"/>
      <c r="FP257" s="146"/>
      <c r="FQ257" s="146"/>
      <c r="FR257" s="146"/>
      <c r="FS257" s="146"/>
      <c r="FT257" s="146"/>
      <c r="FU257" s="146"/>
      <c r="FV257" s="146"/>
      <c r="FW257" s="146"/>
      <c r="FX257" s="146"/>
      <c r="FY257" s="146"/>
      <c r="FZ257" s="146"/>
      <c r="GA257" s="146"/>
      <c r="GB257" s="146"/>
      <c r="GC257" s="146"/>
      <c r="GD257" s="146"/>
      <c r="GE257" s="146"/>
      <c r="GF257" s="146"/>
      <c r="GG257" s="146"/>
      <c r="GH257" s="146"/>
      <c r="GI257" s="146"/>
      <c r="GJ257" s="146"/>
    </row>
    <row r="258" spans="1:192" ht="82" x14ac:dyDescent="0.35">
      <c r="A258" s="225" t="s">
        <v>473</v>
      </c>
      <c r="B258" s="204"/>
      <c r="C258" s="204" t="s">
        <v>754</v>
      </c>
      <c r="D258" s="203" t="s">
        <v>24</v>
      </c>
      <c r="E258" s="222" t="s">
        <v>1165</v>
      </c>
      <c r="F258" s="87"/>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46"/>
      <c r="GH258" s="146"/>
      <c r="GI258" s="146"/>
      <c r="GJ258" s="146"/>
    </row>
    <row r="259" spans="1:192" ht="122" x14ac:dyDescent="0.35">
      <c r="A259" s="225" t="s">
        <v>473</v>
      </c>
      <c r="B259" s="197" t="s">
        <v>1166</v>
      </c>
      <c r="C259" s="197" t="s">
        <v>485</v>
      </c>
      <c r="D259" s="202" t="s">
        <v>24</v>
      </c>
      <c r="E259" s="223" t="s">
        <v>1167</v>
      </c>
      <c r="F259" s="88"/>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46"/>
      <c r="GH259" s="146"/>
      <c r="GI259" s="146"/>
      <c r="GJ259" s="146"/>
    </row>
    <row r="260" spans="1:192" ht="111.5" x14ac:dyDescent="0.35">
      <c r="A260" s="225" t="s">
        <v>473</v>
      </c>
      <c r="B260" s="197"/>
      <c r="C260" s="197" t="s">
        <v>755</v>
      </c>
      <c r="D260" s="202" t="s">
        <v>24</v>
      </c>
      <c r="E260" s="223" t="s">
        <v>1168</v>
      </c>
      <c r="F260" s="88"/>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46"/>
      <c r="DZ260" s="146"/>
      <c r="EA260" s="146"/>
      <c r="EB260" s="146"/>
      <c r="EC260" s="146"/>
      <c r="ED260" s="146"/>
      <c r="EE260" s="146"/>
      <c r="EF260" s="146"/>
      <c r="EG260" s="146"/>
      <c r="EH260" s="146"/>
      <c r="EI260" s="146"/>
      <c r="EJ260" s="146"/>
      <c r="EK260" s="146"/>
      <c r="EL260" s="146"/>
      <c r="EM260" s="146"/>
      <c r="EN260" s="146"/>
      <c r="EO260" s="146"/>
      <c r="EP260" s="146"/>
      <c r="EQ260" s="146"/>
      <c r="ER260" s="146"/>
      <c r="ES260" s="146"/>
      <c r="ET260" s="146"/>
      <c r="EU260" s="146"/>
      <c r="EV260" s="146"/>
      <c r="EW260" s="146"/>
      <c r="EX260" s="146"/>
      <c r="EY260" s="146"/>
      <c r="EZ260" s="146"/>
      <c r="FA260" s="146"/>
      <c r="FB260" s="146"/>
      <c r="FC260" s="146"/>
      <c r="FD260" s="146"/>
      <c r="FE260" s="146"/>
      <c r="FF260" s="146"/>
      <c r="FG260" s="146"/>
      <c r="FH260" s="146"/>
      <c r="FI260" s="146"/>
      <c r="FJ260" s="146"/>
      <c r="FK260" s="146"/>
      <c r="FL260" s="146"/>
      <c r="FM260" s="146"/>
      <c r="FN260" s="146"/>
      <c r="FO260" s="146"/>
      <c r="FP260" s="146"/>
      <c r="FQ260" s="146"/>
      <c r="FR260" s="146"/>
      <c r="FS260" s="146"/>
      <c r="FT260" s="146"/>
      <c r="FU260" s="146"/>
      <c r="FV260" s="146"/>
      <c r="FW260" s="146"/>
      <c r="FX260" s="146"/>
      <c r="FY260" s="146"/>
      <c r="FZ260" s="146"/>
      <c r="GA260" s="146"/>
      <c r="GB260" s="146"/>
      <c r="GC260" s="146"/>
      <c r="GD260" s="146"/>
      <c r="GE260" s="146"/>
      <c r="GF260" s="146"/>
      <c r="GG260" s="146"/>
      <c r="GH260" s="146"/>
      <c r="GI260" s="146"/>
      <c r="GJ260" s="146"/>
    </row>
    <row r="261" spans="1:192" ht="91.5" x14ac:dyDescent="0.35">
      <c r="A261" s="225" t="s">
        <v>473</v>
      </c>
      <c r="B261" s="204" t="s">
        <v>1182</v>
      </c>
      <c r="C261" s="204" t="s">
        <v>486</v>
      </c>
      <c r="D261" s="203" t="s">
        <v>25</v>
      </c>
      <c r="E261" s="208" t="s">
        <v>1169</v>
      </c>
      <c r="F261" s="87"/>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46"/>
      <c r="DZ261" s="146"/>
      <c r="EA261" s="146"/>
      <c r="EB261" s="146"/>
      <c r="EC261" s="146"/>
      <c r="ED261" s="146"/>
      <c r="EE261" s="146"/>
      <c r="EF261" s="146"/>
      <c r="EG261" s="146"/>
      <c r="EH261" s="146"/>
      <c r="EI261" s="146"/>
      <c r="EJ261" s="146"/>
      <c r="EK261" s="146"/>
      <c r="EL261" s="146"/>
      <c r="EM261" s="146"/>
      <c r="EN261" s="146"/>
      <c r="EO261" s="146"/>
      <c r="EP261" s="146"/>
      <c r="EQ261" s="146"/>
      <c r="ER261" s="146"/>
      <c r="ES261" s="146"/>
      <c r="ET261" s="146"/>
      <c r="EU261" s="146"/>
      <c r="EV261" s="146"/>
      <c r="EW261" s="146"/>
      <c r="EX261" s="146"/>
      <c r="EY261" s="146"/>
      <c r="EZ261" s="146"/>
      <c r="FA261" s="146"/>
      <c r="FB261" s="146"/>
      <c r="FC261" s="146"/>
      <c r="FD261" s="146"/>
      <c r="FE261" s="146"/>
      <c r="FF261" s="146"/>
      <c r="FG261" s="146"/>
      <c r="FH261" s="146"/>
      <c r="FI261" s="146"/>
      <c r="FJ261" s="146"/>
      <c r="FK261" s="146"/>
      <c r="FL261" s="146"/>
      <c r="FM261" s="146"/>
      <c r="FN261" s="146"/>
      <c r="FO261" s="146"/>
      <c r="FP261" s="146"/>
      <c r="FQ261" s="146"/>
      <c r="FR261" s="146"/>
      <c r="FS261" s="146"/>
      <c r="FT261" s="146"/>
      <c r="FU261" s="146"/>
      <c r="FV261" s="146"/>
      <c r="FW261" s="146"/>
      <c r="FX261" s="146"/>
      <c r="FY261" s="146"/>
      <c r="FZ261" s="146"/>
      <c r="GA261" s="146"/>
      <c r="GB261" s="146"/>
      <c r="GC261" s="146"/>
      <c r="GD261" s="146"/>
      <c r="GE261" s="146"/>
      <c r="GF261" s="146"/>
      <c r="GG261" s="146"/>
      <c r="GH261" s="146"/>
      <c r="GI261" s="146"/>
      <c r="GJ261" s="146"/>
    </row>
    <row r="262" spans="1:192" ht="70" x14ac:dyDescent="0.35">
      <c r="A262" s="225" t="s">
        <v>473</v>
      </c>
      <c r="B262" s="197" t="s">
        <v>1170</v>
      </c>
      <c r="C262" s="197" t="s">
        <v>487</v>
      </c>
      <c r="D262" s="202" t="s">
        <v>24</v>
      </c>
      <c r="E262" s="216" t="s">
        <v>1171</v>
      </c>
      <c r="F262" s="88"/>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46"/>
      <c r="DZ262" s="146"/>
      <c r="EA262" s="146"/>
      <c r="EB262" s="146"/>
      <c r="EC262" s="146"/>
      <c r="ED262" s="146"/>
      <c r="EE262" s="146"/>
      <c r="EF262" s="146"/>
      <c r="EG262" s="146"/>
      <c r="EH262" s="146"/>
      <c r="EI262" s="146"/>
      <c r="EJ262" s="146"/>
      <c r="EK262" s="146"/>
      <c r="EL262" s="146"/>
      <c r="EM262" s="146"/>
      <c r="EN262" s="146"/>
      <c r="EO262" s="146"/>
      <c r="EP262" s="146"/>
      <c r="EQ262" s="146"/>
      <c r="ER262" s="146"/>
      <c r="ES262" s="146"/>
      <c r="ET262" s="146"/>
      <c r="EU262" s="146"/>
      <c r="EV262" s="146"/>
      <c r="EW262" s="146"/>
      <c r="EX262" s="146"/>
      <c r="EY262" s="146"/>
      <c r="EZ262" s="146"/>
      <c r="FA262" s="146"/>
      <c r="FB262" s="146"/>
      <c r="FC262" s="146"/>
      <c r="FD262" s="146"/>
      <c r="FE262" s="146"/>
      <c r="FF262" s="146"/>
      <c r="FG262" s="146"/>
      <c r="FH262" s="146"/>
      <c r="FI262" s="146"/>
      <c r="FJ262" s="146"/>
      <c r="FK262" s="146"/>
      <c r="FL262" s="146"/>
      <c r="FM262" s="146"/>
      <c r="FN262" s="146"/>
      <c r="FO262" s="146"/>
      <c r="FP262" s="146"/>
      <c r="FQ262" s="146"/>
      <c r="FR262" s="146"/>
      <c r="FS262" s="146"/>
      <c r="FT262" s="146"/>
      <c r="FU262" s="146"/>
      <c r="FV262" s="146"/>
      <c r="FW262" s="146"/>
      <c r="FX262" s="146"/>
      <c r="FY262" s="146"/>
      <c r="FZ262" s="146"/>
      <c r="GA262" s="146"/>
      <c r="GB262" s="146"/>
      <c r="GC262" s="146"/>
      <c r="GD262" s="146"/>
      <c r="GE262" s="146"/>
      <c r="GF262" s="146"/>
      <c r="GG262" s="146"/>
      <c r="GH262" s="146"/>
      <c r="GI262" s="146"/>
      <c r="GJ262" s="146"/>
    </row>
    <row r="263" spans="1:192" ht="73.5" x14ac:dyDescent="0.35">
      <c r="A263" s="225" t="s">
        <v>473</v>
      </c>
      <c r="B263" s="197"/>
      <c r="C263" s="197" t="s">
        <v>756</v>
      </c>
      <c r="D263" s="202" t="s">
        <v>24</v>
      </c>
      <c r="E263" s="216" t="s">
        <v>1172</v>
      </c>
      <c r="F263" s="88"/>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46"/>
      <c r="DZ263" s="146"/>
      <c r="EA263" s="146"/>
      <c r="EB263" s="146"/>
      <c r="EC263" s="146"/>
      <c r="ED263" s="146"/>
      <c r="EE263" s="146"/>
      <c r="EF263" s="146"/>
      <c r="EG263" s="146"/>
      <c r="EH263" s="146"/>
      <c r="EI263" s="146"/>
      <c r="EJ263" s="146"/>
      <c r="EK263" s="146"/>
      <c r="EL263" s="146"/>
      <c r="EM263" s="146"/>
      <c r="EN263" s="146"/>
      <c r="EO263" s="146"/>
      <c r="EP263" s="146"/>
      <c r="EQ263" s="146"/>
      <c r="ER263" s="146"/>
      <c r="ES263" s="146"/>
      <c r="ET263" s="146"/>
      <c r="EU263" s="146"/>
      <c r="EV263" s="146"/>
      <c r="EW263" s="146"/>
      <c r="EX263" s="146"/>
      <c r="EY263" s="146"/>
      <c r="EZ263" s="146"/>
      <c r="FA263" s="146"/>
      <c r="FB263" s="146"/>
      <c r="FC263" s="146"/>
      <c r="FD263" s="146"/>
      <c r="FE263" s="146"/>
      <c r="FF263" s="146"/>
      <c r="FG263" s="146"/>
      <c r="FH263" s="146"/>
      <c r="FI263" s="146"/>
      <c r="FJ263" s="146"/>
      <c r="FK263" s="146"/>
      <c r="FL263" s="146"/>
      <c r="FM263" s="146"/>
      <c r="FN263" s="146"/>
      <c r="FO263" s="146"/>
      <c r="FP263" s="146"/>
      <c r="FQ263" s="146"/>
      <c r="FR263" s="146"/>
      <c r="FS263" s="146"/>
      <c r="FT263" s="146"/>
      <c r="FU263" s="146"/>
      <c r="FV263" s="146"/>
      <c r="FW263" s="146"/>
      <c r="FX263" s="146"/>
      <c r="FY263" s="146"/>
      <c r="FZ263" s="146"/>
      <c r="GA263" s="146"/>
      <c r="GB263" s="146"/>
      <c r="GC263" s="146"/>
      <c r="GD263" s="146"/>
      <c r="GE263" s="146"/>
      <c r="GF263" s="146"/>
      <c r="GG263" s="146"/>
      <c r="GH263" s="146"/>
      <c r="GI263" s="146"/>
      <c r="GJ263" s="146"/>
    </row>
    <row r="264" spans="1:192" ht="152.5" x14ac:dyDescent="0.35">
      <c r="A264" s="225" t="s">
        <v>473</v>
      </c>
      <c r="B264" s="204" t="s">
        <v>1173</v>
      </c>
      <c r="C264" s="204" t="s">
        <v>488</v>
      </c>
      <c r="D264" s="203" t="s">
        <v>24</v>
      </c>
      <c r="E264" s="208" t="s">
        <v>1174</v>
      </c>
      <c r="F264" s="87"/>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46"/>
      <c r="DZ264" s="146"/>
      <c r="EA264" s="146"/>
      <c r="EB264" s="146"/>
      <c r="EC264" s="146"/>
      <c r="ED264" s="146"/>
      <c r="EE264" s="146"/>
      <c r="EF264" s="146"/>
      <c r="EG264" s="146"/>
      <c r="EH264" s="146"/>
      <c r="EI264" s="146"/>
      <c r="EJ264" s="146"/>
      <c r="EK264" s="146"/>
      <c r="EL264" s="146"/>
      <c r="EM264" s="146"/>
      <c r="EN264" s="146"/>
      <c r="EO264" s="146"/>
      <c r="EP264" s="146"/>
      <c r="EQ264" s="146"/>
      <c r="ER264" s="146"/>
      <c r="ES264" s="146"/>
      <c r="ET264" s="146"/>
      <c r="EU264" s="146"/>
      <c r="EV264" s="146"/>
      <c r="EW264" s="146"/>
      <c r="EX264" s="146"/>
      <c r="EY264" s="146"/>
      <c r="EZ264" s="146"/>
      <c r="FA264" s="146"/>
      <c r="FB264" s="146"/>
      <c r="FC264" s="146"/>
      <c r="FD264" s="146"/>
      <c r="FE264" s="146"/>
      <c r="FF264" s="146"/>
      <c r="FG264" s="146"/>
      <c r="FH264" s="146"/>
      <c r="FI264" s="146"/>
      <c r="FJ264" s="146"/>
      <c r="FK264" s="146"/>
      <c r="FL264" s="146"/>
      <c r="FM264" s="146"/>
      <c r="FN264" s="146"/>
      <c r="FO264" s="146"/>
      <c r="FP264" s="146"/>
      <c r="FQ264" s="146"/>
      <c r="FR264" s="146"/>
      <c r="FS264" s="146"/>
      <c r="FT264" s="146"/>
      <c r="FU264" s="146"/>
      <c r="FV264" s="146"/>
      <c r="FW264" s="146"/>
      <c r="FX264" s="146"/>
      <c r="FY264" s="146"/>
      <c r="FZ264" s="146"/>
      <c r="GA264" s="146"/>
      <c r="GB264" s="146"/>
      <c r="GC264" s="146"/>
      <c r="GD264" s="146"/>
      <c r="GE264" s="146"/>
      <c r="GF264" s="146"/>
      <c r="GG264" s="146"/>
      <c r="GH264" s="146"/>
      <c r="GI264" s="146"/>
      <c r="GJ264" s="146"/>
    </row>
    <row r="265" spans="1:192" ht="70" x14ac:dyDescent="0.35">
      <c r="A265" s="225" t="s">
        <v>473</v>
      </c>
      <c r="B265" s="197" t="s">
        <v>1175</v>
      </c>
      <c r="C265" s="197" t="s">
        <v>489</v>
      </c>
      <c r="D265" s="202" t="s">
        <v>24</v>
      </c>
      <c r="E265" s="216" t="s">
        <v>1176</v>
      </c>
      <c r="F265" s="88"/>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46"/>
      <c r="DZ265" s="146"/>
      <c r="EA265" s="146"/>
      <c r="EB265" s="146"/>
      <c r="EC265" s="146"/>
      <c r="ED265" s="146"/>
      <c r="EE265" s="146"/>
      <c r="EF265" s="146"/>
      <c r="EG265" s="146"/>
      <c r="EH265" s="146"/>
      <c r="EI265" s="146"/>
      <c r="EJ265" s="146"/>
      <c r="EK265" s="146"/>
      <c r="EL265" s="146"/>
      <c r="EM265" s="146"/>
      <c r="EN265" s="146"/>
      <c r="EO265" s="146"/>
      <c r="EP265" s="146"/>
      <c r="EQ265" s="146"/>
      <c r="ER265" s="146"/>
      <c r="ES265" s="146"/>
      <c r="ET265" s="146"/>
      <c r="EU265" s="146"/>
      <c r="EV265" s="146"/>
      <c r="EW265" s="146"/>
      <c r="EX265" s="146"/>
      <c r="EY265" s="146"/>
      <c r="EZ265" s="146"/>
      <c r="FA265" s="146"/>
      <c r="FB265" s="146"/>
      <c r="FC265" s="146"/>
      <c r="FD265" s="146"/>
      <c r="FE265" s="146"/>
      <c r="FF265" s="146"/>
      <c r="FG265" s="146"/>
      <c r="FH265" s="146"/>
      <c r="FI265" s="146"/>
      <c r="FJ265" s="146"/>
      <c r="FK265" s="146"/>
      <c r="FL265" s="146"/>
      <c r="FM265" s="146"/>
      <c r="FN265" s="146"/>
      <c r="FO265" s="146"/>
      <c r="FP265" s="146"/>
      <c r="FQ265" s="146"/>
      <c r="FR265" s="146"/>
      <c r="FS265" s="146"/>
      <c r="FT265" s="146"/>
      <c r="FU265" s="146"/>
      <c r="FV265" s="146"/>
      <c r="FW265" s="146"/>
      <c r="FX265" s="146"/>
      <c r="FY265" s="146"/>
      <c r="FZ265" s="146"/>
      <c r="GA265" s="146"/>
      <c r="GB265" s="146"/>
      <c r="GC265" s="146"/>
      <c r="GD265" s="146"/>
      <c r="GE265" s="146"/>
      <c r="GF265" s="146"/>
      <c r="GG265" s="146"/>
      <c r="GH265" s="146"/>
      <c r="GI265" s="146"/>
      <c r="GJ265" s="146"/>
    </row>
    <row r="266" spans="1:192" ht="63" x14ac:dyDescent="0.35">
      <c r="A266" s="225" t="s">
        <v>473</v>
      </c>
      <c r="B266" s="197"/>
      <c r="C266" s="197" t="s">
        <v>757</v>
      </c>
      <c r="D266" s="202" t="s">
        <v>24</v>
      </c>
      <c r="E266" s="216" t="s">
        <v>1177</v>
      </c>
      <c r="F266" s="88"/>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46"/>
      <c r="GH266" s="146"/>
      <c r="GI266" s="146"/>
      <c r="GJ266" s="146"/>
    </row>
    <row r="267" spans="1:192" ht="42" x14ac:dyDescent="0.35">
      <c r="A267" s="225" t="s">
        <v>473</v>
      </c>
      <c r="B267" s="197"/>
      <c r="C267" s="197" t="s">
        <v>758</v>
      </c>
      <c r="D267" s="202" t="s">
        <v>24</v>
      </c>
      <c r="E267" s="216" t="s">
        <v>1178</v>
      </c>
      <c r="F267" s="88"/>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46"/>
      <c r="DZ267" s="146"/>
      <c r="EA267" s="146"/>
      <c r="EB267" s="146"/>
      <c r="EC267" s="146"/>
      <c r="ED267" s="146"/>
      <c r="EE267" s="146"/>
      <c r="EF267" s="146"/>
      <c r="EG267" s="146"/>
      <c r="EH267" s="146"/>
      <c r="EI267" s="146"/>
      <c r="EJ267" s="146"/>
      <c r="EK267" s="146"/>
      <c r="EL267" s="146"/>
      <c r="EM267" s="146"/>
      <c r="EN267" s="146"/>
      <c r="EO267" s="146"/>
      <c r="EP267" s="146"/>
      <c r="EQ267" s="146"/>
      <c r="ER267" s="146"/>
      <c r="ES267" s="146"/>
      <c r="ET267" s="146"/>
      <c r="EU267" s="146"/>
      <c r="EV267" s="146"/>
      <c r="EW267" s="146"/>
      <c r="EX267" s="146"/>
      <c r="EY267" s="146"/>
      <c r="EZ267" s="146"/>
      <c r="FA267" s="146"/>
      <c r="FB267" s="146"/>
      <c r="FC267" s="146"/>
      <c r="FD267" s="146"/>
      <c r="FE267" s="146"/>
      <c r="FF267" s="146"/>
      <c r="FG267" s="146"/>
      <c r="FH267" s="146"/>
      <c r="FI267" s="146"/>
      <c r="FJ267" s="146"/>
      <c r="FK267" s="146"/>
      <c r="FL267" s="146"/>
      <c r="FM267" s="146"/>
      <c r="FN267" s="146"/>
      <c r="FO267" s="146"/>
      <c r="FP267" s="146"/>
      <c r="FQ267" s="146"/>
      <c r="FR267" s="146"/>
      <c r="FS267" s="146"/>
      <c r="FT267" s="146"/>
      <c r="FU267" s="146"/>
      <c r="FV267" s="146"/>
      <c r="FW267" s="146"/>
      <c r="FX267" s="146"/>
      <c r="FY267" s="146"/>
      <c r="FZ267" s="146"/>
      <c r="GA267" s="146"/>
      <c r="GB267" s="146"/>
      <c r="GC267" s="146"/>
      <c r="GD267" s="146"/>
      <c r="GE267" s="146"/>
      <c r="GF267" s="146"/>
      <c r="GG267" s="146"/>
      <c r="GH267" s="146"/>
      <c r="GI267" s="146"/>
      <c r="GJ267" s="146"/>
    </row>
    <row r="268" spans="1:192" x14ac:dyDescent="0.35">
      <c r="G268" s="12">
        <f>COUNTIF(G11:G198,"=Validé")</f>
        <v>0</v>
      </c>
      <c r="H268" s="12">
        <f>COUNTIF(H11:H198,"=Validé")</f>
        <v>0</v>
      </c>
      <c r="I268" s="12">
        <f>COUNTIF(I11:I198,"=Validé")</f>
        <v>0</v>
      </c>
      <c r="J268" s="12">
        <f t="shared" ref="J268:M268" si="0">COUNTIF(J11:J198,"=Validé")</f>
        <v>0</v>
      </c>
      <c r="K268" s="12">
        <f t="shared" si="0"/>
        <v>0</v>
      </c>
      <c r="L268" s="12">
        <f t="shared" si="0"/>
        <v>0</v>
      </c>
      <c r="M268" s="12">
        <f t="shared" si="0"/>
        <v>0</v>
      </c>
      <c r="N268" s="12">
        <f>COUNTIF(N11:N198,"=Validé")</f>
        <v>0</v>
      </c>
      <c r="O268" s="12">
        <f>COUNTIF(O11:O198,"=Validé")</f>
        <v>0</v>
      </c>
      <c r="P268" s="12">
        <f>COUNTIF(P11:P198,"=Validé")</f>
        <v>0</v>
      </c>
    </row>
  </sheetData>
  <sheetProtection sort="0"/>
  <mergeCells count="2">
    <mergeCell ref="A2:D2"/>
    <mergeCell ref="A5:D9"/>
  </mergeCells>
  <phoneticPr fontId="10" type="noConversion"/>
  <conditionalFormatting sqref="N11:GJ267">
    <cfRule type="cellIs" dxfId="282" priority="1872" operator="equal">
      <formula>"Indéterminé"</formula>
    </cfRule>
    <cfRule type="cellIs" dxfId="281" priority="1873" operator="equal">
      <formula>"NA"</formula>
    </cfRule>
    <cfRule type="cellIs" dxfId="280" priority="1874" operator="equal">
      <formula>"Invalidé"</formula>
    </cfRule>
    <cfRule type="cellIs" dxfId="279" priority="1875" operator="equal">
      <formula>"Validé"</formula>
    </cfRule>
    <cfRule type="cellIs" dxfId="278" priority="1876" operator="equal">
      <formula>"NA"</formula>
    </cfRule>
    <cfRule type="cellIs" dxfId="277" priority="1877" operator="equal">
      <formula>"Invalidé"</formula>
    </cfRule>
    <cfRule type="cellIs" dxfId="276" priority="1878" operator="equal">
      <formula>"Validé"</formula>
    </cfRule>
    <cfRule type="cellIs" dxfId="275" priority="1990" operator="equal">
      <formula>"Indéterminé"</formula>
    </cfRule>
    <cfRule type="cellIs" dxfId="274" priority="1997" operator="equal">
      <formula>"Invalidé"</formula>
    </cfRule>
    <cfRule type="cellIs" dxfId="273" priority="1998" operator="equal">
      <formula>"Validé"</formula>
    </cfRule>
    <cfRule type="cellIs" dxfId="272" priority="1999" stopIfTrue="1" operator="equal">
      <formula>"NA"</formula>
    </cfRule>
  </conditionalFormatting>
  <conditionalFormatting sqref="M11:M267">
    <cfRule type="cellIs" dxfId="271" priority="1062" operator="equal">
      <formula>"Indéterminé"</formula>
    </cfRule>
    <cfRule type="cellIs" dxfId="270" priority="1063" operator="equal">
      <formula>"NA"</formula>
    </cfRule>
    <cfRule type="cellIs" dxfId="269" priority="1064" operator="equal">
      <formula>"Invalidé"</formula>
    </cfRule>
    <cfRule type="cellIs" dxfId="268" priority="1065" operator="equal">
      <formula>"Validé"</formula>
    </cfRule>
    <cfRule type="cellIs" dxfId="267" priority="1066" operator="equal">
      <formula>"NA"</formula>
    </cfRule>
    <cfRule type="cellIs" dxfId="266" priority="1067" operator="equal">
      <formula>"Invalidé"</formula>
    </cfRule>
    <cfRule type="cellIs" dxfId="265" priority="1068" operator="equal">
      <formula>"Validé"</formula>
    </cfRule>
    <cfRule type="cellIs" dxfId="264" priority="1072" operator="equal">
      <formula>"Indéterminé"</formula>
    </cfRule>
    <cfRule type="cellIs" dxfId="263" priority="1073" operator="equal">
      <formula>"Invalidé"</formula>
    </cfRule>
    <cfRule type="cellIs" dxfId="262" priority="1074" operator="equal">
      <formula>"Validé"</formula>
    </cfRule>
    <cfRule type="cellIs" dxfId="261" priority="1075" stopIfTrue="1" operator="equal">
      <formula>"NA"</formula>
    </cfRule>
  </conditionalFormatting>
  <conditionalFormatting sqref="G11:J267">
    <cfRule type="cellIs" dxfId="260" priority="1104" operator="equal">
      <formula>"Indéterminé"</formula>
    </cfRule>
    <cfRule type="cellIs" dxfId="259" priority="1105" operator="equal">
      <formula>"NA"</formula>
    </cfRule>
    <cfRule type="cellIs" dxfId="258" priority="1106" operator="equal">
      <formula>"Invalidé"</formula>
    </cfRule>
    <cfRule type="cellIs" dxfId="257" priority="1107" operator="equal">
      <formula>"Validé"</formula>
    </cfRule>
    <cfRule type="cellIs" dxfId="256" priority="1108" operator="equal">
      <formula>"NA"</formula>
    </cfRule>
    <cfRule type="cellIs" dxfId="255" priority="1109" operator="equal">
      <formula>"Invalidé"</formula>
    </cfRule>
    <cfRule type="cellIs" dxfId="254" priority="1110" operator="equal">
      <formula>"Validé"</formula>
    </cfRule>
    <cfRule type="cellIs" dxfId="253" priority="1114" operator="equal">
      <formula>"Indéterminé"</formula>
    </cfRule>
    <cfRule type="cellIs" dxfId="252" priority="1115" operator="equal">
      <formula>"Invalidé"</formula>
    </cfRule>
    <cfRule type="cellIs" dxfId="251" priority="1116" operator="equal">
      <formula>"Validé"</formula>
    </cfRule>
    <cfRule type="cellIs" dxfId="250" priority="1117" stopIfTrue="1" operator="equal">
      <formula>"NA"</formula>
    </cfRule>
  </conditionalFormatting>
  <conditionalFormatting sqref="K11:K267">
    <cfRule type="cellIs" dxfId="249" priority="1090" operator="equal">
      <formula>"Indéterminé"</formula>
    </cfRule>
    <cfRule type="cellIs" dxfId="248" priority="1091" operator="equal">
      <formula>"NA"</formula>
    </cfRule>
    <cfRule type="cellIs" dxfId="247" priority="1092" operator="equal">
      <formula>"Invalidé"</formula>
    </cfRule>
    <cfRule type="cellIs" dxfId="246" priority="1093" operator="equal">
      <formula>"Validé"</formula>
    </cfRule>
    <cfRule type="cellIs" dxfId="245" priority="1094" operator="equal">
      <formula>"NA"</formula>
    </cfRule>
    <cfRule type="cellIs" dxfId="244" priority="1095" operator="equal">
      <formula>"Invalidé"</formula>
    </cfRule>
    <cfRule type="cellIs" dxfId="243" priority="1096" operator="equal">
      <formula>"Validé"</formula>
    </cfRule>
    <cfRule type="cellIs" dxfId="242" priority="1100" operator="equal">
      <formula>"Indéterminé"</formula>
    </cfRule>
    <cfRule type="cellIs" dxfId="241" priority="1101" operator="equal">
      <formula>"Invalidé"</formula>
    </cfRule>
    <cfRule type="cellIs" dxfId="240" priority="1102" operator="equal">
      <formula>"Validé"</formula>
    </cfRule>
    <cfRule type="cellIs" dxfId="239" priority="1103" stopIfTrue="1" operator="equal">
      <formula>"NA"</formula>
    </cfRule>
  </conditionalFormatting>
  <conditionalFormatting sqref="L11:L267">
    <cfRule type="cellIs" dxfId="238" priority="1076" operator="equal">
      <formula>"Indéterminé"</formula>
    </cfRule>
    <cfRule type="cellIs" dxfId="237" priority="1077" operator="equal">
      <formula>"NA"</formula>
    </cfRule>
    <cfRule type="cellIs" dxfId="236" priority="1078" operator="equal">
      <formula>"Invalidé"</formula>
    </cfRule>
    <cfRule type="cellIs" dxfId="235" priority="1079" operator="equal">
      <formula>"Validé"</formula>
    </cfRule>
    <cfRule type="cellIs" dxfId="234" priority="1080" operator="equal">
      <formula>"NA"</formula>
    </cfRule>
    <cfRule type="cellIs" dxfId="233" priority="1081" operator="equal">
      <formula>"Invalidé"</formula>
    </cfRule>
    <cfRule type="cellIs" dxfId="232" priority="1082" operator="equal">
      <formula>"Validé"</formula>
    </cfRule>
    <cfRule type="cellIs" dxfId="231" priority="1086" operator="equal">
      <formula>"Indéterminé"</formula>
    </cfRule>
    <cfRule type="cellIs" dxfId="230" priority="1087" operator="equal">
      <formula>"Invalidé"</formula>
    </cfRule>
    <cfRule type="cellIs" dxfId="229" priority="1088" operator="equal">
      <formula>"Validé"</formula>
    </cfRule>
    <cfRule type="cellIs" dxfId="228"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91" t="s">
        <v>502</v>
      </c>
      <c r="G2" s="92" t="e">
        <f ca="1">Value!O141</f>
        <v>#DIV/0!</v>
      </c>
      <c r="H2" s="93" t="s">
        <v>503</v>
      </c>
    </row>
    <row r="3" spans="6:8" ht="75" x14ac:dyDescent="0.35">
      <c r="F3" s="131" t="s">
        <v>672</v>
      </c>
      <c r="G3" s="131"/>
      <c r="H3" s="131"/>
    </row>
    <row r="7" spans="6:8" x14ac:dyDescent="0.35">
      <c r="F7" s="94"/>
      <c r="G7" s="92"/>
      <c r="H7" s="93"/>
    </row>
    <row r="8" spans="6:8" ht="114.65" customHeight="1" x14ac:dyDescent="0.35">
      <c r="F8" s="131"/>
      <c r="G8" s="131"/>
      <c r="H8" s="131"/>
    </row>
    <row r="10" spans="6:8" x14ac:dyDescent="0.35">
      <c r="F10" s="130" t="s">
        <v>654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B3" sqref="B3"/>
    </sheetView>
  </sheetViews>
  <sheetFormatPr baseColWidth="10" defaultColWidth="11.453125" defaultRowHeight="13" x14ac:dyDescent="0.35"/>
  <cols>
    <col min="1" max="1" width="7.7265625" style="159" customWidth="1"/>
    <col min="2" max="2" width="52" style="159" customWidth="1"/>
    <col min="3" max="3" width="8.54296875" style="160" customWidth="1"/>
    <col min="4" max="4" width="12.453125" style="160" customWidth="1"/>
    <col min="5" max="5" width="8.54296875" style="160" customWidth="1"/>
    <col min="6" max="6" width="10.54296875" style="159" customWidth="1"/>
    <col min="7" max="7" width="42.26953125" style="159" customWidth="1"/>
    <col min="8" max="8" width="39.453125" style="159" customWidth="1"/>
    <col min="9" max="9" width="19.54296875" style="159" customWidth="1"/>
    <col min="10" max="11" width="11.453125" style="161"/>
    <col min="12" max="16384" width="11.453125" style="171"/>
  </cols>
  <sheetData>
    <row r="1" spans="1:11" s="156" customFormat="1" ht="40" customHeight="1" x14ac:dyDescent="0.35">
      <c r="A1" s="176" t="s">
        <v>1</v>
      </c>
      <c r="B1" s="177" t="s">
        <v>2</v>
      </c>
      <c r="C1" s="177" t="s">
        <v>23</v>
      </c>
      <c r="D1" s="177" t="s">
        <v>500</v>
      </c>
      <c r="E1" s="177" t="s">
        <v>21</v>
      </c>
      <c r="F1" s="177" t="s">
        <v>47</v>
      </c>
      <c r="G1" s="177" t="s">
        <v>677</v>
      </c>
      <c r="H1" s="177" t="s">
        <v>675</v>
      </c>
      <c r="I1" s="177" t="s">
        <v>634</v>
      </c>
      <c r="J1" s="177" t="s">
        <v>27</v>
      </c>
      <c r="K1" s="178" t="s">
        <v>501</v>
      </c>
    </row>
    <row r="2" spans="1:11" x14ac:dyDescent="0.35">
      <c r="G2" s="175"/>
      <c r="H2" s="175"/>
      <c r="I2" s="175"/>
    </row>
    <row r="3" spans="1:11" x14ac:dyDescent="0.35">
      <c r="G3" s="172"/>
      <c r="H3" s="172"/>
      <c r="I3" s="172"/>
    </row>
    <row r="4" spans="1:11" x14ac:dyDescent="0.35">
      <c r="G4" s="172"/>
      <c r="H4" s="172"/>
      <c r="I4" s="172"/>
    </row>
    <row r="5" spans="1:11" x14ac:dyDescent="0.35">
      <c r="G5" s="172"/>
      <c r="H5" s="172"/>
      <c r="I5" s="172"/>
    </row>
    <row r="6" spans="1:11" x14ac:dyDescent="0.35">
      <c r="G6" s="172"/>
      <c r="H6" s="172"/>
      <c r="I6" s="172"/>
    </row>
    <row r="7" spans="1:11" x14ac:dyDescent="0.35">
      <c r="G7" s="172"/>
      <c r="H7" s="172"/>
      <c r="I7" s="172"/>
    </row>
    <row r="8" spans="1:11" x14ac:dyDescent="0.35">
      <c r="G8" s="172"/>
      <c r="H8" s="172"/>
      <c r="I8" s="172"/>
    </row>
    <row r="9" spans="1:11" x14ac:dyDescent="0.35">
      <c r="G9" s="162"/>
      <c r="H9" s="162"/>
      <c r="I9" s="163"/>
    </row>
    <row r="10" spans="1:11" x14ac:dyDescent="0.35">
      <c r="G10" s="162"/>
      <c r="H10" s="162"/>
      <c r="I10" s="162"/>
    </row>
    <row r="11" spans="1:11" x14ac:dyDescent="0.35">
      <c r="G11" s="162"/>
      <c r="H11" s="162"/>
      <c r="I11" s="162"/>
    </row>
    <row r="12" spans="1:11" x14ac:dyDescent="0.35">
      <c r="G12" s="164"/>
      <c r="H12" s="164"/>
      <c r="I12" s="164"/>
    </row>
    <row r="13" spans="1:11" x14ac:dyDescent="0.35">
      <c r="G13" s="164"/>
      <c r="H13" s="164"/>
      <c r="I13" s="164"/>
    </row>
    <row r="14" spans="1:11" x14ac:dyDescent="0.35">
      <c r="G14" s="164"/>
      <c r="H14" s="164"/>
      <c r="I14" s="164"/>
    </row>
    <row r="15" spans="1:11" x14ac:dyDescent="0.35">
      <c r="G15" s="164"/>
      <c r="H15" s="164"/>
      <c r="I15" s="164"/>
    </row>
    <row r="16" spans="1:11" x14ac:dyDescent="0.35">
      <c r="G16" s="164"/>
      <c r="H16" s="164"/>
      <c r="I16" s="164"/>
    </row>
    <row r="17" spans="7:9" x14ac:dyDescent="0.35">
      <c r="G17" s="164"/>
      <c r="H17" s="164"/>
      <c r="I17" s="164"/>
    </row>
    <row r="18" spans="7:9" x14ac:dyDescent="0.35">
      <c r="G18" s="164"/>
      <c r="H18" s="164"/>
      <c r="I18" s="164"/>
    </row>
    <row r="19" spans="7:9" x14ac:dyDescent="0.35">
      <c r="G19" s="164"/>
      <c r="H19" s="164"/>
      <c r="I19" s="164"/>
    </row>
    <row r="20" spans="7:9" x14ac:dyDescent="0.35">
      <c r="G20" s="164"/>
      <c r="H20" s="164"/>
      <c r="I20" s="164"/>
    </row>
    <row r="21" spans="7:9" x14ac:dyDescent="0.35">
      <c r="G21" s="164"/>
      <c r="H21" s="164"/>
      <c r="I21" s="164"/>
    </row>
    <row r="22" spans="7:9" x14ac:dyDescent="0.35">
      <c r="G22" s="162"/>
      <c r="H22" s="162"/>
      <c r="I22" s="162"/>
    </row>
    <row r="23" spans="7:9" x14ac:dyDescent="0.35">
      <c r="G23" s="162"/>
      <c r="H23" s="162"/>
      <c r="I23" s="162"/>
    </row>
    <row r="24" spans="7:9" x14ac:dyDescent="0.35">
      <c r="G24" s="164"/>
      <c r="H24" s="164"/>
      <c r="I24" s="164"/>
    </row>
    <row r="25" spans="7:9" x14ac:dyDescent="0.35">
      <c r="G25" s="164"/>
      <c r="H25" s="164"/>
      <c r="I25" s="164"/>
    </row>
    <row r="26" spans="7:9" x14ac:dyDescent="0.35">
      <c r="G26" s="164"/>
      <c r="H26" s="164"/>
      <c r="I26" s="164"/>
    </row>
    <row r="27" spans="7:9" x14ac:dyDescent="0.35">
      <c r="G27" s="164"/>
      <c r="H27" s="164"/>
      <c r="I27" s="164"/>
    </row>
    <row r="28" spans="7:9" x14ac:dyDescent="0.35">
      <c r="G28" s="164"/>
      <c r="H28" s="164"/>
      <c r="I28" s="164"/>
    </row>
    <row r="29" spans="7:9" x14ac:dyDescent="0.35">
      <c r="G29" s="164"/>
      <c r="H29" s="164"/>
      <c r="I29" s="164"/>
    </row>
    <row r="30" spans="7:9" x14ac:dyDescent="0.35">
      <c r="G30" s="164"/>
      <c r="H30" s="164"/>
      <c r="I30" s="164"/>
    </row>
    <row r="31" spans="7:9" x14ac:dyDescent="0.35">
      <c r="G31" s="164"/>
      <c r="H31" s="164"/>
      <c r="I31" s="164"/>
    </row>
    <row r="32" spans="7:9" x14ac:dyDescent="0.35">
      <c r="G32" s="164"/>
      <c r="H32" s="164"/>
      <c r="I32" s="164"/>
    </row>
    <row r="33" spans="7:9" x14ac:dyDescent="0.35">
      <c r="G33" s="164"/>
      <c r="H33" s="164"/>
      <c r="I33" s="164"/>
    </row>
  </sheetData>
  <autoFilter ref="A1:K1" xr:uid="{10E2D3C6-39D5-462B-AEA5-1376076E22E9}"/>
  <conditionalFormatting sqref="E1:E1048576">
    <cfRule type="cellIs" dxfId="31" priority="1" operator="equal">
      <formula>"NA"</formula>
    </cfRule>
    <cfRule type="cellIs" dxfId="30" priority="2" operator="equal">
      <formula>"Indéterminé"</formula>
    </cfRule>
    <cfRule type="cellIs" dxfId="29" priority="3" operator="equal">
      <formula>"Validé"</formula>
    </cfRule>
    <cfRule type="cellIs" dxfId="2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tabSelected="1"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181"/>
      <c r="B1" s="181"/>
      <c r="C1" s="30"/>
    </row>
    <row r="2" spans="1:3" ht="60" customHeight="1" x14ac:dyDescent="0.35">
      <c r="A2" s="181"/>
      <c r="B2" s="183" t="s">
        <v>658</v>
      </c>
      <c r="C2" s="181"/>
    </row>
    <row r="3" spans="1:3" ht="40" customHeight="1" x14ac:dyDescent="0.35">
      <c r="A3" s="181"/>
      <c r="B3" s="184" t="s">
        <v>659</v>
      </c>
      <c r="C3" s="181"/>
    </row>
    <row r="4" spans="1:3" ht="30" customHeight="1" x14ac:dyDescent="0.35">
      <c r="A4" s="181"/>
      <c r="B4" s="185" t="s">
        <v>660</v>
      </c>
      <c r="C4" s="181"/>
    </row>
    <row r="5" spans="1:3" ht="17.149999999999999" customHeight="1" x14ac:dyDescent="0.35">
      <c r="A5" s="181"/>
      <c r="B5" s="186" t="s">
        <v>661</v>
      </c>
      <c r="C5" s="181"/>
    </row>
    <row r="6" spans="1:3" ht="17.149999999999999" customHeight="1" x14ac:dyDescent="0.35">
      <c r="A6" s="181"/>
      <c r="B6" s="187" t="s">
        <v>662</v>
      </c>
      <c r="C6" s="181"/>
    </row>
    <row r="7" spans="1:3" ht="17.149999999999999" customHeight="1" x14ac:dyDescent="0.35">
      <c r="A7" s="181"/>
      <c r="B7" s="187" t="s">
        <v>1179</v>
      </c>
      <c r="C7" s="181"/>
    </row>
    <row r="8" spans="1:3" ht="17.149999999999999" customHeight="1" x14ac:dyDescent="0.35">
      <c r="A8" s="181"/>
      <c r="B8" s="186"/>
      <c r="C8" s="181"/>
    </row>
    <row r="9" spans="1:3" ht="17.149999999999999" customHeight="1" x14ac:dyDescent="0.35">
      <c r="A9" s="181"/>
      <c r="B9" s="186" t="s">
        <v>663</v>
      </c>
      <c r="C9" s="181"/>
    </row>
    <row r="10" spans="1:3" ht="17.149999999999999" customHeight="1" x14ac:dyDescent="0.35">
      <c r="A10" s="181"/>
      <c r="B10" s="187" t="s">
        <v>664</v>
      </c>
      <c r="C10" s="181"/>
    </row>
    <row r="11" spans="1:3" ht="17.149999999999999" customHeight="1" x14ac:dyDescent="0.35">
      <c r="A11" s="181"/>
      <c r="B11" s="187" t="s">
        <v>665</v>
      </c>
      <c r="C11" s="181"/>
    </row>
    <row r="12" spans="1:3" ht="17.149999999999999" customHeight="1" x14ac:dyDescent="0.35">
      <c r="A12" s="181"/>
      <c r="B12" s="187" t="s">
        <v>870</v>
      </c>
      <c r="C12" s="181"/>
    </row>
    <row r="13" spans="1:3" ht="17.149999999999999" customHeight="1" x14ac:dyDescent="0.35">
      <c r="A13" s="181"/>
      <c r="B13" s="187" t="s">
        <v>1180</v>
      </c>
      <c r="C13" s="181"/>
    </row>
    <row r="14" spans="1:3" ht="17.149999999999999" customHeight="1" x14ac:dyDescent="0.35">
      <c r="A14" s="181"/>
      <c r="B14" s="187"/>
      <c r="C14" s="181"/>
    </row>
    <row r="15" spans="1:3" ht="29" x14ac:dyDescent="0.35">
      <c r="A15" s="181"/>
      <c r="B15" s="227" t="s">
        <v>855</v>
      </c>
      <c r="C15" s="181"/>
    </row>
    <row r="16" spans="1:3" ht="17.149999999999999" customHeight="1" x14ac:dyDescent="0.35">
      <c r="A16" s="181"/>
      <c r="B16" s="186"/>
      <c r="C16" s="181"/>
    </row>
    <row r="17" spans="1:9" ht="40" customHeight="1" x14ac:dyDescent="0.35">
      <c r="A17" s="181"/>
      <c r="B17" s="188" t="s">
        <v>856</v>
      </c>
      <c r="C17" s="182"/>
      <c r="D17" s="132"/>
      <c r="E17" s="132"/>
      <c r="F17" s="132"/>
      <c r="G17" s="132"/>
      <c r="H17" s="132"/>
      <c r="I17" s="132"/>
    </row>
    <row r="18" spans="1:9" ht="30" customHeight="1" x14ac:dyDescent="0.35">
      <c r="A18" s="181"/>
      <c r="B18" s="185" t="s">
        <v>666</v>
      </c>
      <c r="C18" s="181"/>
    </row>
    <row r="19" spans="1:9" ht="100" customHeight="1" x14ac:dyDescent="0.35">
      <c r="A19" s="181"/>
      <c r="B19" s="188" t="s">
        <v>673</v>
      </c>
      <c r="C19" s="182"/>
      <c r="D19" s="132"/>
      <c r="E19" s="132"/>
      <c r="F19" s="132"/>
      <c r="G19" s="132"/>
      <c r="H19" s="132"/>
      <c r="I19" s="132"/>
    </row>
    <row r="20" spans="1:9" ht="30" customHeight="1" x14ac:dyDescent="0.35">
      <c r="A20" s="181"/>
      <c r="B20" s="185" t="s">
        <v>667</v>
      </c>
      <c r="C20" s="181"/>
    </row>
    <row r="21" spans="1:9" ht="60" customHeight="1" x14ac:dyDescent="0.35">
      <c r="A21" s="181"/>
      <c r="B21" s="188" t="s">
        <v>670</v>
      </c>
      <c r="C21" s="182"/>
      <c r="D21" s="132"/>
      <c r="E21" s="132"/>
      <c r="F21" s="132"/>
      <c r="G21" s="132"/>
      <c r="H21" s="132"/>
      <c r="I21" s="132"/>
    </row>
    <row r="22" spans="1:9" ht="30" customHeight="1" x14ac:dyDescent="0.35">
      <c r="A22" s="181"/>
      <c r="B22" s="185" t="s">
        <v>871</v>
      </c>
      <c r="C22" s="181"/>
    </row>
    <row r="23" spans="1:9" ht="348" x14ac:dyDescent="0.35">
      <c r="A23" s="181"/>
      <c r="B23" s="188" t="s">
        <v>1181</v>
      </c>
      <c r="C23" s="182"/>
      <c r="D23" s="132"/>
      <c r="E23" s="132"/>
      <c r="F23" s="132"/>
      <c r="G23" s="132"/>
      <c r="H23" s="132"/>
      <c r="I23" s="132"/>
    </row>
    <row r="24" spans="1:9" ht="31" customHeight="1" x14ac:dyDescent="0.35">
      <c r="A24" s="181"/>
      <c r="B24" s="185" t="s">
        <v>872</v>
      </c>
      <c r="C24" s="182"/>
      <c r="D24" s="132"/>
      <c r="E24" s="132"/>
      <c r="F24" s="132"/>
      <c r="G24" s="132"/>
      <c r="H24" s="132"/>
      <c r="I24" s="132"/>
    </row>
    <row r="25" spans="1:9" ht="235" customHeight="1" x14ac:dyDescent="0.35">
      <c r="A25" s="181"/>
      <c r="B25" s="188" t="s">
        <v>873</v>
      </c>
      <c r="C25" s="182"/>
      <c r="D25" s="132"/>
      <c r="E25" s="132"/>
      <c r="F25" s="132"/>
      <c r="G25" s="132"/>
      <c r="H25" s="132"/>
      <c r="I25" s="132"/>
    </row>
    <row r="26" spans="1:9" ht="30" customHeight="1" x14ac:dyDescent="0.35">
      <c r="A26" s="181"/>
      <c r="B26" s="185" t="s">
        <v>857</v>
      </c>
      <c r="C26" s="181"/>
    </row>
    <row r="27" spans="1:9" ht="90" customHeight="1" x14ac:dyDescent="0.35">
      <c r="A27" s="181"/>
      <c r="B27" s="188" t="s">
        <v>858</v>
      </c>
      <c r="C27" s="182"/>
      <c r="D27" s="132"/>
      <c r="E27" s="132"/>
      <c r="F27" s="132"/>
      <c r="G27" s="132"/>
      <c r="H27" s="132"/>
      <c r="I27" s="132"/>
    </row>
    <row r="28" spans="1:9" ht="30" customHeight="1" x14ac:dyDescent="0.35">
      <c r="A28" s="181"/>
      <c r="B28" s="185" t="s">
        <v>668</v>
      </c>
      <c r="C28" s="181"/>
    </row>
    <row r="29" spans="1:9" ht="40" customHeight="1" x14ac:dyDescent="0.35">
      <c r="A29" s="181"/>
      <c r="B29" s="188" t="s">
        <v>859</v>
      </c>
      <c r="C29" s="182"/>
      <c r="D29" s="132"/>
      <c r="E29" s="132"/>
      <c r="F29" s="132"/>
      <c r="G29" s="132"/>
      <c r="H29" s="132"/>
      <c r="I29" s="132"/>
    </row>
    <row r="30" spans="1:9" ht="30" customHeight="1" x14ac:dyDescent="0.35">
      <c r="A30" s="181"/>
      <c r="B30" s="185" t="s">
        <v>669</v>
      </c>
      <c r="C30" s="181"/>
    </row>
    <row r="31" spans="1:9" ht="70" customHeight="1" x14ac:dyDescent="0.35">
      <c r="A31" s="181"/>
      <c r="B31" s="188" t="s">
        <v>671</v>
      </c>
      <c r="C31" s="182"/>
      <c r="D31" s="132"/>
      <c r="E31" s="132"/>
      <c r="F31" s="132"/>
      <c r="G31" s="132"/>
      <c r="H31" s="132"/>
      <c r="I31" s="132"/>
    </row>
    <row r="32" spans="1:9" x14ac:dyDescent="0.35">
      <c r="A32" s="181"/>
      <c r="B32" s="181"/>
      <c r="C32" s="1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30" sqref="C30"/>
    </sheetView>
  </sheetViews>
  <sheetFormatPr baseColWidth="10" defaultRowHeight="14.5" x14ac:dyDescent="0.35"/>
  <cols>
    <col min="2" max="2" width="12.54296875" customWidth="1"/>
    <col min="3" max="3" width="100.7265625" customWidth="1"/>
  </cols>
  <sheetData>
    <row r="2" spans="2:3" ht="26" x14ac:dyDescent="0.6">
      <c r="B2" s="125" t="s">
        <v>655</v>
      </c>
    </row>
    <row r="3" spans="2:3" x14ac:dyDescent="0.35">
      <c r="B3" s="124" t="s">
        <v>642</v>
      </c>
    </row>
    <row r="5" spans="2:3" ht="17.5" x14ac:dyDescent="0.35">
      <c r="B5" s="126" t="s">
        <v>643</v>
      </c>
    </row>
    <row r="6" spans="2:3" x14ac:dyDescent="0.35">
      <c r="B6" s="127" t="s">
        <v>644</v>
      </c>
    </row>
    <row r="7" spans="2:3" x14ac:dyDescent="0.35">
      <c r="B7" s="127" t="s">
        <v>646</v>
      </c>
    </row>
    <row r="8" spans="2:3" x14ac:dyDescent="0.35">
      <c r="B8" s="128"/>
    </row>
    <row r="9" spans="2:3" x14ac:dyDescent="0.35">
      <c r="B9" s="128" t="s">
        <v>645</v>
      </c>
    </row>
    <row r="10" spans="2:3" x14ac:dyDescent="0.35">
      <c r="B10" s="128"/>
    </row>
    <row r="11" spans="2:3" ht="17.5" x14ac:dyDescent="0.35">
      <c r="B11" s="126" t="s">
        <v>647</v>
      </c>
    </row>
    <row r="12" spans="2:3" ht="43.5" x14ac:dyDescent="0.35">
      <c r="C12" s="129" t="s">
        <v>648</v>
      </c>
    </row>
    <row r="14" spans="2:3" ht="43.5" x14ac:dyDescent="0.35">
      <c r="C14" s="129" t="s">
        <v>649</v>
      </c>
    </row>
    <row r="16" spans="2:3" ht="29" x14ac:dyDescent="0.35">
      <c r="C16" s="129" t="s">
        <v>650</v>
      </c>
    </row>
    <row r="19" spans="2:3" ht="26" x14ac:dyDescent="0.6">
      <c r="B19" s="125" t="s">
        <v>651</v>
      </c>
    </row>
    <row r="20" spans="2:3" ht="17.5" x14ac:dyDescent="0.35">
      <c r="B20" s="126" t="s">
        <v>653</v>
      </c>
    </row>
    <row r="21" spans="2:3" ht="51.65" customHeight="1" x14ac:dyDescent="0.35">
      <c r="C21" s="12" t="s">
        <v>652</v>
      </c>
    </row>
    <row r="23" spans="2:3" ht="17.5" x14ac:dyDescent="0.35">
      <c r="B23" s="126" t="s">
        <v>656</v>
      </c>
    </row>
    <row r="24" spans="2:3" x14ac:dyDescent="0.35">
      <c r="B24" s="264" t="s">
        <v>657</v>
      </c>
      <c r="C24" s="264"/>
    </row>
    <row r="27" spans="2:3" ht="26" x14ac:dyDescent="0.6">
      <c r="B27" s="125"/>
    </row>
    <row r="28" spans="2:3" ht="72" customHeight="1" x14ac:dyDescent="0.35">
      <c r="B28" s="265"/>
      <c r="C28" s="265"/>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135" customWidth="1"/>
    <col min="2" max="2" width="11.26953125" style="145" customWidth="1"/>
    <col min="3" max="3" width="32" style="145" customWidth="1"/>
    <col min="4" max="4" width="6.26953125" style="142" customWidth="1"/>
    <col min="5" max="5" width="5" style="135" customWidth="1"/>
    <col min="6" max="6" width="37.453125" style="145" customWidth="1"/>
    <col min="7" max="7" width="9" style="142" customWidth="1"/>
    <col min="8" max="8" width="9.453125" style="142" bestFit="1" customWidth="1"/>
    <col min="9" max="9" width="9.453125" style="142" customWidth="1"/>
    <col min="10" max="10" width="10.7265625" style="135" customWidth="1"/>
    <col min="11" max="13" width="36.26953125" style="135" customWidth="1"/>
    <col min="14" max="14" width="11.54296875" style="135" customWidth="1"/>
    <col min="15" max="15" width="11.54296875" style="135"/>
    <col min="16" max="16" width="14.1796875" style="135" customWidth="1"/>
    <col min="17" max="16384" width="11.54296875" style="135"/>
  </cols>
  <sheetData>
    <row r="1" spans="2:17" ht="21" x14ac:dyDescent="0.35">
      <c r="B1" s="136"/>
      <c r="C1" s="137"/>
      <c r="D1" s="138"/>
      <c r="E1" s="139"/>
      <c r="F1" s="139"/>
      <c r="G1" s="138"/>
      <c r="H1" s="139"/>
      <c r="I1" s="139"/>
      <c r="J1" s="139"/>
      <c r="K1" s="139"/>
      <c r="L1" s="139"/>
      <c r="M1" s="139"/>
      <c r="N1" s="139"/>
      <c r="O1" s="57" t="s">
        <v>20</v>
      </c>
      <c r="P1" s="140"/>
      <c r="Q1" s="140"/>
    </row>
    <row r="2" spans="2:17" x14ac:dyDescent="0.35">
      <c r="B2" s="135"/>
      <c r="C2" s="141"/>
      <c r="F2" s="135"/>
      <c r="H2" s="143"/>
      <c r="I2" s="143"/>
    </row>
    <row r="3" spans="2:17" s="144" customFormat="1" ht="21.5" thickBot="1" x14ac:dyDescent="0.4">
      <c r="B3" s="7" t="s">
        <v>0</v>
      </c>
      <c r="C3" s="7" t="s">
        <v>244</v>
      </c>
      <c r="D3" s="8" t="s">
        <v>1</v>
      </c>
      <c r="E3" s="9" t="s">
        <v>23</v>
      </c>
      <c r="F3" s="8" t="s">
        <v>2</v>
      </c>
      <c r="G3" s="8" t="s">
        <v>32</v>
      </c>
      <c r="H3" s="8" t="s">
        <v>21</v>
      </c>
      <c r="I3" s="8" t="s">
        <v>500</v>
      </c>
      <c r="J3" s="8" t="s">
        <v>22</v>
      </c>
      <c r="K3" s="8" t="s">
        <v>677</v>
      </c>
      <c r="L3" s="8" t="s">
        <v>675</v>
      </c>
      <c r="M3" s="8" t="s">
        <v>634</v>
      </c>
      <c r="N3" s="8" t="s">
        <v>676</v>
      </c>
      <c r="O3" s="8" t="s">
        <v>27</v>
      </c>
      <c r="P3" s="8" t="s">
        <v>28</v>
      </c>
      <c r="Q3" s="8" t="s">
        <v>501</v>
      </c>
    </row>
    <row r="4" spans="2:17" ht="32" thickTop="1" x14ac:dyDescent="0.35">
      <c r="B4" s="225" t="s">
        <v>5</v>
      </c>
      <c r="C4" s="189" t="s">
        <v>874</v>
      </c>
      <c r="D4" s="190" t="s">
        <v>245</v>
      </c>
      <c r="E4" s="191" t="s">
        <v>24</v>
      </c>
      <c r="F4" s="206" t="s">
        <v>875</v>
      </c>
      <c r="G4" s="79" t="s">
        <v>33</v>
      </c>
      <c r="H4" s="74" t="s">
        <v>43</v>
      </c>
      <c r="I4" s="179"/>
      <c r="J4" s="180"/>
      <c r="K4" s="77"/>
      <c r="L4" s="77"/>
      <c r="M4" s="77"/>
      <c r="N4" s="77"/>
      <c r="O4" s="79"/>
      <c r="P4" s="79"/>
      <c r="Q4" s="79"/>
    </row>
    <row r="5" spans="2:17" ht="31.5" x14ac:dyDescent="0.35">
      <c r="B5" s="225" t="s">
        <v>5</v>
      </c>
      <c r="C5" s="189"/>
      <c r="D5" s="190" t="s">
        <v>246</v>
      </c>
      <c r="E5" s="191" t="s">
        <v>24</v>
      </c>
      <c r="F5" s="206" t="s">
        <v>876</v>
      </c>
      <c r="G5" s="79" t="s">
        <v>33</v>
      </c>
      <c r="H5" s="74" t="s">
        <v>43</v>
      </c>
      <c r="I5" s="78"/>
      <c r="J5" s="79"/>
      <c r="K5" s="77"/>
      <c r="L5" s="77"/>
      <c r="M5" s="77"/>
      <c r="N5" s="77"/>
      <c r="O5" s="79"/>
      <c r="P5" s="79"/>
      <c r="Q5" s="79"/>
    </row>
    <row r="6" spans="2:17" ht="31.5" x14ac:dyDescent="0.35">
      <c r="B6" s="225" t="s">
        <v>5</v>
      </c>
      <c r="C6" s="189"/>
      <c r="D6" s="190" t="s">
        <v>247</v>
      </c>
      <c r="E6" s="191" t="s">
        <v>24</v>
      </c>
      <c r="F6" s="206" t="s">
        <v>697</v>
      </c>
      <c r="G6" s="79" t="s">
        <v>33</v>
      </c>
      <c r="H6" s="74" t="s">
        <v>43</v>
      </c>
      <c r="I6" s="78"/>
      <c r="J6" s="79"/>
      <c r="K6" s="77"/>
      <c r="L6" s="77"/>
      <c r="M6" s="77"/>
      <c r="N6" s="77"/>
      <c r="O6" s="79"/>
      <c r="P6" s="79"/>
      <c r="Q6" s="79"/>
    </row>
    <row r="7" spans="2:17" ht="21" x14ac:dyDescent="0.35">
      <c r="B7" s="225" t="s">
        <v>5</v>
      </c>
      <c r="C7" s="189"/>
      <c r="D7" s="190" t="s">
        <v>248</v>
      </c>
      <c r="E7" s="191" t="s">
        <v>24</v>
      </c>
      <c r="F7" s="207" t="s">
        <v>877</v>
      </c>
      <c r="G7" s="79" t="s">
        <v>33</v>
      </c>
      <c r="H7" s="74" t="s">
        <v>43</v>
      </c>
      <c r="I7" s="78"/>
      <c r="J7" s="79"/>
      <c r="K7" s="77"/>
      <c r="L7" s="77"/>
      <c r="M7" s="77"/>
      <c r="N7" s="77"/>
      <c r="O7" s="79"/>
      <c r="P7" s="79"/>
      <c r="Q7" s="79"/>
    </row>
    <row r="8" spans="2:17" ht="64" customHeight="1" x14ac:dyDescent="0.35">
      <c r="B8" s="225" t="s">
        <v>5</v>
      </c>
      <c r="C8" s="189"/>
      <c r="D8" s="190" t="s">
        <v>698</v>
      </c>
      <c r="E8" s="191" t="s">
        <v>24</v>
      </c>
      <c r="F8" s="208" t="s">
        <v>878</v>
      </c>
      <c r="G8" s="79" t="s">
        <v>33</v>
      </c>
      <c r="H8" s="74" t="s">
        <v>43</v>
      </c>
      <c r="I8" s="78"/>
      <c r="J8" s="79"/>
      <c r="K8" s="77"/>
      <c r="L8" s="77"/>
      <c r="M8" s="77"/>
      <c r="N8" s="77"/>
      <c r="O8" s="79"/>
      <c r="P8" s="79"/>
      <c r="Q8" s="79"/>
    </row>
    <row r="9" spans="2:17" ht="104.5" customHeight="1" x14ac:dyDescent="0.35">
      <c r="B9" s="225" t="s">
        <v>5</v>
      </c>
      <c r="C9" s="189"/>
      <c r="D9" s="190" t="s">
        <v>699</v>
      </c>
      <c r="E9" s="191" t="s">
        <v>24</v>
      </c>
      <c r="F9" s="208" t="s">
        <v>879</v>
      </c>
      <c r="G9" s="79" t="s">
        <v>33</v>
      </c>
      <c r="H9" s="74" t="s">
        <v>43</v>
      </c>
      <c r="I9" s="78"/>
      <c r="J9" s="79"/>
      <c r="K9" s="77"/>
      <c r="L9" s="77"/>
      <c r="M9" s="77"/>
      <c r="N9" s="77"/>
      <c r="O9" s="79"/>
      <c r="P9" s="79"/>
      <c r="Q9" s="79"/>
    </row>
    <row r="10" spans="2:17" ht="103.5" customHeight="1" x14ac:dyDescent="0.35">
      <c r="B10" s="225" t="s">
        <v>5</v>
      </c>
      <c r="C10" s="189"/>
      <c r="D10" s="190" t="s">
        <v>700</v>
      </c>
      <c r="E10" s="191" t="s">
        <v>24</v>
      </c>
      <c r="F10" s="208" t="s">
        <v>880</v>
      </c>
      <c r="G10" s="79" t="s">
        <v>33</v>
      </c>
      <c r="H10" s="74" t="s">
        <v>43</v>
      </c>
      <c r="I10" s="78"/>
      <c r="J10" s="79"/>
      <c r="K10" s="77"/>
      <c r="L10" s="77"/>
      <c r="M10" s="77"/>
      <c r="N10" s="77"/>
      <c r="O10" s="79"/>
      <c r="P10" s="79"/>
      <c r="Q10" s="79"/>
    </row>
    <row r="11" spans="2:17" ht="111" customHeight="1" x14ac:dyDescent="0.35">
      <c r="B11" s="225" t="s">
        <v>5</v>
      </c>
      <c r="C11" s="189"/>
      <c r="D11" s="190" t="s">
        <v>701</v>
      </c>
      <c r="E11" s="191" t="s">
        <v>24</v>
      </c>
      <c r="F11" s="208" t="s">
        <v>881</v>
      </c>
      <c r="G11" s="79" t="s">
        <v>33</v>
      </c>
      <c r="H11" s="74" t="s">
        <v>43</v>
      </c>
      <c r="I11" s="78"/>
      <c r="J11" s="79"/>
      <c r="K11" s="77"/>
      <c r="L11" s="77"/>
      <c r="M11" s="77"/>
      <c r="N11" s="77"/>
      <c r="O11" s="79"/>
      <c r="P11" s="79"/>
      <c r="Q11" s="79"/>
    </row>
    <row r="12" spans="2:17" ht="81.5" customHeight="1" x14ac:dyDescent="0.35">
      <c r="B12" s="225" t="s">
        <v>5</v>
      </c>
      <c r="C12" s="192" t="s">
        <v>882</v>
      </c>
      <c r="D12" s="193" t="s">
        <v>249</v>
      </c>
      <c r="E12" s="194" t="s">
        <v>24</v>
      </c>
      <c r="F12" s="209" t="s">
        <v>883</v>
      </c>
      <c r="G12" s="83" t="s">
        <v>33</v>
      </c>
      <c r="H12" s="75" t="s">
        <v>43</v>
      </c>
      <c r="I12" s="82"/>
      <c r="J12" s="83"/>
      <c r="K12" s="81"/>
      <c r="L12" s="81"/>
      <c r="M12" s="81"/>
      <c r="N12" s="81"/>
      <c r="O12" s="83"/>
      <c r="P12" s="83"/>
      <c r="Q12" s="83"/>
    </row>
    <row r="13" spans="2:17" ht="81.5" x14ac:dyDescent="0.35">
      <c r="B13" s="225" t="s">
        <v>5</v>
      </c>
      <c r="C13" s="192"/>
      <c r="D13" s="193" t="s">
        <v>250</v>
      </c>
      <c r="E13" s="194" t="s">
        <v>24</v>
      </c>
      <c r="F13" s="209" t="s">
        <v>884</v>
      </c>
      <c r="G13" s="83" t="s">
        <v>33</v>
      </c>
      <c r="H13" s="75" t="s">
        <v>43</v>
      </c>
      <c r="I13" s="82"/>
      <c r="J13" s="83"/>
      <c r="K13" s="81"/>
      <c r="L13" s="81"/>
      <c r="M13" s="81"/>
      <c r="N13" s="81"/>
      <c r="O13" s="83"/>
      <c r="P13" s="83"/>
      <c r="Q13" s="83"/>
    </row>
    <row r="14" spans="2:17" ht="89.5" customHeight="1" x14ac:dyDescent="0.35">
      <c r="B14" s="225" t="s">
        <v>5</v>
      </c>
      <c r="C14" s="192"/>
      <c r="D14" s="193" t="s">
        <v>251</v>
      </c>
      <c r="E14" s="194" t="s">
        <v>24</v>
      </c>
      <c r="F14" s="209" t="s">
        <v>885</v>
      </c>
      <c r="G14" s="83" t="s">
        <v>33</v>
      </c>
      <c r="H14" s="75" t="s">
        <v>43</v>
      </c>
      <c r="I14" s="82"/>
      <c r="J14" s="83"/>
      <c r="K14" s="81"/>
      <c r="L14" s="81"/>
      <c r="M14" s="81"/>
      <c r="N14" s="81"/>
      <c r="O14" s="83"/>
      <c r="P14" s="83"/>
      <c r="Q14" s="83"/>
    </row>
    <row r="15" spans="2:17" ht="101.5" x14ac:dyDescent="0.35">
      <c r="B15" s="225" t="s">
        <v>5</v>
      </c>
      <c r="C15" s="192"/>
      <c r="D15" s="193" t="s">
        <v>252</v>
      </c>
      <c r="E15" s="194" t="s">
        <v>24</v>
      </c>
      <c r="F15" s="209" t="s">
        <v>886</v>
      </c>
      <c r="G15" s="83" t="s">
        <v>33</v>
      </c>
      <c r="H15" s="75" t="s">
        <v>43</v>
      </c>
      <c r="I15" s="82"/>
      <c r="J15" s="83"/>
      <c r="K15" s="81"/>
      <c r="L15" s="81"/>
      <c r="M15" s="81"/>
      <c r="N15" s="81"/>
      <c r="O15" s="83"/>
      <c r="P15" s="83"/>
      <c r="Q15" s="83"/>
    </row>
    <row r="16" spans="2:17" ht="91.5" x14ac:dyDescent="0.35">
      <c r="B16" s="225" t="s">
        <v>5</v>
      </c>
      <c r="C16" s="192"/>
      <c r="D16" s="193" t="s">
        <v>253</v>
      </c>
      <c r="E16" s="194" t="s">
        <v>24</v>
      </c>
      <c r="F16" s="209" t="s">
        <v>887</v>
      </c>
      <c r="G16" s="83" t="s">
        <v>33</v>
      </c>
      <c r="H16" s="75" t="s">
        <v>43</v>
      </c>
      <c r="I16" s="82"/>
      <c r="J16" s="83"/>
      <c r="K16" s="81"/>
      <c r="L16" s="81"/>
      <c r="M16" s="81"/>
      <c r="N16" s="81"/>
      <c r="O16" s="83"/>
      <c r="P16" s="83"/>
      <c r="Q16" s="83"/>
    </row>
    <row r="17" spans="2:17" ht="71.5" x14ac:dyDescent="0.35">
      <c r="B17" s="225" t="s">
        <v>5</v>
      </c>
      <c r="C17" s="192"/>
      <c r="D17" s="193" t="s">
        <v>494</v>
      </c>
      <c r="E17" s="194" t="s">
        <v>24</v>
      </c>
      <c r="F17" s="209" t="s">
        <v>888</v>
      </c>
      <c r="G17" s="83" t="s">
        <v>33</v>
      </c>
      <c r="H17" s="75" t="s">
        <v>43</v>
      </c>
      <c r="I17" s="82"/>
      <c r="J17" s="83"/>
      <c r="K17" s="81"/>
      <c r="L17" s="81"/>
      <c r="M17" s="81"/>
      <c r="N17" s="81"/>
      <c r="O17" s="83"/>
      <c r="P17" s="83"/>
      <c r="Q17" s="83"/>
    </row>
    <row r="18" spans="2:17" ht="132" customHeight="1" x14ac:dyDescent="0.35">
      <c r="B18" s="225" t="s">
        <v>5</v>
      </c>
      <c r="C18" s="189" t="s">
        <v>889</v>
      </c>
      <c r="D18" s="190" t="s">
        <v>256</v>
      </c>
      <c r="E18" s="191" t="s">
        <v>24</v>
      </c>
      <c r="F18" s="204" t="s">
        <v>890</v>
      </c>
      <c r="G18" s="79" t="s">
        <v>33</v>
      </c>
      <c r="H18" s="74" t="s">
        <v>43</v>
      </c>
      <c r="I18" s="78"/>
      <c r="J18" s="79"/>
      <c r="K18" s="77"/>
      <c r="L18" s="77"/>
      <c r="M18" s="77"/>
      <c r="N18" s="77"/>
      <c r="O18" s="79"/>
      <c r="P18" s="79"/>
      <c r="Q18" s="79"/>
    </row>
    <row r="19" spans="2:17" ht="122.5" customHeight="1" x14ac:dyDescent="0.35">
      <c r="B19" s="225" t="s">
        <v>5</v>
      </c>
      <c r="C19" s="189"/>
      <c r="D19" s="190" t="s">
        <v>257</v>
      </c>
      <c r="E19" s="191" t="s">
        <v>24</v>
      </c>
      <c r="F19" s="210" t="s">
        <v>891</v>
      </c>
      <c r="G19" s="79" t="s">
        <v>33</v>
      </c>
      <c r="H19" s="74" t="s">
        <v>43</v>
      </c>
      <c r="I19" s="78"/>
      <c r="J19" s="79"/>
      <c r="K19" s="77"/>
      <c r="L19" s="77"/>
      <c r="M19" s="77"/>
      <c r="N19" s="77"/>
      <c r="O19" s="79"/>
      <c r="P19" s="79"/>
      <c r="Q19" s="79"/>
    </row>
    <row r="20" spans="2:17" ht="121" customHeight="1" x14ac:dyDescent="0.35">
      <c r="B20" s="225" t="s">
        <v>5</v>
      </c>
      <c r="C20" s="189"/>
      <c r="D20" s="190" t="s">
        <v>258</v>
      </c>
      <c r="E20" s="191" t="s">
        <v>24</v>
      </c>
      <c r="F20" s="204" t="s">
        <v>892</v>
      </c>
      <c r="G20" s="79" t="s">
        <v>33</v>
      </c>
      <c r="H20" s="74" t="s">
        <v>43</v>
      </c>
      <c r="I20" s="78"/>
      <c r="J20" s="79"/>
      <c r="K20" s="77"/>
      <c r="L20" s="77"/>
      <c r="M20" s="77"/>
      <c r="N20" s="77"/>
      <c r="O20" s="79"/>
      <c r="P20" s="79"/>
      <c r="Q20" s="79"/>
    </row>
    <row r="21" spans="2:17" ht="123" customHeight="1" x14ac:dyDescent="0.35">
      <c r="B21" s="225" t="s">
        <v>5</v>
      </c>
      <c r="C21" s="189"/>
      <c r="D21" s="190" t="s">
        <v>259</v>
      </c>
      <c r="E21" s="191" t="s">
        <v>24</v>
      </c>
      <c r="F21" s="204" t="s">
        <v>893</v>
      </c>
      <c r="G21" s="79" t="s">
        <v>33</v>
      </c>
      <c r="H21" s="74" t="s">
        <v>43</v>
      </c>
      <c r="I21" s="78"/>
      <c r="J21" s="79"/>
      <c r="K21" s="77"/>
      <c r="L21" s="77"/>
      <c r="M21" s="77"/>
      <c r="N21" s="77"/>
      <c r="O21" s="79"/>
      <c r="P21" s="79"/>
      <c r="Q21" s="79"/>
    </row>
    <row r="22" spans="2:17" ht="123" customHeight="1" x14ac:dyDescent="0.35">
      <c r="B22" s="225" t="s">
        <v>5</v>
      </c>
      <c r="C22" s="189"/>
      <c r="D22" s="190" t="s">
        <v>254</v>
      </c>
      <c r="E22" s="191" t="s">
        <v>24</v>
      </c>
      <c r="F22" s="210" t="s">
        <v>894</v>
      </c>
      <c r="G22" s="79" t="s">
        <v>33</v>
      </c>
      <c r="H22" s="74" t="s">
        <v>43</v>
      </c>
      <c r="I22" s="78"/>
      <c r="J22" s="79"/>
      <c r="K22" s="77"/>
      <c r="L22" s="77"/>
      <c r="M22" s="77"/>
      <c r="N22" s="77"/>
      <c r="O22" s="79"/>
      <c r="P22" s="79"/>
      <c r="Q22" s="79"/>
    </row>
    <row r="23" spans="2:17" ht="104" customHeight="1" x14ac:dyDescent="0.35">
      <c r="B23" s="225" t="s">
        <v>5</v>
      </c>
      <c r="C23" s="189"/>
      <c r="D23" s="190" t="s">
        <v>260</v>
      </c>
      <c r="E23" s="191" t="s">
        <v>24</v>
      </c>
      <c r="F23" s="204" t="s">
        <v>895</v>
      </c>
      <c r="G23" s="79" t="s">
        <v>33</v>
      </c>
      <c r="H23" s="74" t="s">
        <v>43</v>
      </c>
      <c r="I23" s="78"/>
      <c r="J23" s="79"/>
      <c r="K23" s="77"/>
      <c r="L23" s="77"/>
      <c r="M23" s="77"/>
      <c r="N23" s="77"/>
      <c r="O23" s="79"/>
      <c r="P23" s="79"/>
      <c r="Q23" s="79"/>
    </row>
    <row r="24" spans="2:17" ht="122" customHeight="1" x14ac:dyDescent="0.35">
      <c r="B24" s="225" t="s">
        <v>5</v>
      </c>
      <c r="C24" s="189"/>
      <c r="D24" s="190" t="s">
        <v>261</v>
      </c>
      <c r="E24" s="191" t="s">
        <v>24</v>
      </c>
      <c r="F24" s="210" t="s">
        <v>896</v>
      </c>
      <c r="G24" s="79" t="s">
        <v>33</v>
      </c>
      <c r="H24" s="74" t="s">
        <v>43</v>
      </c>
      <c r="I24" s="78"/>
      <c r="J24" s="79"/>
      <c r="K24" s="77"/>
      <c r="L24" s="77"/>
      <c r="M24" s="77"/>
      <c r="N24" s="77"/>
      <c r="O24" s="79"/>
      <c r="P24" s="79"/>
      <c r="Q24" s="79"/>
    </row>
    <row r="25" spans="2:17" ht="52.5" x14ac:dyDescent="0.35">
      <c r="B25" s="225" t="s">
        <v>5</v>
      </c>
      <c r="C25" s="189"/>
      <c r="D25" s="190" t="s">
        <v>262</v>
      </c>
      <c r="E25" s="191" t="s">
        <v>24</v>
      </c>
      <c r="F25" s="210" t="s">
        <v>897</v>
      </c>
      <c r="G25" s="79" t="s">
        <v>33</v>
      </c>
      <c r="H25" s="74" t="s">
        <v>43</v>
      </c>
      <c r="I25" s="78"/>
      <c r="J25" s="79"/>
      <c r="K25" s="77"/>
      <c r="L25" s="77"/>
      <c r="M25" s="77"/>
      <c r="N25" s="77"/>
      <c r="O25" s="79"/>
      <c r="P25" s="79"/>
      <c r="Q25" s="79"/>
    </row>
    <row r="26" spans="2:17" ht="46.5" customHeight="1" x14ac:dyDescent="0.35">
      <c r="B26" s="225" t="s">
        <v>5</v>
      </c>
      <c r="C26" s="189"/>
      <c r="D26" s="190" t="s">
        <v>263</v>
      </c>
      <c r="E26" s="191" t="s">
        <v>24</v>
      </c>
      <c r="F26" s="210" t="s">
        <v>255</v>
      </c>
      <c r="G26" s="79" t="s">
        <v>33</v>
      </c>
      <c r="H26" s="74" t="s">
        <v>43</v>
      </c>
      <c r="I26" s="78"/>
      <c r="J26" s="79"/>
      <c r="K26" s="77"/>
      <c r="L26" s="77"/>
      <c r="M26" s="77"/>
      <c r="N26" s="77"/>
      <c r="O26" s="79"/>
      <c r="P26" s="79"/>
      <c r="Q26" s="79"/>
    </row>
    <row r="27" spans="2:17" ht="121" customHeight="1" x14ac:dyDescent="0.35">
      <c r="B27" s="225" t="s">
        <v>5</v>
      </c>
      <c r="C27" s="192" t="s">
        <v>243</v>
      </c>
      <c r="D27" s="193" t="s">
        <v>264</v>
      </c>
      <c r="E27" s="194" t="s">
        <v>24</v>
      </c>
      <c r="F27" s="197" t="s">
        <v>898</v>
      </c>
      <c r="G27" s="83" t="s">
        <v>33</v>
      </c>
      <c r="H27" s="74" t="s">
        <v>43</v>
      </c>
      <c r="I27" s="82"/>
      <c r="J27" s="83"/>
      <c r="K27" s="81"/>
      <c r="L27" s="81"/>
      <c r="M27" s="81"/>
      <c r="N27" s="81"/>
      <c r="O27" s="83"/>
      <c r="P27" s="83"/>
      <c r="Q27" s="83"/>
    </row>
    <row r="28" spans="2:17" ht="124" customHeight="1" x14ac:dyDescent="0.35">
      <c r="B28" s="225" t="s">
        <v>5</v>
      </c>
      <c r="C28" s="192"/>
      <c r="D28" s="193" t="s">
        <v>265</v>
      </c>
      <c r="E28" s="194" t="s">
        <v>24</v>
      </c>
      <c r="F28" s="197" t="s">
        <v>899</v>
      </c>
      <c r="G28" s="83" t="s">
        <v>33</v>
      </c>
      <c r="H28" s="74" t="s">
        <v>43</v>
      </c>
      <c r="I28" s="82"/>
      <c r="J28" s="83"/>
      <c r="K28" s="81"/>
      <c r="L28" s="81"/>
      <c r="M28" s="81"/>
      <c r="N28" s="81"/>
      <c r="O28" s="83"/>
      <c r="P28" s="83"/>
      <c r="Q28" s="83"/>
    </row>
    <row r="29" spans="2:17" ht="131.5" customHeight="1" x14ac:dyDescent="0.35">
      <c r="B29" s="225" t="s">
        <v>5</v>
      </c>
      <c r="C29" s="192"/>
      <c r="D29" s="193" t="s">
        <v>266</v>
      </c>
      <c r="E29" s="194" t="s">
        <v>24</v>
      </c>
      <c r="F29" s="197" t="s">
        <v>900</v>
      </c>
      <c r="G29" s="83" t="s">
        <v>33</v>
      </c>
      <c r="H29" s="74" t="s">
        <v>43</v>
      </c>
      <c r="I29" s="82"/>
      <c r="J29" s="83"/>
      <c r="K29" s="81"/>
      <c r="L29" s="81"/>
      <c r="M29" s="81"/>
      <c r="N29" s="81"/>
      <c r="O29" s="83"/>
      <c r="P29" s="83"/>
      <c r="Q29" s="83"/>
    </row>
    <row r="30" spans="2:17" ht="123" customHeight="1" x14ac:dyDescent="0.35">
      <c r="B30" s="225" t="s">
        <v>5</v>
      </c>
      <c r="C30" s="192"/>
      <c r="D30" s="193" t="s">
        <v>267</v>
      </c>
      <c r="E30" s="194" t="s">
        <v>24</v>
      </c>
      <c r="F30" s="197" t="s">
        <v>901</v>
      </c>
      <c r="G30" s="83" t="s">
        <v>33</v>
      </c>
      <c r="H30" s="74" t="s">
        <v>43</v>
      </c>
      <c r="I30" s="82"/>
      <c r="J30" s="83"/>
      <c r="K30" s="81"/>
      <c r="L30" s="81"/>
      <c r="M30" s="81"/>
      <c r="N30" s="81"/>
      <c r="O30" s="83"/>
      <c r="P30" s="83"/>
      <c r="Q30" s="83"/>
    </row>
    <row r="31" spans="2:17" ht="122.5" customHeight="1" x14ac:dyDescent="0.35">
      <c r="B31" s="225" t="s">
        <v>5</v>
      </c>
      <c r="C31" s="192"/>
      <c r="D31" s="193" t="s">
        <v>268</v>
      </c>
      <c r="E31" s="194" t="s">
        <v>24</v>
      </c>
      <c r="F31" s="197" t="s">
        <v>902</v>
      </c>
      <c r="G31" s="83" t="s">
        <v>33</v>
      </c>
      <c r="H31" s="74" t="s">
        <v>43</v>
      </c>
      <c r="I31" s="82"/>
      <c r="J31" s="83"/>
      <c r="K31" s="81"/>
      <c r="L31" s="81"/>
      <c r="M31" s="81"/>
      <c r="N31" s="81"/>
      <c r="O31" s="83"/>
      <c r="P31" s="83"/>
      <c r="Q31" s="83"/>
    </row>
    <row r="32" spans="2:17" ht="102" customHeight="1" x14ac:dyDescent="0.35">
      <c r="B32" s="225" t="s">
        <v>5</v>
      </c>
      <c r="C32" s="192"/>
      <c r="D32" s="193" t="s">
        <v>269</v>
      </c>
      <c r="E32" s="194" t="s">
        <v>24</v>
      </c>
      <c r="F32" s="197" t="s">
        <v>903</v>
      </c>
      <c r="G32" s="83" t="s">
        <v>33</v>
      </c>
      <c r="H32" s="74" t="s">
        <v>43</v>
      </c>
      <c r="I32" s="82"/>
      <c r="J32" s="83"/>
      <c r="K32" s="81"/>
      <c r="L32" s="81"/>
      <c r="M32" s="81"/>
      <c r="N32" s="81"/>
      <c r="O32" s="83"/>
      <c r="P32" s="83"/>
      <c r="Q32" s="83"/>
    </row>
    <row r="33" spans="2:17" ht="113" customHeight="1" x14ac:dyDescent="0.35">
      <c r="B33" s="225" t="s">
        <v>5</v>
      </c>
      <c r="C33" s="192"/>
      <c r="D33" s="193" t="s">
        <v>270</v>
      </c>
      <c r="E33" s="194" t="s">
        <v>24</v>
      </c>
      <c r="F33" s="209" t="s">
        <v>904</v>
      </c>
      <c r="G33" s="83" t="s">
        <v>33</v>
      </c>
      <c r="H33" s="74" t="s">
        <v>43</v>
      </c>
      <c r="I33" s="82"/>
      <c r="J33" s="83"/>
      <c r="K33" s="81"/>
      <c r="L33" s="81"/>
      <c r="M33" s="81"/>
      <c r="N33" s="81"/>
      <c r="O33" s="83"/>
      <c r="P33" s="83"/>
      <c r="Q33" s="83"/>
    </row>
    <row r="34" spans="2:17" ht="82" x14ac:dyDescent="0.35">
      <c r="B34" s="225" t="s">
        <v>5</v>
      </c>
      <c r="C34" s="189" t="s">
        <v>905</v>
      </c>
      <c r="D34" s="190" t="s">
        <v>271</v>
      </c>
      <c r="E34" s="191" t="s">
        <v>24</v>
      </c>
      <c r="F34" s="211" t="s">
        <v>906</v>
      </c>
      <c r="G34" s="79" t="s">
        <v>33</v>
      </c>
      <c r="H34" s="74" t="s">
        <v>43</v>
      </c>
      <c r="I34" s="78"/>
      <c r="J34" s="79"/>
      <c r="K34" s="77"/>
      <c r="L34" s="77"/>
      <c r="M34" s="77"/>
      <c r="N34" s="77"/>
      <c r="O34" s="79"/>
      <c r="P34" s="79"/>
      <c r="Q34" s="79"/>
    </row>
    <row r="35" spans="2:17" ht="83" customHeight="1" x14ac:dyDescent="0.35">
      <c r="B35" s="225" t="s">
        <v>5</v>
      </c>
      <c r="C35" s="189"/>
      <c r="D35" s="190" t="s">
        <v>272</v>
      </c>
      <c r="E35" s="191" t="s">
        <v>24</v>
      </c>
      <c r="F35" s="211" t="s">
        <v>907</v>
      </c>
      <c r="G35" s="79" t="s">
        <v>33</v>
      </c>
      <c r="H35" s="74" t="s">
        <v>43</v>
      </c>
      <c r="I35" s="78"/>
      <c r="J35" s="79"/>
      <c r="K35" s="77"/>
      <c r="L35" s="77"/>
      <c r="M35" s="77"/>
      <c r="N35" s="77"/>
      <c r="O35" s="79"/>
      <c r="P35" s="79"/>
      <c r="Q35" s="79"/>
    </row>
    <row r="36" spans="2:17" ht="111" customHeight="1" x14ac:dyDescent="0.35">
      <c r="B36" s="225" t="s">
        <v>5</v>
      </c>
      <c r="C36" s="192" t="s">
        <v>908</v>
      </c>
      <c r="D36" s="193" t="s">
        <v>273</v>
      </c>
      <c r="E36" s="194" t="s">
        <v>24</v>
      </c>
      <c r="F36" s="209" t="s">
        <v>909</v>
      </c>
      <c r="G36" s="83" t="s">
        <v>33</v>
      </c>
      <c r="H36" s="75" t="s">
        <v>43</v>
      </c>
      <c r="I36" s="82"/>
      <c r="J36" s="83"/>
      <c r="K36" s="81"/>
      <c r="L36" s="81"/>
      <c r="M36" s="81"/>
      <c r="N36" s="81"/>
      <c r="O36" s="83"/>
      <c r="P36" s="83"/>
      <c r="Q36" s="83"/>
    </row>
    <row r="37" spans="2:17" ht="92" customHeight="1" x14ac:dyDescent="0.35">
      <c r="B37" s="225" t="s">
        <v>5</v>
      </c>
      <c r="C37" s="192"/>
      <c r="D37" s="193" t="s">
        <v>274</v>
      </c>
      <c r="E37" s="194" t="s">
        <v>24</v>
      </c>
      <c r="F37" s="209" t="s">
        <v>910</v>
      </c>
      <c r="G37" s="83" t="s">
        <v>33</v>
      </c>
      <c r="H37" s="75" t="s">
        <v>43</v>
      </c>
      <c r="I37" s="82"/>
      <c r="J37" s="83"/>
      <c r="K37" s="81"/>
      <c r="L37" s="81"/>
      <c r="M37" s="81"/>
      <c r="N37" s="81"/>
      <c r="O37" s="83"/>
      <c r="P37" s="83"/>
      <c r="Q37" s="83"/>
    </row>
    <row r="38" spans="2:17" ht="91.5" customHeight="1" x14ac:dyDescent="0.35">
      <c r="B38" s="225" t="s">
        <v>5</v>
      </c>
      <c r="C38" s="192"/>
      <c r="D38" s="193" t="s">
        <v>275</v>
      </c>
      <c r="E38" s="194" t="s">
        <v>24</v>
      </c>
      <c r="F38" s="197" t="s">
        <v>911</v>
      </c>
      <c r="G38" s="83" t="s">
        <v>33</v>
      </c>
      <c r="H38" s="75" t="s">
        <v>43</v>
      </c>
      <c r="I38" s="82"/>
      <c r="J38" s="83"/>
      <c r="K38" s="81"/>
      <c r="L38" s="81"/>
      <c r="M38" s="81"/>
      <c r="N38" s="81"/>
      <c r="O38" s="83"/>
      <c r="P38" s="83"/>
      <c r="Q38" s="83"/>
    </row>
    <row r="39" spans="2:17" ht="122.5" customHeight="1" x14ac:dyDescent="0.35">
      <c r="B39" s="225" t="s">
        <v>5</v>
      </c>
      <c r="C39" s="192"/>
      <c r="D39" s="193" t="s">
        <v>276</v>
      </c>
      <c r="E39" s="194" t="s">
        <v>24</v>
      </c>
      <c r="F39" s="197" t="s">
        <v>912</v>
      </c>
      <c r="G39" s="83" t="s">
        <v>33</v>
      </c>
      <c r="H39" s="75" t="s">
        <v>43</v>
      </c>
      <c r="I39" s="82"/>
      <c r="J39" s="83"/>
      <c r="K39" s="81"/>
      <c r="L39" s="81"/>
      <c r="M39" s="81"/>
      <c r="N39" s="81"/>
      <c r="O39" s="83"/>
      <c r="P39" s="83"/>
      <c r="Q39" s="83"/>
    </row>
    <row r="40" spans="2:17" ht="161.5" customHeight="1" x14ac:dyDescent="0.35">
      <c r="B40" s="225" t="s">
        <v>5</v>
      </c>
      <c r="C40" s="192"/>
      <c r="D40" s="193" t="s">
        <v>277</v>
      </c>
      <c r="E40" s="194" t="s">
        <v>24</v>
      </c>
      <c r="F40" s="209" t="s">
        <v>913</v>
      </c>
      <c r="G40" s="83" t="s">
        <v>33</v>
      </c>
      <c r="H40" s="75" t="s">
        <v>43</v>
      </c>
      <c r="I40" s="82"/>
      <c r="J40" s="83"/>
      <c r="K40" s="81"/>
      <c r="L40" s="81"/>
      <c r="M40" s="81"/>
      <c r="N40" s="81"/>
      <c r="O40" s="83"/>
      <c r="P40" s="83"/>
      <c r="Q40" s="83"/>
    </row>
    <row r="41" spans="2:17" ht="84" x14ac:dyDescent="0.35">
      <c r="B41" s="225" t="s">
        <v>5</v>
      </c>
      <c r="C41" s="192"/>
      <c r="D41" s="193" t="s">
        <v>278</v>
      </c>
      <c r="E41" s="194" t="s">
        <v>24</v>
      </c>
      <c r="F41" s="209" t="s">
        <v>914</v>
      </c>
      <c r="G41" s="83" t="s">
        <v>33</v>
      </c>
      <c r="H41" s="75" t="s">
        <v>43</v>
      </c>
      <c r="I41" s="84"/>
      <c r="J41" s="83"/>
      <c r="K41" s="81"/>
      <c r="L41" s="81"/>
      <c r="M41" s="81"/>
      <c r="N41" s="81"/>
      <c r="O41" s="83"/>
      <c r="P41" s="83"/>
      <c r="Q41" s="83"/>
    </row>
    <row r="42" spans="2:17" ht="180.5" customHeight="1" x14ac:dyDescent="0.35">
      <c r="B42" s="225" t="s">
        <v>5</v>
      </c>
      <c r="C42" s="192"/>
      <c r="D42" s="193" t="s">
        <v>279</v>
      </c>
      <c r="E42" s="194" t="s">
        <v>24</v>
      </c>
      <c r="F42" s="209" t="s">
        <v>915</v>
      </c>
      <c r="G42" s="83" t="s">
        <v>33</v>
      </c>
      <c r="H42" s="75" t="s">
        <v>43</v>
      </c>
      <c r="I42" s="82"/>
      <c r="J42" s="83"/>
      <c r="K42" s="81"/>
      <c r="L42" s="81"/>
      <c r="M42" s="81"/>
      <c r="N42" s="81"/>
      <c r="O42" s="83"/>
      <c r="P42" s="83"/>
      <c r="Q42" s="83"/>
    </row>
    <row r="43" spans="2:17" ht="52.5" x14ac:dyDescent="0.35">
      <c r="B43" s="225" t="s">
        <v>5</v>
      </c>
      <c r="C43" s="192"/>
      <c r="D43" s="193" t="s">
        <v>280</v>
      </c>
      <c r="E43" s="194" t="s">
        <v>24</v>
      </c>
      <c r="F43" s="209" t="s">
        <v>702</v>
      </c>
      <c r="G43" s="83" t="s">
        <v>33</v>
      </c>
      <c r="H43" s="75" t="s">
        <v>43</v>
      </c>
      <c r="I43" s="82"/>
      <c r="J43" s="83"/>
      <c r="K43" s="81"/>
      <c r="L43" s="81"/>
      <c r="M43" s="81"/>
      <c r="N43" s="81"/>
      <c r="O43" s="83"/>
      <c r="P43" s="83"/>
      <c r="Q43" s="83"/>
    </row>
    <row r="44" spans="2:17" ht="98" customHeight="1" x14ac:dyDescent="0.35">
      <c r="B44" s="225" t="s">
        <v>5</v>
      </c>
      <c r="C44" s="192"/>
      <c r="D44" s="193" t="s">
        <v>495</v>
      </c>
      <c r="E44" s="194" t="s">
        <v>24</v>
      </c>
      <c r="F44" s="209" t="s">
        <v>916</v>
      </c>
      <c r="G44" s="83" t="s">
        <v>33</v>
      </c>
      <c r="H44" s="75" t="s">
        <v>43</v>
      </c>
      <c r="I44" s="82"/>
      <c r="J44" s="83"/>
      <c r="K44" s="81"/>
      <c r="L44" s="81"/>
      <c r="M44" s="81"/>
      <c r="N44" s="81"/>
      <c r="O44" s="83"/>
      <c r="P44" s="83"/>
      <c r="Q44" s="83"/>
    </row>
    <row r="45" spans="2:17" ht="159.5" customHeight="1" x14ac:dyDescent="0.35">
      <c r="B45" s="225" t="s">
        <v>5</v>
      </c>
      <c r="C45" s="192"/>
      <c r="D45" s="193" t="s">
        <v>496</v>
      </c>
      <c r="E45" s="194" t="s">
        <v>24</v>
      </c>
      <c r="F45" s="209" t="s">
        <v>917</v>
      </c>
      <c r="G45" s="83" t="s">
        <v>33</v>
      </c>
      <c r="H45" s="75" t="s">
        <v>43</v>
      </c>
      <c r="I45" s="82"/>
      <c r="J45" s="83"/>
      <c r="K45" s="81"/>
      <c r="L45" s="81"/>
      <c r="M45" s="81"/>
      <c r="N45" s="81"/>
      <c r="O45" s="83"/>
      <c r="P45" s="83"/>
      <c r="Q45" s="83"/>
    </row>
    <row r="46" spans="2:17" ht="111.5" x14ac:dyDescent="0.35">
      <c r="B46" s="225" t="s">
        <v>5</v>
      </c>
      <c r="C46" s="189" t="s">
        <v>918</v>
      </c>
      <c r="D46" s="190" t="s">
        <v>281</v>
      </c>
      <c r="E46" s="191" t="s">
        <v>24</v>
      </c>
      <c r="F46" s="204" t="s">
        <v>919</v>
      </c>
      <c r="G46" s="79" t="s">
        <v>33</v>
      </c>
      <c r="H46" s="74" t="s">
        <v>43</v>
      </c>
      <c r="I46" s="78"/>
      <c r="J46" s="79"/>
      <c r="K46" s="77"/>
      <c r="L46" s="77"/>
      <c r="M46" s="77"/>
      <c r="N46" s="77"/>
      <c r="O46" s="79"/>
      <c r="P46" s="79"/>
      <c r="Q46" s="79"/>
    </row>
    <row r="47" spans="2:17" ht="102" x14ac:dyDescent="0.35">
      <c r="B47" s="225" t="s">
        <v>5</v>
      </c>
      <c r="C47" s="189"/>
      <c r="D47" s="190" t="s">
        <v>282</v>
      </c>
      <c r="E47" s="191" t="s">
        <v>24</v>
      </c>
      <c r="F47" s="210" t="s">
        <v>920</v>
      </c>
      <c r="G47" s="79" t="s">
        <v>33</v>
      </c>
      <c r="H47" s="74" t="s">
        <v>43</v>
      </c>
      <c r="I47" s="78"/>
      <c r="J47" s="79"/>
      <c r="K47" s="77"/>
      <c r="L47" s="77"/>
      <c r="M47" s="77"/>
      <c r="N47" s="77"/>
      <c r="O47" s="79"/>
      <c r="P47" s="79"/>
      <c r="Q47" s="79"/>
    </row>
    <row r="48" spans="2:17" ht="120.5" customHeight="1" x14ac:dyDescent="0.35">
      <c r="B48" s="225" t="s">
        <v>5</v>
      </c>
      <c r="C48" s="189"/>
      <c r="D48" s="190" t="s">
        <v>283</v>
      </c>
      <c r="E48" s="191" t="s">
        <v>24</v>
      </c>
      <c r="F48" s="204" t="s">
        <v>921</v>
      </c>
      <c r="G48" s="79" t="s">
        <v>33</v>
      </c>
      <c r="H48" s="74" t="s">
        <v>43</v>
      </c>
      <c r="I48" s="78"/>
      <c r="J48" s="79"/>
      <c r="K48" s="77"/>
      <c r="L48" s="77"/>
      <c r="M48" s="77"/>
      <c r="N48" s="77"/>
      <c r="O48" s="79"/>
      <c r="P48" s="79"/>
      <c r="Q48" s="79"/>
    </row>
    <row r="49" spans="2:17" ht="122" x14ac:dyDescent="0.35">
      <c r="B49" s="225" t="s">
        <v>5</v>
      </c>
      <c r="C49" s="189"/>
      <c r="D49" s="190" t="s">
        <v>284</v>
      </c>
      <c r="E49" s="191" t="s">
        <v>24</v>
      </c>
      <c r="F49" s="210" t="s">
        <v>922</v>
      </c>
      <c r="G49" s="79" t="s">
        <v>33</v>
      </c>
      <c r="H49" s="74" t="s">
        <v>43</v>
      </c>
      <c r="I49" s="78"/>
      <c r="J49" s="79"/>
      <c r="K49" s="77"/>
      <c r="L49" s="77"/>
      <c r="M49" s="77"/>
      <c r="N49" s="77"/>
      <c r="O49" s="79"/>
      <c r="P49" s="79"/>
      <c r="Q49" s="79"/>
    </row>
    <row r="50" spans="2:17" ht="141.5" x14ac:dyDescent="0.35">
      <c r="B50" s="225" t="s">
        <v>5</v>
      </c>
      <c r="C50" s="189"/>
      <c r="D50" s="190" t="s">
        <v>285</v>
      </c>
      <c r="E50" s="191" t="s">
        <v>24</v>
      </c>
      <c r="F50" s="204" t="s">
        <v>923</v>
      </c>
      <c r="G50" s="79" t="s">
        <v>33</v>
      </c>
      <c r="H50" s="74" t="s">
        <v>43</v>
      </c>
      <c r="I50" s="78"/>
      <c r="J50" s="79"/>
      <c r="K50" s="77"/>
      <c r="L50" s="77"/>
      <c r="M50" s="77"/>
      <c r="N50" s="77"/>
      <c r="O50" s="79"/>
      <c r="P50" s="79"/>
      <c r="Q50" s="79"/>
    </row>
    <row r="51" spans="2:17" ht="159" customHeight="1" x14ac:dyDescent="0.35">
      <c r="B51" s="225" t="s">
        <v>5</v>
      </c>
      <c r="C51" s="189"/>
      <c r="D51" s="190" t="s">
        <v>286</v>
      </c>
      <c r="E51" s="191" t="s">
        <v>24</v>
      </c>
      <c r="F51" s="210" t="s">
        <v>924</v>
      </c>
      <c r="G51" s="79" t="s">
        <v>33</v>
      </c>
      <c r="H51" s="74" t="s">
        <v>43</v>
      </c>
      <c r="I51" s="78"/>
      <c r="J51" s="79"/>
      <c r="K51" s="77"/>
      <c r="L51" s="77"/>
      <c r="M51" s="77"/>
      <c r="N51" s="77"/>
      <c r="O51" s="79"/>
      <c r="P51" s="79"/>
      <c r="Q51" s="79"/>
    </row>
    <row r="52" spans="2:17" ht="63" x14ac:dyDescent="0.35">
      <c r="B52" s="225" t="s">
        <v>5</v>
      </c>
      <c r="C52" s="192" t="s">
        <v>925</v>
      </c>
      <c r="D52" s="193" t="s">
        <v>287</v>
      </c>
      <c r="E52" s="194" t="s">
        <v>25</v>
      </c>
      <c r="F52" s="209" t="s">
        <v>703</v>
      </c>
      <c r="G52" s="83" t="s">
        <v>33</v>
      </c>
      <c r="H52" s="75" t="s">
        <v>43</v>
      </c>
      <c r="I52" s="82"/>
      <c r="J52" s="83"/>
      <c r="K52" s="81"/>
      <c r="L52" s="81"/>
      <c r="M52" s="81"/>
      <c r="N52" s="81"/>
      <c r="O52" s="83"/>
      <c r="P52" s="83"/>
      <c r="Q52" s="83"/>
    </row>
    <row r="53" spans="2:17" ht="52.5" x14ac:dyDescent="0.35">
      <c r="B53" s="225" t="s">
        <v>5</v>
      </c>
      <c r="C53" s="192"/>
      <c r="D53" s="193" t="s">
        <v>288</v>
      </c>
      <c r="E53" s="194" t="s">
        <v>25</v>
      </c>
      <c r="F53" s="209" t="s">
        <v>926</v>
      </c>
      <c r="G53" s="83" t="s">
        <v>33</v>
      </c>
      <c r="H53" s="75" t="s">
        <v>43</v>
      </c>
      <c r="I53" s="82"/>
      <c r="J53" s="83"/>
      <c r="K53" s="81"/>
      <c r="L53" s="81"/>
      <c r="M53" s="81"/>
      <c r="N53" s="81"/>
      <c r="O53" s="83"/>
      <c r="P53" s="83"/>
      <c r="Q53" s="83"/>
    </row>
    <row r="54" spans="2:17" ht="66.5" customHeight="1" x14ac:dyDescent="0.35">
      <c r="B54" s="225" t="s">
        <v>5</v>
      </c>
      <c r="C54" s="192"/>
      <c r="D54" s="193" t="s">
        <v>289</v>
      </c>
      <c r="E54" s="194" t="s">
        <v>25</v>
      </c>
      <c r="F54" s="209" t="s">
        <v>704</v>
      </c>
      <c r="G54" s="83" t="s">
        <v>33</v>
      </c>
      <c r="H54" s="75" t="s">
        <v>43</v>
      </c>
      <c r="I54" s="82"/>
      <c r="J54" s="83"/>
      <c r="K54" s="81"/>
      <c r="L54" s="81"/>
      <c r="M54" s="81"/>
      <c r="N54" s="81"/>
      <c r="O54" s="83"/>
      <c r="P54" s="83"/>
      <c r="Q54" s="83"/>
    </row>
    <row r="55" spans="2:17" ht="63" x14ac:dyDescent="0.35">
      <c r="B55" s="225" t="s">
        <v>5</v>
      </c>
      <c r="C55" s="192"/>
      <c r="D55" s="193" t="s">
        <v>290</v>
      </c>
      <c r="E55" s="194" t="s">
        <v>25</v>
      </c>
      <c r="F55" s="209" t="s">
        <v>705</v>
      </c>
      <c r="G55" s="83" t="s">
        <v>33</v>
      </c>
      <c r="H55" s="75" t="s">
        <v>43</v>
      </c>
      <c r="I55" s="82"/>
      <c r="J55" s="83"/>
      <c r="K55" s="81"/>
      <c r="L55" s="81"/>
      <c r="M55" s="81"/>
      <c r="N55" s="81"/>
      <c r="O55" s="83"/>
      <c r="P55" s="83"/>
      <c r="Q55" s="83"/>
    </row>
    <row r="56" spans="2:17" ht="52.5" x14ac:dyDescent="0.35">
      <c r="B56" s="225" t="s">
        <v>5</v>
      </c>
      <c r="C56" s="192"/>
      <c r="D56" s="193" t="s">
        <v>291</v>
      </c>
      <c r="E56" s="194" t="s">
        <v>25</v>
      </c>
      <c r="F56" s="209" t="s">
        <v>706</v>
      </c>
      <c r="G56" s="83" t="s">
        <v>33</v>
      </c>
      <c r="H56" s="75" t="s">
        <v>43</v>
      </c>
      <c r="I56" s="82"/>
      <c r="J56" s="83"/>
      <c r="K56" s="81"/>
      <c r="L56" s="81"/>
      <c r="M56" s="81"/>
      <c r="N56" s="81"/>
      <c r="O56" s="83"/>
      <c r="P56" s="83"/>
      <c r="Q56" s="83"/>
    </row>
    <row r="57" spans="2:17" ht="162.5" customHeight="1" x14ac:dyDescent="0.35">
      <c r="B57" s="225" t="s">
        <v>5</v>
      </c>
      <c r="C57" s="189" t="s">
        <v>927</v>
      </c>
      <c r="D57" s="190" t="s">
        <v>292</v>
      </c>
      <c r="E57" s="191" t="s">
        <v>24</v>
      </c>
      <c r="F57" s="210" t="s">
        <v>928</v>
      </c>
      <c r="G57" s="79" t="s">
        <v>33</v>
      </c>
      <c r="H57" s="74" t="s">
        <v>43</v>
      </c>
      <c r="I57" s="78"/>
      <c r="J57" s="79"/>
      <c r="K57" s="77"/>
      <c r="L57" s="77"/>
      <c r="M57" s="77"/>
      <c r="N57" s="77"/>
      <c r="O57" s="79"/>
      <c r="P57" s="79"/>
      <c r="Q57" s="79"/>
    </row>
    <row r="58" spans="2:17" ht="130.5" customHeight="1" x14ac:dyDescent="0.35">
      <c r="B58" s="225" t="s">
        <v>5</v>
      </c>
      <c r="C58" s="189"/>
      <c r="D58" s="190" t="s">
        <v>293</v>
      </c>
      <c r="E58" s="191" t="s">
        <v>24</v>
      </c>
      <c r="F58" s="210" t="s">
        <v>929</v>
      </c>
      <c r="G58" s="79" t="s">
        <v>33</v>
      </c>
      <c r="H58" s="74" t="s">
        <v>43</v>
      </c>
      <c r="I58" s="78"/>
      <c r="J58" s="79"/>
      <c r="K58" s="77"/>
      <c r="L58" s="77"/>
      <c r="M58" s="77"/>
      <c r="N58" s="77"/>
      <c r="O58" s="79"/>
      <c r="P58" s="79"/>
      <c r="Q58" s="79"/>
    </row>
    <row r="59" spans="2:17" ht="131" customHeight="1" x14ac:dyDescent="0.35">
      <c r="B59" s="225" t="s">
        <v>5</v>
      </c>
      <c r="C59" s="189"/>
      <c r="D59" s="190" t="s">
        <v>294</v>
      </c>
      <c r="E59" s="191" t="s">
        <v>24</v>
      </c>
      <c r="F59" s="212" t="s">
        <v>930</v>
      </c>
      <c r="G59" s="79" t="s">
        <v>33</v>
      </c>
      <c r="H59" s="74" t="s">
        <v>43</v>
      </c>
      <c r="I59" s="78"/>
      <c r="J59" s="79"/>
      <c r="K59" s="77"/>
      <c r="L59" s="77"/>
      <c r="M59" s="77"/>
      <c r="N59" s="77"/>
      <c r="O59" s="79"/>
      <c r="P59" s="79"/>
      <c r="Q59" s="79"/>
    </row>
    <row r="60" spans="2:17" ht="131.5" customHeight="1" x14ac:dyDescent="0.35">
      <c r="B60" s="225" t="s">
        <v>5</v>
      </c>
      <c r="C60" s="189"/>
      <c r="D60" s="190" t="s">
        <v>295</v>
      </c>
      <c r="E60" s="191" t="s">
        <v>24</v>
      </c>
      <c r="F60" s="204" t="s">
        <v>931</v>
      </c>
      <c r="G60" s="79" t="s">
        <v>33</v>
      </c>
      <c r="H60" s="74" t="s">
        <v>43</v>
      </c>
      <c r="I60" s="78"/>
      <c r="J60" s="79"/>
      <c r="K60" s="77"/>
      <c r="L60" s="77"/>
      <c r="M60" s="77"/>
      <c r="N60" s="77"/>
      <c r="O60" s="79"/>
      <c r="P60" s="79"/>
      <c r="Q60" s="79"/>
    </row>
    <row r="61" spans="2:17" ht="132" customHeight="1" x14ac:dyDescent="0.35">
      <c r="B61" s="225" t="s">
        <v>5</v>
      </c>
      <c r="C61" s="189"/>
      <c r="D61" s="190" t="s">
        <v>296</v>
      </c>
      <c r="E61" s="191" t="s">
        <v>24</v>
      </c>
      <c r="F61" s="204" t="s">
        <v>932</v>
      </c>
      <c r="G61" s="79" t="s">
        <v>33</v>
      </c>
      <c r="H61" s="74" t="s">
        <v>43</v>
      </c>
      <c r="I61" s="78"/>
      <c r="J61" s="79"/>
      <c r="K61" s="77"/>
      <c r="L61" s="77"/>
      <c r="M61" s="77"/>
      <c r="N61" s="77"/>
      <c r="O61" s="79"/>
      <c r="P61" s="79"/>
      <c r="Q61" s="79"/>
    </row>
    <row r="62" spans="2:17" ht="21" x14ac:dyDescent="0.35">
      <c r="B62" s="226" t="s">
        <v>39</v>
      </c>
      <c r="C62" s="192" t="s">
        <v>707</v>
      </c>
      <c r="D62" s="193" t="s">
        <v>297</v>
      </c>
      <c r="E62" s="194" t="s">
        <v>24</v>
      </c>
      <c r="F62" s="213" t="s">
        <v>708</v>
      </c>
      <c r="G62" s="83" t="s">
        <v>33</v>
      </c>
      <c r="H62" s="74" t="s">
        <v>43</v>
      </c>
      <c r="I62" s="82"/>
      <c r="J62" s="83"/>
      <c r="K62" s="81"/>
      <c r="L62" s="81"/>
      <c r="M62" s="81"/>
      <c r="N62" s="81"/>
      <c r="O62" s="83"/>
      <c r="P62" s="83"/>
      <c r="Q62" s="83"/>
    </row>
    <row r="63" spans="2:17" ht="32" thickBot="1" x14ac:dyDescent="0.4">
      <c r="B63" s="226" t="s">
        <v>39</v>
      </c>
      <c r="C63" s="189" t="s">
        <v>709</v>
      </c>
      <c r="D63" s="190" t="s">
        <v>298</v>
      </c>
      <c r="E63" s="191" t="s">
        <v>24</v>
      </c>
      <c r="F63" s="214" t="s">
        <v>710</v>
      </c>
      <c r="G63" s="79" t="s">
        <v>33</v>
      </c>
      <c r="H63" s="74" t="s">
        <v>43</v>
      </c>
      <c r="I63" s="78"/>
      <c r="J63" s="79"/>
      <c r="K63" s="77"/>
      <c r="L63" s="77"/>
      <c r="M63" s="77"/>
      <c r="N63" s="77"/>
      <c r="O63" s="79"/>
      <c r="P63" s="79"/>
      <c r="Q63" s="79"/>
    </row>
    <row r="64" spans="2:17" ht="55" customHeight="1" thickTop="1" x14ac:dyDescent="0.35">
      <c r="B64" s="225" t="s">
        <v>3</v>
      </c>
      <c r="C64" s="192" t="s">
        <v>933</v>
      </c>
      <c r="D64" s="193" t="s">
        <v>299</v>
      </c>
      <c r="E64" s="194" t="s">
        <v>24</v>
      </c>
      <c r="F64" s="213" t="s">
        <v>300</v>
      </c>
      <c r="G64" s="83" t="s">
        <v>33</v>
      </c>
      <c r="H64" s="75" t="s">
        <v>43</v>
      </c>
      <c r="I64" s="82"/>
      <c r="J64" s="83"/>
      <c r="K64" s="81"/>
      <c r="L64" s="81"/>
      <c r="M64" s="81"/>
      <c r="N64" s="81"/>
      <c r="O64" s="83"/>
      <c r="P64" s="83"/>
      <c r="Q64" s="83"/>
    </row>
    <row r="65" spans="2:17" ht="42" x14ac:dyDescent="0.35">
      <c r="B65" s="225" t="s">
        <v>3</v>
      </c>
      <c r="C65" s="192"/>
      <c r="D65" s="193" t="s">
        <v>305</v>
      </c>
      <c r="E65" s="194" t="s">
        <v>24</v>
      </c>
      <c r="F65" s="213" t="s">
        <v>301</v>
      </c>
      <c r="G65" s="83" t="s">
        <v>33</v>
      </c>
      <c r="H65" s="75" t="s">
        <v>43</v>
      </c>
      <c r="I65" s="82"/>
      <c r="J65" s="83"/>
      <c r="K65" s="81"/>
      <c r="L65" s="81"/>
      <c r="M65" s="81"/>
      <c r="N65" s="81"/>
      <c r="O65" s="83"/>
      <c r="P65" s="83"/>
      <c r="Q65" s="83"/>
    </row>
    <row r="66" spans="2:17" ht="44" customHeight="1" x14ac:dyDescent="0.35">
      <c r="B66" s="225" t="s">
        <v>3</v>
      </c>
      <c r="C66" s="192"/>
      <c r="D66" s="193" t="s">
        <v>306</v>
      </c>
      <c r="E66" s="194" t="s">
        <v>24</v>
      </c>
      <c r="F66" s="213" t="s">
        <v>934</v>
      </c>
      <c r="G66" s="83" t="s">
        <v>33</v>
      </c>
      <c r="H66" s="75" t="s">
        <v>43</v>
      </c>
      <c r="I66" s="82"/>
      <c r="J66" s="83"/>
      <c r="K66" s="81"/>
      <c r="L66" s="81"/>
      <c r="M66" s="81"/>
      <c r="N66" s="81"/>
      <c r="O66" s="83"/>
      <c r="P66" s="83"/>
      <c r="Q66" s="83"/>
    </row>
    <row r="67" spans="2:17" ht="56.5" customHeight="1" x14ac:dyDescent="0.35">
      <c r="B67" s="225" t="s">
        <v>3</v>
      </c>
      <c r="C67" s="192"/>
      <c r="D67" s="193" t="s">
        <v>307</v>
      </c>
      <c r="E67" s="194" t="s">
        <v>24</v>
      </c>
      <c r="F67" s="213" t="s">
        <v>302</v>
      </c>
      <c r="G67" s="83" t="s">
        <v>33</v>
      </c>
      <c r="H67" s="75" t="s">
        <v>43</v>
      </c>
      <c r="I67" s="82"/>
      <c r="J67" s="83"/>
      <c r="K67" s="81"/>
      <c r="L67" s="81"/>
      <c r="M67" s="81"/>
      <c r="N67" s="81"/>
      <c r="O67" s="83"/>
      <c r="P67" s="83"/>
      <c r="Q67" s="83"/>
    </row>
    <row r="68" spans="2:17" ht="42" x14ac:dyDescent="0.35">
      <c r="B68" s="225" t="s">
        <v>3</v>
      </c>
      <c r="C68" s="192"/>
      <c r="D68" s="193" t="s">
        <v>308</v>
      </c>
      <c r="E68" s="194" t="s">
        <v>24</v>
      </c>
      <c r="F68" s="213" t="s">
        <v>303</v>
      </c>
      <c r="G68" s="83" t="s">
        <v>33</v>
      </c>
      <c r="H68" s="75" t="s">
        <v>43</v>
      </c>
      <c r="I68" s="82"/>
      <c r="J68" s="83"/>
      <c r="K68" s="81"/>
      <c r="L68" s="81"/>
      <c r="M68" s="81"/>
      <c r="N68" s="81"/>
      <c r="O68" s="83"/>
      <c r="P68" s="83"/>
      <c r="Q68" s="83"/>
    </row>
    <row r="69" spans="2:17" ht="42" x14ac:dyDescent="0.35">
      <c r="B69" s="225" t="s">
        <v>3</v>
      </c>
      <c r="C69" s="192"/>
      <c r="D69" s="193" t="s">
        <v>309</v>
      </c>
      <c r="E69" s="194" t="s">
        <v>24</v>
      </c>
      <c r="F69" s="213" t="s">
        <v>304</v>
      </c>
      <c r="G69" s="83" t="s">
        <v>33</v>
      </c>
      <c r="H69" s="75" t="s">
        <v>43</v>
      </c>
      <c r="I69" s="82"/>
      <c r="J69" s="83"/>
      <c r="K69" s="81"/>
      <c r="L69" s="81"/>
      <c r="M69" s="81"/>
      <c r="N69" s="81"/>
      <c r="O69" s="83"/>
      <c r="P69" s="83"/>
      <c r="Q69" s="83"/>
    </row>
    <row r="70" spans="2:17" ht="82" x14ac:dyDescent="0.35">
      <c r="B70" s="225" t="s">
        <v>3</v>
      </c>
      <c r="C70" s="189" t="s">
        <v>935</v>
      </c>
      <c r="D70" s="190" t="s">
        <v>310</v>
      </c>
      <c r="E70" s="191" t="s">
        <v>25</v>
      </c>
      <c r="F70" s="211" t="s">
        <v>936</v>
      </c>
      <c r="G70" s="79" t="s">
        <v>33</v>
      </c>
      <c r="H70" s="74" t="s">
        <v>43</v>
      </c>
      <c r="I70" s="78"/>
      <c r="J70" s="79"/>
      <c r="K70" s="77"/>
      <c r="L70" s="77"/>
      <c r="M70" s="77"/>
      <c r="N70" s="77"/>
      <c r="O70" s="79"/>
      <c r="P70" s="79"/>
      <c r="Q70" s="79"/>
    </row>
    <row r="71" spans="2:17" ht="82" x14ac:dyDescent="0.35">
      <c r="B71" s="225" t="s">
        <v>3</v>
      </c>
      <c r="C71" s="189"/>
      <c r="D71" s="190" t="s">
        <v>311</v>
      </c>
      <c r="E71" s="191" t="s">
        <v>25</v>
      </c>
      <c r="F71" s="211" t="s">
        <v>937</v>
      </c>
      <c r="G71" s="79" t="s">
        <v>33</v>
      </c>
      <c r="H71" s="74" t="s">
        <v>43</v>
      </c>
      <c r="I71" s="78"/>
      <c r="J71" s="79"/>
      <c r="K71" s="77"/>
      <c r="L71" s="77"/>
      <c r="M71" s="77"/>
      <c r="N71" s="77"/>
      <c r="O71" s="79"/>
      <c r="P71" s="79"/>
      <c r="Q71" s="79"/>
    </row>
    <row r="72" spans="2:17" ht="82" x14ac:dyDescent="0.35">
      <c r="B72" s="225" t="s">
        <v>3</v>
      </c>
      <c r="C72" s="189"/>
      <c r="D72" s="190" t="s">
        <v>312</v>
      </c>
      <c r="E72" s="191" t="s">
        <v>25</v>
      </c>
      <c r="F72" s="211" t="s">
        <v>938</v>
      </c>
      <c r="G72" s="79" t="s">
        <v>33</v>
      </c>
      <c r="H72" s="74" t="s">
        <v>43</v>
      </c>
      <c r="I72" s="78"/>
      <c r="J72" s="79"/>
      <c r="K72" s="77"/>
      <c r="L72" s="77"/>
      <c r="M72" s="77"/>
      <c r="N72" s="77"/>
      <c r="O72" s="79"/>
      <c r="P72" s="79"/>
      <c r="Q72" s="79"/>
    </row>
    <row r="73" spans="2:17" ht="82" x14ac:dyDescent="0.35">
      <c r="B73" s="225" t="s">
        <v>3</v>
      </c>
      <c r="C73" s="189"/>
      <c r="D73" s="190" t="s">
        <v>313</v>
      </c>
      <c r="E73" s="191" t="s">
        <v>25</v>
      </c>
      <c r="F73" s="211" t="s">
        <v>939</v>
      </c>
      <c r="G73" s="79" t="s">
        <v>33</v>
      </c>
      <c r="H73" s="74" t="s">
        <v>43</v>
      </c>
      <c r="I73" s="78"/>
      <c r="J73" s="79"/>
      <c r="K73" s="77"/>
      <c r="L73" s="77"/>
      <c r="M73" s="77"/>
      <c r="N73" s="77"/>
      <c r="O73" s="79"/>
      <c r="P73" s="79"/>
      <c r="Q73" s="79"/>
    </row>
    <row r="74" spans="2:17" ht="42" x14ac:dyDescent="0.35">
      <c r="B74" s="225" t="s">
        <v>3</v>
      </c>
      <c r="C74" s="189"/>
      <c r="D74" s="190" t="s">
        <v>314</v>
      </c>
      <c r="E74" s="191" t="s">
        <v>25</v>
      </c>
      <c r="F74" s="206" t="s">
        <v>711</v>
      </c>
      <c r="G74" s="79" t="s">
        <v>33</v>
      </c>
      <c r="H74" s="74" t="s">
        <v>43</v>
      </c>
      <c r="I74" s="78"/>
      <c r="J74" s="79"/>
      <c r="K74" s="77"/>
      <c r="L74" s="77"/>
      <c r="M74" s="77"/>
      <c r="N74" s="77"/>
      <c r="O74" s="79"/>
      <c r="P74" s="79"/>
      <c r="Q74" s="79"/>
    </row>
    <row r="75" spans="2:17" ht="82.5" x14ac:dyDescent="0.35">
      <c r="B75" s="225" t="s">
        <v>3</v>
      </c>
      <c r="C75" s="192" t="s">
        <v>940</v>
      </c>
      <c r="D75" s="193" t="s">
        <v>315</v>
      </c>
      <c r="E75" s="194" t="s">
        <v>25</v>
      </c>
      <c r="F75" s="215" t="s">
        <v>941</v>
      </c>
      <c r="G75" s="83" t="s">
        <v>33</v>
      </c>
      <c r="H75" s="75" t="s">
        <v>43</v>
      </c>
      <c r="I75" s="82"/>
      <c r="J75" s="83"/>
      <c r="K75" s="81"/>
      <c r="L75" s="81"/>
      <c r="M75" s="81"/>
      <c r="N75" s="81"/>
      <c r="O75" s="83"/>
      <c r="P75" s="83"/>
      <c r="Q75" s="83"/>
    </row>
    <row r="76" spans="2:17" ht="93" x14ac:dyDescent="0.35">
      <c r="B76" s="225" t="s">
        <v>3</v>
      </c>
      <c r="C76" s="197"/>
      <c r="D76" s="193" t="s">
        <v>316</v>
      </c>
      <c r="E76" s="194" t="s">
        <v>25</v>
      </c>
      <c r="F76" s="216" t="s">
        <v>942</v>
      </c>
      <c r="G76" s="83" t="s">
        <v>33</v>
      </c>
      <c r="H76" s="75" t="s">
        <v>43</v>
      </c>
      <c r="I76" s="82"/>
      <c r="J76" s="83"/>
      <c r="K76" s="81"/>
      <c r="L76" s="81"/>
      <c r="M76" s="81"/>
      <c r="N76" s="81"/>
      <c r="O76" s="83"/>
      <c r="P76" s="83"/>
      <c r="Q76" s="83"/>
    </row>
    <row r="77" spans="2:17" ht="82.5" x14ac:dyDescent="0.35">
      <c r="B77" s="225" t="s">
        <v>3</v>
      </c>
      <c r="C77" s="197"/>
      <c r="D77" s="193" t="s">
        <v>317</v>
      </c>
      <c r="E77" s="194" t="s">
        <v>25</v>
      </c>
      <c r="F77" s="216" t="s">
        <v>943</v>
      </c>
      <c r="G77" s="83" t="s">
        <v>33</v>
      </c>
      <c r="H77" s="75" t="s">
        <v>43</v>
      </c>
      <c r="I77" s="82"/>
      <c r="J77" s="83"/>
      <c r="K77" s="81"/>
      <c r="L77" s="81"/>
      <c r="M77" s="81"/>
      <c r="N77" s="81"/>
      <c r="O77" s="83"/>
      <c r="P77" s="83"/>
      <c r="Q77" s="83"/>
    </row>
    <row r="78" spans="2:17" ht="52.5" x14ac:dyDescent="0.35">
      <c r="B78" s="225" t="s">
        <v>3</v>
      </c>
      <c r="C78" s="197"/>
      <c r="D78" s="193" t="s">
        <v>318</v>
      </c>
      <c r="E78" s="194" t="s">
        <v>25</v>
      </c>
      <c r="F78" s="216" t="s">
        <v>712</v>
      </c>
      <c r="G78" s="83" t="s">
        <v>33</v>
      </c>
      <c r="H78" s="75" t="s">
        <v>43</v>
      </c>
      <c r="I78" s="82"/>
      <c r="J78" s="83"/>
      <c r="K78" s="81"/>
      <c r="L78" s="81"/>
      <c r="M78" s="81"/>
      <c r="N78" s="81"/>
      <c r="O78" s="83"/>
      <c r="P78" s="83"/>
      <c r="Q78" s="83"/>
    </row>
    <row r="79" spans="2:17" ht="71.5" x14ac:dyDescent="0.35">
      <c r="B79" s="226" t="s">
        <v>6</v>
      </c>
      <c r="C79" s="189" t="s">
        <v>944</v>
      </c>
      <c r="D79" s="190" t="s">
        <v>319</v>
      </c>
      <c r="E79" s="191" t="s">
        <v>24</v>
      </c>
      <c r="F79" s="217" t="s">
        <v>945</v>
      </c>
      <c r="G79" s="79" t="s">
        <v>33</v>
      </c>
      <c r="H79" s="74" t="s">
        <v>43</v>
      </c>
      <c r="I79" s="78"/>
      <c r="J79" s="79"/>
      <c r="K79" s="77"/>
      <c r="L79" s="77"/>
      <c r="M79" s="77"/>
      <c r="N79" s="77"/>
      <c r="O79" s="79"/>
      <c r="P79" s="79"/>
      <c r="Q79" s="79"/>
    </row>
    <row r="80" spans="2:17" ht="151.5" x14ac:dyDescent="0.35">
      <c r="B80" s="226" t="s">
        <v>6</v>
      </c>
      <c r="C80" s="189"/>
      <c r="D80" s="190" t="s">
        <v>320</v>
      </c>
      <c r="E80" s="191" t="s">
        <v>24</v>
      </c>
      <c r="F80" s="217" t="s">
        <v>946</v>
      </c>
      <c r="G80" s="79" t="s">
        <v>33</v>
      </c>
      <c r="H80" s="74" t="s">
        <v>43</v>
      </c>
      <c r="I80" s="78"/>
      <c r="J80" s="79"/>
      <c r="K80" s="77"/>
      <c r="L80" s="77"/>
      <c r="M80" s="77"/>
      <c r="N80" s="77"/>
      <c r="O80" s="79"/>
      <c r="P80" s="79"/>
      <c r="Q80" s="79"/>
    </row>
    <row r="81" spans="2:17" ht="111.5" x14ac:dyDescent="0.35">
      <c r="B81" s="226" t="s">
        <v>6</v>
      </c>
      <c r="C81" s="189"/>
      <c r="D81" s="190" t="s">
        <v>321</v>
      </c>
      <c r="E81" s="191" t="s">
        <v>24</v>
      </c>
      <c r="F81" s="217" t="s">
        <v>947</v>
      </c>
      <c r="G81" s="79" t="s">
        <v>33</v>
      </c>
      <c r="H81" s="74" t="s">
        <v>43</v>
      </c>
      <c r="I81" s="78"/>
      <c r="J81" s="79"/>
      <c r="K81" s="77"/>
      <c r="L81" s="77"/>
      <c r="M81" s="77"/>
      <c r="N81" s="77"/>
      <c r="O81" s="79"/>
      <c r="P81" s="79"/>
      <c r="Q81" s="79"/>
    </row>
    <row r="82" spans="2:17" ht="44.5" customHeight="1" x14ac:dyDescent="0.35">
      <c r="B82" s="226" t="s">
        <v>6</v>
      </c>
      <c r="C82" s="192" t="s">
        <v>948</v>
      </c>
      <c r="D82" s="193" t="s">
        <v>322</v>
      </c>
      <c r="E82" s="194" t="s">
        <v>24</v>
      </c>
      <c r="F82" s="215" t="s">
        <v>949</v>
      </c>
      <c r="G82" s="83" t="s">
        <v>33</v>
      </c>
      <c r="H82" s="74" t="s">
        <v>43</v>
      </c>
      <c r="I82" s="82"/>
      <c r="J82" s="83"/>
      <c r="K82" s="81"/>
      <c r="L82" s="81"/>
      <c r="M82" s="81"/>
      <c r="N82" s="81"/>
      <c r="O82" s="83"/>
      <c r="P82" s="83"/>
      <c r="Q82" s="83"/>
    </row>
    <row r="83" spans="2:17" ht="91.5" x14ac:dyDescent="0.35">
      <c r="B83" s="226" t="s">
        <v>6</v>
      </c>
      <c r="C83" s="192"/>
      <c r="D83" s="193" t="s">
        <v>323</v>
      </c>
      <c r="E83" s="194" t="s">
        <v>24</v>
      </c>
      <c r="F83" s="218" t="s">
        <v>950</v>
      </c>
      <c r="G83" s="83" t="s">
        <v>33</v>
      </c>
      <c r="H83" s="74" t="s">
        <v>43</v>
      </c>
      <c r="I83" s="82"/>
      <c r="J83" s="83"/>
      <c r="K83" s="81"/>
      <c r="L83" s="81"/>
      <c r="M83" s="81"/>
      <c r="N83" s="81"/>
      <c r="O83" s="83"/>
      <c r="P83" s="83"/>
      <c r="Q83" s="83"/>
    </row>
    <row r="84" spans="2:17" ht="71.5" x14ac:dyDescent="0.35">
      <c r="B84" s="226" t="s">
        <v>6</v>
      </c>
      <c r="C84" s="192"/>
      <c r="D84" s="193" t="s">
        <v>324</v>
      </c>
      <c r="E84" s="194" t="s">
        <v>24</v>
      </c>
      <c r="F84" s="218" t="s">
        <v>951</v>
      </c>
      <c r="G84" s="83" t="s">
        <v>33</v>
      </c>
      <c r="H84" s="74" t="s">
        <v>43</v>
      </c>
      <c r="I84" s="82"/>
      <c r="J84" s="83"/>
      <c r="K84" s="81"/>
      <c r="L84" s="81"/>
      <c r="M84" s="81"/>
      <c r="N84" s="81"/>
      <c r="O84" s="83"/>
      <c r="P84" s="83"/>
      <c r="Q84" s="83"/>
    </row>
    <row r="85" spans="2:17" ht="81.5" x14ac:dyDescent="0.35">
      <c r="B85" s="226" t="s">
        <v>6</v>
      </c>
      <c r="C85" s="189" t="s">
        <v>952</v>
      </c>
      <c r="D85" s="190" t="s">
        <v>325</v>
      </c>
      <c r="E85" s="191" t="s">
        <v>24</v>
      </c>
      <c r="F85" s="217" t="s">
        <v>953</v>
      </c>
      <c r="G85" s="79" t="s">
        <v>33</v>
      </c>
      <c r="H85" s="74" t="s">
        <v>43</v>
      </c>
      <c r="I85" s="78"/>
      <c r="J85" s="79"/>
      <c r="K85" s="77"/>
      <c r="L85" s="77"/>
      <c r="M85" s="77"/>
      <c r="N85" s="77"/>
      <c r="O85" s="79"/>
      <c r="P85" s="79"/>
      <c r="Q85" s="79"/>
    </row>
    <row r="86" spans="2:17" ht="55" customHeight="1" x14ac:dyDescent="0.35">
      <c r="B86" s="226" t="s">
        <v>6</v>
      </c>
      <c r="C86" s="189"/>
      <c r="D86" s="190" t="s">
        <v>326</v>
      </c>
      <c r="E86" s="191" t="s">
        <v>24</v>
      </c>
      <c r="F86" s="219" t="s">
        <v>713</v>
      </c>
      <c r="G86" s="79" t="s">
        <v>33</v>
      </c>
      <c r="H86" s="74" t="s">
        <v>43</v>
      </c>
      <c r="I86" s="78"/>
      <c r="J86" s="79"/>
      <c r="K86" s="77"/>
      <c r="L86" s="77"/>
      <c r="M86" s="77"/>
      <c r="N86" s="77"/>
      <c r="O86" s="79"/>
      <c r="P86" s="79"/>
      <c r="Q86" s="79"/>
    </row>
    <row r="87" spans="2:17" ht="31.5" x14ac:dyDescent="0.35">
      <c r="B87" s="226" t="s">
        <v>6</v>
      </c>
      <c r="C87" s="199" t="s">
        <v>954</v>
      </c>
      <c r="D87" s="200" t="s">
        <v>327</v>
      </c>
      <c r="E87" s="201" t="s">
        <v>24</v>
      </c>
      <c r="F87" s="196" t="s">
        <v>954</v>
      </c>
      <c r="G87" s="83" t="s">
        <v>33</v>
      </c>
      <c r="H87" s="74" t="s">
        <v>43</v>
      </c>
      <c r="I87" s="82"/>
      <c r="J87" s="83"/>
      <c r="K87" s="81"/>
      <c r="L87" s="81"/>
      <c r="M87" s="81"/>
      <c r="N87" s="81"/>
      <c r="O87" s="83"/>
      <c r="P87" s="83"/>
      <c r="Q87" s="83"/>
    </row>
    <row r="88" spans="2:17" ht="61.5" x14ac:dyDescent="0.35">
      <c r="B88" s="226" t="s">
        <v>6</v>
      </c>
      <c r="C88" s="189" t="s">
        <v>955</v>
      </c>
      <c r="D88" s="190" t="s">
        <v>328</v>
      </c>
      <c r="E88" s="191" t="s">
        <v>25</v>
      </c>
      <c r="F88" s="217" t="s">
        <v>956</v>
      </c>
      <c r="G88" s="79" t="s">
        <v>33</v>
      </c>
      <c r="H88" s="74" t="s">
        <v>43</v>
      </c>
      <c r="I88" s="78"/>
      <c r="J88" s="79"/>
      <c r="K88" s="77"/>
      <c r="L88" s="77"/>
      <c r="M88" s="77"/>
      <c r="N88" s="77"/>
      <c r="O88" s="79"/>
      <c r="P88" s="79"/>
      <c r="Q88" s="79"/>
    </row>
    <row r="89" spans="2:17" ht="61.5" x14ac:dyDescent="0.35">
      <c r="B89" s="226" t="s">
        <v>6</v>
      </c>
      <c r="C89" s="189"/>
      <c r="D89" s="190" t="s">
        <v>329</v>
      </c>
      <c r="E89" s="191" t="s">
        <v>25</v>
      </c>
      <c r="F89" s="217" t="s">
        <v>957</v>
      </c>
      <c r="G89" s="79" t="s">
        <v>33</v>
      </c>
      <c r="H89" s="74" t="s">
        <v>43</v>
      </c>
      <c r="I89" s="78"/>
      <c r="J89" s="79"/>
      <c r="K89" s="77"/>
      <c r="L89" s="77"/>
      <c r="M89" s="77"/>
      <c r="N89" s="77"/>
      <c r="O89" s="79"/>
      <c r="P89" s="79"/>
      <c r="Q89" s="79"/>
    </row>
    <row r="90" spans="2:17" ht="31.5" x14ac:dyDescent="0.35">
      <c r="B90" s="226" t="s">
        <v>6</v>
      </c>
      <c r="C90" s="192" t="s">
        <v>958</v>
      </c>
      <c r="D90" s="193" t="s">
        <v>330</v>
      </c>
      <c r="E90" s="194" t="s">
        <v>25</v>
      </c>
      <c r="F90" s="215" t="s">
        <v>959</v>
      </c>
      <c r="G90" s="83" t="s">
        <v>33</v>
      </c>
      <c r="H90" s="75" t="s">
        <v>43</v>
      </c>
      <c r="I90" s="82"/>
      <c r="J90" s="83"/>
      <c r="K90" s="81"/>
      <c r="L90" s="81"/>
      <c r="M90" s="81"/>
      <c r="N90" s="81"/>
      <c r="O90" s="83"/>
      <c r="P90" s="83"/>
      <c r="Q90" s="83"/>
    </row>
    <row r="91" spans="2:17" ht="31.5" x14ac:dyDescent="0.35">
      <c r="B91" s="226" t="s">
        <v>6</v>
      </c>
      <c r="C91" s="192"/>
      <c r="D91" s="193" t="s">
        <v>331</v>
      </c>
      <c r="E91" s="194" t="s">
        <v>25</v>
      </c>
      <c r="F91" s="215" t="s">
        <v>960</v>
      </c>
      <c r="G91" s="83" t="s">
        <v>33</v>
      </c>
      <c r="H91" s="75" t="s">
        <v>43</v>
      </c>
      <c r="I91" s="82"/>
      <c r="J91" s="83"/>
      <c r="K91" s="81"/>
      <c r="L91" s="81"/>
      <c r="M91" s="81"/>
      <c r="N91" s="81"/>
      <c r="O91" s="83"/>
      <c r="P91" s="83"/>
      <c r="Q91" s="83"/>
    </row>
    <row r="92" spans="2:17" ht="42" x14ac:dyDescent="0.35">
      <c r="B92" s="226" t="s">
        <v>6</v>
      </c>
      <c r="C92" s="199" t="s">
        <v>961</v>
      </c>
      <c r="D92" s="200" t="s">
        <v>332</v>
      </c>
      <c r="E92" s="201" t="s">
        <v>24</v>
      </c>
      <c r="F92" s="196" t="s">
        <v>343</v>
      </c>
      <c r="G92" s="79" t="s">
        <v>33</v>
      </c>
      <c r="H92" s="74" t="s">
        <v>43</v>
      </c>
      <c r="I92" s="78"/>
      <c r="J92" s="79"/>
      <c r="K92" s="77"/>
      <c r="L92" s="77"/>
      <c r="M92" s="77"/>
      <c r="N92" s="77"/>
      <c r="O92" s="79"/>
      <c r="P92" s="79"/>
      <c r="Q92" s="79"/>
    </row>
    <row r="93" spans="2:17" ht="81.5" x14ac:dyDescent="0.35">
      <c r="B93" s="226" t="s">
        <v>6</v>
      </c>
      <c r="C93" s="192" t="s">
        <v>962</v>
      </c>
      <c r="D93" s="193" t="s">
        <v>333</v>
      </c>
      <c r="E93" s="194" t="s">
        <v>24</v>
      </c>
      <c r="F93" s="198" t="s">
        <v>963</v>
      </c>
      <c r="G93" s="83" t="s">
        <v>33</v>
      </c>
      <c r="H93" s="74" t="s">
        <v>43</v>
      </c>
      <c r="I93" s="82"/>
      <c r="J93" s="83"/>
      <c r="K93" s="81"/>
      <c r="L93" s="81"/>
      <c r="M93" s="81"/>
      <c r="N93" s="81"/>
      <c r="O93" s="83"/>
      <c r="P93" s="83"/>
      <c r="Q93" s="83"/>
    </row>
    <row r="94" spans="2:17" ht="71.5" x14ac:dyDescent="0.35">
      <c r="B94" s="226" t="s">
        <v>6</v>
      </c>
      <c r="C94" s="192"/>
      <c r="D94" s="193" t="s">
        <v>334</v>
      </c>
      <c r="E94" s="194" t="s">
        <v>24</v>
      </c>
      <c r="F94" s="218" t="s">
        <v>964</v>
      </c>
      <c r="G94" s="83" t="s">
        <v>33</v>
      </c>
      <c r="H94" s="74" t="s">
        <v>43</v>
      </c>
      <c r="I94" s="82"/>
      <c r="J94" s="83"/>
      <c r="K94" s="81"/>
      <c r="L94" s="81"/>
      <c r="M94" s="81"/>
      <c r="N94" s="81"/>
      <c r="O94" s="83"/>
      <c r="P94" s="83"/>
      <c r="Q94" s="83"/>
    </row>
    <row r="95" spans="2:17" ht="46.5" customHeight="1" x14ac:dyDescent="0.35">
      <c r="B95" s="226" t="s">
        <v>6</v>
      </c>
      <c r="C95" s="189" t="s">
        <v>965</v>
      </c>
      <c r="D95" s="190" t="s">
        <v>335</v>
      </c>
      <c r="E95" s="191" t="s">
        <v>24</v>
      </c>
      <c r="F95" s="219" t="s">
        <v>344</v>
      </c>
      <c r="G95" s="79" t="s">
        <v>33</v>
      </c>
      <c r="H95" s="74" t="s">
        <v>43</v>
      </c>
      <c r="I95" s="78"/>
      <c r="J95" s="79"/>
      <c r="K95" s="77"/>
      <c r="L95" s="77"/>
      <c r="M95" s="77"/>
      <c r="N95" s="77"/>
      <c r="O95" s="79"/>
      <c r="P95" s="79"/>
      <c r="Q95" s="79"/>
    </row>
    <row r="96" spans="2:17" ht="125" customHeight="1" x14ac:dyDescent="0.35">
      <c r="B96" s="226" t="s">
        <v>6</v>
      </c>
      <c r="C96" s="192" t="s">
        <v>966</v>
      </c>
      <c r="D96" s="193" t="s">
        <v>336</v>
      </c>
      <c r="E96" s="194" t="s">
        <v>24</v>
      </c>
      <c r="F96" s="197" t="s">
        <v>967</v>
      </c>
      <c r="G96" s="83" t="s">
        <v>33</v>
      </c>
      <c r="H96" s="74" t="s">
        <v>43</v>
      </c>
      <c r="I96" s="82"/>
      <c r="J96" s="83"/>
      <c r="K96" s="81"/>
      <c r="L96" s="81"/>
      <c r="M96" s="81"/>
      <c r="N96" s="81"/>
      <c r="O96" s="83"/>
      <c r="P96" s="83"/>
      <c r="Q96" s="83"/>
    </row>
    <row r="97" spans="2:17" ht="30" x14ac:dyDescent="0.35">
      <c r="B97" s="226" t="s">
        <v>6</v>
      </c>
      <c r="C97" s="189" t="s">
        <v>968</v>
      </c>
      <c r="D97" s="190" t="s">
        <v>337</v>
      </c>
      <c r="E97" s="191" t="s">
        <v>24</v>
      </c>
      <c r="F97" s="219" t="s">
        <v>345</v>
      </c>
      <c r="G97" s="79" t="s">
        <v>33</v>
      </c>
      <c r="H97" s="74" t="s">
        <v>43</v>
      </c>
      <c r="I97" s="78"/>
      <c r="J97" s="79"/>
      <c r="K97" s="77"/>
      <c r="L97" s="77"/>
      <c r="M97" s="77"/>
      <c r="N97" s="77"/>
      <c r="O97" s="79"/>
      <c r="P97" s="79"/>
      <c r="Q97" s="79"/>
    </row>
    <row r="98" spans="2:17" ht="82" customHeight="1" x14ac:dyDescent="0.35">
      <c r="B98" s="226" t="s">
        <v>6</v>
      </c>
      <c r="C98" s="189"/>
      <c r="D98" s="190" t="s">
        <v>338</v>
      </c>
      <c r="E98" s="191" t="s">
        <v>24</v>
      </c>
      <c r="F98" s="219" t="s">
        <v>969</v>
      </c>
      <c r="G98" s="79" t="s">
        <v>33</v>
      </c>
      <c r="H98" s="74" t="s">
        <v>43</v>
      </c>
      <c r="I98" s="78"/>
      <c r="J98" s="79"/>
      <c r="K98" s="77"/>
      <c r="L98" s="77"/>
      <c r="M98" s="77"/>
      <c r="N98" s="77"/>
      <c r="O98" s="79"/>
      <c r="P98" s="79"/>
      <c r="Q98" s="79"/>
    </row>
    <row r="99" spans="2:17" ht="82" customHeight="1" x14ac:dyDescent="0.35">
      <c r="B99" s="226" t="s">
        <v>6</v>
      </c>
      <c r="C99" s="189"/>
      <c r="D99" s="190" t="s">
        <v>714</v>
      </c>
      <c r="E99" s="191" t="s">
        <v>24</v>
      </c>
      <c r="F99" s="219" t="s">
        <v>970</v>
      </c>
      <c r="G99" s="79" t="s">
        <v>33</v>
      </c>
      <c r="H99" s="74" t="s">
        <v>43</v>
      </c>
      <c r="I99" s="78"/>
      <c r="J99" s="79"/>
      <c r="K99" s="77"/>
      <c r="L99" s="77"/>
      <c r="M99" s="77"/>
      <c r="N99" s="77"/>
      <c r="O99" s="79"/>
      <c r="P99" s="79"/>
      <c r="Q99" s="79"/>
    </row>
    <row r="100" spans="2:17" ht="84" customHeight="1" x14ac:dyDescent="0.35">
      <c r="B100" s="226" t="s">
        <v>6</v>
      </c>
      <c r="C100" s="192" t="s">
        <v>971</v>
      </c>
      <c r="D100" s="193" t="s">
        <v>339</v>
      </c>
      <c r="E100" s="194" t="s">
        <v>24</v>
      </c>
      <c r="F100" s="215" t="s">
        <v>972</v>
      </c>
      <c r="G100" s="83" t="s">
        <v>33</v>
      </c>
      <c r="H100" s="75" t="s">
        <v>43</v>
      </c>
      <c r="I100" s="82"/>
      <c r="J100" s="83"/>
      <c r="K100" s="81"/>
      <c r="L100" s="81"/>
      <c r="M100" s="81"/>
      <c r="N100" s="81"/>
      <c r="O100" s="83"/>
      <c r="P100" s="83"/>
      <c r="Q100" s="83"/>
    </row>
    <row r="101" spans="2:17" ht="82.5" customHeight="1" x14ac:dyDescent="0.35">
      <c r="B101" s="226" t="s">
        <v>6</v>
      </c>
      <c r="C101" s="192"/>
      <c r="D101" s="193" t="s">
        <v>340</v>
      </c>
      <c r="E101" s="194" t="s">
        <v>24</v>
      </c>
      <c r="F101" s="215" t="s">
        <v>973</v>
      </c>
      <c r="G101" s="83" t="s">
        <v>33</v>
      </c>
      <c r="H101" s="75" t="s">
        <v>43</v>
      </c>
      <c r="I101" s="82"/>
      <c r="J101" s="83"/>
      <c r="K101" s="81"/>
      <c r="L101" s="81"/>
      <c r="M101" s="81"/>
      <c r="N101" s="81"/>
      <c r="O101" s="83"/>
      <c r="P101" s="83"/>
      <c r="Q101" s="83"/>
    </row>
    <row r="102" spans="2:17" ht="103.5" customHeight="1" x14ac:dyDescent="0.35">
      <c r="B102" s="226" t="s">
        <v>6</v>
      </c>
      <c r="C102" s="189" t="s">
        <v>974</v>
      </c>
      <c r="D102" s="190" t="s">
        <v>341</v>
      </c>
      <c r="E102" s="191" t="s">
        <v>24</v>
      </c>
      <c r="F102" s="217" t="s">
        <v>975</v>
      </c>
      <c r="G102" s="79" t="s">
        <v>33</v>
      </c>
      <c r="H102" s="74" t="s">
        <v>43</v>
      </c>
      <c r="I102" s="78"/>
      <c r="J102" s="79"/>
      <c r="K102" s="77"/>
      <c r="L102" s="77"/>
      <c r="M102" s="77"/>
      <c r="N102" s="77"/>
      <c r="O102" s="79"/>
      <c r="P102" s="79"/>
      <c r="Q102" s="79"/>
    </row>
    <row r="103" spans="2:17" ht="102" x14ac:dyDescent="0.35">
      <c r="B103" s="226" t="s">
        <v>6</v>
      </c>
      <c r="C103" s="189"/>
      <c r="D103" s="190" t="s">
        <v>342</v>
      </c>
      <c r="E103" s="191" t="s">
        <v>24</v>
      </c>
      <c r="F103" s="217" t="s">
        <v>976</v>
      </c>
      <c r="G103" s="79" t="s">
        <v>33</v>
      </c>
      <c r="H103" s="74" t="s">
        <v>43</v>
      </c>
      <c r="I103" s="78"/>
      <c r="J103" s="79"/>
      <c r="K103" s="77"/>
      <c r="L103" s="77"/>
      <c r="M103" s="77"/>
      <c r="N103" s="77"/>
      <c r="O103" s="79"/>
      <c r="P103" s="79"/>
      <c r="Q103" s="79"/>
    </row>
    <row r="104" spans="2:17" ht="21" x14ac:dyDescent="0.35">
      <c r="B104" s="225" t="s">
        <v>9</v>
      </c>
      <c r="C104" s="192" t="s">
        <v>977</v>
      </c>
      <c r="D104" s="193" t="s">
        <v>346</v>
      </c>
      <c r="E104" s="194" t="s">
        <v>24</v>
      </c>
      <c r="F104" s="213" t="s">
        <v>715</v>
      </c>
      <c r="G104" s="83" t="s">
        <v>33</v>
      </c>
      <c r="H104" s="75" t="s">
        <v>43</v>
      </c>
      <c r="I104" s="82"/>
      <c r="J104" s="83"/>
      <c r="K104" s="81"/>
      <c r="L104" s="81"/>
      <c r="M104" s="81"/>
      <c r="N104" s="81"/>
      <c r="O104" s="83"/>
      <c r="P104" s="83"/>
      <c r="Q104" s="83"/>
    </row>
    <row r="105" spans="2:17" ht="21" x14ac:dyDescent="0.35">
      <c r="B105" s="225" t="s">
        <v>9</v>
      </c>
      <c r="C105" s="189" t="s">
        <v>978</v>
      </c>
      <c r="D105" s="190" t="s">
        <v>347</v>
      </c>
      <c r="E105" s="191" t="s">
        <v>24</v>
      </c>
      <c r="F105" s="219" t="s">
        <v>978</v>
      </c>
      <c r="G105" s="79" t="s">
        <v>33</v>
      </c>
      <c r="H105" s="75" t="s">
        <v>43</v>
      </c>
      <c r="I105" s="78"/>
      <c r="J105" s="79"/>
      <c r="K105" s="77"/>
      <c r="L105" s="77"/>
      <c r="M105" s="77"/>
      <c r="N105" s="77"/>
      <c r="O105" s="79"/>
      <c r="P105" s="79"/>
      <c r="Q105" s="79"/>
    </row>
    <row r="106" spans="2:17" ht="51" x14ac:dyDescent="0.35">
      <c r="B106" s="225" t="s">
        <v>9</v>
      </c>
      <c r="C106" s="192" t="s">
        <v>716</v>
      </c>
      <c r="D106" s="193" t="s">
        <v>348</v>
      </c>
      <c r="E106" s="194" t="s">
        <v>24</v>
      </c>
      <c r="F106" s="218" t="s">
        <v>979</v>
      </c>
      <c r="G106" s="83" t="s">
        <v>33</v>
      </c>
      <c r="H106" s="75" t="s">
        <v>43</v>
      </c>
      <c r="I106" s="82"/>
      <c r="J106" s="83"/>
      <c r="K106" s="81"/>
      <c r="L106" s="81"/>
      <c r="M106" s="81"/>
      <c r="N106" s="81"/>
      <c r="O106" s="83"/>
      <c r="P106" s="83"/>
      <c r="Q106" s="83"/>
    </row>
    <row r="107" spans="2:17" ht="31.5" x14ac:dyDescent="0.35">
      <c r="B107" s="225" t="s">
        <v>9</v>
      </c>
      <c r="C107" s="189" t="s">
        <v>980</v>
      </c>
      <c r="D107" s="190" t="s">
        <v>349</v>
      </c>
      <c r="E107" s="191" t="s">
        <v>24</v>
      </c>
      <c r="F107" s="219" t="s">
        <v>980</v>
      </c>
      <c r="G107" s="79" t="s">
        <v>33</v>
      </c>
      <c r="H107" s="75" t="s">
        <v>43</v>
      </c>
      <c r="I107" s="78"/>
      <c r="J107" s="79"/>
      <c r="K107" s="77"/>
      <c r="L107" s="77"/>
      <c r="M107" s="77"/>
      <c r="N107" s="77"/>
      <c r="O107" s="79"/>
      <c r="P107" s="79"/>
      <c r="Q107" s="79"/>
    </row>
    <row r="108" spans="2:17" ht="45" customHeight="1" x14ac:dyDescent="0.35">
      <c r="B108" s="225" t="s">
        <v>9</v>
      </c>
      <c r="C108" s="192" t="s">
        <v>981</v>
      </c>
      <c r="D108" s="193" t="s">
        <v>350</v>
      </c>
      <c r="E108" s="194" t="s">
        <v>24</v>
      </c>
      <c r="F108" s="215" t="s">
        <v>982</v>
      </c>
      <c r="G108" s="83" t="s">
        <v>33</v>
      </c>
      <c r="H108" s="75" t="s">
        <v>43</v>
      </c>
      <c r="I108" s="82"/>
      <c r="J108" s="83"/>
      <c r="K108" s="81"/>
      <c r="L108" s="81"/>
      <c r="M108" s="81"/>
      <c r="N108" s="81"/>
      <c r="O108" s="83"/>
      <c r="P108" s="83"/>
      <c r="Q108" s="83"/>
    </row>
    <row r="109" spans="2:17" ht="81.5" x14ac:dyDescent="0.35">
      <c r="B109" s="225" t="s">
        <v>9</v>
      </c>
      <c r="C109" s="189" t="s">
        <v>351</v>
      </c>
      <c r="D109" s="190" t="s">
        <v>352</v>
      </c>
      <c r="E109" s="191" t="s">
        <v>24</v>
      </c>
      <c r="F109" s="219" t="s">
        <v>983</v>
      </c>
      <c r="G109" s="79" t="s">
        <v>33</v>
      </c>
      <c r="H109" s="74" t="s">
        <v>43</v>
      </c>
      <c r="I109" s="78"/>
      <c r="J109" s="79"/>
      <c r="K109" s="77"/>
      <c r="L109" s="77"/>
      <c r="M109" s="77"/>
      <c r="N109" s="77"/>
      <c r="O109" s="79"/>
      <c r="P109" s="79"/>
      <c r="Q109" s="79"/>
    </row>
    <row r="110" spans="2:17" ht="71.5" x14ac:dyDescent="0.35">
      <c r="B110" s="225" t="s">
        <v>9</v>
      </c>
      <c r="C110" s="189"/>
      <c r="D110" s="190" t="s">
        <v>353</v>
      </c>
      <c r="E110" s="191" t="s">
        <v>24</v>
      </c>
      <c r="F110" s="219" t="s">
        <v>984</v>
      </c>
      <c r="G110" s="79" t="s">
        <v>33</v>
      </c>
      <c r="H110" s="74" t="s">
        <v>43</v>
      </c>
      <c r="I110" s="78"/>
      <c r="J110" s="79"/>
      <c r="K110" s="77"/>
      <c r="L110" s="77"/>
      <c r="M110" s="77"/>
      <c r="N110" s="77"/>
      <c r="O110" s="79"/>
      <c r="P110" s="79"/>
      <c r="Q110" s="79"/>
    </row>
    <row r="111" spans="2:17" ht="42" x14ac:dyDescent="0.35">
      <c r="B111" s="225" t="s">
        <v>9</v>
      </c>
      <c r="C111" s="189"/>
      <c r="D111" s="190" t="s">
        <v>717</v>
      </c>
      <c r="E111" s="191" t="s">
        <v>24</v>
      </c>
      <c r="F111" s="219" t="s">
        <v>985</v>
      </c>
      <c r="G111" s="79" t="s">
        <v>33</v>
      </c>
      <c r="H111" s="74" t="s">
        <v>43</v>
      </c>
      <c r="I111" s="78"/>
      <c r="J111" s="79"/>
      <c r="K111" s="77"/>
      <c r="L111" s="77"/>
      <c r="M111" s="77"/>
      <c r="N111" s="77"/>
      <c r="O111" s="79"/>
      <c r="P111" s="79"/>
      <c r="Q111" s="79"/>
    </row>
    <row r="112" spans="2:17" ht="82" x14ac:dyDescent="0.35">
      <c r="B112" s="225" t="s">
        <v>9</v>
      </c>
      <c r="C112" s="192" t="s">
        <v>986</v>
      </c>
      <c r="D112" s="193" t="s">
        <v>354</v>
      </c>
      <c r="E112" s="194" t="s">
        <v>24</v>
      </c>
      <c r="F112" s="215" t="s">
        <v>987</v>
      </c>
      <c r="G112" s="83" t="s">
        <v>33</v>
      </c>
      <c r="H112" s="75" t="s">
        <v>43</v>
      </c>
      <c r="I112" s="82"/>
      <c r="J112" s="83"/>
      <c r="K112" s="81"/>
      <c r="L112" s="81"/>
      <c r="M112" s="81"/>
      <c r="N112" s="81"/>
      <c r="O112" s="83"/>
      <c r="P112" s="83"/>
      <c r="Q112" s="83"/>
    </row>
    <row r="113" spans="2:17" ht="82" x14ac:dyDescent="0.35">
      <c r="B113" s="225" t="s">
        <v>9</v>
      </c>
      <c r="C113" s="192"/>
      <c r="D113" s="193" t="s">
        <v>355</v>
      </c>
      <c r="E113" s="194" t="s">
        <v>24</v>
      </c>
      <c r="F113" s="215" t="s">
        <v>988</v>
      </c>
      <c r="G113" s="83" t="s">
        <v>33</v>
      </c>
      <c r="H113" s="75" t="s">
        <v>43</v>
      </c>
      <c r="I113" s="82"/>
      <c r="J113" s="83"/>
      <c r="K113" s="81"/>
      <c r="L113" s="81"/>
      <c r="M113" s="81"/>
      <c r="N113" s="81"/>
      <c r="O113" s="83"/>
      <c r="P113" s="83"/>
      <c r="Q113" s="83"/>
    </row>
    <row r="114" spans="2:17" ht="83" customHeight="1" x14ac:dyDescent="0.35">
      <c r="B114" s="225" t="s">
        <v>9</v>
      </c>
      <c r="C114" s="192"/>
      <c r="D114" s="193" t="s">
        <v>356</v>
      </c>
      <c r="E114" s="194" t="s">
        <v>24</v>
      </c>
      <c r="F114" s="215" t="s">
        <v>989</v>
      </c>
      <c r="G114" s="83" t="s">
        <v>33</v>
      </c>
      <c r="H114" s="75" t="s">
        <v>43</v>
      </c>
      <c r="I114" s="82"/>
      <c r="J114" s="83"/>
      <c r="K114" s="81"/>
      <c r="L114" s="81"/>
      <c r="M114" s="81"/>
      <c r="N114" s="81"/>
      <c r="O114" s="83"/>
      <c r="P114" s="83"/>
      <c r="Q114" s="83"/>
    </row>
    <row r="115" spans="2:17" ht="73" customHeight="1" x14ac:dyDescent="0.35">
      <c r="B115" s="225" t="s">
        <v>9</v>
      </c>
      <c r="C115" s="192"/>
      <c r="D115" s="193" t="s">
        <v>357</v>
      </c>
      <c r="E115" s="194" t="s">
        <v>24</v>
      </c>
      <c r="F115" s="215" t="s">
        <v>990</v>
      </c>
      <c r="G115" s="83" t="s">
        <v>33</v>
      </c>
      <c r="H115" s="75" t="s">
        <v>43</v>
      </c>
      <c r="I115" s="82"/>
      <c r="J115" s="83"/>
      <c r="K115" s="81"/>
      <c r="L115" s="81"/>
      <c r="M115" s="81"/>
      <c r="N115" s="81"/>
      <c r="O115" s="83"/>
      <c r="P115" s="83"/>
      <c r="Q115" s="83"/>
    </row>
    <row r="116" spans="2:17" ht="92.5" x14ac:dyDescent="0.35">
      <c r="B116" s="225" t="s">
        <v>9</v>
      </c>
      <c r="C116" s="192"/>
      <c r="D116" s="193" t="s">
        <v>718</v>
      </c>
      <c r="E116" s="194" t="s">
        <v>24</v>
      </c>
      <c r="F116" s="215" t="s">
        <v>991</v>
      </c>
      <c r="G116" s="83" t="s">
        <v>33</v>
      </c>
      <c r="H116" s="75" t="s">
        <v>43</v>
      </c>
      <c r="I116" s="82"/>
      <c r="J116" s="83"/>
      <c r="K116" s="81"/>
      <c r="L116" s="81"/>
      <c r="M116" s="81"/>
      <c r="N116" s="81"/>
      <c r="O116" s="83"/>
      <c r="P116" s="83"/>
      <c r="Q116" s="83"/>
    </row>
    <row r="117" spans="2:17" ht="92.5" customHeight="1" x14ac:dyDescent="0.35">
      <c r="B117" s="225" t="s">
        <v>9</v>
      </c>
      <c r="C117" s="189" t="s">
        <v>992</v>
      </c>
      <c r="D117" s="190" t="s">
        <v>358</v>
      </c>
      <c r="E117" s="191" t="s">
        <v>24</v>
      </c>
      <c r="F117" s="217" t="s">
        <v>993</v>
      </c>
      <c r="G117" s="79" t="s">
        <v>33</v>
      </c>
      <c r="H117" s="74" t="s">
        <v>43</v>
      </c>
      <c r="I117" s="78"/>
      <c r="J117" s="79"/>
      <c r="K117" s="77"/>
      <c r="L117" s="77"/>
      <c r="M117" s="77"/>
      <c r="N117" s="77"/>
      <c r="O117" s="79"/>
      <c r="P117" s="79"/>
      <c r="Q117" s="79"/>
    </row>
    <row r="118" spans="2:17" ht="61" x14ac:dyDescent="0.35">
      <c r="B118" s="226" t="s">
        <v>359</v>
      </c>
      <c r="C118" s="192" t="s">
        <v>994</v>
      </c>
      <c r="D118" s="193" t="s">
        <v>360</v>
      </c>
      <c r="E118" s="194" t="s">
        <v>24</v>
      </c>
      <c r="F118" s="209" t="s">
        <v>995</v>
      </c>
      <c r="G118" s="83" t="s">
        <v>33</v>
      </c>
      <c r="H118" s="75" t="s">
        <v>43</v>
      </c>
      <c r="I118" s="82"/>
      <c r="J118" s="83"/>
      <c r="K118" s="81"/>
      <c r="L118" s="81"/>
      <c r="M118" s="81"/>
      <c r="N118" s="81"/>
      <c r="O118" s="83"/>
      <c r="P118" s="83"/>
      <c r="Q118" s="83"/>
    </row>
    <row r="119" spans="2:17" ht="61" x14ac:dyDescent="0.35">
      <c r="B119" s="226" t="s">
        <v>359</v>
      </c>
      <c r="C119" s="192"/>
      <c r="D119" s="193" t="s">
        <v>361</v>
      </c>
      <c r="E119" s="194" t="s">
        <v>24</v>
      </c>
      <c r="F119" s="209" t="s">
        <v>996</v>
      </c>
      <c r="G119" s="83" t="s">
        <v>33</v>
      </c>
      <c r="H119" s="75" t="s">
        <v>43</v>
      </c>
      <c r="I119" s="82"/>
      <c r="J119" s="83"/>
      <c r="K119" s="81"/>
      <c r="L119" s="81"/>
      <c r="M119" s="81"/>
      <c r="N119" s="81"/>
      <c r="O119" s="83"/>
      <c r="P119" s="83"/>
      <c r="Q119" s="83"/>
    </row>
    <row r="120" spans="2:17" ht="61" x14ac:dyDescent="0.35">
      <c r="B120" s="226" t="s">
        <v>359</v>
      </c>
      <c r="C120" s="192"/>
      <c r="D120" s="193" t="s">
        <v>362</v>
      </c>
      <c r="E120" s="194" t="s">
        <v>24</v>
      </c>
      <c r="F120" s="209" t="s">
        <v>997</v>
      </c>
      <c r="G120" s="83" t="s">
        <v>33</v>
      </c>
      <c r="H120" s="75" t="s">
        <v>43</v>
      </c>
      <c r="I120" s="82"/>
      <c r="J120" s="83"/>
      <c r="K120" s="81"/>
      <c r="L120" s="81"/>
      <c r="M120" s="81"/>
      <c r="N120" s="81"/>
      <c r="O120" s="83"/>
      <c r="P120" s="83"/>
      <c r="Q120" s="83"/>
    </row>
    <row r="121" spans="2:17" ht="61" x14ac:dyDescent="0.35">
      <c r="B121" s="226" t="s">
        <v>359</v>
      </c>
      <c r="C121" s="192"/>
      <c r="D121" s="193" t="s">
        <v>719</v>
      </c>
      <c r="E121" s="194" t="s">
        <v>24</v>
      </c>
      <c r="F121" s="209" t="s">
        <v>998</v>
      </c>
      <c r="G121" s="83" t="s">
        <v>33</v>
      </c>
      <c r="H121" s="75" t="s">
        <v>43</v>
      </c>
      <c r="I121" s="82"/>
      <c r="J121" s="83"/>
      <c r="K121" s="81"/>
      <c r="L121" s="81"/>
      <c r="M121" s="81"/>
      <c r="N121" s="81"/>
      <c r="O121" s="83"/>
      <c r="P121" s="83"/>
      <c r="Q121" s="83"/>
    </row>
    <row r="122" spans="2:17" ht="31.5" x14ac:dyDescent="0.35">
      <c r="B122" s="226" t="s">
        <v>359</v>
      </c>
      <c r="C122" s="192"/>
      <c r="D122" s="193" t="s">
        <v>720</v>
      </c>
      <c r="E122" s="194" t="s">
        <v>24</v>
      </c>
      <c r="F122" s="209" t="s">
        <v>999</v>
      </c>
      <c r="G122" s="83" t="s">
        <v>33</v>
      </c>
      <c r="H122" s="75" t="s">
        <v>43</v>
      </c>
      <c r="I122" s="82"/>
      <c r="J122" s="83"/>
      <c r="K122" s="81"/>
      <c r="L122" s="81"/>
      <c r="M122" s="81"/>
      <c r="N122" s="81"/>
      <c r="O122" s="83"/>
      <c r="P122" s="83"/>
      <c r="Q122" s="83"/>
    </row>
    <row r="123" spans="2:17" ht="34" customHeight="1" x14ac:dyDescent="0.35">
      <c r="B123" s="226" t="s">
        <v>359</v>
      </c>
      <c r="C123" s="189" t="s">
        <v>1000</v>
      </c>
      <c r="D123" s="190" t="s">
        <v>363</v>
      </c>
      <c r="E123" s="191" t="s">
        <v>24</v>
      </c>
      <c r="F123" s="219" t="s">
        <v>721</v>
      </c>
      <c r="G123" s="79" t="s">
        <v>33</v>
      </c>
      <c r="H123" s="75" t="s">
        <v>43</v>
      </c>
      <c r="I123" s="78"/>
      <c r="J123" s="79"/>
      <c r="K123" s="77"/>
      <c r="L123" s="77"/>
      <c r="M123" s="77"/>
      <c r="N123" s="77"/>
      <c r="O123" s="79"/>
      <c r="P123" s="79"/>
      <c r="Q123" s="79"/>
    </row>
    <row r="124" spans="2:17" ht="111.5" x14ac:dyDescent="0.35">
      <c r="B124" s="225" t="s">
        <v>8</v>
      </c>
      <c r="C124" s="192" t="s">
        <v>1001</v>
      </c>
      <c r="D124" s="193" t="s">
        <v>364</v>
      </c>
      <c r="E124" s="194" t="s">
        <v>24</v>
      </c>
      <c r="F124" s="220" t="s">
        <v>1002</v>
      </c>
      <c r="G124" s="83" t="s">
        <v>33</v>
      </c>
      <c r="H124" s="75" t="s">
        <v>43</v>
      </c>
      <c r="I124" s="82"/>
      <c r="J124" s="83"/>
      <c r="K124" s="81"/>
      <c r="L124" s="81"/>
      <c r="M124" s="81"/>
      <c r="N124" s="81"/>
      <c r="O124" s="83"/>
      <c r="P124" s="83"/>
      <c r="Q124" s="83"/>
    </row>
    <row r="125" spans="2:17" ht="72.5" customHeight="1" x14ac:dyDescent="0.35">
      <c r="B125" s="225" t="s">
        <v>8</v>
      </c>
      <c r="C125" s="192"/>
      <c r="D125" s="193" t="s">
        <v>365</v>
      </c>
      <c r="E125" s="194" t="s">
        <v>24</v>
      </c>
      <c r="F125" s="215" t="s">
        <v>1003</v>
      </c>
      <c r="G125" s="83" t="s">
        <v>33</v>
      </c>
      <c r="H125" s="75" t="s">
        <v>43</v>
      </c>
      <c r="I125" s="82"/>
      <c r="J125" s="83"/>
      <c r="K125" s="81"/>
      <c r="L125" s="81"/>
      <c r="M125" s="81"/>
      <c r="N125" s="81"/>
      <c r="O125" s="83"/>
      <c r="P125" s="83"/>
      <c r="Q125" s="83"/>
    </row>
    <row r="126" spans="2:17" ht="71.5" x14ac:dyDescent="0.35">
      <c r="B126" s="225" t="s">
        <v>8</v>
      </c>
      <c r="C126" s="192"/>
      <c r="D126" s="193" t="s">
        <v>366</v>
      </c>
      <c r="E126" s="194" t="s">
        <v>24</v>
      </c>
      <c r="F126" s="218" t="s">
        <v>1004</v>
      </c>
      <c r="G126" s="83" t="s">
        <v>33</v>
      </c>
      <c r="H126" s="75" t="s">
        <v>43</v>
      </c>
      <c r="I126" s="82"/>
      <c r="J126" s="83"/>
      <c r="K126" s="81"/>
      <c r="L126" s="81"/>
      <c r="M126" s="81"/>
      <c r="N126" s="81"/>
      <c r="O126" s="83"/>
      <c r="P126" s="83"/>
      <c r="Q126" s="83"/>
    </row>
    <row r="127" spans="2:17" ht="151.5" x14ac:dyDescent="0.35">
      <c r="B127" s="225" t="s">
        <v>8</v>
      </c>
      <c r="C127" s="189" t="s">
        <v>1005</v>
      </c>
      <c r="D127" s="190" t="s">
        <v>367</v>
      </c>
      <c r="E127" s="191" t="s">
        <v>24</v>
      </c>
      <c r="F127" s="217" t="s">
        <v>1006</v>
      </c>
      <c r="G127" s="79" t="s">
        <v>33</v>
      </c>
      <c r="H127" s="75" t="s">
        <v>43</v>
      </c>
      <c r="I127" s="78"/>
      <c r="J127" s="79"/>
      <c r="K127" s="77"/>
      <c r="L127" s="77"/>
      <c r="M127" s="77"/>
      <c r="N127" s="77"/>
      <c r="O127" s="79"/>
      <c r="P127" s="79"/>
      <c r="Q127" s="79"/>
    </row>
    <row r="128" spans="2:17" ht="51.5" x14ac:dyDescent="0.35">
      <c r="B128" s="225" t="s">
        <v>8</v>
      </c>
      <c r="C128" s="189"/>
      <c r="D128" s="190" t="s">
        <v>368</v>
      </c>
      <c r="E128" s="191" t="s">
        <v>24</v>
      </c>
      <c r="F128" s="198" t="s">
        <v>1007</v>
      </c>
      <c r="G128" s="79" t="s">
        <v>33</v>
      </c>
      <c r="H128" s="75" t="s">
        <v>43</v>
      </c>
      <c r="I128" s="78"/>
      <c r="J128" s="79"/>
      <c r="K128" s="77"/>
      <c r="L128" s="77"/>
      <c r="M128" s="77"/>
      <c r="N128" s="77"/>
      <c r="O128" s="79"/>
      <c r="P128" s="79"/>
      <c r="Q128" s="79"/>
    </row>
    <row r="129" spans="2:17" ht="81.5" x14ac:dyDescent="0.35">
      <c r="B129" s="225" t="s">
        <v>8</v>
      </c>
      <c r="C129" s="192" t="s">
        <v>1008</v>
      </c>
      <c r="D129" s="193" t="s">
        <v>369</v>
      </c>
      <c r="E129" s="194" t="s">
        <v>24</v>
      </c>
      <c r="F129" s="195" t="s">
        <v>1009</v>
      </c>
      <c r="G129" s="83" t="s">
        <v>33</v>
      </c>
      <c r="H129" s="75" t="s">
        <v>43</v>
      </c>
      <c r="I129" s="82"/>
      <c r="J129" s="83"/>
      <c r="K129" s="81"/>
      <c r="L129" s="81"/>
      <c r="M129" s="81"/>
      <c r="N129" s="81"/>
      <c r="O129" s="83"/>
      <c r="P129" s="83"/>
      <c r="Q129" s="83"/>
    </row>
    <row r="130" spans="2:17" ht="31.5" x14ac:dyDescent="0.35">
      <c r="B130" s="225" t="s">
        <v>8</v>
      </c>
      <c r="C130" s="192"/>
      <c r="D130" s="193" t="s">
        <v>371</v>
      </c>
      <c r="E130" s="194" t="s">
        <v>24</v>
      </c>
      <c r="F130" s="209" t="s">
        <v>370</v>
      </c>
      <c r="G130" s="83" t="s">
        <v>33</v>
      </c>
      <c r="H130" s="75" t="s">
        <v>43</v>
      </c>
      <c r="I130" s="82"/>
      <c r="J130" s="83"/>
      <c r="K130" s="81"/>
      <c r="L130" s="81"/>
      <c r="M130" s="81"/>
      <c r="N130" s="81"/>
      <c r="O130" s="83"/>
      <c r="P130" s="83"/>
      <c r="Q130" s="83"/>
    </row>
    <row r="131" spans="2:17" ht="91.5" x14ac:dyDescent="0.35">
      <c r="B131" s="225" t="s">
        <v>8</v>
      </c>
      <c r="C131" s="189" t="s">
        <v>1010</v>
      </c>
      <c r="D131" s="190" t="s">
        <v>372</v>
      </c>
      <c r="E131" s="191" t="s">
        <v>24</v>
      </c>
      <c r="F131" s="217" t="s">
        <v>1011</v>
      </c>
      <c r="G131" s="79" t="s">
        <v>33</v>
      </c>
      <c r="H131" s="75" t="s">
        <v>43</v>
      </c>
      <c r="I131" s="78"/>
      <c r="J131" s="79"/>
      <c r="K131" s="77"/>
      <c r="L131" s="77"/>
      <c r="M131" s="77"/>
      <c r="N131" s="77"/>
      <c r="O131" s="79"/>
      <c r="P131" s="79"/>
      <c r="Q131" s="79"/>
    </row>
    <row r="132" spans="2:17" ht="42" x14ac:dyDescent="0.35">
      <c r="B132" s="225" t="s">
        <v>8</v>
      </c>
      <c r="C132" s="192" t="s">
        <v>1012</v>
      </c>
      <c r="D132" s="193" t="s">
        <v>373</v>
      </c>
      <c r="E132" s="194" t="s">
        <v>25</v>
      </c>
      <c r="F132" s="215" t="s">
        <v>1013</v>
      </c>
      <c r="G132" s="83" t="s">
        <v>33</v>
      </c>
      <c r="H132" s="75" t="s">
        <v>43</v>
      </c>
      <c r="I132" s="82"/>
      <c r="J132" s="83"/>
      <c r="K132" s="81"/>
      <c r="L132" s="81"/>
      <c r="M132" s="81"/>
      <c r="N132" s="81"/>
      <c r="O132" s="83"/>
      <c r="P132" s="83"/>
      <c r="Q132" s="83"/>
    </row>
    <row r="133" spans="2:17" ht="31.5" x14ac:dyDescent="0.35">
      <c r="B133" s="225" t="s">
        <v>8</v>
      </c>
      <c r="C133" s="197"/>
      <c r="D133" s="193" t="s">
        <v>722</v>
      </c>
      <c r="E133" s="194" t="s">
        <v>25</v>
      </c>
      <c r="F133" s="216" t="s">
        <v>1014</v>
      </c>
      <c r="G133" s="83" t="s">
        <v>33</v>
      </c>
      <c r="H133" s="75" t="s">
        <v>43</v>
      </c>
      <c r="I133" s="82"/>
      <c r="J133" s="83"/>
      <c r="K133" s="81"/>
      <c r="L133" s="81"/>
      <c r="M133" s="81"/>
      <c r="N133" s="81"/>
      <c r="O133" s="83"/>
      <c r="P133" s="83"/>
      <c r="Q133" s="83"/>
    </row>
    <row r="134" spans="2:17" ht="42" x14ac:dyDescent="0.35">
      <c r="B134" s="225" t="s">
        <v>8</v>
      </c>
      <c r="C134" s="197"/>
      <c r="D134" s="193" t="s">
        <v>723</v>
      </c>
      <c r="E134" s="202" t="s">
        <v>25</v>
      </c>
      <c r="F134" s="216" t="s">
        <v>1015</v>
      </c>
      <c r="G134" s="83" t="s">
        <v>33</v>
      </c>
      <c r="H134" s="75" t="s">
        <v>43</v>
      </c>
      <c r="I134" s="82"/>
      <c r="J134" s="83"/>
      <c r="K134" s="81"/>
      <c r="L134" s="81"/>
      <c r="M134" s="81"/>
      <c r="N134" s="81"/>
      <c r="O134" s="83"/>
      <c r="P134" s="83"/>
      <c r="Q134" s="83"/>
    </row>
    <row r="135" spans="2:17" ht="21" x14ac:dyDescent="0.35">
      <c r="B135" s="226" t="s">
        <v>374</v>
      </c>
      <c r="C135" s="189" t="s">
        <v>1016</v>
      </c>
      <c r="D135" s="189" t="s">
        <v>375</v>
      </c>
      <c r="E135" s="203" t="s">
        <v>24</v>
      </c>
      <c r="F135" s="219" t="s">
        <v>1017</v>
      </c>
      <c r="G135" s="79" t="s">
        <v>33</v>
      </c>
      <c r="H135" s="74" t="s">
        <v>43</v>
      </c>
      <c r="I135" s="78"/>
      <c r="J135" s="79"/>
      <c r="K135" s="77"/>
      <c r="L135" s="77"/>
      <c r="M135" s="77"/>
      <c r="N135" s="77"/>
      <c r="O135" s="79"/>
      <c r="P135" s="79"/>
      <c r="Q135" s="79"/>
    </row>
    <row r="136" spans="2:17" ht="21" x14ac:dyDescent="0.35">
      <c r="B136" s="226" t="s">
        <v>374</v>
      </c>
      <c r="C136" s="189"/>
      <c r="D136" s="189" t="s">
        <v>376</v>
      </c>
      <c r="E136" s="203" t="s">
        <v>24</v>
      </c>
      <c r="F136" s="219" t="s">
        <v>1018</v>
      </c>
      <c r="G136" s="79" t="s">
        <v>33</v>
      </c>
      <c r="H136" s="74" t="s">
        <v>43</v>
      </c>
      <c r="I136" s="78"/>
      <c r="J136" s="79"/>
      <c r="K136" s="77"/>
      <c r="L136" s="77"/>
      <c r="M136" s="77"/>
      <c r="N136" s="77"/>
      <c r="O136" s="79"/>
      <c r="P136" s="79"/>
      <c r="Q136" s="79"/>
    </row>
    <row r="137" spans="2:17" ht="43" customHeight="1" x14ac:dyDescent="0.35">
      <c r="B137" s="226" t="s">
        <v>374</v>
      </c>
      <c r="C137" s="189"/>
      <c r="D137" s="189" t="s">
        <v>377</v>
      </c>
      <c r="E137" s="203" t="s">
        <v>24</v>
      </c>
      <c r="F137" s="219" t="s">
        <v>1019</v>
      </c>
      <c r="G137" s="79" t="s">
        <v>33</v>
      </c>
      <c r="H137" s="74" t="s">
        <v>43</v>
      </c>
      <c r="I137" s="78"/>
      <c r="J137" s="79"/>
      <c r="K137" s="77"/>
      <c r="L137" s="77"/>
      <c r="M137" s="77"/>
      <c r="N137" s="77"/>
      <c r="O137" s="79"/>
      <c r="P137" s="79"/>
      <c r="Q137" s="79"/>
    </row>
    <row r="138" spans="2:17" ht="112.5" customHeight="1" x14ac:dyDescent="0.35">
      <c r="B138" s="226" t="s">
        <v>374</v>
      </c>
      <c r="C138" s="192" t="s">
        <v>1020</v>
      </c>
      <c r="D138" s="192" t="s">
        <v>378</v>
      </c>
      <c r="E138" s="202" t="s">
        <v>24</v>
      </c>
      <c r="F138" s="215" t="s">
        <v>1021</v>
      </c>
      <c r="G138" s="83" t="s">
        <v>33</v>
      </c>
      <c r="H138" s="75" t="s">
        <v>43</v>
      </c>
      <c r="I138" s="82"/>
      <c r="J138" s="83"/>
      <c r="K138" s="81"/>
      <c r="L138" s="81"/>
      <c r="M138" s="81"/>
      <c r="N138" s="81"/>
      <c r="O138" s="83"/>
      <c r="P138" s="83"/>
      <c r="Q138" s="83"/>
    </row>
    <row r="139" spans="2:17" ht="71" x14ac:dyDescent="0.35">
      <c r="B139" s="226" t="s">
        <v>374</v>
      </c>
      <c r="C139" s="189" t="s">
        <v>1022</v>
      </c>
      <c r="D139" s="189" t="s">
        <v>379</v>
      </c>
      <c r="E139" s="203" t="s">
        <v>24</v>
      </c>
      <c r="F139" s="217" t="s">
        <v>1023</v>
      </c>
      <c r="G139" s="79" t="s">
        <v>33</v>
      </c>
      <c r="H139" s="74" t="s">
        <v>43</v>
      </c>
      <c r="I139" s="78"/>
      <c r="J139" s="79"/>
      <c r="K139" s="77"/>
      <c r="L139" s="77"/>
      <c r="M139" s="77"/>
      <c r="N139" s="77"/>
      <c r="O139" s="79"/>
      <c r="P139" s="79"/>
      <c r="Q139" s="79"/>
    </row>
    <row r="140" spans="2:17" ht="54.5" customHeight="1" x14ac:dyDescent="0.35">
      <c r="B140" s="226" t="s">
        <v>374</v>
      </c>
      <c r="C140" s="192" t="s">
        <v>1024</v>
      </c>
      <c r="D140" s="192" t="s">
        <v>380</v>
      </c>
      <c r="E140" s="202" t="s">
        <v>24</v>
      </c>
      <c r="F140" s="218" t="s">
        <v>1025</v>
      </c>
      <c r="G140" s="83" t="s">
        <v>33</v>
      </c>
      <c r="H140" s="75" t="s">
        <v>43</v>
      </c>
      <c r="I140" s="82"/>
      <c r="J140" s="83"/>
      <c r="K140" s="81"/>
      <c r="L140" s="81"/>
      <c r="M140" s="81"/>
      <c r="N140" s="81"/>
      <c r="O140" s="83"/>
      <c r="P140" s="83"/>
      <c r="Q140" s="83"/>
    </row>
    <row r="141" spans="2:17" ht="21" x14ac:dyDescent="0.35">
      <c r="B141" s="226" t="s">
        <v>374</v>
      </c>
      <c r="C141" s="189" t="s">
        <v>1026</v>
      </c>
      <c r="D141" s="189" t="s">
        <v>381</v>
      </c>
      <c r="E141" s="203" t="s">
        <v>24</v>
      </c>
      <c r="F141" s="219" t="s">
        <v>1027</v>
      </c>
      <c r="G141" s="79" t="s">
        <v>33</v>
      </c>
      <c r="H141" s="74" t="s">
        <v>43</v>
      </c>
      <c r="I141" s="78"/>
      <c r="J141" s="79"/>
      <c r="K141" s="77"/>
      <c r="L141" s="77"/>
      <c r="M141" s="77"/>
      <c r="N141" s="77"/>
      <c r="O141" s="79"/>
      <c r="P141" s="79"/>
      <c r="Q141" s="79"/>
    </row>
    <row r="142" spans="2:17" ht="33" customHeight="1" x14ac:dyDescent="0.35">
      <c r="B142" s="226" t="s">
        <v>374</v>
      </c>
      <c r="C142" s="192" t="s">
        <v>1028</v>
      </c>
      <c r="D142" s="192" t="s">
        <v>382</v>
      </c>
      <c r="E142" s="202" t="s">
        <v>24</v>
      </c>
      <c r="F142" s="215" t="s">
        <v>1029</v>
      </c>
      <c r="G142" s="83" t="s">
        <v>33</v>
      </c>
      <c r="H142" s="74" t="s">
        <v>43</v>
      </c>
      <c r="I142" s="82"/>
      <c r="J142" s="83"/>
      <c r="K142" s="81"/>
      <c r="L142" s="81"/>
      <c r="M142" s="81"/>
      <c r="N142" s="81"/>
      <c r="O142" s="83"/>
      <c r="P142" s="83"/>
      <c r="Q142" s="83"/>
    </row>
    <row r="143" spans="2:17" ht="83.5" customHeight="1" x14ac:dyDescent="0.35">
      <c r="B143" s="226" t="s">
        <v>374</v>
      </c>
      <c r="C143" s="204" t="s">
        <v>1030</v>
      </c>
      <c r="D143" s="204" t="s">
        <v>383</v>
      </c>
      <c r="E143" s="203" t="s">
        <v>25</v>
      </c>
      <c r="F143" s="217" t="s">
        <v>1031</v>
      </c>
      <c r="G143" s="79" t="s">
        <v>33</v>
      </c>
      <c r="H143" s="74" t="s">
        <v>43</v>
      </c>
      <c r="I143" s="78"/>
      <c r="J143" s="79"/>
      <c r="K143" s="77"/>
      <c r="L143" s="77"/>
      <c r="M143" s="77"/>
      <c r="N143" s="77"/>
      <c r="O143" s="79"/>
      <c r="P143" s="79"/>
      <c r="Q143" s="79"/>
    </row>
    <row r="144" spans="2:17" ht="51.5" x14ac:dyDescent="0.35">
      <c r="B144" s="226" t="s">
        <v>374</v>
      </c>
      <c r="C144" s="197" t="s">
        <v>724</v>
      </c>
      <c r="D144" s="197" t="s">
        <v>384</v>
      </c>
      <c r="E144" s="202" t="s">
        <v>25</v>
      </c>
      <c r="F144" s="215" t="s">
        <v>1032</v>
      </c>
      <c r="G144" s="83" t="s">
        <v>33</v>
      </c>
      <c r="H144" s="74" t="s">
        <v>43</v>
      </c>
      <c r="I144" s="82"/>
      <c r="J144" s="83"/>
      <c r="K144" s="81"/>
      <c r="L144" s="81"/>
      <c r="M144" s="81"/>
      <c r="N144" s="81"/>
      <c r="O144" s="83"/>
      <c r="P144" s="83"/>
      <c r="Q144" s="83"/>
    </row>
    <row r="145" spans="2:17" ht="42" x14ac:dyDescent="0.35">
      <c r="B145" s="226" t="s">
        <v>374</v>
      </c>
      <c r="C145" s="204" t="s">
        <v>1033</v>
      </c>
      <c r="D145" s="204" t="s">
        <v>385</v>
      </c>
      <c r="E145" s="203" t="s">
        <v>24</v>
      </c>
      <c r="F145" s="219" t="s">
        <v>1034</v>
      </c>
      <c r="G145" s="79" t="s">
        <v>33</v>
      </c>
      <c r="H145" s="74" t="s">
        <v>43</v>
      </c>
      <c r="I145" s="78"/>
      <c r="J145" s="79"/>
      <c r="K145" s="77"/>
      <c r="L145" s="77"/>
      <c r="M145" s="77"/>
      <c r="N145" s="77"/>
      <c r="O145" s="79"/>
      <c r="P145" s="79"/>
      <c r="Q145" s="79"/>
    </row>
    <row r="146" spans="2:17" ht="42" x14ac:dyDescent="0.35">
      <c r="B146" s="226" t="s">
        <v>374</v>
      </c>
      <c r="C146" s="197" t="s">
        <v>1035</v>
      </c>
      <c r="D146" s="197" t="s">
        <v>386</v>
      </c>
      <c r="E146" s="202" t="s">
        <v>24</v>
      </c>
      <c r="F146" s="215" t="s">
        <v>674</v>
      </c>
      <c r="G146" s="83" t="s">
        <v>33</v>
      </c>
      <c r="H146" s="74" t="s">
        <v>43</v>
      </c>
      <c r="I146" s="82"/>
      <c r="J146" s="83"/>
      <c r="K146" s="81"/>
      <c r="L146" s="81"/>
      <c r="M146" s="81"/>
      <c r="N146" s="81"/>
      <c r="O146" s="83"/>
      <c r="P146" s="83"/>
      <c r="Q146" s="83"/>
    </row>
    <row r="147" spans="2:17" ht="52" x14ac:dyDescent="0.35">
      <c r="B147" s="226" t="s">
        <v>374</v>
      </c>
      <c r="C147" s="197"/>
      <c r="D147" s="197" t="s">
        <v>499</v>
      </c>
      <c r="E147" s="202" t="s">
        <v>24</v>
      </c>
      <c r="F147" s="209" t="s">
        <v>1036</v>
      </c>
      <c r="G147" s="83" t="s">
        <v>33</v>
      </c>
      <c r="H147" s="75" t="s">
        <v>43</v>
      </c>
      <c r="I147" s="82"/>
      <c r="J147" s="83"/>
      <c r="K147" s="81"/>
      <c r="L147" s="81"/>
      <c r="M147" s="81"/>
      <c r="N147" s="81"/>
      <c r="O147" s="83"/>
      <c r="P147" s="83"/>
      <c r="Q147" s="83"/>
    </row>
    <row r="148" spans="2:17" ht="42" x14ac:dyDescent="0.35">
      <c r="B148" s="225" t="s">
        <v>387</v>
      </c>
      <c r="C148" s="204" t="s">
        <v>1037</v>
      </c>
      <c r="D148" s="204" t="s">
        <v>388</v>
      </c>
      <c r="E148" s="203" t="s">
        <v>24</v>
      </c>
      <c r="F148" s="208" t="s">
        <v>725</v>
      </c>
      <c r="G148" s="79" t="s">
        <v>33</v>
      </c>
      <c r="H148" s="74" t="s">
        <v>43</v>
      </c>
      <c r="I148" s="78"/>
      <c r="J148" s="79"/>
      <c r="K148" s="77"/>
      <c r="L148" s="77"/>
      <c r="M148" s="77"/>
      <c r="N148" s="77"/>
      <c r="O148" s="79"/>
      <c r="P148" s="79"/>
      <c r="Q148" s="79"/>
    </row>
    <row r="149" spans="2:17" ht="42" x14ac:dyDescent="0.35">
      <c r="B149" s="225" t="s">
        <v>387</v>
      </c>
      <c r="C149" s="204"/>
      <c r="D149" s="204" t="s">
        <v>389</v>
      </c>
      <c r="E149" s="203" t="s">
        <v>24</v>
      </c>
      <c r="F149" s="208" t="s">
        <v>1038</v>
      </c>
      <c r="G149" s="79" t="s">
        <v>33</v>
      </c>
      <c r="H149" s="74" t="s">
        <v>43</v>
      </c>
      <c r="I149" s="78"/>
      <c r="J149" s="79"/>
      <c r="K149" s="77"/>
      <c r="L149" s="77"/>
      <c r="M149" s="77"/>
      <c r="N149" s="77"/>
      <c r="O149" s="79"/>
      <c r="P149" s="79"/>
      <c r="Q149" s="79"/>
    </row>
    <row r="150" spans="2:17" ht="52.5" x14ac:dyDescent="0.35">
      <c r="B150" s="225" t="s">
        <v>387</v>
      </c>
      <c r="C150" s="204"/>
      <c r="D150" s="204" t="s">
        <v>390</v>
      </c>
      <c r="E150" s="203" t="s">
        <v>24</v>
      </c>
      <c r="F150" s="208" t="s">
        <v>726</v>
      </c>
      <c r="G150" s="79" t="s">
        <v>33</v>
      </c>
      <c r="H150" s="74" t="s">
        <v>43</v>
      </c>
      <c r="I150" s="78"/>
      <c r="J150" s="79"/>
      <c r="K150" s="77"/>
      <c r="L150" s="77"/>
      <c r="M150" s="77"/>
      <c r="N150" s="77"/>
      <c r="O150" s="79"/>
      <c r="P150" s="79"/>
      <c r="Q150" s="79"/>
    </row>
    <row r="151" spans="2:17" ht="151.5" customHeight="1" x14ac:dyDescent="0.35">
      <c r="B151" s="225" t="s">
        <v>387</v>
      </c>
      <c r="C151" s="197" t="s">
        <v>1039</v>
      </c>
      <c r="D151" s="197" t="s">
        <v>391</v>
      </c>
      <c r="E151" s="202" t="s">
        <v>24</v>
      </c>
      <c r="F151" s="216" t="s">
        <v>1040</v>
      </c>
      <c r="G151" s="83" t="s">
        <v>33</v>
      </c>
      <c r="H151" s="75" t="s">
        <v>43</v>
      </c>
      <c r="I151" s="82"/>
      <c r="J151" s="83"/>
      <c r="K151" s="81"/>
      <c r="L151" s="81"/>
      <c r="M151" s="81"/>
      <c r="N151" s="81"/>
      <c r="O151" s="83"/>
      <c r="P151" s="83"/>
      <c r="Q151" s="83"/>
    </row>
    <row r="152" spans="2:17" ht="74.5" customHeight="1" x14ac:dyDescent="0.35">
      <c r="B152" s="225" t="s">
        <v>387</v>
      </c>
      <c r="C152" s="204" t="s">
        <v>1041</v>
      </c>
      <c r="D152" s="204" t="s">
        <v>392</v>
      </c>
      <c r="E152" s="203" t="s">
        <v>24</v>
      </c>
      <c r="F152" s="208" t="s">
        <v>1042</v>
      </c>
      <c r="G152" s="79" t="s">
        <v>33</v>
      </c>
      <c r="H152" s="74" t="s">
        <v>43</v>
      </c>
      <c r="I152" s="78"/>
      <c r="J152" s="79"/>
      <c r="K152" s="77"/>
      <c r="L152" s="77"/>
      <c r="M152" s="77"/>
      <c r="N152" s="77"/>
      <c r="O152" s="79"/>
      <c r="P152" s="79"/>
      <c r="Q152" s="79"/>
    </row>
    <row r="153" spans="2:17" ht="61.5" x14ac:dyDescent="0.35">
      <c r="B153" s="225" t="s">
        <v>387</v>
      </c>
      <c r="C153" s="204"/>
      <c r="D153" s="204" t="s">
        <v>393</v>
      </c>
      <c r="E153" s="203" t="s">
        <v>24</v>
      </c>
      <c r="F153" s="208" t="s">
        <v>1043</v>
      </c>
      <c r="G153" s="79" t="s">
        <v>33</v>
      </c>
      <c r="H153" s="74" t="s">
        <v>43</v>
      </c>
      <c r="I153" s="78"/>
      <c r="J153" s="79"/>
      <c r="K153" s="77"/>
      <c r="L153" s="77"/>
      <c r="M153" s="77"/>
      <c r="N153" s="77"/>
      <c r="O153" s="79"/>
      <c r="P153" s="79"/>
      <c r="Q153" s="79"/>
    </row>
    <row r="154" spans="2:17" ht="31.5" x14ac:dyDescent="0.35">
      <c r="B154" s="225" t="s">
        <v>387</v>
      </c>
      <c r="C154" s="204"/>
      <c r="D154" s="204" t="s">
        <v>394</v>
      </c>
      <c r="E154" s="203" t="s">
        <v>24</v>
      </c>
      <c r="F154" s="208" t="s">
        <v>1044</v>
      </c>
      <c r="G154" s="79" t="s">
        <v>33</v>
      </c>
      <c r="H154" s="74" t="s">
        <v>43</v>
      </c>
      <c r="I154" s="78"/>
      <c r="J154" s="79"/>
      <c r="K154" s="77"/>
      <c r="L154" s="77"/>
      <c r="M154" s="77"/>
      <c r="N154" s="77"/>
      <c r="O154" s="79"/>
      <c r="P154" s="79"/>
      <c r="Q154" s="79"/>
    </row>
    <row r="155" spans="2:17" ht="31.5" x14ac:dyDescent="0.35">
      <c r="B155" s="225" t="s">
        <v>387</v>
      </c>
      <c r="C155" s="197" t="s">
        <v>1045</v>
      </c>
      <c r="D155" s="197" t="s">
        <v>395</v>
      </c>
      <c r="E155" s="202" t="s">
        <v>24</v>
      </c>
      <c r="F155" s="216" t="s">
        <v>1046</v>
      </c>
      <c r="G155" s="83" t="s">
        <v>33</v>
      </c>
      <c r="H155" s="75" t="s">
        <v>43</v>
      </c>
      <c r="I155" s="82"/>
      <c r="J155" s="83"/>
      <c r="K155" s="81"/>
      <c r="L155" s="81"/>
      <c r="M155" s="81"/>
      <c r="N155" s="81"/>
      <c r="O155" s="83"/>
      <c r="P155" s="83"/>
      <c r="Q155" s="83"/>
    </row>
    <row r="156" spans="2:17" ht="31.5" x14ac:dyDescent="0.35">
      <c r="B156" s="225" t="s">
        <v>387</v>
      </c>
      <c r="C156" s="197"/>
      <c r="D156" s="197" t="s">
        <v>727</v>
      </c>
      <c r="E156" s="202" t="s">
        <v>24</v>
      </c>
      <c r="F156" s="215" t="s">
        <v>1047</v>
      </c>
      <c r="G156" s="83" t="s">
        <v>33</v>
      </c>
      <c r="H156" s="75" t="s">
        <v>43</v>
      </c>
      <c r="I156" s="82"/>
      <c r="J156" s="83"/>
      <c r="K156" s="81"/>
      <c r="L156" s="81"/>
      <c r="M156" s="81"/>
      <c r="N156" s="81"/>
      <c r="O156" s="83"/>
      <c r="P156" s="83"/>
      <c r="Q156" s="83"/>
    </row>
    <row r="157" spans="2:17" ht="42" x14ac:dyDescent="0.35">
      <c r="B157" s="226" t="s">
        <v>396</v>
      </c>
      <c r="C157" s="204" t="s">
        <v>1048</v>
      </c>
      <c r="D157" s="204" t="s">
        <v>397</v>
      </c>
      <c r="E157" s="203" t="s">
        <v>24</v>
      </c>
      <c r="F157" s="221" t="s">
        <v>1049</v>
      </c>
      <c r="G157" s="79" t="s">
        <v>33</v>
      </c>
      <c r="H157" s="74" t="s">
        <v>43</v>
      </c>
      <c r="I157" s="78"/>
      <c r="J157" s="79"/>
      <c r="K157" s="77"/>
      <c r="L157" s="77"/>
      <c r="M157" s="77"/>
      <c r="N157" s="77"/>
      <c r="O157" s="79"/>
      <c r="P157" s="79"/>
      <c r="Q157" s="79"/>
    </row>
    <row r="158" spans="2:17" ht="42" x14ac:dyDescent="0.35">
      <c r="B158" s="226" t="s">
        <v>396</v>
      </c>
      <c r="C158" s="204"/>
      <c r="D158" s="204" t="s">
        <v>398</v>
      </c>
      <c r="E158" s="203" t="s">
        <v>24</v>
      </c>
      <c r="F158" s="208" t="s">
        <v>1050</v>
      </c>
      <c r="G158" s="79" t="s">
        <v>33</v>
      </c>
      <c r="H158" s="74" t="s">
        <v>43</v>
      </c>
      <c r="I158" s="78"/>
      <c r="J158" s="79"/>
      <c r="K158" s="77"/>
      <c r="L158" s="77"/>
      <c r="M158" s="77"/>
      <c r="N158" s="77"/>
      <c r="O158" s="79"/>
      <c r="P158" s="79"/>
      <c r="Q158" s="79"/>
    </row>
    <row r="159" spans="2:17" ht="81" x14ac:dyDescent="0.35">
      <c r="B159" s="226" t="s">
        <v>396</v>
      </c>
      <c r="C159" s="204"/>
      <c r="D159" s="204" t="s">
        <v>399</v>
      </c>
      <c r="E159" s="203" t="s">
        <v>24</v>
      </c>
      <c r="F159" s="222" t="s">
        <v>1051</v>
      </c>
      <c r="G159" s="79" t="s">
        <v>33</v>
      </c>
      <c r="H159" s="74" t="s">
        <v>43</v>
      </c>
      <c r="I159" s="78"/>
      <c r="J159" s="79"/>
      <c r="K159" s="77"/>
      <c r="L159" s="77"/>
      <c r="M159" s="77"/>
      <c r="N159" s="77"/>
      <c r="O159" s="79"/>
      <c r="P159" s="79"/>
      <c r="Q159" s="79"/>
    </row>
    <row r="160" spans="2:17" ht="31.5" x14ac:dyDescent="0.35">
      <c r="B160" s="226" t="s">
        <v>396</v>
      </c>
      <c r="C160" s="197" t="s">
        <v>1052</v>
      </c>
      <c r="D160" s="197" t="s">
        <v>400</v>
      </c>
      <c r="E160" s="202" t="s">
        <v>24</v>
      </c>
      <c r="F160" s="216" t="s">
        <v>1053</v>
      </c>
      <c r="G160" s="83" t="s">
        <v>33</v>
      </c>
      <c r="H160" s="75" t="s">
        <v>43</v>
      </c>
      <c r="I160" s="82"/>
      <c r="J160" s="83"/>
      <c r="K160" s="81"/>
      <c r="L160" s="81"/>
      <c r="M160" s="81"/>
      <c r="N160" s="81"/>
      <c r="O160" s="83"/>
      <c r="P160" s="83"/>
      <c r="Q160" s="83"/>
    </row>
    <row r="161" spans="2:17" ht="31.5" x14ac:dyDescent="0.35">
      <c r="B161" s="226" t="s">
        <v>396</v>
      </c>
      <c r="C161" s="204" t="s">
        <v>1054</v>
      </c>
      <c r="D161" s="204" t="s">
        <v>401</v>
      </c>
      <c r="E161" s="203" t="s">
        <v>24</v>
      </c>
      <c r="F161" s="208" t="s">
        <v>1054</v>
      </c>
      <c r="G161" s="79" t="s">
        <v>33</v>
      </c>
      <c r="H161" s="74" t="s">
        <v>43</v>
      </c>
      <c r="I161" s="78"/>
      <c r="J161" s="79"/>
      <c r="K161" s="77"/>
      <c r="L161" s="77"/>
      <c r="M161" s="77"/>
      <c r="N161" s="77"/>
      <c r="O161" s="79"/>
      <c r="P161" s="79"/>
      <c r="Q161" s="79"/>
    </row>
    <row r="162" spans="2:17" ht="52.5" x14ac:dyDescent="0.35">
      <c r="B162" s="226" t="s">
        <v>396</v>
      </c>
      <c r="C162" s="197" t="s">
        <v>1055</v>
      </c>
      <c r="D162" s="197" t="s">
        <v>402</v>
      </c>
      <c r="E162" s="202" t="s">
        <v>25</v>
      </c>
      <c r="F162" s="216" t="s">
        <v>1056</v>
      </c>
      <c r="G162" s="83" t="s">
        <v>33</v>
      </c>
      <c r="H162" s="75" t="s">
        <v>43</v>
      </c>
      <c r="I162" s="82"/>
      <c r="J162" s="83"/>
      <c r="K162" s="81"/>
      <c r="L162" s="81"/>
      <c r="M162" s="81"/>
      <c r="N162" s="81"/>
      <c r="O162" s="83"/>
      <c r="P162" s="83"/>
      <c r="Q162" s="83"/>
    </row>
    <row r="163" spans="2:17" ht="113" x14ac:dyDescent="0.35">
      <c r="B163" s="226" t="s">
        <v>396</v>
      </c>
      <c r="C163" s="197"/>
      <c r="D163" s="197" t="s">
        <v>404</v>
      </c>
      <c r="E163" s="202" t="s">
        <v>25</v>
      </c>
      <c r="F163" s="216" t="s">
        <v>1057</v>
      </c>
      <c r="G163" s="83" t="s">
        <v>33</v>
      </c>
      <c r="H163" s="75" t="s">
        <v>43</v>
      </c>
      <c r="I163" s="82"/>
      <c r="J163" s="83"/>
      <c r="K163" s="81"/>
      <c r="L163" s="81"/>
      <c r="M163" s="81"/>
      <c r="N163" s="81"/>
      <c r="O163" s="83"/>
      <c r="P163" s="83"/>
      <c r="Q163" s="83"/>
    </row>
    <row r="164" spans="2:17" ht="112.5" x14ac:dyDescent="0.35">
      <c r="B164" s="226" t="s">
        <v>396</v>
      </c>
      <c r="C164" s="197"/>
      <c r="D164" s="197" t="s">
        <v>405</v>
      </c>
      <c r="E164" s="202" t="s">
        <v>25</v>
      </c>
      <c r="F164" s="216" t="s">
        <v>1058</v>
      </c>
      <c r="G164" s="83" t="s">
        <v>33</v>
      </c>
      <c r="H164" s="75" t="s">
        <v>43</v>
      </c>
      <c r="I164" s="82"/>
      <c r="J164" s="83"/>
      <c r="K164" s="81"/>
      <c r="L164" s="81"/>
      <c r="M164" s="81"/>
      <c r="N164" s="81"/>
      <c r="O164" s="83"/>
      <c r="P164" s="83"/>
      <c r="Q164" s="83"/>
    </row>
    <row r="165" spans="2:17" ht="67.5" customHeight="1" x14ac:dyDescent="0.35">
      <c r="B165" s="226" t="s">
        <v>396</v>
      </c>
      <c r="C165" s="204" t="s">
        <v>1059</v>
      </c>
      <c r="D165" s="204" t="s">
        <v>403</v>
      </c>
      <c r="E165" s="203" t="s">
        <v>25</v>
      </c>
      <c r="F165" s="208" t="s">
        <v>1060</v>
      </c>
      <c r="G165" s="79" t="s">
        <v>33</v>
      </c>
      <c r="H165" s="74" t="s">
        <v>43</v>
      </c>
      <c r="I165" s="78"/>
      <c r="J165" s="79"/>
      <c r="K165" s="77"/>
      <c r="L165" s="77"/>
      <c r="M165" s="77"/>
      <c r="N165" s="77"/>
      <c r="O165" s="79"/>
      <c r="P165" s="79"/>
      <c r="Q165" s="79"/>
    </row>
    <row r="166" spans="2:17" ht="65.5" customHeight="1" x14ac:dyDescent="0.35">
      <c r="B166" s="226" t="s">
        <v>396</v>
      </c>
      <c r="C166" s="204"/>
      <c r="D166" s="204" t="s">
        <v>406</v>
      </c>
      <c r="E166" s="203" t="s">
        <v>25</v>
      </c>
      <c r="F166" s="208" t="s">
        <v>1061</v>
      </c>
      <c r="G166" s="79" t="s">
        <v>33</v>
      </c>
      <c r="H166" s="74" t="s">
        <v>43</v>
      </c>
      <c r="I166" s="78"/>
      <c r="J166" s="79"/>
      <c r="K166" s="77"/>
      <c r="L166" s="77"/>
      <c r="M166" s="77"/>
      <c r="N166" s="77"/>
      <c r="O166" s="79"/>
      <c r="P166" s="79"/>
      <c r="Q166" s="79"/>
    </row>
    <row r="167" spans="2:17" ht="73.5" x14ac:dyDescent="0.35">
      <c r="B167" s="226" t="s">
        <v>396</v>
      </c>
      <c r="C167" s="204"/>
      <c r="D167" s="204" t="s">
        <v>407</v>
      </c>
      <c r="E167" s="203" t="s">
        <v>25</v>
      </c>
      <c r="F167" s="208" t="s">
        <v>1062</v>
      </c>
      <c r="G167" s="79" t="s">
        <v>33</v>
      </c>
      <c r="H167" s="74" t="s">
        <v>43</v>
      </c>
      <c r="I167" s="78"/>
      <c r="J167" s="79"/>
      <c r="K167" s="77"/>
      <c r="L167" s="77"/>
      <c r="M167" s="77"/>
      <c r="N167" s="77"/>
      <c r="O167" s="79"/>
      <c r="P167" s="79"/>
      <c r="Q167" s="79"/>
    </row>
    <row r="168" spans="2:17" ht="91.5" x14ac:dyDescent="0.35">
      <c r="B168" s="226" t="s">
        <v>396</v>
      </c>
      <c r="C168" s="197" t="s">
        <v>1063</v>
      </c>
      <c r="D168" s="197" t="s">
        <v>408</v>
      </c>
      <c r="E168" s="202" t="s">
        <v>24</v>
      </c>
      <c r="F168" s="216" t="s">
        <v>1064</v>
      </c>
      <c r="G168" s="83" t="s">
        <v>33</v>
      </c>
      <c r="H168" s="75" t="s">
        <v>43</v>
      </c>
      <c r="I168" s="82"/>
      <c r="J168" s="83"/>
      <c r="K168" s="81"/>
      <c r="L168" s="81"/>
      <c r="M168" s="81"/>
      <c r="N168" s="81"/>
      <c r="O168" s="83"/>
      <c r="P168" s="83"/>
      <c r="Q168" s="83"/>
    </row>
    <row r="169" spans="2:17" ht="51.5" x14ac:dyDescent="0.35">
      <c r="B169" s="226" t="s">
        <v>396</v>
      </c>
      <c r="C169" s="204" t="s">
        <v>1065</v>
      </c>
      <c r="D169" s="204" t="s">
        <v>409</v>
      </c>
      <c r="E169" s="203" t="s">
        <v>24</v>
      </c>
      <c r="F169" s="208" t="s">
        <v>1066</v>
      </c>
      <c r="G169" s="79" t="s">
        <v>33</v>
      </c>
      <c r="H169" s="74" t="s">
        <v>43</v>
      </c>
      <c r="I169" s="78"/>
      <c r="J169" s="79"/>
      <c r="K169" s="77"/>
      <c r="L169" s="77"/>
      <c r="M169" s="77"/>
      <c r="N169" s="77"/>
      <c r="O169" s="79"/>
      <c r="P169" s="79"/>
      <c r="Q169" s="79"/>
    </row>
    <row r="170" spans="2:17" ht="101" x14ac:dyDescent="0.35">
      <c r="B170" s="226" t="s">
        <v>396</v>
      </c>
      <c r="C170" s="197" t="s">
        <v>728</v>
      </c>
      <c r="D170" s="197" t="s">
        <v>410</v>
      </c>
      <c r="E170" s="202" t="s">
        <v>24</v>
      </c>
      <c r="F170" s="223" t="s">
        <v>1067</v>
      </c>
      <c r="G170" s="83" t="s">
        <v>33</v>
      </c>
      <c r="H170" s="75" t="s">
        <v>43</v>
      </c>
      <c r="I170" s="82"/>
      <c r="J170" s="83"/>
      <c r="K170" s="81"/>
      <c r="L170" s="81"/>
      <c r="M170" s="81"/>
      <c r="N170" s="81"/>
      <c r="O170" s="83"/>
      <c r="P170" s="83"/>
      <c r="Q170" s="83"/>
    </row>
    <row r="171" spans="2:17" ht="42" x14ac:dyDescent="0.35">
      <c r="B171" s="226" t="s">
        <v>396</v>
      </c>
      <c r="C171" s="204" t="s">
        <v>1068</v>
      </c>
      <c r="D171" s="204" t="s">
        <v>411</v>
      </c>
      <c r="E171" s="203" t="s">
        <v>24</v>
      </c>
      <c r="F171" s="208" t="s">
        <v>1070</v>
      </c>
      <c r="G171" s="79" t="s">
        <v>33</v>
      </c>
      <c r="H171" s="74" t="s">
        <v>43</v>
      </c>
      <c r="I171" s="78"/>
      <c r="J171" s="79"/>
      <c r="K171" s="77"/>
      <c r="L171" s="77"/>
      <c r="M171" s="77"/>
      <c r="N171" s="77"/>
      <c r="O171" s="79"/>
      <c r="P171" s="79"/>
      <c r="Q171" s="79"/>
    </row>
    <row r="172" spans="2:17" ht="42" x14ac:dyDescent="0.35">
      <c r="B172" s="226" t="s">
        <v>396</v>
      </c>
      <c r="C172" s="204"/>
      <c r="D172" s="204" t="s">
        <v>729</v>
      </c>
      <c r="E172" s="203" t="s">
        <v>24</v>
      </c>
      <c r="F172" s="208" t="s">
        <v>1071</v>
      </c>
      <c r="G172" s="79" t="s">
        <v>33</v>
      </c>
      <c r="H172" s="74" t="s">
        <v>43</v>
      </c>
      <c r="I172" s="78"/>
      <c r="J172" s="79"/>
      <c r="K172" s="77"/>
      <c r="L172" s="77"/>
      <c r="M172" s="77"/>
      <c r="N172" s="77"/>
      <c r="O172" s="79"/>
      <c r="P172" s="79"/>
      <c r="Q172" s="79"/>
    </row>
    <row r="173" spans="2:17" ht="42" x14ac:dyDescent="0.35">
      <c r="B173" s="226" t="s">
        <v>396</v>
      </c>
      <c r="C173" s="204"/>
      <c r="D173" s="204" t="s">
        <v>730</v>
      </c>
      <c r="E173" s="203" t="s">
        <v>24</v>
      </c>
      <c r="F173" s="208" t="s">
        <v>1072</v>
      </c>
      <c r="G173" s="79" t="s">
        <v>33</v>
      </c>
      <c r="H173" s="74" t="s">
        <v>43</v>
      </c>
      <c r="I173" s="78"/>
      <c r="J173" s="79"/>
      <c r="K173" s="77"/>
      <c r="L173" s="77"/>
      <c r="M173" s="77"/>
      <c r="N173" s="77"/>
      <c r="O173" s="79"/>
      <c r="P173" s="79"/>
      <c r="Q173" s="79"/>
    </row>
    <row r="174" spans="2:17" ht="42" x14ac:dyDescent="0.35">
      <c r="B174" s="226" t="s">
        <v>396</v>
      </c>
      <c r="C174" s="204"/>
      <c r="D174" s="204" t="s">
        <v>731</v>
      </c>
      <c r="E174" s="203" t="s">
        <v>24</v>
      </c>
      <c r="F174" s="208" t="s">
        <v>1073</v>
      </c>
      <c r="G174" s="79" t="s">
        <v>33</v>
      </c>
      <c r="H174" s="74" t="s">
        <v>43</v>
      </c>
      <c r="I174" s="78"/>
      <c r="J174" s="79"/>
      <c r="K174" s="77"/>
      <c r="L174" s="77"/>
      <c r="M174" s="77"/>
      <c r="N174" s="77"/>
      <c r="O174" s="79"/>
      <c r="P174" s="79"/>
      <c r="Q174" s="79"/>
    </row>
    <row r="175" spans="2:17" ht="52.5" x14ac:dyDescent="0.35">
      <c r="B175" s="226" t="s">
        <v>396</v>
      </c>
      <c r="C175" s="197" t="s">
        <v>1069</v>
      </c>
      <c r="D175" s="197" t="s">
        <v>412</v>
      </c>
      <c r="E175" s="202" t="s">
        <v>24</v>
      </c>
      <c r="F175" s="216" t="s">
        <v>1074</v>
      </c>
      <c r="G175" s="83" t="s">
        <v>33</v>
      </c>
      <c r="H175" s="75" t="s">
        <v>43</v>
      </c>
      <c r="I175" s="82"/>
      <c r="J175" s="83"/>
      <c r="K175" s="81"/>
      <c r="L175" s="81"/>
      <c r="M175" s="81"/>
      <c r="N175" s="81"/>
      <c r="O175" s="83"/>
      <c r="P175" s="83"/>
      <c r="Q175" s="83"/>
    </row>
    <row r="176" spans="2:17" ht="52.5" x14ac:dyDescent="0.35">
      <c r="B176" s="226" t="s">
        <v>396</v>
      </c>
      <c r="C176" s="197"/>
      <c r="D176" s="197" t="s">
        <v>732</v>
      </c>
      <c r="E176" s="202" t="s">
        <v>24</v>
      </c>
      <c r="F176" s="216" t="s">
        <v>1075</v>
      </c>
      <c r="G176" s="83" t="s">
        <v>33</v>
      </c>
      <c r="H176" s="75" t="s">
        <v>43</v>
      </c>
      <c r="I176" s="82"/>
      <c r="J176" s="83"/>
      <c r="K176" s="81"/>
      <c r="L176" s="81"/>
      <c r="M176" s="81"/>
      <c r="N176" s="81"/>
      <c r="O176" s="83"/>
      <c r="P176" s="83"/>
      <c r="Q176" s="83"/>
    </row>
    <row r="177" spans="2:17" ht="42" x14ac:dyDescent="0.35">
      <c r="B177" s="226" t="s">
        <v>396</v>
      </c>
      <c r="C177" s="197"/>
      <c r="D177" s="197" t="s">
        <v>733</v>
      </c>
      <c r="E177" s="202" t="s">
        <v>24</v>
      </c>
      <c r="F177" s="216" t="s">
        <v>1076</v>
      </c>
      <c r="G177" s="83" t="s">
        <v>33</v>
      </c>
      <c r="H177" s="75" t="s">
        <v>43</v>
      </c>
      <c r="I177" s="82"/>
      <c r="J177" s="83"/>
      <c r="K177" s="81"/>
      <c r="L177" s="81"/>
      <c r="M177" s="81"/>
      <c r="N177" s="81"/>
      <c r="O177" s="83"/>
      <c r="P177" s="83"/>
      <c r="Q177" s="83"/>
    </row>
    <row r="178" spans="2:17" ht="42" x14ac:dyDescent="0.35">
      <c r="B178" s="226" t="s">
        <v>396</v>
      </c>
      <c r="C178" s="197"/>
      <c r="D178" s="197" t="s">
        <v>734</v>
      </c>
      <c r="E178" s="202" t="s">
        <v>24</v>
      </c>
      <c r="F178" s="215" t="s">
        <v>1077</v>
      </c>
      <c r="G178" s="83" t="s">
        <v>33</v>
      </c>
      <c r="H178" s="75" t="s">
        <v>43</v>
      </c>
      <c r="I178" s="82"/>
      <c r="J178" s="83"/>
      <c r="K178" s="81"/>
      <c r="L178" s="81"/>
      <c r="M178" s="81"/>
      <c r="N178" s="81"/>
      <c r="O178" s="83"/>
      <c r="P178" s="83"/>
      <c r="Q178" s="83"/>
    </row>
    <row r="179" spans="2:17" ht="78" customHeight="1" x14ac:dyDescent="0.35">
      <c r="B179" s="226" t="s">
        <v>396</v>
      </c>
      <c r="C179" s="204" t="s">
        <v>1078</v>
      </c>
      <c r="D179" s="204" t="s">
        <v>413</v>
      </c>
      <c r="E179" s="203" t="s">
        <v>25</v>
      </c>
      <c r="F179" s="219" t="s">
        <v>1079</v>
      </c>
      <c r="G179" s="79" t="s">
        <v>33</v>
      </c>
      <c r="H179" s="74" t="s">
        <v>43</v>
      </c>
      <c r="I179" s="78"/>
      <c r="J179" s="79"/>
      <c r="K179" s="77"/>
      <c r="L179" s="77"/>
      <c r="M179" s="77"/>
      <c r="N179" s="77"/>
      <c r="O179" s="79"/>
      <c r="P179" s="79"/>
      <c r="Q179" s="79"/>
    </row>
    <row r="180" spans="2:17" ht="76" customHeight="1" x14ac:dyDescent="0.35">
      <c r="B180" s="226" t="s">
        <v>396</v>
      </c>
      <c r="C180" s="204"/>
      <c r="D180" s="204" t="s">
        <v>735</v>
      </c>
      <c r="E180" s="203" t="s">
        <v>25</v>
      </c>
      <c r="F180" s="219" t="s">
        <v>1080</v>
      </c>
      <c r="G180" s="85" t="s">
        <v>33</v>
      </c>
      <c r="H180" s="74" t="s">
        <v>43</v>
      </c>
      <c r="I180" s="77"/>
      <c r="J180" s="85"/>
      <c r="K180" s="77"/>
      <c r="L180" s="77"/>
      <c r="M180" s="77"/>
      <c r="N180" s="77"/>
      <c r="O180" s="85"/>
      <c r="P180" s="85"/>
      <c r="Q180" s="85"/>
    </row>
    <row r="181" spans="2:17" ht="111.5" x14ac:dyDescent="0.35">
      <c r="B181" s="226" t="s">
        <v>396</v>
      </c>
      <c r="C181" s="197" t="s">
        <v>1081</v>
      </c>
      <c r="D181" s="197" t="s">
        <v>414</v>
      </c>
      <c r="E181" s="202" t="s">
        <v>25</v>
      </c>
      <c r="F181" s="215" t="s">
        <v>1082</v>
      </c>
      <c r="G181" s="86" t="s">
        <v>33</v>
      </c>
      <c r="H181" s="75" t="s">
        <v>43</v>
      </c>
      <c r="I181" s="81"/>
      <c r="J181" s="86"/>
      <c r="K181" s="81"/>
      <c r="L181" s="81"/>
      <c r="M181" s="81"/>
      <c r="N181" s="81"/>
      <c r="O181" s="86"/>
      <c r="P181" s="86"/>
      <c r="Q181" s="86"/>
    </row>
    <row r="182" spans="2:17" ht="52.5" x14ac:dyDescent="0.35">
      <c r="B182" s="226" t="s">
        <v>396</v>
      </c>
      <c r="C182" s="204" t="s">
        <v>1083</v>
      </c>
      <c r="D182" s="204" t="s">
        <v>415</v>
      </c>
      <c r="E182" s="203" t="s">
        <v>25</v>
      </c>
      <c r="F182" s="219" t="s">
        <v>1084</v>
      </c>
      <c r="G182" s="85" t="s">
        <v>33</v>
      </c>
      <c r="H182" s="74" t="s">
        <v>43</v>
      </c>
      <c r="I182" s="77"/>
      <c r="J182" s="85"/>
      <c r="K182" s="77"/>
      <c r="L182" s="77"/>
      <c r="M182" s="77"/>
      <c r="N182" s="77"/>
      <c r="O182" s="85"/>
      <c r="P182" s="85"/>
      <c r="Q182" s="85"/>
    </row>
    <row r="183" spans="2:17" ht="42" x14ac:dyDescent="0.35">
      <c r="B183" s="226" t="s">
        <v>396</v>
      </c>
      <c r="C183" s="204"/>
      <c r="D183" s="204" t="s">
        <v>736</v>
      </c>
      <c r="E183" s="203" t="s">
        <v>25</v>
      </c>
      <c r="F183" s="219" t="s">
        <v>1085</v>
      </c>
      <c r="G183" s="85" t="s">
        <v>33</v>
      </c>
      <c r="H183" s="74" t="s">
        <v>43</v>
      </c>
      <c r="I183" s="77"/>
      <c r="J183" s="85"/>
      <c r="K183" s="77"/>
      <c r="L183" s="77"/>
      <c r="M183" s="77"/>
      <c r="N183" s="77"/>
      <c r="O183" s="85"/>
      <c r="P183" s="85"/>
      <c r="Q183" s="85"/>
    </row>
    <row r="184" spans="2:17" ht="142" x14ac:dyDescent="0.35">
      <c r="B184" s="226" t="s">
        <v>396</v>
      </c>
      <c r="C184" s="204"/>
      <c r="D184" s="204" t="s">
        <v>737</v>
      </c>
      <c r="E184" s="203" t="s">
        <v>25</v>
      </c>
      <c r="F184" s="219" t="s">
        <v>1086</v>
      </c>
      <c r="G184" s="85" t="s">
        <v>33</v>
      </c>
      <c r="H184" s="74" t="s">
        <v>43</v>
      </c>
      <c r="I184" s="77"/>
      <c r="J184" s="85"/>
      <c r="K184" s="77"/>
      <c r="L184" s="77"/>
      <c r="M184" s="77"/>
      <c r="N184" s="77"/>
      <c r="O184" s="85"/>
      <c r="P184" s="85"/>
      <c r="Q184" s="85"/>
    </row>
    <row r="185" spans="2:17" ht="134" customHeight="1" x14ac:dyDescent="0.35">
      <c r="B185" s="226" t="s">
        <v>396</v>
      </c>
      <c r="C185" s="197" t="s">
        <v>738</v>
      </c>
      <c r="D185" s="197" t="s">
        <v>416</v>
      </c>
      <c r="E185" s="202" t="s">
        <v>24</v>
      </c>
      <c r="F185" s="215" t="s">
        <v>1087</v>
      </c>
      <c r="G185" s="86" t="s">
        <v>33</v>
      </c>
      <c r="H185" s="75" t="s">
        <v>43</v>
      </c>
      <c r="I185" s="81"/>
      <c r="J185" s="86"/>
      <c r="K185" s="81"/>
      <c r="L185" s="81"/>
      <c r="M185" s="81"/>
      <c r="N185" s="81"/>
      <c r="O185" s="86"/>
      <c r="P185" s="86"/>
      <c r="Q185" s="86"/>
    </row>
    <row r="186" spans="2:17" ht="134.5" customHeight="1" x14ac:dyDescent="0.35">
      <c r="B186" s="226" t="s">
        <v>396</v>
      </c>
      <c r="C186" s="197"/>
      <c r="D186" s="197" t="s">
        <v>417</v>
      </c>
      <c r="E186" s="202" t="s">
        <v>24</v>
      </c>
      <c r="F186" s="215" t="s">
        <v>1088</v>
      </c>
      <c r="G186" s="86" t="s">
        <v>33</v>
      </c>
      <c r="H186" s="75" t="s">
        <v>43</v>
      </c>
      <c r="I186" s="81"/>
      <c r="J186" s="86"/>
      <c r="K186" s="81"/>
      <c r="L186" s="81"/>
      <c r="M186" s="81"/>
      <c r="N186" s="81"/>
      <c r="O186" s="86"/>
      <c r="P186" s="86"/>
      <c r="Q186" s="86"/>
    </row>
    <row r="187" spans="2:17" ht="131" customHeight="1" x14ac:dyDescent="0.35">
      <c r="B187" s="225" t="s">
        <v>4</v>
      </c>
      <c r="C187" s="204" t="s">
        <v>1089</v>
      </c>
      <c r="D187" s="204" t="s">
        <v>418</v>
      </c>
      <c r="E187" s="203" t="s">
        <v>24</v>
      </c>
      <c r="F187" s="204" t="s">
        <v>1090</v>
      </c>
      <c r="G187" s="85" t="s">
        <v>33</v>
      </c>
      <c r="H187" s="74" t="s">
        <v>43</v>
      </c>
      <c r="I187" s="77"/>
      <c r="J187" s="85"/>
      <c r="K187" s="77"/>
      <c r="L187" s="77"/>
      <c r="M187" s="77"/>
      <c r="N187" s="77"/>
      <c r="O187" s="85"/>
      <c r="P187" s="85"/>
      <c r="Q187" s="85"/>
    </row>
    <row r="188" spans="2:17" ht="61.5" x14ac:dyDescent="0.35">
      <c r="B188" s="225" t="s">
        <v>4</v>
      </c>
      <c r="C188" s="204"/>
      <c r="D188" s="204" t="s">
        <v>419</v>
      </c>
      <c r="E188" s="203" t="s">
        <v>24</v>
      </c>
      <c r="F188" s="204" t="s">
        <v>1091</v>
      </c>
      <c r="G188" s="85" t="s">
        <v>33</v>
      </c>
      <c r="H188" s="74" t="s">
        <v>43</v>
      </c>
      <c r="I188" s="77"/>
      <c r="J188" s="85"/>
      <c r="K188" s="77"/>
      <c r="L188" s="77"/>
      <c r="M188" s="77"/>
      <c r="N188" s="77"/>
      <c r="O188" s="85"/>
      <c r="P188" s="85"/>
      <c r="Q188" s="85"/>
    </row>
    <row r="189" spans="2:17" ht="152.5" x14ac:dyDescent="0.35">
      <c r="B189" s="225" t="s">
        <v>4</v>
      </c>
      <c r="C189" s="204"/>
      <c r="D189" s="204" t="s">
        <v>420</v>
      </c>
      <c r="E189" s="203" t="s">
        <v>24</v>
      </c>
      <c r="F189" s="204" t="s">
        <v>1092</v>
      </c>
      <c r="G189" s="85" t="s">
        <v>33</v>
      </c>
      <c r="H189" s="74" t="s">
        <v>43</v>
      </c>
      <c r="I189" s="78"/>
      <c r="J189" s="85"/>
      <c r="K189" s="87"/>
      <c r="L189" s="87"/>
      <c r="M189" s="87"/>
      <c r="N189" s="87"/>
      <c r="O189" s="85"/>
      <c r="P189" s="85"/>
      <c r="Q189" s="85"/>
    </row>
    <row r="190" spans="2:17" ht="31.5" x14ac:dyDescent="0.35">
      <c r="B190" s="225" t="s">
        <v>4</v>
      </c>
      <c r="C190" s="197" t="s">
        <v>1093</v>
      </c>
      <c r="D190" s="197" t="s">
        <v>421</v>
      </c>
      <c r="E190" s="202" t="s">
        <v>24</v>
      </c>
      <c r="F190" s="216" t="s">
        <v>739</v>
      </c>
      <c r="G190" s="86" t="s">
        <v>33</v>
      </c>
      <c r="H190" s="75" t="s">
        <v>43</v>
      </c>
      <c r="I190" s="82"/>
      <c r="J190" s="86"/>
      <c r="K190" s="88"/>
      <c r="L190" s="88"/>
      <c r="M190" s="88"/>
      <c r="N190" s="88"/>
      <c r="O190" s="86"/>
      <c r="P190" s="86"/>
      <c r="Q190" s="86"/>
    </row>
    <row r="191" spans="2:17" ht="31.5" x14ac:dyDescent="0.35">
      <c r="B191" s="225" t="s">
        <v>4</v>
      </c>
      <c r="C191" s="197"/>
      <c r="D191" s="197" t="s">
        <v>423</v>
      </c>
      <c r="E191" s="202" t="s">
        <v>24</v>
      </c>
      <c r="F191" s="216" t="s">
        <v>427</v>
      </c>
      <c r="G191" s="86" t="s">
        <v>33</v>
      </c>
      <c r="H191" s="75" t="s">
        <v>43</v>
      </c>
      <c r="I191" s="82"/>
      <c r="J191" s="86"/>
      <c r="K191" s="88"/>
      <c r="L191" s="88"/>
      <c r="M191" s="88"/>
      <c r="N191" s="88"/>
      <c r="O191" s="86"/>
      <c r="P191" s="86"/>
      <c r="Q191" s="86"/>
    </row>
    <row r="192" spans="2:17" ht="42" x14ac:dyDescent="0.35">
      <c r="B192" s="225" t="s">
        <v>4</v>
      </c>
      <c r="C192" s="197"/>
      <c r="D192" s="197" t="s">
        <v>424</v>
      </c>
      <c r="E192" s="202" t="s">
        <v>24</v>
      </c>
      <c r="F192" s="216" t="s">
        <v>1094</v>
      </c>
      <c r="G192" s="86" t="s">
        <v>33</v>
      </c>
      <c r="H192" s="75" t="s">
        <v>43</v>
      </c>
      <c r="I192" s="88"/>
      <c r="J192" s="86"/>
      <c r="K192" s="88"/>
      <c r="L192" s="88"/>
      <c r="M192" s="88"/>
      <c r="N192" s="88"/>
      <c r="O192" s="86"/>
      <c r="P192" s="86"/>
      <c r="Q192" s="86"/>
    </row>
    <row r="193" spans="2:17" ht="42" x14ac:dyDescent="0.35">
      <c r="B193" s="225" t="s">
        <v>4</v>
      </c>
      <c r="C193" s="197"/>
      <c r="D193" s="197" t="s">
        <v>425</v>
      </c>
      <c r="E193" s="202" t="s">
        <v>24</v>
      </c>
      <c r="F193" s="216" t="s">
        <v>1095</v>
      </c>
      <c r="G193" s="86" t="s">
        <v>33</v>
      </c>
      <c r="H193" s="75" t="s">
        <v>43</v>
      </c>
      <c r="I193" s="88"/>
      <c r="J193" s="86"/>
      <c r="K193" s="88"/>
      <c r="L193" s="88"/>
      <c r="M193" s="88"/>
      <c r="N193" s="88"/>
      <c r="O193" s="86"/>
      <c r="P193" s="86"/>
      <c r="Q193" s="86"/>
    </row>
    <row r="194" spans="2:17" ht="141" customHeight="1" x14ac:dyDescent="0.35">
      <c r="B194" s="225" t="s">
        <v>4</v>
      </c>
      <c r="C194" s="197"/>
      <c r="D194" s="197" t="s">
        <v>740</v>
      </c>
      <c r="E194" s="202" t="s">
        <v>24</v>
      </c>
      <c r="F194" s="216" t="s">
        <v>1096</v>
      </c>
      <c r="G194" s="86" t="s">
        <v>33</v>
      </c>
      <c r="H194" s="75" t="s">
        <v>43</v>
      </c>
      <c r="I194" s="88"/>
      <c r="J194" s="86"/>
      <c r="K194" s="88"/>
      <c r="L194" s="88"/>
      <c r="M194" s="88"/>
      <c r="N194" s="88"/>
      <c r="O194" s="86"/>
      <c r="P194" s="86"/>
      <c r="Q194" s="86"/>
    </row>
    <row r="195" spans="2:17" ht="42" x14ac:dyDescent="0.35">
      <c r="B195" s="225" t="s">
        <v>4</v>
      </c>
      <c r="C195" s="197"/>
      <c r="D195" s="197" t="s">
        <v>741</v>
      </c>
      <c r="E195" s="202" t="s">
        <v>24</v>
      </c>
      <c r="F195" s="216" t="s">
        <v>742</v>
      </c>
      <c r="G195" s="86" t="s">
        <v>33</v>
      </c>
      <c r="H195" s="75" t="s">
        <v>43</v>
      </c>
      <c r="I195" s="88"/>
      <c r="J195" s="86"/>
      <c r="K195" s="88"/>
      <c r="L195" s="88"/>
      <c r="M195" s="88"/>
      <c r="N195" s="88"/>
      <c r="O195" s="86"/>
      <c r="P195" s="86"/>
      <c r="Q195" s="86"/>
    </row>
    <row r="196" spans="2:17" ht="50" x14ac:dyDescent="0.35">
      <c r="B196" s="225" t="s">
        <v>4</v>
      </c>
      <c r="C196" s="204" t="s">
        <v>1183</v>
      </c>
      <c r="D196" s="204" t="s">
        <v>422</v>
      </c>
      <c r="E196" s="203" t="s">
        <v>25</v>
      </c>
      <c r="F196" s="208" t="s">
        <v>428</v>
      </c>
      <c r="G196" s="85" t="s">
        <v>33</v>
      </c>
      <c r="H196" s="74" t="s">
        <v>43</v>
      </c>
      <c r="I196" s="87"/>
      <c r="J196" s="85"/>
      <c r="K196" s="87"/>
      <c r="L196" s="87"/>
      <c r="M196" s="87"/>
      <c r="N196" s="87"/>
      <c r="O196" s="85"/>
      <c r="P196" s="85"/>
      <c r="Q196" s="85"/>
    </row>
    <row r="197" spans="2:17" ht="31.5" x14ac:dyDescent="0.35">
      <c r="B197" s="225" t="s">
        <v>4</v>
      </c>
      <c r="C197" s="204"/>
      <c r="D197" s="204" t="s">
        <v>426</v>
      </c>
      <c r="E197" s="203" t="s">
        <v>25</v>
      </c>
      <c r="F197" s="208" t="s">
        <v>429</v>
      </c>
      <c r="G197" s="85" t="s">
        <v>33</v>
      </c>
      <c r="H197" s="74" t="s">
        <v>43</v>
      </c>
      <c r="I197" s="87"/>
      <c r="J197" s="85"/>
      <c r="K197" s="87"/>
      <c r="L197" s="87"/>
      <c r="M197" s="87"/>
      <c r="N197" s="87"/>
      <c r="O197" s="85"/>
      <c r="P197" s="85"/>
      <c r="Q197" s="85"/>
    </row>
    <row r="198" spans="2:17" ht="30" x14ac:dyDescent="0.35">
      <c r="B198" s="225" t="s">
        <v>4</v>
      </c>
      <c r="C198" s="197" t="s">
        <v>743</v>
      </c>
      <c r="D198" s="197" t="s">
        <v>430</v>
      </c>
      <c r="E198" s="202" t="s">
        <v>25</v>
      </c>
      <c r="F198" s="216" t="s">
        <v>1097</v>
      </c>
      <c r="G198" s="86" t="s">
        <v>33</v>
      </c>
      <c r="H198" s="75" t="s">
        <v>43</v>
      </c>
      <c r="I198" s="88"/>
      <c r="J198" s="86"/>
      <c r="K198" s="88"/>
      <c r="L198" s="88"/>
      <c r="M198" s="88"/>
      <c r="N198" s="88"/>
      <c r="O198" s="86"/>
      <c r="P198" s="86"/>
      <c r="Q198" s="86"/>
    </row>
    <row r="199" spans="2:17" ht="144" customHeight="1" x14ac:dyDescent="0.35">
      <c r="B199" s="225" t="s">
        <v>4</v>
      </c>
      <c r="C199" s="197"/>
      <c r="D199" s="197" t="s">
        <v>744</v>
      </c>
      <c r="E199" s="202" t="s">
        <v>25</v>
      </c>
      <c r="F199" s="216" t="s">
        <v>1098</v>
      </c>
      <c r="G199" s="86" t="s">
        <v>33</v>
      </c>
      <c r="H199" s="75" t="s">
        <v>43</v>
      </c>
      <c r="I199" s="88"/>
      <c r="J199" s="86"/>
      <c r="K199" s="88"/>
      <c r="L199" s="88"/>
      <c r="M199" s="88"/>
      <c r="N199" s="88"/>
      <c r="O199" s="86"/>
      <c r="P199" s="86"/>
      <c r="Q199" s="86"/>
    </row>
    <row r="200" spans="2:17" ht="133" x14ac:dyDescent="0.35">
      <c r="B200" s="225" t="s">
        <v>4</v>
      </c>
      <c r="C200" s="197"/>
      <c r="D200" s="197" t="s">
        <v>745</v>
      </c>
      <c r="E200" s="202" t="s">
        <v>25</v>
      </c>
      <c r="F200" s="216" t="s">
        <v>1099</v>
      </c>
      <c r="G200" s="86" t="s">
        <v>33</v>
      </c>
      <c r="H200" s="75" t="s">
        <v>43</v>
      </c>
      <c r="I200" s="88"/>
      <c r="J200" s="86"/>
      <c r="K200" s="88"/>
      <c r="L200" s="88"/>
      <c r="M200" s="88"/>
      <c r="N200" s="88"/>
      <c r="O200" s="86"/>
      <c r="P200" s="86"/>
      <c r="Q200" s="86"/>
    </row>
    <row r="201" spans="2:17" ht="121.5" customHeight="1" x14ac:dyDescent="0.35">
      <c r="B201" s="225" t="s">
        <v>4</v>
      </c>
      <c r="C201" s="204" t="s">
        <v>1100</v>
      </c>
      <c r="D201" s="204" t="s">
        <v>431</v>
      </c>
      <c r="E201" s="203" t="s">
        <v>24</v>
      </c>
      <c r="F201" s="208" t="s">
        <v>1101</v>
      </c>
      <c r="G201" s="85" t="s">
        <v>33</v>
      </c>
      <c r="H201" s="74" t="s">
        <v>43</v>
      </c>
      <c r="I201" s="87"/>
      <c r="J201" s="85"/>
      <c r="K201" s="87"/>
      <c r="L201" s="87"/>
      <c r="M201" s="87"/>
      <c r="N201" s="87"/>
      <c r="O201" s="85"/>
      <c r="P201" s="85"/>
      <c r="Q201" s="85"/>
    </row>
    <row r="202" spans="2:17" ht="21" x14ac:dyDescent="0.35">
      <c r="B202" s="225" t="s">
        <v>4</v>
      </c>
      <c r="C202" s="197" t="s">
        <v>1102</v>
      </c>
      <c r="D202" s="197" t="s">
        <v>432</v>
      </c>
      <c r="E202" s="202" t="s">
        <v>24</v>
      </c>
      <c r="F202" s="216" t="s">
        <v>746</v>
      </c>
      <c r="G202" s="86" t="s">
        <v>33</v>
      </c>
      <c r="H202" s="75" t="s">
        <v>43</v>
      </c>
      <c r="I202" s="88"/>
      <c r="J202" s="86"/>
      <c r="K202" s="88"/>
      <c r="L202" s="88"/>
      <c r="M202" s="88"/>
      <c r="N202" s="88"/>
      <c r="O202" s="86"/>
      <c r="P202" s="86"/>
      <c r="Q202" s="86"/>
    </row>
    <row r="203" spans="2:17" ht="30" x14ac:dyDescent="0.35">
      <c r="B203" s="225" t="s">
        <v>4</v>
      </c>
      <c r="C203" s="204" t="s">
        <v>747</v>
      </c>
      <c r="D203" s="204" t="s">
        <v>433</v>
      </c>
      <c r="E203" s="203" t="s">
        <v>24</v>
      </c>
      <c r="F203" s="208" t="s">
        <v>1103</v>
      </c>
      <c r="G203" s="85" t="s">
        <v>33</v>
      </c>
      <c r="H203" s="74" t="s">
        <v>43</v>
      </c>
      <c r="I203" s="87"/>
      <c r="J203" s="85"/>
      <c r="K203" s="87"/>
      <c r="L203" s="87"/>
      <c r="M203" s="87"/>
      <c r="N203" s="87"/>
      <c r="O203" s="85"/>
      <c r="P203" s="85"/>
      <c r="Q203" s="85"/>
    </row>
    <row r="204" spans="2:17" ht="31.5" x14ac:dyDescent="0.35">
      <c r="B204" s="225" t="s">
        <v>4</v>
      </c>
      <c r="C204" s="197" t="s">
        <v>1104</v>
      </c>
      <c r="D204" s="197" t="s">
        <v>434</v>
      </c>
      <c r="E204" s="202" t="s">
        <v>24</v>
      </c>
      <c r="F204" s="216" t="s">
        <v>1105</v>
      </c>
      <c r="G204" s="86" t="s">
        <v>33</v>
      </c>
      <c r="H204" s="75" t="s">
        <v>43</v>
      </c>
      <c r="I204" s="82"/>
      <c r="J204" s="86"/>
      <c r="K204" s="88"/>
      <c r="L204" s="88"/>
      <c r="M204" s="88"/>
      <c r="N204" s="88"/>
      <c r="O204" s="86"/>
      <c r="P204" s="86"/>
      <c r="Q204" s="86"/>
    </row>
    <row r="205" spans="2:17" ht="21" x14ac:dyDescent="0.35">
      <c r="B205" s="225" t="s">
        <v>4</v>
      </c>
      <c r="C205" s="197"/>
      <c r="D205" s="197" t="s">
        <v>435</v>
      </c>
      <c r="E205" s="202" t="s">
        <v>24</v>
      </c>
      <c r="F205" s="216" t="s">
        <v>748</v>
      </c>
      <c r="G205" s="86" t="s">
        <v>33</v>
      </c>
      <c r="H205" s="75" t="s">
        <v>43</v>
      </c>
      <c r="I205" s="82"/>
      <c r="J205" s="86"/>
      <c r="K205" s="88"/>
      <c r="L205" s="88"/>
      <c r="M205" s="88"/>
      <c r="N205" s="88"/>
      <c r="O205" s="86"/>
      <c r="P205" s="86"/>
      <c r="Q205" s="86"/>
    </row>
    <row r="206" spans="2:17" ht="37.5" customHeight="1" x14ac:dyDescent="0.35">
      <c r="B206" s="225" t="s">
        <v>4</v>
      </c>
      <c r="C206" s="197"/>
      <c r="D206" s="197" t="s">
        <v>436</v>
      </c>
      <c r="E206" s="202" t="s">
        <v>24</v>
      </c>
      <c r="F206" s="216" t="s">
        <v>1106</v>
      </c>
      <c r="G206" s="86" t="s">
        <v>33</v>
      </c>
      <c r="H206" s="75" t="s">
        <v>43</v>
      </c>
      <c r="I206" s="88"/>
      <c r="J206" s="86"/>
      <c r="K206" s="88"/>
      <c r="L206" s="88"/>
      <c r="M206" s="88"/>
      <c r="N206" s="88"/>
      <c r="O206" s="86"/>
      <c r="P206" s="86"/>
      <c r="Q206" s="86"/>
    </row>
    <row r="207" spans="2:17" ht="141" customHeight="1" x14ac:dyDescent="0.35">
      <c r="B207" s="225" t="s">
        <v>4</v>
      </c>
      <c r="C207" s="204" t="s">
        <v>1107</v>
      </c>
      <c r="D207" s="204" t="s">
        <v>437</v>
      </c>
      <c r="E207" s="203" t="s">
        <v>24</v>
      </c>
      <c r="F207" s="204" t="s">
        <v>1108</v>
      </c>
      <c r="G207" s="85" t="s">
        <v>33</v>
      </c>
      <c r="H207" s="74" t="s">
        <v>43</v>
      </c>
      <c r="I207" s="87"/>
      <c r="J207" s="85"/>
      <c r="K207" s="87"/>
      <c r="L207" s="87"/>
      <c r="M207" s="87"/>
      <c r="N207" s="87"/>
      <c r="O207" s="85"/>
      <c r="P207" s="85"/>
      <c r="Q207" s="85"/>
    </row>
    <row r="208" spans="2:17" ht="161" x14ac:dyDescent="0.35">
      <c r="B208" s="225" t="s">
        <v>4</v>
      </c>
      <c r="C208" s="204"/>
      <c r="D208" s="204" t="s">
        <v>438</v>
      </c>
      <c r="E208" s="203" t="s">
        <v>24</v>
      </c>
      <c r="F208" s="204" t="s">
        <v>1109</v>
      </c>
      <c r="G208" s="85" t="s">
        <v>33</v>
      </c>
      <c r="H208" s="74" t="s">
        <v>43</v>
      </c>
      <c r="I208" s="87"/>
      <c r="J208" s="85"/>
      <c r="K208" s="87"/>
      <c r="L208" s="87"/>
      <c r="M208" s="87"/>
      <c r="N208" s="87"/>
      <c r="O208" s="85"/>
      <c r="P208" s="85"/>
      <c r="Q208" s="85"/>
    </row>
    <row r="209" spans="2:17" ht="91.5" x14ac:dyDescent="0.35">
      <c r="B209" s="225" t="s">
        <v>4</v>
      </c>
      <c r="C209" s="197" t="s">
        <v>1110</v>
      </c>
      <c r="D209" s="197" t="s">
        <v>439</v>
      </c>
      <c r="E209" s="202" t="s">
        <v>24</v>
      </c>
      <c r="F209" s="197" t="s">
        <v>1111</v>
      </c>
      <c r="G209" s="86" t="s">
        <v>33</v>
      </c>
      <c r="H209" s="75" t="s">
        <v>43</v>
      </c>
      <c r="I209" s="88"/>
      <c r="J209" s="86"/>
      <c r="K209" s="88"/>
      <c r="L209" s="88"/>
      <c r="M209" s="88"/>
      <c r="N209" s="88"/>
      <c r="O209" s="86"/>
      <c r="P209" s="86"/>
      <c r="Q209" s="86"/>
    </row>
    <row r="210" spans="2:17" ht="91.5" x14ac:dyDescent="0.35">
      <c r="B210" s="225" t="s">
        <v>4</v>
      </c>
      <c r="C210" s="197"/>
      <c r="D210" s="197" t="s">
        <v>440</v>
      </c>
      <c r="E210" s="202" t="s">
        <v>24</v>
      </c>
      <c r="F210" s="209" t="s">
        <v>1112</v>
      </c>
      <c r="G210" s="86" t="s">
        <v>33</v>
      </c>
      <c r="H210" s="75" t="s">
        <v>43</v>
      </c>
      <c r="I210" s="88"/>
      <c r="J210" s="86"/>
      <c r="K210" s="88"/>
      <c r="L210" s="88"/>
      <c r="M210" s="88"/>
      <c r="N210" s="88"/>
      <c r="O210" s="86"/>
      <c r="P210" s="86"/>
      <c r="Q210" s="86"/>
    </row>
    <row r="211" spans="2:17" ht="81.5" x14ac:dyDescent="0.35">
      <c r="B211" s="225" t="s">
        <v>4</v>
      </c>
      <c r="C211" s="197"/>
      <c r="D211" s="197" t="s">
        <v>441</v>
      </c>
      <c r="E211" s="202" t="s">
        <v>24</v>
      </c>
      <c r="F211" s="197" t="s">
        <v>1113</v>
      </c>
      <c r="G211" s="86" t="s">
        <v>33</v>
      </c>
      <c r="H211" s="75" t="s">
        <v>43</v>
      </c>
      <c r="I211" s="88"/>
      <c r="J211" s="86"/>
      <c r="K211" s="88"/>
      <c r="L211" s="88"/>
      <c r="M211" s="88"/>
      <c r="N211" s="88"/>
      <c r="O211" s="86"/>
      <c r="P211" s="86"/>
      <c r="Q211" s="86"/>
    </row>
    <row r="212" spans="2:17" ht="73" customHeight="1" x14ac:dyDescent="0.35">
      <c r="B212" s="225" t="s">
        <v>4</v>
      </c>
      <c r="C212" s="197"/>
      <c r="D212" s="197" t="s">
        <v>442</v>
      </c>
      <c r="E212" s="202" t="s">
        <v>24</v>
      </c>
      <c r="F212" s="197" t="s">
        <v>1114</v>
      </c>
      <c r="G212" s="86" t="s">
        <v>33</v>
      </c>
      <c r="H212" s="75" t="s">
        <v>43</v>
      </c>
      <c r="I212" s="88"/>
      <c r="J212" s="86"/>
      <c r="K212" s="88"/>
      <c r="L212" s="88"/>
      <c r="M212" s="88"/>
      <c r="N212" s="88"/>
      <c r="O212" s="86"/>
      <c r="P212" s="86"/>
      <c r="Q212" s="86"/>
    </row>
    <row r="213" spans="2:17" ht="111.5" x14ac:dyDescent="0.35">
      <c r="B213" s="225" t="s">
        <v>4</v>
      </c>
      <c r="C213" s="197"/>
      <c r="D213" s="197" t="s">
        <v>443</v>
      </c>
      <c r="E213" s="202" t="s">
        <v>24</v>
      </c>
      <c r="F213" s="209" t="s">
        <v>1115</v>
      </c>
      <c r="G213" s="86" t="s">
        <v>33</v>
      </c>
      <c r="H213" s="75" t="s">
        <v>43</v>
      </c>
      <c r="I213" s="82"/>
      <c r="J213" s="86"/>
      <c r="K213" s="88"/>
      <c r="L213" s="88"/>
      <c r="M213" s="88"/>
      <c r="N213" s="88"/>
      <c r="O213" s="86"/>
      <c r="P213" s="86"/>
      <c r="Q213" s="86"/>
    </row>
    <row r="214" spans="2:17" ht="82" x14ac:dyDescent="0.35">
      <c r="B214" s="225" t="s">
        <v>4</v>
      </c>
      <c r="C214" s="197"/>
      <c r="D214" s="197" t="s">
        <v>444</v>
      </c>
      <c r="E214" s="202" t="s">
        <v>24</v>
      </c>
      <c r="F214" s="197" t="s">
        <v>1116</v>
      </c>
      <c r="G214" s="86" t="s">
        <v>33</v>
      </c>
      <c r="H214" s="75" t="s">
        <v>43</v>
      </c>
      <c r="I214" s="82"/>
      <c r="J214" s="86"/>
      <c r="K214" s="88"/>
      <c r="L214" s="88"/>
      <c r="M214" s="88"/>
      <c r="N214" s="88"/>
      <c r="O214" s="86"/>
      <c r="P214" s="86"/>
      <c r="Q214" s="86"/>
    </row>
    <row r="215" spans="2:17" ht="103.5" customHeight="1" x14ac:dyDescent="0.35">
      <c r="B215" s="225" t="s">
        <v>4</v>
      </c>
      <c r="C215" s="197"/>
      <c r="D215" s="197" t="s">
        <v>445</v>
      </c>
      <c r="E215" s="202" t="s">
        <v>24</v>
      </c>
      <c r="F215" s="197" t="s">
        <v>1117</v>
      </c>
      <c r="G215" s="86" t="s">
        <v>33</v>
      </c>
      <c r="H215" s="75" t="s">
        <v>43</v>
      </c>
      <c r="I215" s="82"/>
      <c r="J215" s="86"/>
      <c r="K215" s="88"/>
      <c r="L215" s="88"/>
      <c r="M215" s="88"/>
      <c r="N215" s="88"/>
      <c r="O215" s="86"/>
      <c r="P215" s="86"/>
      <c r="Q215" s="86"/>
    </row>
    <row r="216" spans="2:17" ht="41" customHeight="1" x14ac:dyDescent="0.35">
      <c r="B216" s="225" t="s">
        <v>4</v>
      </c>
      <c r="C216" s="204" t="s">
        <v>1118</v>
      </c>
      <c r="D216" s="204" t="s">
        <v>446</v>
      </c>
      <c r="E216" s="203" t="s">
        <v>25</v>
      </c>
      <c r="F216" s="208" t="s">
        <v>1119</v>
      </c>
      <c r="G216" s="85" t="s">
        <v>33</v>
      </c>
      <c r="H216" s="74" t="s">
        <v>43</v>
      </c>
      <c r="I216" s="78"/>
      <c r="J216" s="85"/>
      <c r="K216" s="87"/>
      <c r="L216" s="87"/>
      <c r="M216" s="87"/>
      <c r="N216" s="87"/>
      <c r="O216" s="85"/>
      <c r="P216" s="85"/>
      <c r="Q216" s="85"/>
    </row>
    <row r="217" spans="2:17" ht="35.5" customHeight="1" x14ac:dyDescent="0.35">
      <c r="B217" s="225" t="s">
        <v>4</v>
      </c>
      <c r="C217" s="204"/>
      <c r="D217" s="204" t="s">
        <v>448</v>
      </c>
      <c r="E217" s="203" t="s">
        <v>25</v>
      </c>
      <c r="F217" s="208" t="s">
        <v>1120</v>
      </c>
      <c r="G217" s="85" t="s">
        <v>33</v>
      </c>
      <c r="H217" s="74" t="s">
        <v>43</v>
      </c>
      <c r="I217" s="78"/>
      <c r="J217" s="85"/>
      <c r="K217" s="87"/>
      <c r="L217" s="87"/>
      <c r="M217" s="87"/>
      <c r="N217" s="87"/>
      <c r="O217" s="85"/>
      <c r="P217" s="85"/>
      <c r="Q217" s="85"/>
    </row>
    <row r="218" spans="2:17" ht="154" customHeight="1" x14ac:dyDescent="0.35">
      <c r="B218" s="225" t="s">
        <v>4</v>
      </c>
      <c r="C218" s="197" t="s">
        <v>1121</v>
      </c>
      <c r="D218" s="197" t="s">
        <v>447</v>
      </c>
      <c r="E218" s="202" t="s">
        <v>25</v>
      </c>
      <c r="F218" s="223" t="s">
        <v>1122</v>
      </c>
      <c r="G218" s="86" t="s">
        <v>33</v>
      </c>
      <c r="H218" s="75" t="s">
        <v>43</v>
      </c>
      <c r="I218" s="82"/>
      <c r="J218" s="86"/>
      <c r="K218" s="88"/>
      <c r="L218" s="88"/>
      <c r="M218" s="88"/>
      <c r="N218" s="88"/>
      <c r="O218" s="86"/>
      <c r="P218" s="86"/>
      <c r="Q218" s="86"/>
    </row>
    <row r="219" spans="2:17" ht="103.5" customHeight="1" x14ac:dyDescent="0.35">
      <c r="B219" s="225" t="s">
        <v>4</v>
      </c>
      <c r="C219" s="197"/>
      <c r="D219" s="197" t="s">
        <v>449</v>
      </c>
      <c r="E219" s="202" t="s">
        <v>25</v>
      </c>
      <c r="F219" s="223" t="s">
        <v>1123</v>
      </c>
      <c r="G219" s="86" t="s">
        <v>33</v>
      </c>
      <c r="H219" s="75" t="s">
        <v>43</v>
      </c>
      <c r="I219" s="88"/>
      <c r="J219" s="86"/>
      <c r="K219" s="88"/>
      <c r="L219" s="88"/>
      <c r="M219" s="88"/>
      <c r="N219" s="88"/>
      <c r="O219" s="86"/>
      <c r="P219" s="86"/>
      <c r="Q219" s="86"/>
    </row>
    <row r="220" spans="2:17" ht="114.5" customHeight="1" x14ac:dyDescent="0.35">
      <c r="B220" s="225" t="s">
        <v>4</v>
      </c>
      <c r="C220" s="204" t="s">
        <v>1124</v>
      </c>
      <c r="D220" s="204" t="s">
        <v>450</v>
      </c>
      <c r="E220" s="203" t="s">
        <v>25</v>
      </c>
      <c r="F220" s="210" t="s">
        <v>1125</v>
      </c>
      <c r="G220" s="85" t="s">
        <v>33</v>
      </c>
      <c r="H220" s="74" t="s">
        <v>43</v>
      </c>
      <c r="I220" s="87"/>
      <c r="J220" s="85"/>
      <c r="K220" s="87"/>
      <c r="L220" s="87"/>
      <c r="M220" s="87"/>
      <c r="N220" s="87"/>
      <c r="O220" s="85"/>
      <c r="P220" s="85"/>
      <c r="Q220" s="85"/>
    </row>
    <row r="221" spans="2:17" ht="81" customHeight="1" x14ac:dyDescent="0.35">
      <c r="B221" s="226" t="s">
        <v>7</v>
      </c>
      <c r="C221" s="197" t="s">
        <v>451</v>
      </c>
      <c r="D221" s="197" t="s">
        <v>452</v>
      </c>
      <c r="E221" s="202" t="s">
        <v>25</v>
      </c>
      <c r="F221" s="224" t="s">
        <v>1126</v>
      </c>
      <c r="G221" s="86" t="s">
        <v>33</v>
      </c>
      <c r="H221" s="75" t="s">
        <v>43</v>
      </c>
      <c r="I221" s="88"/>
      <c r="J221" s="86"/>
      <c r="K221" s="88"/>
      <c r="L221" s="88"/>
      <c r="M221" s="88"/>
      <c r="N221" s="88"/>
      <c r="O221" s="86"/>
      <c r="P221" s="86"/>
      <c r="Q221" s="86"/>
    </row>
    <row r="222" spans="2:17" ht="83.5" customHeight="1" x14ac:dyDescent="0.35">
      <c r="B222" s="226" t="s">
        <v>7</v>
      </c>
      <c r="C222" s="204" t="s">
        <v>1127</v>
      </c>
      <c r="D222" s="204" t="s">
        <v>453</v>
      </c>
      <c r="E222" s="203" t="s">
        <v>25</v>
      </c>
      <c r="F222" s="208" t="s">
        <v>1128</v>
      </c>
      <c r="G222" s="85" t="s">
        <v>33</v>
      </c>
      <c r="H222" s="74" t="s">
        <v>43</v>
      </c>
      <c r="I222" s="87"/>
      <c r="J222" s="85"/>
      <c r="K222" s="87"/>
      <c r="L222" s="87"/>
      <c r="M222" s="87"/>
      <c r="N222" s="87"/>
      <c r="O222" s="85"/>
      <c r="P222" s="85"/>
      <c r="Q222" s="85"/>
    </row>
    <row r="223" spans="2:17" ht="21" x14ac:dyDescent="0.35">
      <c r="B223" s="226" t="s">
        <v>7</v>
      </c>
      <c r="C223" s="197" t="s">
        <v>1129</v>
      </c>
      <c r="D223" s="197" t="s">
        <v>454</v>
      </c>
      <c r="E223" s="202" t="s">
        <v>25</v>
      </c>
      <c r="F223" s="216" t="s">
        <v>1130</v>
      </c>
      <c r="G223" s="86" t="s">
        <v>33</v>
      </c>
      <c r="H223" s="75" t="s">
        <v>43</v>
      </c>
      <c r="I223" s="82"/>
      <c r="J223" s="86"/>
      <c r="K223" s="88"/>
      <c r="L223" s="88"/>
      <c r="M223" s="88"/>
      <c r="N223" s="88"/>
      <c r="O223" s="86"/>
      <c r="P223" s="86"/>
      <c r="Q223" s="86"/>
    </row>
    <row r="224" spans="2:17" x14ac:dyDescent="0.35">
      <c r="B224" s="226" t="s">
        <v>7</v>
      </c>
      <c r="C224" s="197"/>
      <c r="D224" s="197" t="s">
        <v>456</v>
      </c>
      <c r="E224" s="202" t="s">
        <v>25</v>
      </c>
      <c r="F224" s="216" t="s">
        <v>459</v>
      </c>
      <c r="G224" s="86" t="s">
        <v>33</v>
      </c>
      <c r="H224" s="75" t="s">
        <v>43</v>
      </c>
      <c r="I224" s="82"/>
      <c r="J224" s="86"/>
      <c r="K224" s="88"/>
      <c r="L224" s="88"/>
      <c r="M224" s="88"/>
      <c r="N224" s="88"/>
      <c r="O224" s="86"/>
      <c r="P224" s="86"/>
      <c r="Q224" s="86"/>
    </row>
    <row r="225" spans="2:17" ht="21" x14ac:dyDescent="0.35">
      <c r="B225" s="226" t="s">
        <v>7</v>
      </c>
      <c r="C225" s="197"/>
      <c r="D225" s="197" t="s">
        <v>749</v>
      </c>
      <c r="E225" s="202" t="s">
        <v>25</v>
      </c>
      <c r="F225" s="216" t="s">
        <v>460</v>
      </c>
      <c r="G225" s="86" t="s">
        <v>33</v>
      </c>
      <c r="H225" s="75" t="s">
        <v>43</v>
      </c>
      <c r="I225" s="82"/>
      <c r="J225" s="86"/>
      <c r="K225" s="88"/>
      <c r="L225" s="88"/>
      <c r="M225" s="88"/>
      <c r="N225" s="88"/>
      <c r="O225" s="86"/>
      <c r="P225" s="86"/>
      <c r="Q225" s="86"/>
    </row>
    <row r="226" spans="2:17" ht="31.5" x14ac:dyDescent="0.35">
      <c r="B226" s="226" t="s">
        <v>7</v>
      </c>
      <c r="C226" s="204" t="s">
        <v>1131</v>
      </c>
      <c r="D226" s="204" t="s">
        <v>455</v>
      </c>
      <c r="E226" s="203" t="s">
        <v>25</v>
      </c>
      <c r="F226" s="208" t="s">
        <v>1132</v>
      </c>
      <c r="G226" s="85" t="s">
        <v>33</v>
      </c>
      <c r="H226" s="74" t="s">
        <v>43</v>
      </c>
      <c r="I226" s="78"/>
      <c r="J226" s="85"/>
      <c r="K226" s="87"/>
      <c r="L226" s="87"/>
      <c r="M226" s="87"/>
      <c r="N226" s="87"/>
      <c r="O226" s="85"/>
      <c r="P226" s="85"/>
      <c r="Q226" s="85"/>
    </row>
    <row r="227" spans="2:17" ht="43" customHeight="1" x14ac:dyDescent="0.35">
      <c r="B227" s="226" t="s">
        <v>7</v>
      </c>
      <c r="C227" s="204"/>
      <c r="D227" s="204" t="s">
        <v>457</v>
      </c>
      <c r="E227" s="203" t="s">
        <v>25</v>
      </c>
      <c r="F227" s="208" t="s">
        <v>1134</v>
      </c>
      <c r="G227" s="85" t="s">
        <v>33</v>
      </c>
      <c r="H227" s="74" t="s">
        <v>43</v>
      </c>
      <c r="I227" s="78"/>
      <c r="J227" s="85"/>
      <c r="K227" s="87"/>
      <c r="L227" s="87"/>
      <c r="M227" s="87"/>
      <c r="N227" s="87"/>
      <c r="O227" s="85"/>
      <c r="P227" s="85"/>
      <c r="Q227" s="85"/>
    </row>
    <row r="228" spans="2:17" ht="42" x14ac:dyDescent="0.35">
      <c r="B228" s="226" t="s">
        <v>7</v>
      </c>
      <c r="C228" s="204"/>
      <c r="D228" s="204" t="s">
        <v>458</v>
      </c>
      <c r="E228" s="203" t="s">
        <v>25</v>
      </c>
      <c r="F228" s="208" t="s">
        <v>1133</v>
      </c>
      <c r="G228" s="85" t="s">
        <v>33</v>
      </c>
      <c r="H228" s="74" t="s">
        <v>43</v>
      </c>
      <c r="I228" s="78"/>
      <c r="J228" s="85"/>
      <c r="K228" s="87"/>
      <c r="L228" s="87"/>
      <c r="M228" s="87"/>
      <c r="N228" s="87"/>
      <c r="O228" s="85"/>
      <c r="P228" s="85"/>
      <c r="Q228" s="85"/>
    </row>
    <row r="229" spans="2:17" ht="31.5" x14ac:dyDescent="0.35">
      <c r="B229" s="226" t="s">
        <v>7</v>
      </c>
      <c r="C229" s="197" t="s">
        <v>461</v>
      </c>
      <c r="D229" s="197" t="s">
        <v>462</v>
      </c>
      <c r="E229" s="202" t="s">
        <v>25</v>
      </c>
      <c r="F229" s="216" t="s">
        <v>466</v>
      </c>
      <c r="G229" s="86" t="s">
        <v>33</v>
      </c>
      <c r="H229" s="75" t="s">
        <v>43</v>
      </c>
      <c r="I229" s="82"/>
      <c r="J229" s="86"/>
      <c r="K229" s="88"/>
      <c r="L229" s="88"/>
      <c r="M229" s="88"/>
      <c r="N229" s="88"/>
      <c r="O229" s="86"/>
      <c r="P229" s="86"/>
      <c r="Q229" s="86"/>
    </row>
    <row r="230" spans="2:17" ht="43.5" customHeight="1" x14ac:dyDescent="0.35">
      <c r="B230" s="226" t="s">
        <v>7</v>
      </c>
      <c r="C230" s="197"/>
      <c r="D230" s="197" t="s">
        <v>464</v>
      </c>
      <c r="E230" s="202" t="s">
        <v>25</v>
      </c>
      <c r="F230" s="216" t="s">
        <v>1135</v>
      </c>
      <c r="G230" s="86" t="s">
        <v>33</v>
      </c>
      <c r="H230" s="75" t="s">
        <v>43</v>
      </c>
      <c r="I230" s="82"/>
      <c r="J230" s="86"/>
      <c r="K230" s="88"/>
      <c r="L230" s="88"/>
      <c r="M230" s="88"/>
      <c r="N230" s="88"/>
      <c r="O230" s="86"/>
      <c r="P230" s="86"/>
      <c r="Q230" s="86"/>
    </row>
    <row r="231" spans="2:17" ht="42" x14ac:dyDescent="0.35">
      <c r="B231" s="226" t="s">
        <v>7</v>
      </c>
      <c r="C231" s="197"/>
      <c r="D231" s="197" t="s">
        <v>465</v>
      </c>
      <c r="E231" s="202" t="s">
        <v>25</v>
      </c>
      <c r="F231" s="216" t="s">
        <v>467</v>
      </c>
      <c r="G231" s="86" t="s">
        <v>33</v>
      </c>
      <c r="H231" s="75" t="s">
        <v>43</v>
      </c>
      <c r="I231" s="82"/>
      <c r="J231" s="86"/>
      <c r="K231" s="88"/>
      <c r="L231" s="88"/>
      <c r="M231" s="88"/>
      <c r="N231" s="88"/>
      <c r="O231" s="86"/>
      <c r="P231" s="86"/>
      <c r="Q231" s="86"/>
    </row>
    <row r="232" spans="2:17" ht="183.5" customHeight="1" x14ac:dyDescent="0.35">
      <c r="B232" s="226" t="s">
        <v>7</v>
      </c>
      <c r="C232" s="204" t="s">
        <v>1136</v>
      </c>
      <c r="D232" s="204" t="s">
        <v>463</v>
      </c>
      <c r="E232" s="203" t="s">
        <v>24</v>
      </c>
      <c r="F232" s="222" t="s">
        <v>1137</v>
      </c>
      <c r="G232" s="85" t="s">
        <v>33</v>
      </c>
      <c r="H232" s="74" t="s">
        <v>43</v>
      </c>
      <c r="I232" s="87"/>
      <c r="J232" s="85"/>
      <c r="K232" s="87"/>
      <c r="L232" s="87"/>
      <c r="M232" s="87"/>
      <c r="N232" s="87"/>
      <c r="O232" s="85"/>
      <c r="P232" s="85"/>
      <c r="Q232" s="85"/>
    </row>
    <row r="233" spans="2:17" ht="31.5" x14ac:dyDescent="0.35">
      <c r="B233" s="226" t="s">
        <v>7</v>
      </c>
      <c r="C233" s="197" t="s">
        <v>1138</v>
      </c>
      <c r="D233" s="197" t="s">
        <v>468</v>
      </c>
      <c r="E233" s="202" t="s">
        <v>24</v>
      </c>
      <c r="F233" s="216" t="s">
        <v>750</v>
      </c>
      <c r="G233" s="86" t="s">
        <v>33</v>
      </c>
      <c r="H233" s="75" t="s">
        <v>43</v>
      </c>
      <c r="I233" s="88"/>
      <c r="J233" s="86"/>
      <c r="K233" s="88"/>
      <c r="L233" s="88"/>
      <c r="M233" s="88"/>
      <c r="N233" s="88"/>
      <c r="O233" s="86"/>
      <c r="P233" s="86"/>
      <c r="Q233" s="86"/>
    </row>
    <row r="234" spans="2:17" ht="84" customHeight="1" x14ac:dyDescent="0.35">
      <c r="B234" s="226" t="s">
        <v>7</v>
      </c>
      <c r="C234" s="197"/>
      <c r="D234" s="197" t="s">
        <v>751</v>
      </c>
      <c r="E234" s="202" t="s">
        <v>24</v>
      </c>
      <c r="F234" s="216" t="s">
        <v>1139</v>
      </c>
      <c r="G234" s="86" t="s">
        <v>33</v>
      </c>
      <c r="H234" s="75" t="s">
        <v>43</v>
      </c>
      <c r="I234" s="88"/>
      <c r="J234" s="86"/>
      <c r="K234" s="88"/>
      <c r="L234" s="88"/>
      <c r="M234" s="88"/>
      <c r="N234" s="88"/>
      <c r="O234" s="86"/>
      <c r="P234" s="86"/>
      <c r="Q234" s="86"/>
    </row>
    <row r="235" spans="2:17" ht="21" x14ac:dyDescent="0.35">
      <c r="B235" s="226" t="s">
        <v>7</v>
      </c>
      <c r="C235" s="204" t="s">
        <v>1140</v>
      </c>
      <c r="D235" s="204" t="s">
        <v>469</v>
      </c>
      <c r="E235" s="203" t="s">
        <v>24</v>
      </c>
      <c r="F235" s="208" t="s">
        <v>1141</v>
      </c>
      <c r="G235" s="85" t="s">
        <v>33</v>
      </c>
      <c r="H235" s="74" t="s">
        <v>43</v>
      </c>
      <c r="I235" s="87"/>
      <c r="J235" s="85"/>
      <c r="K235" s="87"/>
      <c r="L235" s="87"/>
      <c r="M235" s="87"/>
      <c r="N235" s="87"/>
      <c r="O235" s="85"/>
      <c r="P235" s="85"/>
      <c r="Q235" s="85"/>
    </row>
    <row r="236" spans="2:17" ht="35.5" customHeight="1" x14ac:dyDescent="0.35">
      <c r="B236" s="226" t="s">
        <v>7</v>
      </c>
      <c r="C236" s="204"/>
      <c r="D236" s="204" t="s">
        <v>752</v>
      </c>
      <c r="E236" s="203" t="s">
        <v>24</v>
      </c>
      <c r="F236" s="208" t="s">
        <v>1142</v>
      </c>
      <c r="G236" s="85" t="s">
        <v>33</v>
      </c>
      <c r="H236" s="74" t="s">
        <v>43</v>
      </c>
      <c r="I236" s="87"/>
      <c r="J236" s="85"/>
      <c r="K236" s="87"/>
      <c r="L236" s="87"/>
      <c r="M236" s="87"/>
      <c r="N236" s="87"/>
      <c r="O236" s="85"/>
      <c r="P236" s="85"/>
      <c r="Q236" s="85"/>
    </row>
    <row r="237" spans="2:17" ht="94.5" customHeight="1" x14ac:dyDescent="0.35">
      <c r="B237" s="226" t="s">
        <v>7</v>
      </c>
      <c r="C237" s="197" t="s">
        <v>1143</v>
      </c>
      <c r="D237" s="197" t="s">
        <v>470</v>
      </c>
      <c r="E237" s="202" t="s">
        <v>24</v>
      </c>
      <c r="F237" s="218" t="s">
        <v>1144</v>
      </c>
      <c r="G237" s="86" t="s">
        <v>33</v>
      </c>
      <c r="H237" s="75" t="s">
        <v>43</v>
      </c>
      <c r="I237" s="88"/>
      <c r="J237" s="86"/>
      <c r="K237" s="88"/>
      <c r="L237" s="88"/>
      <c r="M237" s="88"/>
      <c r="N237" s="88"/>
      <c r="O237" s="86"/>
      <c r="P237" s="86"/>
      <c r="Q237" s="86"/>
    </row>
    <row r="238" spans="2:17" ht="122" x14ac:dyDescent="0.35">
      <c r="B238" s="226" t="s">
        <v>7</v>
      </c>
      <c r="C238" s="204" t="s">
        <v>1145</v>
      </c>
      <c r="D238" s="204" t="s">
        <v>471</v>
      </c>
      <c r="E238" s="203" t="s">
        <v>24</v>
      </c>
      <c r="F238" s="222" t="s">
        <v>1146</v>
      </c>
      <c r="G238" s="85" t="s">
        <v>33</v>
      </c>
      <c r="H238" s="74" t="s">
        <v>43</v>
      </c>
      <c r="I238" s="87"/>
      <c r="J238" s="85"/>
      <c r="K238" s="87"/>
      <c r="L238" s="87"/>
      <c r="M238" s="87"/>
      <c r="N238" s="87"/>
      <c r="O238" s="85"/>
      <c r="P238" s="85"/>
      <c r="Q238" s="85"/>
    </row>
    <row r="239" spans="2:17" ht="54" customHeight="1" x14ac:dyDescent="0.35">
      <c r="B239" s="226" t="s">
        <v>7</v>
      </c>
      <c r="C239" s="197" t="s">
        <v>1147</v>
      </c>
      <c r="D239" s="197" t="s">
        <v>472</v>
      </c>
      <c r="E239" s="202" t="s">
        <v>24</v>
      </c>
      <c r="F239" s="216" t="s">
        <v>1148</v>
      </c>
      <c r="G239" s="86" t="s">
        <v>33</v>
      </c>
      <c r="H239" s="75" t="s">
        <v>43</v>
      </c>
      <c r="I239" s="88"/>
      <c r="J239" s="86"/>
      <c r="K239" s="88"/>
      <c r="L239" s="88"/>
      <c r="M239" s="88"/>
      <c r="N239" s="88"/>
      <c r="O239" s="86"/>
      <c r="P239" s="86"/>
      <c r="Q239" s="86"/>
    </row>
    <row r="240" spans="2:17" ht="153" customHeight="1" x14ac:dyDescent="0.35">
      <c r="B240" s="225" t="s">
        <v>473</v>
      </c>
      <c r="C240" s="204" t="s">
        <v>1149</v>
      </c>
      <c r="D240" s="204" t="s">
        <v>474</v>
      </c>
      <c r="E240" s="203" t="s">
        <v>24</v>
      </c>
      <c r="F240" s="204" t="s">
        <v>1150</v>
      </c>
      <c r="G240" s="85" t="s">
        <v>33</v>
      </c>
      <c r="H240" s="74" t="s">
        <v>43</v>
      </c>
      <c r="I240" s="87"/>
      <c r="J240" s="85"/>
      <c r="K240" s="87"/>
      <c r="L240" s="87"/>
      <c r="M240" s="87"/>
      <c r="N240" s="87"/>
      <c r="O240" s="85"/>
      <c r="P240" s="85"/>
      <c r="Q240" s="85"/>
    </row>
    <row r="241" spans="2:17" ht="31.5" x14ac:dyDescent="0.35">
      <c r="B241" s="225" t="s">
        <v>473</v>
      </c>
      <c r="C241" s="204"/>
      <c r="D241" s="204" t="s">
        <v>475</v>
      </c>
      <c r="E241" s="203" t="s">
        <v>24</v>
      </c>
      <c r="F241" s="210" t="s">
        <v>1151</v>
      </c>
      <c r="G241" s="85" t="s">
        <v>33</v>
      </c>
      <c r="H241" s="74" t="s">
        <v>43</v>
      </c>
      <c r="I241" s="87"/>
      <c r="J241" s="85"/>
      <c r="K241" s="87"/>
      <c r="L241" s="87"/>
      <c r="M241" s="87"/>
      <c r="N241" s="87"/>
      <c r="O241" s="85"/>
      <c r="P241" s="85"/>
      <c r="Q241" s="85"/>
    </row>
    <row r="242" spans="2:17" ht="125" customHeight="1" x14ac:dyDescent="0.35">
      <c r="B242" s="225" t="s">
        <v>473</v>
      </c>
      <c r="C242" s="204"/>
      <c r="D242" s="204" t="s">
        <v>476</v>
      </c>
      <c r="E242" s="203" t="s">
        <v>24</v>
      </c>
      <c r="F242" s="204" t="s">
        <v>1152</v>
      </c>
      <c r="G242" s="85" t="s">
        <v>33</v>
      </c>
      <c r="H242" s="74" t="s">
        <v>43</v>
      </c>
      <c r="I242" s="87"/>
      <c r="J242" s="85"/>
      <c r="K242" s="87"/>
      <c r="L242" s="87"/>
      <c r="M242" s="87"/>
      <c r="N242" s="87"/>
      <c r="O242" s="85"/>
      <c r="P242" s="85"/>
      <c r="Q242" s="85"/>
    </row>
    <row r="243" spans="2:17" ht="71.5" x14ac:dyDescent="0.35">
      <c r="B243" s="225" t="s">
        <v>473</v>
      </c>
      <c r="C243" s="204"/>
      <c r="D243" s="204" t="s">
        <v>477</v>
      </c>
      <c r="E243" s="203" t="s">
        <v>24</v>
      </c>
      <c r="F243" s="204" t="s">
        <v>1153</v>
      </c>
      <c r="G243" s="85" t="s">
        <v>33</v>
      </c>
      <c r="H243" s="74" t="s">
        <v>43</v>
      </c>
      <c r="I243" s="87"/>
      <c r="J243" s="85"/>
      <c r="K243" s="87"/>
      <c r="L243" s="87"/>
      <c r="M243" s="87"/>
      <c r="N243" s="87"/>
      <c r="O243" s="85"/>
      <c r="P243" s="85"/>
      <c r="Q243" s="85"/>
    </row>
    <row r="244" spans="2:17" ht="44" customHeight="1" x14ac:dyDescent="0.35">
      <c r="B244" s="225" t="s">
        <v>473</v>
      </c>
      <c r="C244" s="197" t="s">
        <v>1154</v>
      </c>
      <c r="D244" s="197" t="s">
        <v>478</v>
      </c>
      <c r="E244" s="202" t="s">
        <v>24</v>
      </c>
      <c r="F244" s="216" t="s">
        <v>1154</v>
      </c>
      <c r="G244" s="86" t="s">
        <v>33</v>
      </c>
      <c r="H244" s="75" t="s">
        <v>43</v>
      </c>
      <c r="I244" s="88"/>
      <c r="J244" s="86"/>
      <c r="K244" s="88"/>
      <c r="L244" s="88"/>
      <c r="M244" s="88"/>
      <c r="N244" s="88"/>
      <c r="O244" s="86"/>
      <c r="P244" s="86"/>
      <c r="Q244" s="86"/>
    </row>
    <row r="245" spans="2:17" ht="91.5" x14ac:dyDescent="0.35">
      <c r="B245" s="225" t="s">
        <v>473</v>
      </c>
      <c r="C245" s="204" t="s">
        <v>1155</v>
      </c>
      <c r="D245" s="204" t="s">
        <v>479</v>
      </c>
      <c r="E245" s="203" t="s">
        <v>24</v>
      </c>
      <c r="F245" s="222" t="s">
        <v>1156</v>
      </c>
      <c r="G245" s="85" t="s">
        <v>33</v>
      </c>
      <c r="H245" s="74" t="s">
        <v>43</v>
      </c>
      <c r="I245" s="87"/>
      <c r="J245" s="85"/>
      <c r="K245" s="87"/>
      <c r="L245" s="87"/>
      <c r="M245" s="87"/>
      <c r="N245" s="87"/>
      <c r="O245" s="85"/>
      <c r="P245" s="85"/>
      <c r="Q245" s="85"/>
    </row>
    <row r="246" spans="2:17" ht="73" customHeight="1" x14ac:dyDescent="0.35">
      <c r="B246" s="225" t="s">
        <v>473</v>
      </c>
      <c r="C246" s="197" t="s">
        <v>483</v>
      </c>
      <c r="D246" s="197" t="s">
        <v>480</v>
      </c>
      <c r="E246" s="202" t="s">
        <v>24</v>
      </c>
      <c r="F246" s="223" t="s">
        <v>1157</v>
      </c>
      <c r="G246" s="86" t="s">
        <v>33</v>
      </c>
      <c r="H246" s="75" t="s">
        <v>43</v>
      </c>
      <c r="I246" s="88"/>
      <c r="J246" s="86"/>
      <c r="K246" s="88"/>
      <c r="L246" s="88"/>
      <c r="M246" s="88"/>
      <c r="N246" s="88"/>
      <c r="O246" s="86"/>
      <c r="P246" s="86"/>
      <c r="Q246" s="86"/>
    </row>
    <row r="247" spans="2:17" ht="51.5" x14ac:dyDescent="0.35">
      <c r="B247" s="225" t="s">
        <v>473</v>
      </c>
      <c r="C247" s="204" t="s">
        <v>1158</v>
      </c>
      <c r="D247" s="204" t="s">
        <v>481</v>
      </c>
      <c r="E247" s="203" t="s">
        <v>24</v>
      </c>
      <c r="F247" s="222" t="s">
        <v>1159</v>
      </c>
      <c r="G247" s="85" t="s">
        <v>33</v>
      </c>
      <c r="H247" s="74" t="s">
        <v>43</v>
      </c>
      <c r="I247" s="87"/>
      <c r="J247" s="85"/>
      <c r="K247" s="87"/>
      <c r="L247" s="87"/>
      <c r="M247" s="87"/>
      <c r="N247" s="87"/>
      <c r="O247" s="85"/>
      <c r="P247" s="85"/>
      <c r="Q247" s="85"/>
    </row>
    <row r="248" spans="2:17" ht="61.5" x14ac:dyDescent="0.35">
      <c r="B248" s="225" t="s">
        <v>473</v>
      </c>
      <c r="C248" s="197" t="s">
        <v>1160</v>
      </c>
      <c r="D248" s="197" t="s">
        <v>482</v>
      </c>
      <c r="E248" s="202" t="s">
        <v>24</v>
      </c>
      <c r="F248" s="223" t="s">
        <v>1161</v>
      </c>
      <c r="G248" s="86" t="s">
        <v>33</v>
      </c>
      <c r="H248" s="75" t="s">
        <v>43</v>
      </c>
      <c r="I248" s="88"/>
      <c r="J248" s="86"/>
      <c r="K248" s="88"/>
      <c r="L248" s="88"/>
      <c r="M248" s="88"/>
      <c r="N248" s="88"/>
      <c r="O248" s="86"/>
      <c r="P248" s="86"/>
      <c r="Q248" s="86"/>
    </row>
    <row r="249" spans="2:17" ht="93" customHeight="1" x14ac:dyDescent="0.35">
      <c r="B249" s="225" t="s">
        <v>473</v>
      </c>
      <c r="C249" s="204" t="s">
        <v>1162</v>
      </c>
      <c r="D249" s="204" t="s">
        <v>484</v>
      </c>
      <c r="E249" s="203" t="s">
        <v>24</v>
      </c>
      <c r="F249" s="210" t="s">
        <v>1163</v>
      </c>
      <c r="G249" s="85" t="s">
        <v>33</v>
      </c>
      <c r="H249" s="74" t="s">
        <v>43</v>
      </c>
      <c r="I249" s="87"/>
      <c r="J249" s="85"/>
      <c r="K249" s="87"/>
      <c r="L249" s="87"/>
      <c r="M249" s="87"/>
      <c r="N249" s="87"/>
      <c r="O249" s="85"/>
      <c r="P249" s="85"/>
      <c r="Q249" s="85"/>
    </row>
    <row r="250" spans="2:17" ht="84" customHeight="1" x14ac:dyDescent="0.35">
      <c r="B250" s="225" t="s">
        <v>473</v>
      </c>
      <c r="C250" s="204"/>
      <c r="D250" s="204" t="s">
        <v>753</v>
      </c>
      <c r="E250" s="203" t="s">
        <v>24</v>
      </c>
      <c r="F250" s="222" t="s">
        <v>1164</v>
      </c>
      <c r="G250" s="85" t="s">
        <v>33</v>
      </c>
      <c r="H250" s="74" t="s">
        <v>43</v>
      </c>
      <c r="I250" s="78"/>
      <c r="J250" s="85"/>
      <c r="K250" s="87"/>
      <c r="L250" s="87"/>
      <c r="M250" s="87"/>
      <c r="N250" s="87"/>
      <c r="O250" s="85"/>
      <c r="P250" s="85"/>
      <c r="Q250" s="85"/>
    </row>
    <row r="251" spans="2:17" ht="83.5" customHeight="1" x14ac:dyDescent="0.35">
      <c r="B251" s="225" t="s">
        <v>473</v>
      </c>
      <c r="C251" s="204"/>
      <c r="D251" s="204" t="s">
        <v>754</v>
      </c>
      <c r="E251" s="203" t="s">
        <v>24</v>
      </c>
      <c r="F251" s="222" t="s">
        <v>1165</v>
      </c>
      <c r="G251" s="85" t="s">
        <v>33</v>
      </c>
      <c r="H251" s="74" t="s">
        <v>43</v>
      </c>
      <c r="I251" s="78"/>
      <c r="J251" s="85"/>
      <c r="K251" s="87"/>
      <c r="L251" s="87"/>
      <c r="M251" s="87"/>
      <c r="N251" s="87"/>
      <c r="O251" s="85"/>
      <c r="P251" s="85"/>
      <c r="Q251" s="85"/>
    </row>
    <row r="252" spans="2:17" ht="101.5" x14ac:dyDescent="0.35">
      <c r="B252" s="225" t="s">
        <v>473</v>
      </c>
      <c r="C252" s="197" t="s">
        <v>1166</v>
      </c>
      <c r="D252" s="197" t="s">
        <v>485</v>
      </c>
      <c r="E252" s="202" t="s">
        <v>24</v>
      </c>
      <c r="F252" s="223" t="s">
        <v>1167</v>
      </c>
      <c r="G252" s="86" t="s">
        <v>33</v>
      </c>
      <c r="H252" s="75" t="s">
        <v>43</v>
      </c>
      <c r="I252" s="88"/>
      <c r="J252" s="86"/>
      <c r="K252" s="88"/>
      <c r="L252" s="88"/>
      <c r="M252" s="88"/>
      <c r="N252" s="88"/>
      <c r="O252" s="86"/>
      <c r="P252" s="86"/>
      <c r="Q252" s="86"/>
    </row>
    <row r="253" spans="2:17" ht="101.5" x14ac:dyDescent="0.35">
      <c r="B253" s="225" t="s">
        <v>473</v>
      </c>
      <c r="C253" s="197"/>
      <c r="D253" s="197" t="s">
        <v>755</v>
      </c>
      <c r="E253" s="202" t="s">
        <v>24</v>
      </c>
      <c r="F253" s="223" t="s">
        <v>1168</v>
      </c>
      <c r="G253" s="86" t="s">
        <v>33</v>
      </c>
      <c r="H253" s="75" t="s">
        <v>43</v>
      </c>
      <c r="I253" s="88"/>
      <c r="J253" s="86"/>
      <c r="K253" s="88"/>
      <c r="L253" s="88"/>
      <c r="M253" s="88"/>
      <c r="N253" s="88"/>
      <c r="O253" s="86"/>
      <c r="P253" s="86"/>
      <c r="Q253" s="86"/>
    </row>
    <row r="254" spans="2:17" ht="71" x14ac:dyDescent="0.35">
      <c r="B254" s="225" t="s">
        <v>473</v>
      </c>
      <c r="C254" s="204" t="s">
        <v>1182</v>
      </c>
      <c r="D254" s="204" t="s">
        <v>486</v>
      </c>
      <c r="E254" s="203" t="s">
        <v>25</v>
      </c>
      <c r="F254" s="208" t="s">
        <v>1169</v>
      </c>
      <c r="G254" s="85" t="s">
        <v>33</v>
      </c>
      <c r="H254" s="74" t="s">
        <v>43</v>
      </c>
      <c r="I254" s="87"/>
      <c r="J254" s="85"/>
      <c r="K254" s="87"/>
      <c r="L254" s="87"/>
      <c r="M254" s="87"/>
      <c r="N254" s="87"/>
      <c r="O254" s="85"/>
      <c r="P254" s="85"/>
      <c r="Q254" s="85"/>
    </row>
    <row r="255" spans="2:17" ht="52.5" x14ac:dyDescent="0.35">
      <c r="B255" s="225" t="s">
        <v>473</v>
      </c>
      <c r="C255" s="197" t="s">
        <v>1170</v>
      </c>
      <c r="D255" s="197" t="s">
        <v>487</v>
      </c>
      <c r="E255" s="202" t="s">
        <v>24</v>
      </c>
      <c r="F255" s="216" t="s">
        <v>1171</v>
      </c>
      <c r="G255" s="86" t="s">
        <v>33</v>
      </c>
      <c r="H255" s="75" t="s">
        <v>43</v>
      </c>
      <c r="I255" s="88"/>
      <c r="J255" s="86"/>
      <c r="K255" s="88"/>
      <c r="L255" s="88"/>
      <c r="M255" s="88"/>
      <c r="N255" s="88"/>
      <c r="O255" s="86"/>
      <c r="P255" s="86"/>
      <c r="Q255" s="86"/>
    </row>
    <row r="256" spans="2:17" ht="67" customHeight="1" x14ac:dyDescent="0.35">
      <c r="B256" s="225" t="s">
        <v>473</v>
      </c>
      <c r="C256" s="197"/>
      <c r="D256" s="197" t="s">
        <v>756</v>
      </c>
      <c r="E256" s="202" t="s">
        <v>24</v>
      </c>
      <c r="F256" s="216" t="s">
        <v>1172</v>
      </c>
      <c r="G256" s="86" t="s">
        <v>33</v>
      </c>
      <c r="H256" s="75" t="s">
        <v>43</v>
      </c>
      <c r="I256" s="88"/>
      <c r="J256" s="86"/>
      <c r="K256" s="88"/>
      <c r="L256" s="88"/>
      <c r="M256" s="88"/>
      <c r="N256" s="88"/>
      <c r="O256" s="86"/>
      <c r="P256" s="86"/>
      <c r="Q256" s="86"/>
    </row>
    <row r="257" spans="2:17" ht="122" x14ac:dyDescent="0.35">
      <c r="B257" s="225" t="s">
        <v>473</v>
      </c>
      <c r="C257" s="204" t="s">
        <v>1173</v>
      </c>
      <c r="D257" s="204" t="s">
        <v>488</v>
      </c>
      <c r="E257" s="203" t="s">
        <v>24</v>
      </c>
      <c r="F257" s="208" t="s">
        <v>1174</v>
      </c>
      <c r="G257" s="85" t="s">
        <v>33</v>
      </c>
      <c r="H257" s="74" t="s">
        <v>43</v>
      </c>
      <c r="I257" s="87"/>
      <c r="J257" s="85"/>
      <c r="K257" s="87"/>
      <c r="L257" s="87"/>
      <c r="M257" s="87"/>
      <c r="N257" s="87"/>
      <c r="O257" s="85"/>
      <c r="P257" s="85"/>
      <c r="Q257" s="85"/>
    </row>
    <row r="258" spans="2:17" ht="42" x14ac:dyDescent="0.35">
      <c r="B258" s="225" t="s">
        <v>473</v>
      </c>
      <c r="C258" s="197" t="s">
        <v>1175</v>
      </c>
      <c r="D258" s="197" t="s">
        <v>489</v>
      </c>
      <c r="E258" s="202" t="s">
        <v>24</v>
      </c>
      <c r="F258" s="216" t="s">
        <v>1176</v>
      </c>
      <c r="G258" s="86" t="s">
        <v>33</v>
      </c>
      <c r="H258" s="75" t="s">
        <v>43</v>
      </c>
      <c r="I258" s="88"/>
      <c r="J258" s="86"/>
      <c r="K258" s="88"/>
      <c r="L258" s="88"/>
      <c r="M258" s="88"/>
      <c r="N258" s="88"/>
      <c r="O258" s="86"/>
      <c r="P258" s="86"/>
      <c r="Q258" s="86"/>
    </row>
    <row r="259" spans="2:17" ht="52.5" x14ac:dyDescent="0.35">
      <c r="B259" s="225" t="s">
        <v>473</v>
      </c>
      <c r="C259" s="197"/>
      <c r="D259" s="197" t="s">
        <v>757</v>
      </c>
      <c r="E259" s="202" t="s">
        <v>24</v>
      </c>
      <c r="F259" s="216" t="s">
        <v>1177</v>
      </c>
      <c r="G259" s="86" t="s">
        <v>33</v>
      </c>
      <c r="H259" s="75" t="s">
        <v>43</v>
      </c>
      <c r="I259" s="88"/>
      <c r="J259" s="86"/>
      <c r="K259" s="88"/>
      <c r="L259" s="88"/>
      <c r="M259" s="88"/>
      <c r="N259" s="88"/>
      <c r="O259" s="86"/>
      <c r="P259" s="86"/>
      <c r="Q259" s="86"/>
    </row>
    <row r="260" spans="2:17" ht="42" x14ac:dyDescent="0.35">
      <c r="B260" s="225" t="s">
        <v>473</v>
      </c>
      <c r="C260" s="197"/>
      <c r="D260" s="197" t="s">
        <v>758</v>
      </c>
      <c r="E260" s="202" t="s">
        <v>24</v>
      </c>
      <c r="F260" s="216" t="s">
        <v>1178</v>
      </c>
      <c r="G260" s="86" t="s">
        <v>33</v>
      </c>
      <c r="H260" s="75" t="s">
        <v>43</v>
      </c>
      <c r="I260" s="88"/>
      <c r="J260" s="86"/>
      <c r="K260" s="88"/>
      <c r="L260" s="88"/>
      <c r="M260" s="88"/>
      <c r="N260" s="88"/>
      <c r="O260" s="86"/>
      <c r="P260" s="86"/>
      <c r="Q260" s="86"/>
    </row>
    <row r="261" spans="2:17" x14ac:dyDescent="0.35">
      <c r="H261" s="142">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2:9" x14ac:dyDescent="0.35">
      <c r="F273" s="73"/>
    </row>
    <row r="274" spans="2:9" x14ac:dyDescent="0.35">
      <c r="F274" s="73"/>
    </row>
    <row r="275" spans="2:9" x14ac:dyDescent="0.35">
      <c r="B275" s="135"/>
      <c r="C275" s="135"/>
      <c r="D275" s="135"/>
      <c r="F275" s="73"/>
      <c r="G275" s="135"/>
      <c r="H275" s="135"/>
      <c r="I275" s="135"/>
    </row>
    <row r="276" spans="2:9" x14ac:dyDescent="0.35">
      <c r="B276" s="135"/>
      <c r="C276" s="135"/>
      <c r="D276" s="135"/>
      <c r="F276" s="73"/>
      <c r="G276" s="135"/>
      <c r="H276" s="135"/>
      <c r="I276" s="135"/>
    </row>
    <row r="277" spans="2:9" x14ac:dyDescent="0.35">
      <c r="B277" s="135"/>
      <c r="C277" s="135"/>
      <c r="D277" s="135"/>
      <c r="F277" s="73"/>
      <c r="G277" s="135"/>
      <c r="H277" s="135"/>
      <c r="I277" s="135"/>
    </row>
    <row r="278" spans="2:9" x14ac:dyDescent="0.35">
      <c r="B278" s="135"/>
      <c r="C278" s="135"/>
      <c r="D278" s="135"/>
      <c r="F278" s="73"/>
      <c r="G278" s="135"/>
      <c r="H278" s="135"/>
      <c r="I278" s="135"/>
    </row>
    <row r="279" spans="2:9" x14ac:dyDescent="0.35">
      <c r="B279" s="135"/>
      <c r="C279" s="135"/>
      <c r="D279" s="135"/>
      <c r="F279" s="73"/>
      <c r="G279" s="135"/>
      <c r="H279" s="135"/>
      <c r="I279" s="135"/>
    </row>
    <row r="280" spans="2:9" x14ac:dyDescent="0.35">
      <c r="B280" s="135"/>
      <c r="C280" s="135"/>
      <c r="D280" s="135"/>
      <c r="F280" s="73"/>
      <c r="G280" s="135"/>
      <c r="H280" s="135"/>
      <c r="I280" s="135"/>
    </row>
    <row r="281" spans="2:9" x14ac:dyDescent="0.35">
      <c r="B281" s="135"/>
      <c r="C281" s="135"/>
      <c r="D281" s="135"/>
      <c r="F281" s="73"/>
      <c r="G281" s="135"/>
      <c r="H281" s="135"/>
      <c r="I281" s="135"/>
    </row>
    <row r="282" spans="2:9" x14ac:dyDescent="0.35">
      <c r="B282" s="135"/>
      <c r="C282" s="135"/>
      <c r="D282" s="135"/>
      <c r="F282" s="73"/>
      <c r="G282" s="135"/>
      <c r="H282" s="135"/>
      <c r="I282" s="135"/>
    </row>
    <row r="283" spans="2:9" x14ac:dyDescent="0.35">
      <c r="B283" s="135"/>
      <c r="C283" s="135"/>
      <c r="D283" s="135"/>
      <c r="F283" s="73"/>
      <c r="G283" s="135"/>
      <c r="H283" s="135"/>
      <c r="I283" s="135"/>
    </row>
    <row r="284" spans="2:9" x14ac:dyDescent="0.35">
      <c r="B284" s="135"/>
      <c r="C284" s="135"/>
      <c r="D284" s="135"/>
      <c r="F284" s="73"/>
      <c r="G284" s="135"/>
      <c r="H284" s="135"/>
      <c r="I284" s="135"/>
    </row>
    <row r="285" spans="2:9" x14ac:dyDescent="0.35">
      <c r="B285" s="135"/>
      <c r="C285" s="135"/>
      <c r="D285" s="135"/>
      <c r="F285" s="73"/>
      <c r="G285" s="135"/>
      <c r="H285" s="135"/>
      <c r="I285" s="135"/>
    </row>
    <row r="286" spans="2:9" x14ac:dyDescent="0.35">
      <c r="B286" s="135"/>
      <c r="C286" s="135"/>
      <c r="D286" s="135"/>
      <c r="F286" s="73"/>
      <c r="G286" s="135"/>
      <c r="H286" s="135"/>
      <c r="I286" s="135"/>
    </row>
    <row r="287" spans="2:9" x14ac:dyDescent="0.35">
      <c r="B287" s="135"/>
      <c r="C287" s="135"/>
      <c r="D287" s="135"/>
      <c r="F287" s="73"/>
      <c r="G287" s="135"/>
      <c r="H287" s="135"/>
      <c r="I287" s="135"/>
    </row>
    <row r="288" spans="2:9" x14ac:dyDescent="0.35">
      <c r="B288" s="135"/>
      <c r="C288" s="135"/>
      <c r="D288" s="135"/>
      <c r="F288" s="73"/>
      <c r="G288" s="135"/>
      <c r="H288" s="135"/>
      <c r="I288" s="135"/>
    </row>
    <row r="289" spans="2:9" x14ac:dyDescent="0.35">
      <c r="B289" s="135"/>
      <c r="C289" s="135"/>
      <c r="D289" s="135"/>
      <c r="F289" s="73"/>
      <c r="G289" s="135"/>
      <c r="H289" s="135"/>
      <c r="I289" s="135"/>
    </row>
    <row r="290" spans="2:9" x14ac:dyDescent="0.35">
      <c r="B290" s="135"/>
      <c r="C290" s="135"/>
      <c r="D290" s="135"/>
      <c r="F290" s="73"/>
      <c r="G290" s="135"/>
      <c r="H290" s="135"/>
      <c r="I290" s="135"/>
    </row>
    <row r="291" spans="2:9" x14ac:dyDescent="0.35">
      <c r="B291" s="135"/>
      <c r="C291" s="135"/>
      <c r="D291" s="135"/>
      <c r="F291" s="73"/>
      <c r="G291" s="135"/>
      <c r="H291" s="135"/>
      <c r="I291" s="135"/>
    </row>
    <row r="292" spans="2:9" x14ac:dyDescent="0.35">
      <c r="B292" s="135"/>
      <c r="C292" s="135"/>
      <c r="D292" s="135"/>
      <c r="F292" s="73"/>
      <c r="G292" s="135"/>
      <c r="H292" s="135"/>
      <c r="I292" s="135"/>
    </row>
    <row r="293" spans="2:9" x14ac:dyDescent="0.35">
      <c r="B293" s="135"/>
      <c r="C293" s="135"/>
      <c r="D293" s="135"/>
      <c r="F293" s="73"/>
      <c r="G293" s="135"/>
      <c r="H293" s="135"/>
      <c r="I293" s="135"/>
    </row>
    <row r="294" spans="2:9" x14ac:dyDescent="0.35">
      <c r="B294" s="135"/>
      <c r="C294" s="135"/>
      <c r="D294" s="135"/>
      <c r="F294" s="73"/>
      <c r="G294" s="135"/>
      <c r="H294" s="135"/>
      <c r="I294" s="135"/>
    </row>
    <row r="295" spans="2:9" x14ac:dyDescent="0.35">
      <c r="B295" s="135"/>
      <c r="C295" s="135"/>
      <c r="D295" s="135"/>
      <c r="F295" s="73"/>
      <c r="G295" s="135"/>
      <c r="H295" s="135"/>
      <c r="I295" s="135"/>
    </row>
    <row r="296" spans="2:9" x14ac:dyDescent="0.35">
      <c r="B296" s="135"/>
      <c r="C296" s="135"/>
      <c r="D296" s="135"/>
      <c r="F296" s="73"/>
      <c r="G296" s="135"/>
      <c r="H296" s="135"/>
      <c r="I296" s="135"/>
    </row>
    <row r="297" spans="2:9" x14ac:dyDescent="0.35">
      <c r="B297" s="135"/>
      <c r="C297" s="135"/>
      <c r="D297" s="135"/>
      <c r="F297" s="73"/>
      <c r="G297" s="135"/>
      <c r="H297" s="135"/>
      <c r="I297" s="135"/>
    </row>
    <row r="298" spans="2:9" x14ac:dyDescent="0.35">
      <c r="B298" s="135"/>
      <c r="C298" s="135"/>
      <c r="D298" s="135"/>
      <c r="F298" s="73"/>
      <c r="G298" s="135"/>
      <c r="H298" s="135"/>
      <c r="I298" s="135"/>
    </row>
    <row r="299" spans="2:9" x14ac:dyDescent="0.35">
      <c r="B299" s="135"/>
      <c r="C299" s="135"/>
      <c r="D299" s="135"/>
      <c r="F299" s="73"/>
      <c r="G299" s="135"/>
      <c r="H299" s="135"/>
      <c r="I299" s="135"/>
    </row>
    <row r="300" spans="2:9" x14ac:dyDescent="0.35">
      <c r="B300" s="135"/>
      <c r="C300" s="135"/>
      <c r="D300" s="135"/>
      <c r="F300" s="73"/>
      <c r="G300" s="135"/>
      <c r="H300" s="135"/>
      <c r="I300" s="135"/>
    </row>
    <row r="301" spans="2:9" x14ac:dyDescent="0.35">
      <c r="B301" s="135"/>
      <c r="C301" s="135"/>
      <c r="D301" s="135"/>
      <c r="F301" s="73"/>
      <c r="G301" s="135"/>
      <c r="H301" s="135"/>
      <c r="I301" s="135"/>
    </row>
    <row r="302" spans="2:9" x14ac:dyDescent="0.35">
      <c r="B302" s="135"/>
      <c r="C302" s="135"/>
      <c r="D302" s="135"/>
      <c r="F302" s="73"/>
      <c r="G302" s="135"/>
      <c r="H302" s="135"/>
      <c r="I302" s="135"/>
    </row>
    <row r="303" spans="2:9" x14ac:dyDescent="0.35">
      <c r="B303" s="135"/>
      <c r="C303" s="135"/>
      <c r="D303" s="135"/>
      <c r="F303" s="73"/>
      <c r="G303" s="135"/>
      <c r="H303" s="135"/>
      <c r="I303" s="135"/>
    </row>
    <row r="304" spans="2:9" x14ac:dyDescent="0.35">
      <c r="B304" s="135"/>
      <c r="C304" s="135"/>
      <c r="D304" s="135"/>
      <c r="F304" s="73"/>
      <c r="G304" s="135"/>
      <c r="H304" s="135"/>
      <c r="I304" s="135"/>
    </row>
    <row r="305" spans="2:9" x14ac:dyDescent="0.35">
      <c r="B305" s="135"/>
      <c r="C305" s="135"/>
      <c r="D305" s="135"/>
      <c r="F305" s="73"/>
      <c r="G305" s="135"/>
      <c r="H305" s="135"/>
      <c r="I305" s="135"/>
    </row>
    <row r="306" spans="2:9" x14ac:dyDescent="0.35">
      <c r="B306" s="135"/>
      <c r="C306" s="135"/>
      <c r="D306" s="135"/>
      <c r="F306" s="73"/>
      <c r="G306" s="135"/>
      <c r="H306" s="135"/>
      <c r="I306" s="135"/>
    </row>
    <row r="307" spans="2:9" x14ac:dyDescent="0.35">
      <c r="B307" s="135"/>
      <c r="C307" s="135"/>
      <c r="D307" s="135"/>
      <c r="F307" s="73"/>
      <c r="G307" s="135"/>
      <c r="H307" s="135"/>
      <c r="I307" s="135"/>
    </row>
    <row r="308" spans="2:9" x14ac:dyDescent="0.35">
      <c r="B308" s="135"/>
      <c r="C308" s="135"/>
      <c r="D308" s="135"/>
      <c r="F308" s="73"/>
      <c r="G308" s="135"/>
      <c r="H308" s="135"/>
      <c r="I308" s="135"/>
    </row>
    <row r="309" spans="2:9" x14ac:dyDescent="0.35">
      <c r="B309" s="135"/>
      <c r="C309" s="135"/>
      <c r="D309" s="135"/>
      <c r="F309" s="73"/>
      <c r="G309" s="135"/>
      <c r="H309" s="135"/>
      <c r="I309" s="135"/>
    </row>
    <row r="310" spans="2:9" x14ac:dyDescent="0.35">
      <c r="B310" s="135"/>
      <c r="C310" s="135"/>
      <c r="D310" s="135"/>
      <c r="F310" s="73"/>
      <c r="G310" s="135"/>
      <c r="H310" s="135"/>
      <c r="I310" s="135"/>
    </row>
    <row r="311" spans="2:9" x14ac:dyDescent="0.35">
      <c r="B311" s="135"/>
      <c r="C311" s="135"/>
      <c r="D311" s="135"/>
      <c r="F311" s="73"/>
      <c r="G311" s="135"/>
      <c r="H311" s="135"/>
      <c r="I311" s="135"/>
    </row>
    <row r="312" spans="2:9" x14ac:dyDescent="0.35">
      <c r="B312" s="135"/>
      <c r="C312" s="135"/>
      <c r="D312" s="135"/>
      <c r="F312" s="73"/>
      <c r="G312" s="135"/>
      <c r="H312" s="135"/>
      <c r="I312" s="135"/>
    </row>
    <row r="313" spans="2:9" x14ac:dyDescent="0.35">
      <c r="B313" s="135"/>
      <c r="C313" s="135"/>
      <c r="D313" s="135"/>
      <c r="F313" s="73"/>
      <c r="G313" s="135"/>
      <c r="H313" s="135"/>
      <c r="I313" s="135"/>
    </row>
    <row r="314" spans="2:9" x14ac:dyDescent="0.35">
      <c r="B314" s="135"/>
      <c r="C314" s="135"/>
      <c r="D314" s="135"/>
      <c r="F314" s="73"/>
      <c r="G314" s="135"/>
      <c r="H314" s="135"/>
      <c r="I314" s="135"/>
    </row>
    <row r="315" spans="2:9" x14ac:dyDescent="0.35">
      <c r="B315" s="135"/>
      <c r="C315" s="135"/>
      <c r="D315" s="135"/>
      <c r="F315" s="73"/>
      <c r="G315" s="135"/>
      <c r="H315" s="135"/>
      <c r="I315" s="135"/>
    </row>
    <row r="316" spans="2:9" x14ac:dyDescent="0.35">
      <c r="B316" s="135"/>
      <c r="C316" s="135"/>
      <c r="D316" s="135"/>
      <c r="F316" s="73"/>
      <c r="G316" s="135"/>
      <c r="H316" s="135"/>
      <c r="I316" s="135"/>
    </row>
    <row r="317" spans="2:9" x14ac:dyDescent="0.35">
      <c r="B317" s="135"/>
      <c r="C317" s="135"/>
      <c r="D317" s="135"/>
      <c r="F317" s="73"/>
      <c r="G317" s="135"/>
      <c r="H317" s="135"/>
      <c r="I317" s="135"/>
    </row>
    <row r="318" spans="2:9" x14ac:dyDescent="0.35">
      <c r="B318" s="135"/>
      <c r="C318" s="135"/>
      <c r="D318" s="135"/>
      <c r="F318" s="73"/>
      <c r="G318" s="135"/>
      <c r="H318" s="135"/>
      <c r="I318" s="135"/>
    </row>
    <row r="319" spans="2:9" x14ac:dyDescent="0.35">
      <c r="B319" s="135"/>
      <c r="C319" s="135"/>
      <c r="D319" s="135"/>
      <c r="F319" s="73"/>
      <c r="G319" s="135"/>
      <c r="H319" s="135"/>
      <c r="I319" s="135"/>
    </row>
    <row r="320" spans="2:9" x14ac:dyDescent="0.35">
      <c r="B320" s="135"/>
      <c r="C320" s="135"/>
      <c r="D320" s="135"/>
      <c r="F320" s="73"/>
      <c r="G320" s="135"/>
      <c r="H320" s="135"/>
      <c r="I320" s="135"/>
    </row>
    <row r="321" spans="2:9" x14ac:dyDescent="0.35">
      <c r="B321" s="135"/>
      <c r="C321" s="135"/>
      <c r="D321" s="135"/>
      <c r="F321" s="73"/>
      <c r="G321" s="135"/>
      <c r="H321" s="135"/>
      <c r="I321" s="135"/>
    </row>
    <row r="322" spans="2:9" x14ac:dyDescent="0.35">
      <c r="B322" s="135"/>
      <c r="C322" s="135"/>
      <c r="D322" s="135"/>
      <c r="F322" s="73"/>
      <c r="G322" s="135"/>
      <c r="H322" s="135"/>
      <c r="I322" s="135"/>
    </row>
    <row r="323" spans="2:9" x14ac:dyDescent="0.35">
      <c r="B323" s="135"/>
      <c r="C323" s="135"/>
      <c r="D323" s="135"/>
      <c r="F323" s="73"/>
      <c r="G323" s="135"/>
      <c r="H323" s="135"/>
      <c r="I323" s="135"/>
    </row>
    <row r="324" spans="2:9" x14ac:dyDescent="0.35">
      <c r="B324" s="135"/>
      <c r="C324" s="135"/>
      <c r="D324" s="135"/>
      <c r="F324" s="73"/>
      <c r="G324" s="135"/>
      <c r="H324" s="135"/>
      <c r="I324" s="135"/>
    </row>
    <row r="325" spans="2:9" x14ac:dyDescent="0.35">
      <c r="B325" s="135"/>
      <c r="C325" s="135"/>
      <c r="D325" s="135"/>
      <c r="F325" s="73"/>
      <c r="G325" s="135"/>
      <c r="H325" s="135"/>
      <c r="I325" s="135"/>
    </row>
    <row r="326" spans="2:9" x14ac:dyDescent="0.35">
      <c r="B326" s="135"/>
      <c r="C326" s="135"/>
      <c r="D326" s="135"/>
      <c r="F326" s="73"/>
      <c r="G326" s="135"/>
      <c r="H326" s="135"/>
      <c r="I326" s="135"/>
    </row>
    <row r="327" spans="2:9" x14ac:dyDescent="0.35">
      <c r="B327" s="135"/>
      <c r="C327" s="135"/>
      <c r="D327" s="135"/>
      <c r="F327" s="73"/>
      <c r="G327" s="135"/>
      <c r="H327" s="135"/>
      <c r="I327" s="135"/>
    </row>
    <row r="328" spans="2:9" x14ac:dyDescent="0.35">
      <c r="B328" s="135"/>
      <c r="C328" s="135"/>
      <c r="D328" s="135"/>
      <c r="F328" s="73"/>
      <c r="G328" s="135"/>
      <c r="H328" s="135"/>
      <c r="I328" s="135"/>
    </row>
    <row r="329" spans="2:9" x14ac:dyDescent="0.35">
      <c r="B329" s="135"/>
      <c r="C329" s="135"/>
      <c r="D329" s="135"/>
      <c r="F329" s="73"/>
      <c r="G329" s="135"/>
      <c r="H329" s="135"/>
      <c r="I329" s="135"/>
    </row>
    <row r="330" spans="2:9" x14ac:dyDescent="0.35">
      <c r="B330" s="135"/>
      <c r="C330" s="135"/>
      <c r="D330" s="135"/>
      <c r="F330" s="73"/>
      <c r="G330" s="135"/>
      <c r="H330" s="135"/>
      <c r="I330" s="135"/>
    </row>
    <row r="331" spans="2:9" x14ac:dyDescent="0.35">
      <c r="B331" s="135"/>
      <c r="C331" s="135"/>
      <c r="D331" s="135"/>
      <c r="F331" s="73"/>
      <c r="G331" s="135"/>
      <c r="H331" s="135"/>
      <c r="I331" s="135"/>
    </row>
    <row r="332" spans="2:9" x14ac:dyDescent="0.35">
      <c r="B332" s="135"/>
      <c r="C332" s="135"/>
      <c r="D332" s="135"/>
      <c r="F332" s="73"/>
      <c r="G332" s="135"/>
      <c r="H332" s="135"/>
      <c r="I332" s="135"/>
    </row>
    <row r="333" spans="2:9" x14ac:dyDescent="0.35">
      <c r="B333" s="135"/>
      <c r="C333" s="135"/>
      <c r="D333" s="135"/>
      <c r="F333" s="73"/>
      <c r="G333" s="135"/>
      <c r="H333" s="135"/>
      <c r="I333" s="135"/>
    </row>
    <row r="334" spans="2:9" x14ac:dyDescent="0.35">
      <c r="B334" s="135"/>
      <c r="C334" s="135"/>
      <c r="D334" s="135"/>
      <c r="F334" s="73"/>
      <c r="G334" s="135"/>
      <c r="H334" s="135"/>
      <c r="I334" s="135"/>
    </row>
    <row r="335" spans="2:9" x14ac:dyDescent="0.35">
      <c r="B335" s="135"/>
      <c r="C335" s="135"/>
      <c r="D335" s="135"/>
      <c r="F335" s="73"/>
      <c r="G335" s="135"/>
      <c r="H335" s="135"/>
      <c r="I335" s="135"/>
    </row>
    <row r="336" spans="2:9" x14ac:dyDescent="0.35">
      <c r="B336" s="135"/>
      <c r="C336" s="135"/>
      <c r="D336" s="135"/>
      <c r="F336" s="73"/>
      <c r="G336" s="135"/>
      <c r="H336" s="135"/>
      <c r="I336" s="135"/>
    </row>
    <row r="337" spans="2:9" x14ac:dyDescent="0.35">
      <c r="B337" s="135"/>
      <c r="C337" s="135"/>
      <c r="D337" s="135"/>
      <c r="F337" s="73"/>
      <c r="G337" s="135"/>
      <c r="H337" s="135"/>
      <c r="I337" s="135"/>
    </row>
    <row r="338" spans="2:9" x14ac:dyDescent="0.35">
      <c r="B338" s="135"/>
      <c r="C338" s="135"/>
      <c r="D338" s="135"/>
      <c r="F338" s="73"/>
      <c r="G338" s="135"/>
      <c r="H338" s="135"/>
      <c r="I338" s="135"/>
    </row>
    <row r="339" spans="2:9" x14ac:dyDescent="0.35">
      <c r="B339" s="135"/>
      <c r="C339" s="135"/>
      <c r="D339" s="135"/>
      <c r="F339" s="73"/>
      <c r="G339" s="135"/>
      <c r="H339" s="135"/>
      <c r="I339" s="135"/>
    </row>
    <row r="340" spans="2:9" x14ac:dyDescent="0.35">
      <c r="B340" s="135"/>
      <c r="C340" s="135"/>
      <c r="D340" s="135"/>
      <c r="F340" s="73"/>
      <c r="G340" s="135"/>
      <c r="H340" s="135"/>
      <c r="I340" s="135"/>
    </row>
    <row r="341" spans="2:9" x14ac:dyDescent="0.35">
      <c r="B341" s="135"/>
      <c r="C341" s="135"/>
      <c r="D341" s="135"/>
      <c r="F341" s="73"/>
      <c r="G341" s="135"/>
      <c r="H341" s="135"/>
      <c r="I341" s="135"/>
    </row>
    <row r="342" spans="2:9" x14ac:dyDescent="0.35">
      <c r="B342" s="135"/>
      <c r="C342" s="135"/>
      <c r="D342" s="135"/>
      <c r="F342" s="73"/>
      <c r="G342" s="135"/>
      <c r="H342" s="135"/>
      <c r="I342" s="135"/>
    </row>
    <row r="343" spans="2:9" x14ac:dyDescent="0.35">
      <c r="B343" s="135"/>
      <c r="C343" s="135"/>
      <c r="D343" s="135"/>
      <c r="F343" s="73"/>
      <c r="G343" s="135"/>
      <c r="H343" s="135"/>
      <c r="I343" s="135"/>
    </row>
    <row r="344" spans="2:9" x14ac:dyDescent="0.35">
      <c r="B344" s="135"/>
      <c r="C344" s="135"/>
      <c r="D344" s="135"/>
      <c r="F344" s="73"/>
      <c r="G344" s="135"/>
      <c r="H344" s="135"/>
      <c r="I344" s="135"/>
    </row>
    <row r="345" spans="2:9" x14ac:dyDescent="0.35">
      <c r="B345" s="135"/>
      <c r="C345" s="135"/>
      <c r="D345" s="135"/>
      <c r="F345" s="73"/>
      <c r="G345" s="135"/>
      <c r="H345" s="135"/>
      <c r="I345" s="135"/>
    </row>
    <row r="346" spans="2:9" x14ac:dyDescent="0.35">
      <c r="B346" s="135"/>
      <c r="C346" s="135"/>
      <c r="D346" s="135"/>
      <c r="F346" s="73"/>
      <c r="G346" s="135"/>
      <c r="H346" s="135"/>
      <c r="I346" s="135"/>
    </row>
    <row r="347" spans="2:9" x14ac:dyDescent="0.35">
      <c r="B347" s="135"/>
      <c r="C347" s="135"/>
      <c r="D347" s="135"/>
      <c r="F347" s="73"/>
      <c r="G347" s="135"/>
      <c r="H347" s="135"/>
      <c r="I347" s="135"/>
    </row>
    <row r="348" spans="2:9" x14ac:dyDescent="0.35">
      <c r="B348" s="135"/>
      <c r="C348" s="135"/>
      <c r="D348" s="135"/>
      <c r="F348" s="73"/>
      <c r="G348" s="135"/>
      <c r="H348" s="135"/>
      <c r="I348" s="135"/>
    </row>
    <row r="349" spans="2:9" x14ac:dyDescent="0.35">
      <c r="B349" s="135"/>
      <c r="C349" s="135"/>
      <c r="D349" s="135"/>
      <c r="F349" s="73"/>
      <c r="G349" s="135"/>
      <c r="H349" s="135"/>
      <c r="I349" s="135"/>
    </row>
    <row r="350" spans="2:9" x14ac:dyDescent="0.35">
      <c r="B350" s="135"/>
      <c r="C350" s="135"/>
      <c r="D350" s="135"/>
      <c r="F350" s="73"/>
      <c r="G350" s="135"/>
      <c r="H350" s="135"/>
      <c r="I350" s="135"/>
    </row>
    <row r="351" spans="2:9" x14ac:dyDescent="0.35">
      <c r="B351" s="135"/>
      <c r="C351" s="135"/>
      <c r="D351" s="135"/>
      <c r="F351" s="73"/>
      <c r="G351" s="135"/>
      <c r="H351" s="135"/>
      <c r="I351" s="135"/>
    </row>
    <row r="352" spans="2:9" x14ac:dyDescent="0.35">
      <c r="B352" s="135"/>
      <c r="C352" s="135"/>
      <c r="D352" s="135"/>
      <c r="F352" s="73"/>
      <c r="G352" s="135"/>
      <c r="H352" s="135"/>
      <c r="I352" s="135"/>
    </row>
    <row r="353" spans="2:9" x14ac:dyDescent="0.35">
      <c r="B353" s="135"/>
      <c r="C353" s="135"/>
      <c r="D353" s="135"/>
      <c r="F353" s="73"/>
      <c r="G353" s="135"/>
      <c r="H353" s="135"/>
      <c r="I353" s="135"/>
    </row>
    <row r="354" spans="2:9" x14ac:dyDescent="0.35">
      <c r="B354" s="135"/>
      <c r="C354" s="135"/>
      <c r="D354" s="135"/>
      <c r="F354" s="73"/>
      <c r="G354" s="135"/>
      <c r="H354" s="135"/>
      <c r="I354" s="135"/>
    </row>
    <row r="355" spans="2:9" x14ac:dyDescent="0.35">
      <c r="B355" s="135"/>
      <c r="C355" s="135"/>
      <c r="D355" s="135"/>
      <c r="F355" s="73"/>
      <c r="G355" s="135"/>
      <c r="H355" s="135"/>
      <c r="I355" s="135"/>
    </row>
    <row r="356" spans="2:9" x14ac:dyDescent="0.35">
      <c r="B356" s="135"/>
      <c r="C356" s="135"/>
      <c r="D356" s="135"/>
      <c r="F356" s="73"/>
      <c r="G356" s="135"/>
      <c r="H356" s="135"/>
      <c r="I356" s="135"/>
    </row>
    <row r="357" spans="2:9" x14ac:dyDescent="0.35">
      <c r="B357" s="135"/>
      <c r="C357" s="135"/>
      <c r="D357" s="135"/>
      <c r="F357" s="73"/>
      <c r="G357" s="135"/>
      <c r="H357" s="135"/>
      <c r="I357" s="135"/>
    </row>
    <row r="358" spans="2:9" x14ac:dyDescent="0.35">
      <c r="B358" s="135"/>
      <c r="C358" s="135"/>
      <c r="D358" s="135"/>
      <c r="F358" s="73"/>
      <c r="G358" s="135"/>
      <c r="H358" s="135"/>
      <c r="I358" s="135"/>
    </row>
    <row r="359" spans="2:9" x14ac:dyDescent="0.35">
      <c r="B359" s="135"/>
      <c r="C359" s="135"/>
      <c r="D359" s="135"/>
      <c r="F359" s="73"/>
      <c r="G359" s="135"/>
      <c r="H359" s="135"/>
      <c r="I359" s="135"/>
    </row>
    <row r="360" spans="2:9" x14ac:dyDescent="0.35">
      <c r="B360" s="135"/>
      <c r="C360" s="135"/>
      <c r="D360" s="135"/>
      <c r="F360" s="73"/>
      <c r="G360" s="135"/>
      <c r="H360" s="135"/>
      <c r="I360" s="135"/>
    </row>
    <row r="361" spans="2:9" x14ac:dyDescent="0.35">
      <c r="B361" s="135"/>
      <c r="C361" s="135"/>
      <c r="D361" s="135"/>
      <c r="F361" s="73"/>
      <c r="G361" s="135"/>
      <c r="H361" s="135"/>
      <c r="I361" s="135"/>
    </row>
    <row r="362" spans="2:9" x14ac:dyDescent="0.35">
      <c r="B362" s="135"/>
      <c r="C362" s="135"/>
      <c r="D362" s="135"/>
      <c r="F362" s="73"/>
      <c r="G362" s="135"/>
      <c r="H362" s="135"/>
      <c r="I362" s="135"/>
    </row>
    <row r="363" spans="2:9" x14ac:dyDescent="0.35">
      <c r="B363" s="135"/>
      <c r="C363" s="135"/>
      <c r="D363" s="135"/>
      <c r="F363" s="73"/>
      <c r="G363" s="135"/>
      <c r="H363" s="135"/>
      <c r="I363" s="135"/>
    </row>
    <row r="364" spans="2:9" x14ac:dyDescent="0.35">
      <c r="B364" s="135"/>
      <c r="C364" s="135"/>
      <c r="D364" s="135"/>
      <c r="F364" s="73"/>
      <c r="G364" s="135"/>
      <c r="H364" s="135"/>
      <c r="I364" s="135"/>
    </row>
    <row r="365" spans="2:9" x14ac:dyDescent="0.35">
      <c r="B365" s="135"/>
      <c r="C365" s="135"/>
      <c r="D365" s="135"/>
      <c r="F365" s="73"/>
      <c r="G365" s="135"/>
      <c r="H365" s="135"/>
      <c r="I365" s="135"/>
    </row>
    <row r="366" spans="2:9" x14ac:dyDescent="0.35">
      <c r="B366" s="135"/>
      <c r="C366" s="135"/>
      <c r="D366" s="135"/>
      <c r="F366" s="73"/>
      <c r="G366" s="135"/>
      <c r="H366" s="135"/>
      <c r="I366" s="135"/>
    </row>
    <row r="367" spans="2:9" x14ac:dyDescent="0.35">
      <c r="B367" s="135"/>
      <c r="C367" s="135"/>
      <c r="D367" s="135"/>
      <c r="F367" s="73"/>
      <c r="G367" s="135"/>
      <c r="H367" s="135"/>
      <c r="I367" s="135"/>
    </row>
    <row r="368" spans="2:9" x14ac:dyDescent="0.35">
      <c r="B368" s="135"/>
      <c r="C368" s="135"/>
      <c r="D368" s="135"/>
      <c r="F368" s="73"/>
      <c r="G368" s="135"/>
      <c r="H368" s="135"/>
      <c r="I368" s="135"/>
    </row>
    <row r="369" spans="2:9" x14ac:dyDescent="0.35">
      <c r="B369" s="135"/>
      <c r="C369" s="135"/>
      <c r="D369" s="135"/>
      <c r="F369" s="73"/>
      <c r="G369" s="135"/>
      <c r="H369" s="135"/>
      <c r="I369" s="135"/>
    </row>
    <row r="370" spans="2:9" x14ac:dyDescent="0.35">
      <c r="B370" s="135"/>
      <c r="C370" s="135"/>
      <c r="D370" s="135"/>
      <c r="F370" s="73"/>
      <c r="G370" s="135"/>
      <c r="H370" s="135"/>
      <c r="I370" s="135"/>
    </row>
    <row r="371" spans="2:9" x14ac:dyDescent="0.35">
      <c r="B371" s="135"/>
      <c r="C371" s="135"/>
      <c r="D371" s="135"/>
      <c r="F371" s="73"/>
      <c r="G371" s="135"/>
      <c r="H371" s="135"/>
      <c r="I371" s="135"/>
    </row>
    <row r="372" spans="2:9" x14ac:dyDescent="0.35">
      <c r="B372" s="135"/>
      <c r="C372" s="135"/>
      <c r="D372" s="135"/>
      <c r="F372" s="73"/>
      <c r="G372" s="135"/>
      <c r="H372" s="135"/>
      <c r="I372" s="135"/>
    </row>
    <row r="373" spans="2:9" x14ac:dyDescent="0.35">
      <c r="B373" s="135"/>
      <c r="C373" s="135"/>
      <c r="D373" s="135"/>
      <c r="F373" s="73"/>
      <c r="G373" s="135"/>
      <c r="H373" s="135"/>
      <c r="I373" s="135"/>
    </row>
    <row r="374" spans="2:9" x14ac:dyDescent="0.35">
      <c r="B374" s="135"/>
      <c r="C374" s="135"/>
      <c r="D374" s="135"/>
      <c r="F374" s="73"/>
      <c r="G374" s="135"/>
      <c r="H374" s="135"/>
      <c r="I374" s="135"/>
    </row>
    <row r="375" spans="2:9" x14ac:dyDescent="0.35">
      <c r="B375" s="135"/>
      <c r="C375" s="135"/>
      <c r="D375" s="135"/>
      <c r="F375" s="73"/>
      <c r="G375" s="135"/>
      <c r="H375" s="135"/>
      <c r="I375" s="135"/>
    </row>
    <row r="376" spans="2:9" x14ac:dyDescent="0.35">
      <c r="B376" s="135"/>
      <c r="C376" s="135"/>
      <c r="D376" s="135"/>
      <c r="F376" s="73"/>
      <c r="G376" s="135"/>
      <c r="H376" s="135"/>
      <c r="I376" s="135"/>
    </row>
    <row r="377" spans="2:9" x14ac:dyDescent="0.35">
      <c r="B377" s="135"/>
      <c r="C377" s="135"/>
      <c r="D377" s="135"/>
      <c r="F377" s="73"/>
      <c r="G377" s="135"/>
      <c r="H377" s="135"/>
      <c r="I377" s="135"/>
    </row>
    <row r="378" spans="2:9" x14ac:dyDescent="0.35">
      <c r="B378" s="135"/>
      <c r="C378" s="135"/>
      <c r="D378" s="135"/>
      <c r="F378" s="73"/>
      <c r="G378" s="135"/>
      <c r="H378" s="135"/>
      <c r="I378" s="135"/>
    </row>
    <row r="379" spans="2:9" x14ac:dyDescent="0.35">
      <c r="B379" s="135"/>
      <c r="C379" s="135"/>
      <c r="D379" s="135"/>
      <c r="F379" s="73"/>
      <c r="G379" s="135"/>
      <c r="H379" s="135"/>
      <c r="I379" s="135"/>
    </row>
    <row r="380" spans="2:9" x14ac:dyDescent="0.35">
      <c r="B380" s="135"/>
      <c r="C380" s="135"/>
      <c r="D380" s="135"/>
      <c r="F380" s="73"/>
      <c r="G380" s="135"/>
      <c r="H380" s="135"/>
      <c r="I380" s="135"/>
    </row>
    <row r="381" spans="2:9" x14ac:dyDescent="0.35">
      <c r="B381" s="135"/>
      <c r="C381" s="135"/>
      <c r="D381" s="135"/>
      <c r="F381" s="73"/>
      <c r="G381" s="135"/>
      <c r="H381" s="135"/>
      <c r="I381" s="135"/>
    </row>
    <row r="382" spans="2:9" x14ac:dyDescent="0.35">
      <c r="B382" s="135"/>
      <c r="C382" s="135"/>
      <c r="D382" s="135"/>
      <c r="F382" s="73"/>
      <c r="G382" s="135"/>
      <c r="H382" s="135"/>
      <c r="I382" s="135"/>
    </row>
    <row r="383" spans="2:9" x14ac:dyDescent="0.35">
      <c r="B383" s="135"/>
      <c r="C383" s="135"/>
      <c r="D383" s="135"/>
      <c r="F383" s="73"/>
      <c r="G383" s="135"/>
      <c r="H383" s="135"/>
      <c r="I383" s="135"/>
    </row>
    <row r="384" spans="2:9" x14ac:dyDescent="0.35">
      <c r="B384" s="135"/>
      <c r="C384" s="135"/>
      <c r="D384" s="135"/>
      <c r="F384" s="73"/>
      <c r="G384" s="135"/>
      <c r="H384" s="135"/>
      <c r="I384" s="135"/>
    </row>
    <row r="385" spans="2:9" x14ac:dyDescent="0.35">
      <c r="B385" s="135"/>
      <c r="C385" s="135"/>
      <c r="D385" s="135"/>
      <c r="F385" s="73"/>
      <c r="G385" s="135"/>
      <c r="H385" s="135"/>
      <c r="I385" s="135"/>
    </row>
    <row r="386" spans="2:9" x14ac:dyDescent="0.35">
      <c r="B386" s="135"/>
      <c r="C386" s="135"/>
      <c r="D386" s="135"/>
      <c r="F386" s="73"/>
      <c r="G386" s="135"/>
      <c r="H386" s="135"/>
      <c r="I386" s="135"/>
    </row>
    <row r="387" spans="2:9" x14ac:dyDescent="0.35">
      <c r="B387" s="135"/>
      <c r="C387" s="135"/>
      <c r="D387" s="135"/>
      <c r="F387" s="73"/>
      <c r="G387" s="135"/>
      <c r="H387" s="135"/>
      <c r="I387" s="135"/>
    </row>
    <row r="388" spans="2:9" x14ac:dyDescent="0.35">
      <c r="B388" s="135"/>
      <c r="C388" s="135"/>
      <c r="D388" s="135"/>
      <c r="F388" s="73"/>
      <c r="G388" s="135"/>
      <c r="H388" s="135"/>
      <c r="I388" s="135"/>
    </row>
    <row r="389" spans="2:9" x14ac:dyDescent="0.35">
      <c r="B389" s="135"/>
      <c r="C389" s="135"/>
      <c r="D389" s="135"/>
      <c r="F389" s="73"/>
      <c r="G389" s="135"/>
      <c r="H389" s="135"/>
      <c r="I389" s="135"/>
    </row>
    <row r="390" spans="2:9" x14ac:dyDescent="0.35">
      <c r="B390" s="135"/>
      <c r="C390" s="135"/>
      <c r="D390" s="135"/>
      <c r="F390" s="73"/>
      <c r="G390" s="135"/>
      <c r="H390" s="135"/>
      <c r="I390" s="135"/>
    </row>
    <row r="391" spans="2:9" x14ac:dyDescent="0.35">
      <c r="B391" s="135"/>
      <c r="C391" s="135"/>
      <c r="D391" s="135"/>
      <c r="F391" s="73"/>
      <c r="G391" s="135"/>
      <c r="H391" s="135"/>
      <c r="I391" s="135"/>
    </row>
    <row r="392" spans="2:9" x14ac:dyDescent="0.35">
      <c r="B392" s="135"/>
      <c r="C392" s="135"/>
      <c r="D392" s="135"/>
      <c r="F392" s="73"/>
      <c r="G392" s="135"/>
      <c r="H392" s="135"/>
      <c r="I392" s="135"/>
    </row>
    <row r="393" spans="2:9" x14ac:dyDescent="0.35">
      <c r="B393" s="135"/>
      <c r="C393" s="135"/>
      <c r="D393" s="135"/>
      <c r="F393" s="73"/>
      <c r="G393" s="135"/>
      <c r="H393" s="135"/>
      <c r="I393" s="135"/>
    </row>
    <row r="394" spans="2:9" x14ac:dyDescent="0.35">
      <c r="B394" s="135"/>
      <c r="C394" s="135"/>
      <c r="D394" s="135"/>
      <c r="F394" s="73"/>
      <c r="G394" s="135"/>
      <c r="H394" s="135"/>
      <c r="I394" s="135"/>
    </row>
    <row r="395" spans="2:9" x14ac:dyDescent="0.35">
      <c r="B395" s="135"/>
      <c r="C395" s="135"/>
      <c r="D395" s="135"/>
      <c r="F395" s="73"/>
      <c r="G395" s="135"/>
      <c r="H395" s="135"/>
      <c r="I395" s="135"/>
    </row>
    <row r="396" spans="2:9" x14ac:dyDescent="0.35">
      <c r="B396" s="135"/>
      <c r="C396" s="135"/>
      <c r="D396" s="135"/>
      <c r="F396" s="73"/>
      <c r="G396" s="135"/>
      <c r="H396" s="135"/>
      <c r="I396" s="135"/>
    </row>
    <row r="397" spans="2:9" x14ac:dyDescent="0.35">
      <c r="B397" s="135"/>
      <c r="C397" s="135"/>
      <c r="D397" s="135"/>
      <c r="F397" s="73"/>
      <c r="G397" s="135"/>
      <c r="H397" s="135"/>
      <c r="I397" s="135"/>
    </row>
    <row r="398" spans="2:9" x14ac:dyDescent="0.35">
      <c r="B398" s="135"/>
      <c r="C398" s="135"/>
      <c r="D398" s="135"/>
      <c r="F398" s="73"/>
      <c r="G398" s="135"/>
      <c r="H398" s="135"/>
      <c r="I398" s="135"/>
    </row>
    <row r="399" spans="2:9" x14ac:dyDescent="0.35">
      <c r="B399" s="135"/>
      <c r="C399" s="135"/>
      <c r="D399" s="135"/>
      <c r="F399" s="73"/>
      <c r="G399" s="135"/>
      <c r="H399" s="135"/>
      <c r="I399" s="135"/>
    </row>
    <row r="400" spans="2:9" x14ac:dyDescent="0.35">
      <c r="B400" s="135"/>
      <c r="C400" s="135"/>
      <c r="D400" s="135"/>
      <c r="F400" s="73"/>
      <c r="G400" s="135"/>
      <c r="H400" s="135"/>
      <c r="I400" s="135"/>
    </row>
    <row r="401" spans="2:9" x14ac:dyDescent="0.35">
      <c r="B401" s="135"/>
      <c r="C401" s="135"/>
      <c r="D401" s="135"/>
      <c r="F401" s="73"/>
      <c r="G401" s="135"/>
      <c r="H401" s="135"/>
      <c r="I401" s="135"/>
    </row>
    <row r="402" spans="2:9" x14ac:dyDescent="0.35">
      <c r="B402" s="135"/>
      <c r="C402" s="135"/>
      <c r="D402" s="135"/>
      <c r="F402" s="73"/>
      <c r="G402" s="135"/>
      <c r="H402" s="135"/>
      <c r="I402" s="135"/>
    </row>
    <row r="403" spans="2:9" x14ac:dyDescent="0.35">
      <c r="B403" s="135"/>
      <c r="C403" s="135"/>
      <c r="D403" s="135"/>
      <c r="F403" s="73"/>
      <c r="G403" s="135"/>
      <c r="H403" s="135"/>
      <c r="I403" s="135"/>
    </row>
    <row r="404" spans="2:9" x14ac:dyDescent="0.35">
      <c r="B404" s="135"/>
      <c r="C404" s="135"/>
      <c r="D404" s="135"/>
      <c r="F404" s="73"/>
      <c r="G404" s="135"/>
      <c r="H404" s="135"/>
      <c r="I404" s="135"/>
    </row>
    <row r="405" spans="2:9" x14ac:dyDescent="0.35">
      <c r="B405" s="135"/>
      <c r="C405" s="135"/>
      <c r="D405" s="135"/>
      <c r="F405" s="73"/>
      <c r="G405" s="135"/>
      <c r="H405" s="135"/>
      <c r="I405" s="135"/>
    </row>
    <row r="406" spans="2:9" x14ac:dyDescent="0.35">
      <c r="B406" s="135"/>
      <c r="C406" s="135"/>
      <c r="D406" s="135"/>
      <c r="F406" s="73"/>
      <c r="G406" s="135"/>
      <c r="H406" s="135"/>
      <c r="I406" s="135"/>
    </row>
    <row r="407" spans="2:9" x14ac:dyDescent="0.35">
      <c r="B407" s="135"/>
      <c r="C407" s="135"/>
      <c r="D407" s="135"/>
      <c r="F407" s="73"/>
      <c r="G407" s="135"/>
      <c r="H407" s="135"/>
      <c r="I407" s="135"/>
    </row>
    <row r="408" spans="2:9" x14ac:dyDescent="0.35">
      <c r="B408" s="135"/>
      <c r="C408" s="135"/>
      <c r="D408" s="135"/>
      <c r="F408" s="73"/>
      <c r="G408" s="135"/>
      <c r="H408" s="135"/>
      <c r="I408" s="135"/>
    </row>
    <row r="409" spans="2:9" x14ac:dyDescent="0.35">
      <c r="B409" s="135"/>
      <c r="C409" s="135"/>
      <c r="D409" s="135"/>
      <c r="F409" s="73"/>
      <c r="G409" s="135"/>
      <c r="H409" s="135"/>
      <c r="I409" s="135"/>
    </row>
    <row r="410" spans="2:9" x14ac:dyDescent="0.35">
      <c r="B410" s="135"/>
      <c r="C410" s="135"/>
      <c r="D410" s="135"/>
      <c r="F410" s="73"/>
      <c r="G410" s="135"/>
      <c r="H410" s="135"/>
      <c r="I410" s="135"/>
    </row>
    <row r="411" spans="2:9" x14ac:dyDescent="0.35">
      <c r="B411" s="135"/>
      <c r="C411" s="135"/>
      <c r="D411" s="135"/>
      <c r="F411" s="73"/>
      <c r="G411" s="135"/>
      <c r="H411" s="135"/>
      <c r="I411" s="135"/>
    </row>
    <row r="412" spans="2:9" x14ac:dyDescent="0.35">
      <c r="B412" s="135"/>
      <c r="C412" s="135"/>
      <c r="D412" s="135"/>
      <c r="F412" s="73"/>
      <c r="G412" s="135"/>
      <c r="H412" s="135"/>
      <c r="I412" s="135"/>
    </row>
    <row r="413" spans="2:9" x14ac:dyDescent="0.35">
      <c r="B413" s="135"/>
      <c r="C413" s="135"/>
      <c r="D413" s="135"/>
      <c r="F413" s="73"/>
      <c r="G413" s="135"/>
      <c r="H413" s="135"/>
      <c r="I413" s="135"/>
    </row>
    <row r="414" spans="2:9" x14ac:dyDescent="0.35">
      <c r="B414" s="135"/>
      <c r="C414" s="135"/>
      <c r="D414" s="135"/>
      <c r="F414" s="73"/>
      <c r="G414" s="135"/>
      <c r="H414" s="135"/>
      <c r="I414" s="135"/>
    </row>
    <row r="415" spans="2:9" x14ac:dyDescent="0.35">
      <c r="B415" s="135"/>
      <c r="C415" s="135"/>
      <c r="D415" s="135"/>
      <c r="F415" s="73"/>
      <c r="G415" s="135"/>
      <c r="H415" s="135"/>
      <c r="I415" s="135"/>
    </row>
    <row r="416" spans="2:9" x14ac:dyDescent="0.35">
      <c r="B416" s="135"/>
      <c r="C416" s="135"/>
      <c r="D416" s="135"/>
      <c r="F416" s="73"/>
      <c r="G416" s="135"/>
      <c r="H416" s="135"/>
      <c r="I416" s="135"/>
    </row>
    <row r="417" spans="2:9" x14ac:dyDescent="0.35">
      <c r="B417" s="135"/>
      <c r="C417" s="135"/>
      <c r="D417" s="135"/>
      <c r="F417" s="73"/>
      <c r="G417" s="135"/>
      <c r="H417" s="135"/>
      <c r="I417" s="135"/>
    </row>
    <row r="418" spans="2:9" x14ac:dyDescent="0.35">
      <c r="B418" s="135"/>
      <c r="C418" s="135"/>
      <c r="D418" s="135"/>
      <c r="F418" s="73"/>
      <c r="G418" s="135"/>
      <c r="H418" s="135"/>
      <c r="I418" s="135"/>
    </row>
    <row r="419" spans="2:9" x14ac:dyDescent="0.35">
      <c r="B419" s="135"/>
      <c r="C419" s="135"/>
      <c r="D419" s="135"/>
      <c r="F419" s="73"/>
      <c r="G419" s="135"/>
      <c r="H419" s="135"/>
      <c r="I419" s="135"/>
    </row>
    <row r="420" spans="2:9" x14ac:dyDescent="0.35">
      <c r="B420" s="135"/>
      <c r="C420" s="135"/>
      <c r="D420" s="135"/>
      <c r="F420" s="73"/>
      <c r="G420" s="135"/>
      <c r="H420" s="135"/>
      <c r="I420" s="135"/>
    </row>
    <row r="421" spans="2:9" x14ac:dyDescent="0.35">
      <c r="B421" s="135"/>
      <c r="C421" s="135"/>
      <c r="D421" s="135"/>
      <c r="F421" s="73"/>
      <c r="G421" s="135"/>
      <c r="H421" s="135"/>
      <c r="I421" s="135"/>
    </row>
    <row r="422" spans="2:9" x14ac:dyDescent="0.35">
      <c r="B422" s="135"/>
      <c r="C422" s="135"/>
      <c r="D422" s="135"/>
      <c r="F422" s="73"/>
      <c r="G422" s="135"/>
      <c r="H422" s="135"/>
      <c r="I422" s="135"/>
    </row>
    <row r="423" spans="2:9" x14ac:dyDescent="0.35">
      <c r="B423" s="135"/>
      <c r="C423" s="135"/>
      <c r="D423" s="135"/>
      <c r="F423" s="73"/>
      <c r="G423" s="135"/>
      <c r="H423" s="135"/>
      <c r="I423" s="135"/>
    </row>
    <row r="424" spans="2:9" x14ac:dyDescent="0.35">
      <c r="B424" s="135"/>
      <c r="C424" s="135"/>
      <c r="D424" s="135"/>
      <c r="F424" s="73"/>
      <c r="G424" s="135"/>
      <c r="H424" s="135"/>
      <c r="I424" s="135"/>
    </row>
    <row r="425" spans="2:9" x14ac:dyDescent="0.35">
      <c r="B425" s="135"/>
      <c r="C425" s="135"/>
      <c r="D425" s="135"/>
      <c r="F425" s="73"/>
      <c r="G425" s="135"/>
      <c r="H425" s="135"/>
      <c r="I425" s="135"/>
    </row>
    <row r="426" spans="2:9" x14ac:dyDescent="0.35">
      <c r="B426" s="135"/>
      <c r="C426" s="135"/>
      <c r="D426" s="135"/>
      <c r="F426" s="73"/>
      <c r="G426" s="135"/>
      <c r="H426" s="135"/>
      <c r="I426" s="135"/>
    </row>
    <row r="427" spans="2:9" x14ac:dyDescent="0.35">
      <c r="B427" s="135"/>
      <c r="C427" s="135"/>
      <c r="D427" s="135"/>
      <c r="F427" s="73"/>
      <c r="G427" s="135"/>
      <c r="H427" s="135"/>
      <c r="I427" s="135"/>
    </row>
    <row r="428" spans="2:9" x14ac:dyDescent="0.35">
      <c r="B428" s="135"/>
      <c r="C428" s="135"/>
      <c r="D428" s="135"/>
      <c r="F428" s="73"/>
      <c r="G428" s="135"/>
      <c r="H428" s="135"/>
      <c r="I428" s="135"/>
    </row>
    <row r="429" spans="2:9" x14ac:dyDescent="0.35">
      <c r="B429" s="135"/>
      <c r="C429" s="135"/>
      <c r="D429" s="135"/>
      <c r="F429" s="73"/>
      <c r="G429" s="135"/>
      <c r="H429" s="135"/>
      <c r="I429" s="135"/>
    </row>
    <row r="430" spans="2:9" x14ac:dyDescent="0.35">
      <c r="B430" s="135"/>
      <c r="C430" s="135"/>
      <c r="D430" s="135"/>
      <c r="F430" s="73"/>
      <c r="G430" s="135"/>
      <c r="H430" s="135"/>
      <c r="I430" s="135"/>
    </row>
    <row r="431" spans="2:9" x14ac:dyDescent="0.35">
      <c r="B431" s="135"/>
      <c r="C431" s="135"/>
      <c r="D431" s="135"/>
      <c r="F431" s="73"/>
      <c r="G431" s="135"/>
      <c r="H431" s="135"/>
      <c r="I431" s="135"/>
    </row>
    <row r="432" spans="2:9" x14ac:dyDescent="0.35">
      <c r="B432" s="135"/>
      <c r="C432" s="135"/>
      <c r="D432" s="135"/>
      <c r="F432" s="73"/>
      <c r="G432" s="135"/>
      <c r="H432" s="135"/>
      <c r="I432" s="135"/>
    </row>
    <row r="433" spans="2:9" x14ac:dyDescent="0.35">
      <c r="B433" s="135"/>
      <c r="C433" s="135"/>
      <c r="D433" s="135"/>
      <c r="F433" s="73"/>
      <c r="G433" s="135"/>
      <c r="H433" s="135"/>
      <c r="I433" s="135"/>
    </row>
    <row r="434" spans="2:9" x14ac:dyDescent="0.35">
      <c r="B434" s="135"/>
      <c r="C434" s="135"/>
      <c r="D434" s="135"/>
      <c r="F434" s="73"/>
      <c r="G434" s="135"/>
      <c r="H434" s="135"/>
      <c r="I434" s="135"/>
    </row>
    <row r="435" spans="2:9" x14ac:dyDescent="0.35">
      <c r="B435" s="135"/>
      <c r="C435" s="135"/>
      <c r="D435" s="135"/>
      <c r="F435" s="73"/>
      <c r="G435" s="135"/>
      <c r="H435" s="135"/>
      <c r="I435" s="135"/>
    </row>
    <row r="436" spans="2:9" x14ac:dyDescent="0.35">
      <c r="B436" s="135"/>
      <c r="C436" s="135"/>
      <c r="D436" s="135"/>
      <c r="F436" s="73"/>
      <c r="G436" s="135"/>
      <c r="H436" s="135"/>
      <c r="I436" s="135"/>
    </row>
    <row r="437" spans="2:9" x14ac:dyDescent="0.35">
      <c r="B437" s="135"/>
      <c r="C437" s="135"/>
      <c r="D437" s="135"/>
      <c r="F437" s="73"/>
      <c r="G437" s="135"/>
      <c r="H437" s="135"/>
      <c r="I437" s="135"/>
    </row>
    <row r="438" spans="2:9" x14ac:dyDescent="0.35">
      <c r="B438" s="135"/>
      <c r="C438" s="135"/>
      <c r="D438" s="135"/>
      <c r="F438" s="73"/>
      <c r="G438" s="135"/>
      <c r="H438" s="135"/>
      <c r="I438" s="135"/>
    </row>
    <row r="439" spans="2:9" x14ac:dyDescent="0.35">
      <c r="B439" s="135"/>
      <c r="C439" s="135"/>
      <c r="D439" s="135"/>
      <c r="F439" s="73"/>
      <c r="G439" s="135"/>
      <c r="H439" s="135"/>
      <c r="I439" s="135"/>
    </row>
    <row r="440" spans="2:9" x14ac:dyDescent="0.35">
      <c r="B440" s="135"/>
      <c r="C440" s="135"/>
      <c r="D440" s="135"/>
      <c r="F440" s="73"/>
      <c r="G440" s="135"/>
      <c r="H440" s="135"/>
      <c r="I440" s="135"/>
    </row>
    <row r="441" spans="2:9" x14ac:dyDescent="0.35">
      <c r="B441" s="135"/>
      <c r="C441" s="135"/>
      <c r="D441" s="135"/>
      <c r="F441" s="73"/>
      <c r="G441" s="135"/>
      <c r="H441" s="135"/>
      <c r="I441" s="135"/>
    </row>
    <row r="442" spans="2:9" x14ac:dyDescent="0.35">
      <c r="B442" s="135"/>
      <c r="C442" s="135"/>
      <c r="D442" s="135"/>
      <c r="F442" s="73"/>
      <c r="G442" s="135"/>
      <c r="H442" s="135"/>
      <c r="I442" s="135"/>
    </row>
    <row r="443" spans="2:9" x14ac:dyDescent="0.35">
      <c r="B443" s="135"/>
      <c r="C443" s="135"/>
      <c r="D443" s="135"/>
      <c r="F443" s="73"/>
      <c r="G443" s="135"/>
      <c r="H443" s="135"/>
      <c r="I443" s="135"/>
    </row>
    <row r="444" spans="2:9" x14ac:dyDescent="0.35">
      <c r="B444" s="135"/>
      <c r="C444" s="135"/>
      <c r="D444" s="135"/>
      <c r="F444" s="73"/>
      <c r="G444" s="135"/>
      <c r="H444" s="135"/>
      <c r="I444" s="135"/>
    </row>
    <row r="445" spans="2:9" x14ac:dyDescent="0.35">
      <c r="B445" s="135"/>
      <c r="C445" s="135"/>
      <c r="D445" s="135"/>
      <c r="F445" s="73"/>
      <c r="G445" s="135"/>
      <c r="H445" s="135"/>
      <c r="I445" s="135"/>
    </row>
    <row r="446" spans="2:9" x14ac:dyDescent="0.35">
      <c r="B446" s="135"/>
      <c r="C446" s="135"/>
      <c r="D446" s="135"/>
      <c r="F446" s="73"/>
      <c r="G446" s="135"/>
      <c r="H446" s="135"/>
      <c r="I446" s="135"/>
    </row>
    <row r="447" spans="2:9" x14ac:dyDescent="0.35">
      <c r="B447" s="135"/>
      <c r="C447" s="135"/>
      <c r="D447" s="135"/>
      <c r="F447" s="73"/>
      <c r="G447" s="135"/>
      <c r="H447" s="135"/>
      <c r="I447" s="135"/>
    </row>
    <row r="448" spans="2:9" x14ac:dyDescent="0.35">
      <c r="B448" s="135"/>
      <c r="C448" s="135"/>
      <c r="D448" s="135"/>
      <c r="F448" s="73"/>
      <c r="G448" s="135"/>
      <c r="H448" s="135"/>
      <c r="I448" s="135"/>
    </row>
    <row r="449" spans="2:9" x14ac:dyDescent="0.35">
      <c r="B449" s="135"/>
      <c r="C449" s="135"/>
      <c r="D449" s="135"/>
      <c r="F449" s="73"/>
      <c r="G449" s="135"/>
      <c r="H449" s="135"/>
      <c r="I449" s="135"/>
    </row>
    <row r="450" spans="2:9" x14ac:dyDescent="0.35">
      <c r="B450" s="135"/>
      <c r="C450" s="135"/>
      <c r="D450" s="135"/>
      <c r="F450" s="73"/>
      <c r="G450" s="135"/>
      <c r="H450" s="135"/>
      <c r="I450" s="135"/>
    </row>
    <row r="451" spans="2:9" x14ac:dyDescent="0.35">
      <c r="B451" s="135"/>
      <c r="C451" s="135"/>
      <c r="D451" s="135"/>
      <c r="F451" s="73"/>
      <c r="G451" s="135"/>
      <c r="H451" s="135"/>
      <c r="I451" s="135"/>
    </row>
    <row r="452" spans="2:9" x14ac:dyDescent="0.35">
      <c r="B452" s="135"/>
      <c r="C452" s="135"/>
      <c r="D452" s="135"/>
      <c r="F452" s="73"/>
      <c r="G452" s="135"/>
      <c r="H452" s="135"/>
      <c r="I452" s="135"/>
    </row>
    <row r="453" spans="2:9" x14ac:dyDescent="0.35">
      <c r="B453" s="135"/>
      <c r="C453" s="135"/>
      <c r="D453" s="135"/>
      <c r="F453" s="73"/>
      <c r="G453" s="135"/>
      <c r="H453" s="135"/>
      <c r="I453" s="135"/>
    </row>
    <row r="454" spans="2:9" x14ac:dyDescent="0.35">
      <c r="B454" s="135"/>
      <c r="C454" s="135"/>
      <c r="D454" s="135"/>
      <c r="F454" s="73"/>
      <c r="G454" s="135"/>
      <c r="H454" s="135"/>
      <c r="I454" s="135"/>
    </row>
    <row r="455" spans="2:9" x14ac:dyDescent="0.35">
      <c r="B455" s="135"/>
      <c r="C455" s="135"/>
      <c r="D455" s="135"/>
      <c r="F455" s="73"/>
      <c r="G455" s="135"/>
      <c r="H455" s="135"/>
      <c r="I455" s="135"/>
    </row>
    <row r="456" spans="2:9" x14ac:dyDescent="0.35">
      <c r="B456" s="135"/>
      <c r="C456" s="135"/>
      <c r="D456" s="135"/>
      <c r="F456" s="73"/>
      <c r="G456" s="135"/>
      <c r="H456" s="135"/>
      <c r="I456" s="135"/>
    </row>
    <row r="457" spans="2:9" x14ac:dyDescent="0.35">
      <c r="B457" s="135"/>
      <c r="C457" s="135"/>
      <c r="D457" s="135"/>
      <c r="F457" s="73"/>
      <c r="G457" s="135"/>
      <c r="H457" s="135"/>
      <c r="I457" s="135"/>
    </row>
    <row r="458" spans="2:9" x14ac:dyDescent="0.35">
      <c r="B458" s="135"/>
      <c r="C458" s="135"/>
      <c r="D458" s="135"/>
      <c r="F458" s="73"/>
      <c r="G458" s="135"/>
      <c r="H458" s="135"/>
      <c r="I458" s="135"/>
    </row>
    <row r="459" spans="2:9" x14ac:dyDescent="0.35">
      <c r="B459" s="135"/>
      <c r="C459" s="135"/>
      <c r="D459" s="135"/>
      <c r="F459" s="73"/>
      <c r="G459" s="135"/>
      <c r="H459" s="135"/>
      <c r="I459" s="135"/>
    </row>
    <row r="460" spans="2:9" x14ac:dyDescent="0.35">
      <c r="B460" s="135"/>
      <c r="C460" s="135"/>
      <c r="D460" s="135"/>
      <c r="F460" s="73"/>
      <c r="G460" s="135"/>
      <c r="H460" s="135"/>
      <c r="I460" s="135"/>
    </row>
    <row r="461" spans="2:9" x14ac:dyDescent="0.35">
      <c r="B461" s="135"/>
      <c r="C461" s="135"/>
      <c r="D461" s="135"/>
      <c r="F461" s="73"/>
      <c r="G461" s="135"/>
      <c r="H461" s="135"/>
      <c r="I461" s="135"/>
    </row>
    <row r="462" spans="2:9" x14ac:dyDescent="0.35">
      <c r="B462" s="135"/>
      <c r="C462" s="135"/>
      <c r="D462" s="135"/>
      <c r="F462" s="73"/>
      <c r="G462" s="135"/>
      <c r="H462" s="135"/>
      <c r="I462" s="135"/>
    </row>
    <row r="463" spans="2:9" x14ac:dyDescent="0.35">
      <c r="B463" s="135"/>
      <c r="C463" s="135"/>
      <c r="D463" s="135"/>
      <c r="F463" s="73"/>
      <c r="G463" s="135"/>
      <c r="H463" s="135"/>
      <c r="I463" s="135"/>
    </row>
    <row r="464" spans="2:9" x14ac:dyDescent="0.35">
      <c r="B464" s="135"/>
      <c r="C464" s="135"/>
      <c r="D464" s="135"/>
      <c r="F464" s="73"/>
      <c r="G464" s="135"/>
      <c r="H464" s="135"/>
      <c r="I464" s="135"/>
    </row>
    <row r="465" spans="2:9" x14ac:dyDescent="0.35">
      <c r="B465" s="135"/>
      <c r="C465" s="135"/>
      <c r="D465" s="135"/>
      <c r="F465" s="73"/>
      <c r="G465" s="135"/>
      <c r="H465" s="135"/>
      <c r="I465" s="135"/>
    </row>
    <row r="466" spans="2:9" x14ac:dyDescent="0.35">
      <c r="B466" s="135"/>
      <c r="C466" s="135"/>
      <c r="D466" s="135"/>
      <c r="F466" s="73"/>
      <c r="G466" s="135"/>
      <c r="H466" s="135"/>
      <c r="I466" s="135"/>
    </row>
    <row r="467" spans="2:9" x14ac:dyDescent="0.35">
      <c r="B467" s="135"/>
      <c r="C467" s="135"/>
      <c r="D467" s="135"/>
      <c r="F467" s="73"/>
      <c r="G467" s="135"/>
      <c r="H467" s="135"/>
      <c r="I467" s="135"/>
    </row>
    <row r="468" spans="2:9" x14ac:dyDescent="0.35">
      <c r="B468" s="135"/>
      <c r="C468" s="135"/>
      <c r="D468" s="135"/>
      <c r="F468" s="73"/>
      <c r="G468" s="135"/>
      <c r="H468" s="135"/>
      <c r="I468" s="135"/>
    </row>
    <row r="469" spans="2:9" x14ac:dyDescent="0.35">
      <c r="B469" s="135"/>
      <c r="C469" s="135"/>
      <c r="D469" s="135"/>
      <c r="F469" s="73"/>
      <c r="G469" s="135"/>
      <c r="H469" s="135"/>
      <c r="I469" s="135"/>
    </row>
    <row r="470" spans="2:9" x14ac:dyDescent="0.35">
      <c r="B470" s="135"/>
      <c r="C470" s="135"/>
      <c r="D470" s="135"/>
      <c r="F470" s="73"/>
      <c r="G470" s="135"/>
      <c r="H470" s="135"/>
      <c r="I470" s="135"/>
    </row>
    <row r="471" spans="2:9" x14ac:dyDescent="0.35">
      <c r="B471" s="135"/>
      <c r="C471" s="135"/>
      <c r="D471" s="135"/>
      <c r="F471" s="73"/>
      <c r="G471" s="135"/>
      <c r="H471" s="135"/>
      <c r="I471" s="135"/>
    </row>
    <row r="472" spans="2:9" x14ac:dyDescent="0.35">
      <c r="B472" s="135"/>
      <c r="C472" s="135"/>
      <c r="D472" s="135"/>
      <c r="F472" s="73"/>
      <c r="G472" s="135"/>
      <c r="H472" s="135"/>
      <c r="I472" s="135"/>
    </row>
    <row r="473" spans="2:9" x14ac:dyDescent="0.35">
      <c r="B473" s="135"/>
      <c r="C473" s="135"/>
      <c r="D473" s="135"/>
      <c r="F473" s="73"/>
      <c r="G473" s="135"/>
      <c r="H473" s="135"/>
      <c r="I473" s="135"/>
    </row>
    <row r="474" spans="2:9" x14ac:dyDescent="0.35">
      <c r="B474" s="135"/>
      <c r="C474" s="135"/>
      <c r="D474" s="135"/>
      <c r="F474" s="73"/>
      <c r="G474" s="135"/>
      <c r="H474" s="135"/>
      <c r="I474" s="135"/>
    </row>
    <row r="475" spans="2:9" x14ac:dyDescent="0.35">
      <c r="B475" s="135"/>
      <c r="C475" s="135"/>
      <c r="D475" s="135"/>
      <c r="F475" s="73"/>
      <c r="G475" s="135"/>
      <c r="H475" s="135"/>
      <c r="I475" s="135"/>
    </row>
    <row r="476" spans="2:9" x14ac:dyDescent="0.35">
      <c r="B476" s="135"/>
      <c r="C476" s="135"/>
      <c r="D476" s="135"/>
      <c r="F476" s="73"/>
      <c r="G476" s="135"/>
      <c r="H476" s="135"/>
      <c r="I476" s="135"/>
    </row>
    <row r="477" spans="2:9" x14ac:dyDescent="0.35">
      <c r="B477" s="135"/>
      <c r="C477" s="135"/>
      <c r="D477" s="135"/>
      <c r="F477" s="73"/>
      <c r="G477" s="135"/>
      <c r="H477" s="135"/>
      <c r="I477" s="135"/>
    </row>
    <row r="478" spans="2:9" x14ac:dyDescent="0.35">
      <c r="B478" s="135"/>
      <c r="C478" s="135"/>
      <c r="D478" s="135"/>
      <c r="F478" s="73"/>
      <c r="G478" s="135"/>
      <c r="H478" s="135"/>
      <c r="I478" s="135"/>
    </row>
    <row r="479" spans="2:9" x14ac:dyDescent="0.35">
      <c r="B479" s="135"/>
      <c r="C479" s="135"/>
      <c r="D479" s="135"/>
      <c r="F479" s="73"/>
      <c r="G479" s="135"/>
      <c r="H479" s="135"/>
      <c r="I479" s="135"/>
    </row>
    <row r="480" spans="2:9" x14ac:dyDescent="0.35">
      <c r="B480" s="135"/>
      <c r="C480" s="135"/>
      <c r="D480" s="135"/>
      <c r="F480" s="73"/>
      <c r="G480" s="135"/>
      <c r="H480" s="135"/>
      <c r="I480" s="135"/>
    </row>
    <row r="481" spans="2:9" x14ac:dyDescent="0.35">
      <c r="B481" s="135"/>
      <c r="C481" s="135"/>
      <c r="D481" s="135"/>
      <c r="F481" s="73"/>
      <c r="G481" s="135"/>
      <c r="H481" s="135"/>
      <c r="I481" s="135"/>
    </row>
    <row r="482" spans="2:9" x14ac:dyDescent="0.35">
      <c r="B482" s="135"/>
      <c r="C482" s="135"/>
      <c r="D482" s="135"/>
      <c r="F482" s="73"/>
      <c r="G482" s="135"/>
      <c r="H482" s="135"/>
      <c r="I482" s="135"/>
    </row>
    <row r="483" spans="2:9" x14ac:dyDescent="0.35">
      <c r="B483" s="135"/>
      <c r="C483" s="135"/>
      <c r="D483" s="135"/>
      <c r="F483" s="73"/>
      <c r="G483" s="135"/>
      <c r="H483" s="135"/>
      <c r="I483" s="135"/>
    </row>
    <row r="484" spans="2:9" x14ac:dyDescent="0.35">
      <c r="B484" s="135"/>
      <c r="C484" s="135"/>
      <c r="D484" s="135"/>
      <c r="F484" s="73"/>
      <c r="G484" s="135"/>
      <c r="H484" s="135"/>
      <c r="I484" s="135"/>
    </row>
    <row r="485" spans="2:9" x14ac:dyDescent="0.35">
      <c r="B485" s="135"/>
      <c r="C485" s="135"/>
      <c r="D485" s="135"/>
      <c r="F485" s="73"/>
      <c r="G485" s="135"/>
      <c r="H485" s="135"/>
      <c r="I485" s="135"/>
    </row>
    <row r="486" spans="2:9" x14ac:dyDescent="0.35">
      <c r="B486" s="135"/>
      <c r="C486" s="135"/>
      <c r="D486" s="135"/>
      <c r="F486" s="73"/>
      <c r="G486" s="135"/>
      <c r="H486" s="135"/>
      <c r="I486" s="135"/>
    </row>
    <row r="487" spans="2:9" x14ac:dyDescent="0.35">
      <c r="B487" s="135"/>
      <c r="C487" s="135"/>
      <c r="D487" s="135"/>
      <c r="F487" s="73"/>
      <c r="G487" s="135"/>
      <c r="H487" s="135"/>
      <c r="I487" s="135"/>
    </row>
    <row r="488" spans="2:9" x14ac:dyDescent="0.35">
      <c r="B488" s="135"/>
      <c r="C488" s="135"/>
      <c r="D488" s="135"/>
      <c r="F488" s="73"/>
      <c r="G488" s="135"/>
      <c r="H488" s="135"/>
      <c r="I488" s="135"/>
    </row>
    <row r="489" spans="2:9" x14ac:dyDescent="0.35">
      <c r="B489" s="135"/>
      <c r="C489" s="135"/>
      <c r="D489" s="135"/>
      <c r="F489" s="73"/>
      <c r="G489" s="135"/>
      <c r="H489" s="135"/>
      <c r="I489" s="135"/>
    </row>
    <row r="490" spans="2:9" x14ac:dyDescent="0.35">
      <c r="B490" s="135"/>
      <c r="C490" s="135"/>
      <c r="D490" s="135"/>
      <c r="F490" s="73"/>
      <c r="G490" s="135"/>
      <c r="H490" s="135"/>
      <c r="I490" s="135"/>
    </row>
    <row r="491" spans="2:9" x14ac:dyDescent="0.35">
      <c r="B491" s="135"/>
      <c r="C491" s="135"/>
      <c r="D491" s="135"/>
      <c r="F491" s="73"/>
      <c r="G491" s="135"/>
      <c r="H491" s="135"/>
      <c r="I491" s="135"/>
    </row>
    <row r="492" spans="2:9" x14ac:dyDescent="0.35">
      <c r="B492" s="135"/>
      <c r="C492" s="135"/>
      <c r="D492" s="135"/>
      <c r="F492" s="73"/>
      <c r="G492" s="135"/>
      <c r="H492" s="135"/>
      <c r="I492" s="135"/>
    </row>
    <row r="493" spans="2:9" x14ac:dyDescent="0.35">
      <c r="B493" s="135"/>
      <c r="C493" s="135"/>
      <c r="D493" s="135"/>
      <c r="F493" s="73"/>
      <c r="G493" s="135"/>
      <c r="H493" s="135"/>
      <c r="I493" s="135"/>
    </row>
    <row r="494" spans="2:9" x14ac:dyDescent="0.35">
      <c r="B494" s="135"/>
      <c r="C494" s="135"/>
      <c r="D494" s="135"/>
      <c r="F494" s="73"/>
      <c r="G494" s="135"/>
      <c r="H494" s="135"/>
      <c r="I494" s="135"/>
    </row>
    <row r="495" spans="2:9" x14ac:dyDescent="0.35">
      <c r="B495" s="135"/>
      <c r="C495" s="135"/>
      <c r="D495" s="135"/>
      <c r="F495" s="73"/>
      <c r="G495" s="135"/>
      <c r="H495" s="135"/>
      <c r="I495" s="135"/>
    </row>
    <row r="496" spans="2:9" x14ac:dyDescent="0.35">
      <c r="B496" s="135"/>
      <c r="C496" s="135"/>
      <c r="D496" s="135"/>
      <c r="F496" s="73"/>
      <c r="G496" s="135"/>
      <c r="H496" s="135"/>
      <c r="I496" s="135"/>
    </row>
    <row r="497" spans="2:9" x14ac:dyDescent="0.35">
      <c r="B497" s="135"/>
      <c r="C497" s="135"/>
      <c r="D497" s="135"/>
      <c r="F497" s="73"/>
      <c r="G497" s="135"/>
      <c r="H497" s="135"/>
      <c r="I497" s="135"/>
    </row>
    <row r="498" spans="2:9" x14ac:dyDescent="0.35">
      <c r="B498" s="135"/>
      <c r="C498" s="135"/>
      <c r="D498" s="135"/>
      <c r="F498" s="73"/>
      <c r="G498" s="135"/>
      <c r="H498" s="135"/>
      <c r="I498" s="135"/>
    </row>
    <row r="499" spans="2:9" x14ac:dyDescent="0.35">
      <c r="B499" s="135"/>
      <c r="C499" s="135"/>
      <c r="D499" s="135"/>
      <c r="F499" s="73"/>
      <c r="G499" s="135"/>
      <c r="H499" s="135"/>
      <c r="I499" s="135"/>
    </row>
    <row r="500" spans="2:9" x14ac:dyDescent="0.35">
      <c r="B500" s="135"/>
      <c r="C500" s="135"/>
      <c r="D500" s="135"/>
      <c r="F500" s="73"/>
      <c r="G500" s="135"/>
      <c r="H500" s="135"/>
      <c r="I500" s="135"/>
    </row>
    <row r="501" spans="2:9" x14ac:dyDescent="0.35">
      <c r="B501" s="135"/>
      <c r="C501" s="135"/>
      <c r="D501" s="135"/>
      <c r="F501" s="73"/>
      <c r="G501" s="135"/>
      <c r="H501" s="135"/>
      <c r="I501" s="135"/>
    </row>
    <row r="502" spans="2:9" x14ac:dyDescent="0.35">
      <c r="B502" s="135"/>
      <c r="C502" s="135"/>
      <c r="D502" s="135"/>
      <c r="F502" s="73"/>
      <c r="G502" s="135"/>
      <c r="H502" s="135"/>
      <c r="I502" s="135"/>
    </row>
    <row r="503" spans="2:9" x14ac:dyDescent="0.35">
      <c r="B503" s="135"/>
      <c r="C503" s="135"/>
      <c r="D503" s="135"/>
      <c r="F503" s="73"/>
      <c r="G503" s="135"/>
      <c r="H503" s="135"/>
      <c r="I503" s="135"/>
    </row>
    <row r="504" spans="2:9" x14ac:dyDescent="0.35">
      <c r="B504" s="135"/>
      <c r="C504" s="135"/>
      <c r="D504" s="135"/>
      <c r="F504" s="73"/>
      <c r="G504" s="135"/>
      <c r="H504" s="135"/>
      <c r="I504" s="135"/>
    </row>
    <row r="505" spans="2:9" x14ac:dyDescent="0.35">
      <c r="B505" s="135"/>
      <c r="C505" s="135"/>
      <c r="D505" s="135"/>
      <c r="F505" s="73"/>
      <c r="G505" s="135"/>
      <c r="H505" s="135"/>
      <c r="I505" s="135"/>
    </row>
    <row r="506" spans="2:9" x14ac:dyDescent="0.35">
      <c r="B506" s="135"/>
      <c r="C506" s="135"/>
      <c r="D506" s="135"/>
      <c r="F506" s="73"/>
      <c r="G506" s="135"/>
      <c r="H506" s="135"/>
      <c r="I506" s="135"/>
    </row>
    <row r="507" spans="2:9" x14ac:dyDescent="0.35">
      <c r="B507" s="135"/>
      <c r="C507" s="135"/>
      <c r="D507" s="135"/>
      <c r="F507" s="73"/>
      <c r="G507" s="135"/>
      <c r="H507" s="135"/>
      <c r="I507" s="135"/>
    </row>
    <row r="508" spans="2:9" x14ac:dyDescent="0.35">
      <c r="B508" s="135"/>
      <c r="C508" s="135"/>
      <c r="D508" s="135"/>
      <c r="F508" s="73"/>
      <c r="G508" s="135"/>
      <c r="H508" s="135"/>
      <c r="I508" s="135"/>
    </row>
    <row r="509" spans="2:9" x14ac:dyDescent="0.35">
      <c r="B509" s="135"/>
      <c r="C509" s="135"/>
      <c r="D509" s="135"/>
      <c r="F509" s="73"/>
      <c r="G509" s="135"/>
      <c r="H509" s="135"/>
      <c r="I509" s="135"/>
    </row>
    <row r="510" spans="2:9" x14ac:dyDescent="0.35">
      <c r="B510" s="135"/>
      <c r="C510" s="135"/>
      <c r="D510" s="135"/>
      <c r="F510" s="73"/>
      <c r="G510" s="135"/>
      <c r="H510" s="135"/>
      <c r="I510" s="135"/>
    </row>
    <row r="511" spans="2:9" x14ac:dyDescent="0.35">
      <c r="B511" s="135"/>
      <c r="C511" s="135"/>
      <c r="D511" s="135"/>
      <c r="F511" s="73"/>
      <c r="G511" s="135"/>
      <c r="H511" s="135"/>
      <c r="I511" s="135"/>
    </row>
    <row r="512" spans="2:9" x14ac:dyDescent="0.35">
      <c r="B512" s="135"/>
      <c r="C512" s="135"/>
      <c r="D512" s="135"/>
      <c r="F512" s="73"/>
      <c r="G512" s="135"/>
      <c r="H512" s="135"/>
      <c r="I512" s="135"/>
    </row>
    <row r="513" spans="2:9" x14ac:dyDescent="0.35">
      <c r="B513" s="135"/>
      <c r="C513" s="135"/>
      <c r="D513" s="135"/>
      <c r="F513" s="73"/>
      <c r="G513" s="135"/>
      <c r="H513" s="135"/>
      <c r="I513" s="135"/>
    </row>
    <row r="514" spans="2:9" x14ac:dyDescent="0.35">
      <c r="B514" s="135"/>
      <c r="C514" s="135"/>
      <c r="D514" s="135"/>
      <c r="F514" s="73"/>
      <c r="G514" s="135"/>
      <c r="H514" s="135"/>
      <c r="I514" s="135"/>
    </row>
    <row r="515" spans="2:9" x14ac:dyDescent="0.35">
      <c r="B515" s="135"/>
      <c r="C515" s="135"/>
      <c r="D515" s="135"/>
      <c r="F515" s="73"/>
      <c r="G515" s="135"/>
      <c r="H515" s="135"/>
      <c r="I515" s="135"/>
    </row>
    <row r="516" spans="2:9" x14ac:dyDescent="0.35">
      <c r="B516" s="135"/>
      <c r="C516" s="135"/>
      <c r="D516" s="135"/>
      <c r="F516" s="73"/>
      <c r="G516" s="135"/>
      <c r="H516" s="135"/>
      <c r="I516" s="135"/>
    </row>
    <row r="517" spans="2:9" x14ac:dyDescent="0.35">
      <c r="B517" s="135"/>
      <c r="C517" s="135"/>
      <c r="D517" s="135"/>
      <c r="F517" s="73"/>
      <c r="G517" s="135"/>
      <c r="H517" s="135"/>
      <c r="I517" s="135"/>
    </row>
    <row r="518" spans="2:9" x14ac:dyDescent="0.35">
      <c r="B518" s="135"/>
      <c r="C518" s="135"/>
      <c r="D518" s="135"/>
      <c r="F518" s="73"/>
      <c r="G518" s="135"/>
      <c r="H518" s="135"/>
      <c r="I518" s="135"/>
    </row>
    <row r="519" spans="2:9" x14ac:dyDescent="0.35">
      <c r="B519" s="135"/>
      <c r="C519" s="135"/>
      <c r="D519" s="135"/>
      <c r="F519" s="73"/>
      <c r="G519" s="135"/>
      <c r="H519" s="135"/>
      <c r="I519" s="135"/>
    </row>
    <row r="520" spans="2:9" x14ac:dyDescent="0.35">
      <c r="B520" s="135"/>
      <c r="C520" s="135"/>
      <c r="D520" s="135"/>
      <c r="F520" s="73"/>
      <c r="G520" s="135"/>
      <c r="H520" s="135"/>
      <c r="I520" s="135"/>
    </row>
    <row r="521" spans="2:9" x14ac:dyDescent="0.35">
      <c r="B521" s="135"/>
      <c r="C521" s="135"/>
      <c r="D521" s="135"/>
      <c r="F521" s="73"/>
      <c r="G521" s="135"/>
      <c r="H521" s="135"/>
      <c r="I521" s="135"/>
    </row>
    <row r="522" spans="2:9" x14ac:dyDescent="0.35">
      <c r="B522" s="135"/>
      <c r="C522" s="135"/>
      <c r="D522" s="135"/>
      <c r="F522" s="73"/>
      <c r="G522" s="135"/>
      <c r="H522" s="135"/>
      <c r="I522" s="135"/>
    </row>
    <row r="523" spans="2:9" x14ac:dyDescent="0.35">
      <c r="B523" s="135"/>
      <c r="C523" s="135"/>
      <c r="D523" s="135"/>
      <c r="F523" s="73"/>
      <c r="G523" s="135"/>
      <c r="H523" s="135"/>
      <c r="I523" s="135"/>
    </row>
    <row r="524" spans="2:9" x14ac:dyDescent="0.35">
      <c r="B524" s="135"/>
      <c r="C524" s="135"/>
      <c r="D524" s="135"/>
      <c r="F524" s="73"/>
      <c r="G524" s="135"/>
      <c r="H524" s="135"/>
      <c r="I524" s="135"/>
    </row>
    <row r="525" spans="2:9" x14ac:dyDescent="0.35">
      <c r="B525" s="135"/>
      <c r="C525" s="135"/>
      <c r="D525" s="135"/>
      <c r="F525" s="73"/>
      <c r="G525" s="135"/>
      <c r="H525" s="135"/>
      <c r="I525" s="135"/>
    </row>
    <row r="526" spans="2:9" x14ac:dyDescent="0.35">
      <c r="B526" s="135"/>
      <c r="C526" s="135"/>
      <c r="D526" s="135"/>
      <c r="F526" s="73"/>
      <c r="G526" s="135"/>
      <c r="H526" s="135"/>
      <c r="I526" s="135"/>
    </row>
    <row r="527" spans="2:9" x14ac:dyDescent="0.35">
      <c r="B527" s="135"/>
      <c r="C527" s="135"/>
      <c r="D527" s="135"/>
      <c r="F527" s="73"/>
      <c r="G527" s="135"/>
      <c r="H527" s="135"/>
      <c r="I527" s="135"/>
    </row>
    <row r="528" spans="2:9" x14ac:dyDescent="0.35">
      <c r="B528" s="135"/>
      <c r="C528" s="135"/>
      <c r="D528" s="135"/>
      <c r="F528" s="73"/>
      <c r="G528" s="135"/>
      <c r="H528" s="135"/>
      <c r="I528" s="135"/>
    </row>
    <row r="529" spans="2:9" x14ac:dyDescent="0.35">
      <c r="B529" s="135"/>
      <c r="C529" s="135"/>
      <c r="D529" s="135"/>
      <c r="F529" s="73"/>
      <c r="G529" s="135"/>
      <c r="H529" s="135"/>
      <c r="I529" s="135"/>
    </row>
    <row r="530" spans="2:9" x14ac:dyDescent="0.35">
      <c r="B530" s="135"/>
      <c r="C530" s="135"/>
      <c r="D530" s="135"/>
      <c r="F530" s="73"/>
      <c r="G530" s="135"/>
      <c r="H530" s="135"/>
      <c r="I530" s="135"/>
    </row>
    <row r="531" spans="2:9" x14ac:dyDescent="0.35">
      <c r="B531" s="135"/>
      <c r="C531" s="135"/>
      <c r="D531" s="135"/>
      <c r="F531" s="73"/>
      <c r="G531" s="135"/>
      <c r="H531" s="135"/>
      <c r="I531" s="135"/>
    </row>
    <row r="532" spans="2:9" x14ac:dyDescent="0.35">
      <c r="B532" s="135"/>
      <c r="C532" s="135"/>
      <c r="D532" s="135"/>
      <c r="F532" s="73"/>
      <c r="G532" s="135"/>
      <c r="H532" s="135"/>
      <c r="I532" s="135"/>
    </row>
    <row r="533" spans="2:9" x14ac:dyDescent="0.35">
      <c r="B533" s="135"/>
      <c r="C533" s="135"/>
      <c r="D533" s="135"/>
      <c r="F533" s="73"/>
      <c r="G533" s="135"/>
      <c r="H533" s="135"/>
      <c r="I533" s="135"/>
    </row>
    <row r="534" spans="2:9" x14ac:dyDescent="0.35">
      <c r="B534" s="135"/>
      <c r="C534" s="135"/>
      <c r="D534" s="135"/>
      <c r="F534" s="73"/>
      <c r="G534" s="135"/>
      <c r="H534" s="135"/>
      <c r="I534" s="135"/>
    </row>
    <row r="535" spans="2:9" x14ac:dyDescent="0.35">
      <c r="B535" s="135"/>
      <c r="C535" s="135"/>
      <c r="D535" s="135"/>
      <c r="F535" s="73"/>
      <c r="G535" s="135"/>
      <c r="H535" s="135"/>
      <c r="I535" s="135"/>
    </row>
    <row r="536" spans="2:9" x14ac:dyDescent="0.35">
      <c r="B536" s="135"/>
      <c r="C536" s="135"/>
      <c r="D536" s="135"/>
      <c r="F536" s="73"/>
      <c r="G536" s="135"/>
      <c r="H536" s="135"/>
      <c r="I536" s="135"/>
    </row>
    <row r="537" spans="2:9" x14ac:dyDescent="0.35">
      <c r="B537" s="135"/>
      <c r="C537" s="135"/>
      <c r="D537" s="135"/>
      <c r="F537" s="73"/>
      <c r="G537" s="135"/>
      <c r="H537" s="135"/>
      <c r="I537" s="135"/>
    </row>
    <row r="538" spans="2:9" x14ac:dyDescent="0.35">
      <c r="B538" s="135"/>
      <c r="C538" s="135"/>
      <c r="D538" s="135"/>
      <c r="F538" s="73"/>
      <c r="G538" s="135"/>
      <c r="H538" s="135"/>
      <c r="I538" s="135"/>
    </row>
    <row r="539" spans="2:9" x14ac:dyDescent="0.35">
      <c r="B539" s="135"/>
      <c r="C539" s="135"/>
      <c r="D539" s="135"/>
      <c r="F539" s="73"/>
      <c r="G539" s="135"/>
      <c r="H539" s="135"/>
      <c r="I539" s="135"/>
    </row>
    <row r="540" spans="2:9" x14ac:dyDescent="0.35">
      <c r="B540" s="135"/>
      <c r="C540" s="135"/>
      <c r="D540" s="135"/>
      <c r="F540" s="73"/>
      <c r="G540" s="135"/>
      <c r="H540" s="135"/>
      <c r="I540" s="135"/>
    </row>
    <row r="541" spans="2:9" x14ac:dyDescent="0.35">
      <c r="B541" s="135"/>
      <c r="C541" s="135"/>
      <c r="D541" s="135"/>
      <c r="F541" s="73"/>
      <c r="G541" s="135"/>
      <c r="H541" s="135"/>
      <c r="I541" s="135"/>
    </row>
    <row r="542" spans="2:9" x14ac:dyDescent="0.35">
      <c r="B542" s="135"/>
      <c r="C542" s="135"/>
      <c r="D542" s="135"/>
      <c r="F542" s="73"/>
      <c r="G542" s="135"/>
      <c r="H542" s="135"/>
      <c r="I542" s="135"/>
    </row>
    <row r="543" spans="2:9" x14ac:dyDescent="0.35">
      <c r="B543" s="135"/>
      <c r="C543" s="135"/>
      <c r="D543" s="135"/>
      <c r="F543" s="73"/>
      <c r="G543" s="135"/>
      <c r="H543" s="135"/>
      <c r="I543" s="135"/>
    </row>
    <row r="544" spans="2:9" x14ac:dyDescent="0.35">
      <c r="B544" s="135"/>
      <c r="C544" s="135"/>
      <c r="D544" s="135"/>
      <c r="F544" s="73"/>
      <c r="G544" s="135"/>
      <c r="H544" s="135"/>
      <c r="I544" s="135"/>
    </row>
    <row r="545" spans="2:9" x14ac:dyDescent="0.35">
      <c r="B545" s="135"/>
      <c r="C545" s="135"/>
      <c r="D545" s="135"/>
      <c r="F545" s="73"/>
      <c r="G545" s="135"/>
      <c r="H545" s="135"/>
      <c r="I545" s="135"/>
    </row>
    <row r="546" spans="2:9" x14ac:dyDescent="0.35">
      <c r="B546" s="135"/>
      <c r="C546" s="135"/>
      <c r="D546" s="135"/>
      <c r="F546" s="73"/>
      <c r="G546" s="135"/>
      <c r="H546" s="135"/>
      <c r="I546" s="135"/>
    </row>
    <row r="547" spans="2:9" x14ac:dyDescent="0.35">
      <c r="B547" s="135"/>
      <c r="C547" s="135"/>
      <c r="D547" s="135"/>
      <c r="F547" s="73"/>
      <c r="G547" s="135"/>
      <c r="H547" s="135"/>
      <c r="I547" s="135"/>
    </row>
    <row r="548" spans="2:9" x14ac:dyDescent="0.35">
      <c r="B548" s="135"/>
      <c r="C548" s="135"/>
      <c r="D548" s="135"/>
      <c r="F548" s="73"/>
      <c r="G548" s="135"/>
      <c r="H548" s="135"/>
      <c r="I548" s="135"/>
    </row>
    <row r="549" spans="2:9" x14ac:dyDescent="0.35">
      <c r="B549" s="135"/>
      <c r="C549" s="135"/>
      <c r="D549" s="135"/>
      <c r="F549" s="73"/>
      <c r="G549" s="135"/>
      <c r="H549" s="135"/>
      <c r="I549" s="135"/>
    </row>
    <row r="550" spans="2:9" x14ac:dyDescent="0.35">
      <c r="B550" s="135"/>
      <c r="C550" s="135"/>
      <c r="D550" s="135"/>
      <c r="F550" s="73"/>
      <c r="G550" s="135"/>
      <c r="H550" s="135"/>
      <c r="I550" s="135"/>
    </row>
    <row r="551" spans="2:9" x14ac:dyDescent="0.35">
      <c r="B551" s="135"/>
      <c r="C551" s="135"/>
      <c r="D551" s="135"/>
      <c r="F551" s="73"/>
      <c r="G551" s="135"/>
      <c r="H551" s="135"/>
      <c r="I551" s="135"/>
    </row>
    <row r="552" spans="2:9" x14ac:dyDescent="0.35">
      <c r="B552" s="135"/>
      <c r="C552" s="135"/>
      <c r="D552" s="135"/>
      <c r="F552" s="73"/>
      <c r="G552" s="135"/>
      <c r="H552" s="135"/>
      <c r="I552" s="135"/>
    </row>
    <row r="553" spans="2:9" x14ac:dyDescent="0.35">
      <c r="B553" s="135"/>
      <c r="C553" s="135"/>
      <c r="D553" s="135"/>
      <c r="F553" s="73"/>
      <c r="G553" s="135"/>
      <c r="H553" s="135"/>
      <c r="I553" s="135"/>
    </row>
    <row r="554" spans="2:9" x14ac:dyDescent="0.35">
      <c r="B554" s="135"/>
      <c r="C554" s="135"/>
      <c r="D554" s="135"/>
      <c r="F554" s="73"/>
      <c r="G554" s="135"/>
      <c r="H554" s="135"/>
      <c r="I554" s="135"/>
    </row>
    <row r="555" spans="2:9" x14ac:dyDescent="0.35">
      <c r="B555" s="135"/>
      <c r="C555" s="135"/>
      <c r="D555" s="135"/>
      <c r="F555" s="73"/>
      <c r="G555" s="135"/>
      <c r="H555" s="135"/>
      <c r="I555" s="135"/>
    </row>
    <row r="556" spans="2:9" x14ac:dyDescent="0.35">
      <c r="B556" s="135"/>
      <c r="C556" s="135"/>
      <c r="D556" s="135"/>
      <c r="F556" s="73"/>
      <c r="G556" s="135"/>
      <c r="H556" s="135"/>
      <c r="I556" s="135"/>
    </row>
    <row r="557" spans="2:9" x14ac:dyDescent="0.35">
      <c r="B557" s="135"/>
      <c r="C557" s="135"/>
      <c r="D557" s="135"/>
      <c r="F557" s="73"/>
      <c r="G557" s="135"/>
      <c r="H557" s="135"/>
      <c r="I557" s="135"/>
    </row>
    <row r="558" spans="2:9" x14ac:dyDescent="0.35">
      <c r="B558" s="135"/>
      <c r="C558" s="135"/>
      <c r="D558" s="135"/>
      <c r="F558" s="73"/>
      <c r="G558" s="135"/>
      <c r="H558" s="135"/>
      <c r="I558" s="135"/>
    </row>
    <row r="559" spans="2:9" x14ac:dyDescent="0.35">
      <c r="B559" s="135"/>
      <c r="C559" s="135"/>
      <c r="D559" s="135"/>
      <c r="F559" s="73"/>
      <c r="G559" s="135"/>
      <c r="H559" s="135"/>
      <c r="I559" s="135"/>
    </row>
    <row r="560" spans="2:9" x14ac:dyDescent="0.35">
      <c r="B560" s="135"/>
      <c r="C560" s="135"/>
      <c r="D560" s="135"/>
      <c r="F560" s="73"/>
      <c r="G560" s="135"/>
      <c r="H560" s="135"/>
      <c r="I560" s="135"/>
    </row>
    <row r="561" spans="2:9" x14ac:dyDescent="0.35">
      <c r="B561" s="135"/>
      <c r="C561" s="135"/>
      <c r="D561" s="135"/>
      <c r="F561" s="73"/>
      <c r="G561" s="135"/>
      <c r="H561" s="135"/>
      <c r="I561" s="135"/>
    </row>
    <row r="562" spans="2:9" x14ac:dyDescent="0.35">
      <c r="B562" s="135"/>
      <c r="C562" s="135"/>
      <c r="D562" s="135"/>
      <c r="F562" s="73"/>
      <c r="G562" s="135"/>
      <c r="H562" s="135"/>
      <c r="I562" s="135"/>
    </row>
    <row r="563" spans="2:9" x14ac:dyDescent="0.35">
      <c r="B563" s="135"/>
      <c r="C563" s="135"/>
      <c r="D563" s="135"/>
      <c r="F563" s="73"/>
      <c r="G563" s="135"/>
      <c r="H563" s="135"/>
      <c r="I563" s="135"/>
    </row>
    <row r="564" spans="2:9" x14ac:dyDescent="0.35">
      <c r="B564" s="135"/>
      <c r="C564" s="135"/>
      <c r="D564" s="135"/>
      <c r="F564" s="73"/>
      <c r="G564" s="135"/>
      <c r="H564" s="135"/>
      <c r="I564" s="135"/>
    </row>
    <row r="565" spans="2:9" x14ac:dyDescent="0.35">
      <c r="B565" s="135"/>
      <c r="C565" s="135"/>
      <c r="D565" s="135"/>
      <c r="F565" s="73"/>
      <c r="G565" s="135"/>
      <c r="H565" s="135"/>
      <c r="I565" s="135"/>
    </row>
    <row r="566" spans="2:9" x14ac:dyDescent="0.35">
      <c r="B566" s="135"/>
      <c r="C566" s="135"/>
      <c r="D566" s="135"/>
      <c r="F566" s="73"/>
      <c r="G566" s="135"/>
      <c r="H566" s="135"/>
      <c r="I566" s="135"/>
    </row>
    <row r="567" spans="2:9" x14ac:dyDescent="0.35">
      <c r="B567" s="135"/>
      <c r="C567" s="135"/>
      <c r="D567" s="135"/>
      <c r="F567" s="73"/>
      <c r="G567" s="135"/>
      <c r="H567" s="135"/>
      <c r="I567" s="135"/>
    </row>
    <row r="568" spans="2:9" x14ac:dyDescent="0.35">
      <c r="B568" s="135"/>
      <c r="C568" s="135"/>
      <c r="D568" s="135"/>
      <c r="F568" s="73"/>
      <c r="G568" s="135"/>
      <c r="H568" s="135"/>
      <c r="I568" s="135"/>
    </row>
    <row r="569" spans="2:9" x14ac:dyDescent="0.35">
      <c r="B569" s="135"/>
      <c r="C569" s="135"/>
      <c r="D569" s="135"/>
      <c r="F569" s="73"/>
      <c r="G569" s="135"/>
      <c r="H569" s="135"/>
      <c r="I569" s="135"/>
    </row>
    <row r="570" spans="2:9" x14ac:dyDescent="0.35">
      <c r="B570" s="135"/>
      <c r="C570" s="135"/>
      <c r="D570" s="135"/>
      <c r="F570" s="73"/>
      <c r="G570" s="135"/>
      <c r="H570" s="135"/>
      <c r="I570" s="135"/>
    </row>
    <row r="571" spans="2:9" x14ac:dyDescent="0.35">
      <c r="B571" s="135"/>
      <c r="C571" s="135"/>
      <c r="D571" s="135"/>
      <c r="F571" s="73"/>
      <c r="G571" s="135"/>
      <c r="H571" s="135"/>
      <c r="I571" s="135"/>
    </row>
    <row r="572" spans="2:9" x14ac:dyDescent="0.35">
      <c r="B572" s="135"/>
      <c r="C572" s="135"/>
      <c r="D572" s="135"/>
      <c r="F572" s="73"/>
      <c r="G572" s="135"/>
      <c r="H572" s="135"/>
      <c r="I572" s="135"/>
    </row>
    <row r="573" spans="2:9" x14ac:dyDescent="0.35">
      <c r="B573" s="135"/>
      <c r="C573" s="135"/>
      <c r="D573" s="135"/>
      <c r="F573" s="73"/>
      <c r="G573" s="135"/>
      <c r="H573" s="135"/>
      <c r="I573" s="135"/>
    </row>
    <row r="574" spans="2:9" x14ac:dyDescent="0.35">
      <c r="B574" s="135"/>
      <c r="C574" s="135"/>
      <c r="D574" s="135"/>
      <c r="F574" s="73"/>
      <c r="G574" s="135"/>
      <c r="H574" s="135"/>
      <c r="I574" s="135"/>
    </row>
    <row r="575" spans="2:9" x14ac:dyDescent="0.35">
      <c r="B575" s="135"/>
      <c r="C575" s="135"/>
      <c r="D575" s="135"/>
      <c r="F575" s="73"/>
      <c r="G575" s="135"/>
      <c r="H575" s="135"/>
      <c r="I575" s="135"/>
    </row>
    <row r="576" spans="2:9" x14ac:dyDescent="0.35">
      <c r="B576" s="135"/>
      <c r="C576" s="135"/>
      <c r="D576" s="135"/>
      <c r="F576" s="73"/>
      <c r="G576" s="135"/>
      <c r="H576" s="135"/>
      <c r="I576" s="135"/>
    </row>
    <row r="577" spans="2:9" x14ac:dyDescent="0.35">
      <c r="B577" s="135"/>
      <c r="C577" s="135"/>
      <c r="D577" s="135"/>
      <c r="F577" s="73"/>
      <c r="G577" s="135"/>
      <c r="H577" s="135"/>
      <c r="I577" s="135"/>
    </row>
    <row r="578" spans="2:9" x14ac:dyDescent="0.35">
      <c r="B578" s="135"/>
      <c r="C578" s="135"/>
      <c r="D578" s="135"/>
      <c r="F578" s="73"/>
      <c r="G578" s="135"/>
      <c r="H578" s="135"/>
      <c r="I578" s="135"/>
    </row>
    <row r="579" spans="2:9" x14ac:dyDescent="0.35">
      <c r="B579" s="135"/>
      <c r="C579" s="135"/>
      <c r="D579" s="135"/>
      <c r="F579" s="73"/>
      <c r="G579" s="135"/>
      <c r="H579" s="135"/>
      <c r="I579" s="135"/>
    </row>
    <row r="580" spans="2:9" x14ac:dyDescent="0.35">
      <c r="B580" s="135"/>
      <c r="C580" s="135"/>
      <c r="D580" s="135"/>
      <c r="F580" s="73"/>
      <c r="G580" s="135"/>
      <c r="H580" s="135"/>
      <c r="I580" s="135"/>
    </row>
    <row r="581" spans="2:9" x14ac:dyDescent="0.35">
      <c r="B581" s="135"/>
      <c r="C581" s="135"/>
      <c r="D581" s="135"/>
      <c r="F581" s="73"/>
      <c r="G581" s="135"/>
      <c r="H581" s="135"/>
      <c r="I581" s="135"/>
    </row>
    <row r="582" spans="2:9" x14ac:dyDescent="0.35">
      <c r="B582" s="135"/>
      <c r="C582" s="135"/>
      <c r="D582" s="135"/>
      <c r="F582" s="73"/>
      <c r="G582" s="135"/>
      <c r="H582" s="135"/>
      <c r="I582" s="135"/>
    </row>
    <row r="583" spans="2:9" x14ac:dyDescent="0.35">
      <c r="B583" s="135"/>
      <c r="C583" s="135"/>
      <c r="D583" s="135"/>
      <c r="F583" s="73"/>
      <c r="G583" s="135"/>
      <c r="H583" s="135"/>
      <c r="I583" s="135"/>
    </row>
    <row r="584" spans="2:9" x14ac:dyDescent="0.35">
      <c r="B584" s="135"/>
      <c r="C584" s="135"/>
      <c r="D584" s="135"/>
      <c r="F584" s="73"/>
      <c r="G584" s="135"/>
      <c r="H584" s="135"/>
      <c r="I584" s="135"/>
    </row>
    <row r="585" spans="2:9" x14ac:dyDescent="0.35">
      <c r="B585" s="135"/>
      <c r="C585" s="135"/>
      <c r="D585" s="135"/>
      <c r="F585" s="73"/>
      <c r="G585" s="135"/>
      <c r="H585" s="135"/>
      <c r="I585" s="135"/>
    </row>
    <row r="586" spans="2:9" x14ac:dyDescent="0.35">
      <c r="B586" s="135"/>
      <c r="C586" s="135"/>
      <c r="D586" s="135"/>
      <c r="F586" s="73"/>
      <c r="G586" s="135"/>
      <c r="H586" s="135"/>
      <c r="I586" s="135"/>
    </row>
    <row r="587" spans="2:9" x14ac:dyDescent="0.35">
      <c r="B587" s="135"/>
      <c r="C587" s="135"/>
      <c r="D587" s="135"/>
      <c r="F587" s="73"/>
      <c r="G587" s="135"/>
      <c r="H587" s="135"/>
      <c r="I587" s="135"/>
    </row>
    <row r="588" spans="2:9" x14ac:dyDescent="0.35">
      <c r="B588" s="135"/>
      <c r="C588" s="135"/>
      <c r="D588" s="135"/>
      <c r="F588" s="73"/>
      <c r="G588" s="135"/>
      <c r="H588" s="135"/>
      <c r="I588" s="135"/>
    </row>
    <row r="589" spans="2:9" x14ac:dyDescent="0.35">
      <c r="B589" s="135"/>
      <c r="C589" s="135"/>
      <c r="D589" s="135"/>
      <c r="F589" s="73"/>
      <c r="G589" s="135"/>
      <c r="H589" s="135"/>
      <c r="I589" s="135"/>
    </row>
    <row r="590" spans="2:9" x14ac:dyDescent="0.35">
      <c r="B590" s="135"/>
      <c r="C590" s="135"/>
      <c r="D590" s="135"/>
      <c r="F590" s="73"/>
      <c r="G590" s="135"/>
      <c r="H590" s="135"/>
      <c r="I590" s="135"/>
    </row>
    <row r="591" spans="2:9" x14ac:dyDescent="0.35">
      <c r="B591" s="135"/>
      <c r="C591" s="135"/>
      <c r="D591" s="135"/>
      <c r="F591" s="73"/>
      <c r="G591" s="135"/>
      <c r="H591" s="135"/>
      <c r="I591" s="135"/>
    </row>
    <row r="592" spans="2:9" x14ac:dyDescent="0.35">
      <c r="B592" s="135"/>
      <c r="C592" s="135"/>
      <c r="D592" s="135"/>
      <c r="F592" s="73"/>
      <c r="G592" s="135"/>
      <c r="H592" s="135"/>
      <c r="I592" s="135"/>
    </row>
    <row r="593" spans="2:9" x14ac:dyDescent="0.35">
      <c r="B593" s="135"/>
      <c r="C593" s="135"/>
      <c r="D593" s="135"/>
      <c r="F593" s="73"/>
      <c r="G593" s="135"/>
      <c r="H593" s="135"/>
      <c r="I593" s="135"/>
    </row>
    <row r="594" spans="2:9" x14ac:dyDescent="0.35">
      <c r="B594" s="135"/>
      <c r="C594" s="135"/>
      <c r="D594" s="135"/>
      <c r="F594" s="73"/>
      <c r="G594" s="135"/>
      <c r="H594" s="135"/>
      <c r="I594" s="135"/>
    </row>
    <row r="595" spans="2:9" x14ac:dyDescent="0.35">
      <c r="B595" s="135"/>
      <c r="C595" s="135"/>
      <c r="D595" s="135"/>
      <c r="F595" s="73"/>
      <c r="G595" s="135"/>
      <c r="H595" s="135"/>
      <c r="I595" s="135"/>
    </row>
    <row r="596" spans="2:9" x14ac:dyDescent="0.35">
      <c r="B596" s="135"/>
      <c r="C596" s="135"/>
      <c r="D596" s="135"/>
      <c r="F596" s="73"/>
      <c r="G596" s="135"/>
      <c r="H596" s="135"/>
      <c r="I596" s="135"/>
    </row>
    <row r="597" spans="2:9" x14ac:dyDescent="0.35">
      <c r="B597" s="135"/>
      <c r="C597" s="135"/>
      <c r="D597" s="135"/>
      <c r="F597" s="73"/>
      <c r="G597" s="135"/>
      <c r="H597" s="135"/>
      <c r="I597" s="135"/>
    </row>
    <row r="598" spans="2:9" x14ac:dyDescent="0.35">
      <c r="B598" s="135"/>
      <c r="C598" s="135"/>
      <c r="D598" s="135"/>
      <c r="F598" s="73"/>
      <c r="G598" s="135"/>
      <c r="H598" s="135"/>
      <c r="I598" s="135"/>
    </row>
    <row r="599" spans="2:9" x14ac:dyDescent="0.35">
      <c r="B599" s="135"/>
      <c r="C599" s="135"/>
      <c r="D599" s="135"/>
      <c r="F599" s="73"/>
      <c r="G599" s="135"/>
      <c r="H599" s="135"/>
      <c r="I599" s="135"/>
    </row>
    <row r="600" spans="2:9" x14ac:dyDescent="0.35">
      <c r="B600" s="135"/>
      <c r="C600" s="135"/>
      <c r="D600" s="135"/>
      <c r="F600" s="73"/>
      <c r="G600" s="135"/>
      <c r="H600" s="135"/>
      <c r="I600" s="135"/>
    </row>
    <row r="601" spans="2:9" x14ac:dyDescent="0.35">
      <c r="B601" s="135"/>
      <c r="C601" s="135"/>
      <c r="D601" s="135"/>
      <c r="F601" s="73"/>
      <c r="G601" s="135"/>
      <c r="H601" s="135"/>
      <c r="I601" s="135"/>
    </row>
    <row r="602" spans="2:9" x14ac:dyDescent="0.35">
      <c r="B602" s="135"/>
      <c r="C602" s="135"/>
      <c r="D602" s="135"/>
      <c r="F602" s="73"/>
      <c r="G602" s="135"/>
      <c r="H602" s="135"/>
      <c r="I602" s="135"/>
    </row>
    <row r="603" spans="2:9" x14ac:dyDescent="0.35">
      <c r="B603" s="135"/>
      <c r="C603" s="135"/>
      <c r="D603" s="135"/>
      <c r="F603" s="73"/>
      <c r="G603" s="135"/>
      <c r="H603" s="135"/>
      <c r="I603" s="135"/>
    </row>
    <row r="604" spans="2:9" x14ac:dyDescent="0.35">
      <c r="B604" s="135"/>
      <c r="C604" s="135"/>
      <c r="D604" s="135"/>
      <c r="F604" s="73"/>
      <c r="G604" s="135"/>
      <c r="H604" s="135"/>
      <c r="I604" s="135"/>
    </row>
    <row r="605" spans="2:9" x14ac:dyDescent="0.35">
      <c r="B605" s="135"/>
      <c r="C605" s="135"/>
      <c r="D605" s="135"/>
      <c r="F605" s="73"/>
      <c r="G605" s="135"/>
      <c r="H605" s="135"/>
      <c r="I605" s="135"/>
    </row>
    <row r="606" spans="2:9" x14ac:dyDescent="0.35">
      <c r="B606" s="135"/>
      <c r="C606" s="135"/>
      <c r="D606" s="135"/>
      <c r="F606" s="73"/>
      <c r="G606" s="135"/>
      <c r="H606" s="135"/>
      <c r="I606" s="135"/>
    </row>
    <row r="607" spans="2:9" x14ac:dyDescent="0.35">
      <c r="B607" s="135"/>
      <c r="C607" s="135"/>
      <c r="D607" s="135"/>
      <c r="F607" s="73"/>
      <c r="G607" s="135"/>
      <c r="H607" s="135"/>
      <c r="I607" s="135"/>
    </row>
    <row r="608" spans="2:9" x14ac:dyDescent="0.35">
      <c r="B608" s="135"/>
      <c r="C608" s="135"/>
      <c r="D608" s="135"/>
      <c r="F608" s="73"/>
      <c r="G608" s="135"/>
      <c r="H608" s="135"/>
      <c r="I608" s="135"/>
    </row>
    <row r="609" spans="2:9" x14ac:dyDescent="0.35">
      <c r="B609" s="135"/>
      <c r="C609" s="135"/>
      <c r="D609" s="135"/>
      <c r="F609" s="73"/>
      <c r="G609" s="135"/>
      <c r="H609" s="135"/>
      <c r="I609" s="135"/>
    </row>
    <row r="610" spans="2:9" x14ac:dyDescent="0.35">
      <c r="B610" s="135"/>
      <c r="C610" s="135"/>
      <c r="D610" s="135"/>
      <c r="F610" s="73"/>
      <c r="G610" s="135"/>
      <c r="H610" s="135"/>
      <c r="I610" s="135"/>
    </row>
    <row r="611" spans="2:9" x14ac:dyDescent="0.35">
      <c r="B611" s="135"/>
      <c r="C611" s="135"/>
      <c r="D611" s="135"/>
      <c r="F611" s="73"/>
      <c r="G611" s="135"/>
      <c r="H611" s="135"/>
      <c r="I611" s="135"/>
    </row>
    <row r="612" spans="2:9" x14ac:dyDescent="0.35">
      <c r="B612" s="135"/>
      <c r="C612" s="135"/>
      <c r="D612" s="135"/>
      <c r="F612" s="73"/>
      <c r="G612" s="135"/>
      <c r="H612" s="135"/>
      <c r="I612" s="135"/>
    </row>
    <row r="613" spans="2:9" x14ac:dyDescent="0.35">
      <c r="B613" s="135"/>
      <c r="C613" s="135"/>
      <c r="D613" s="135"/>
      <c r="F613" s="73"/>
      <c r="G613" s="135"/>
      <c r="H613" s="135"/>
      <c r="I613" s="135"/>
    </row>
    <row r="614" spans="2:9" x14ac:dyDescent="0.35">
      <c r="B614" s="135"/>
      <c r="C614" s="135"/>
      <c r="D614" s="135"/>
      <c r="F614" s="73"/>
      <c r="G614" s="135"/>
      <c r="H614" s="135"/>
      <c r="I614" s="135"/>
    </row>
    <row r="615" spans="2:9" x14ac:dyDescent="0.35">
      <c r="B615" s="135"/>
      <c r="C615" s="135"/>
      <c r="D615" s="135"/>
      <c r="F615" s="73"/>
      <c r="G615" s="135"/>
      <c r="H615" s="135"/>
      <c r="I615" s="135"/>
    </row>
    <row r="616" spans="2:9" x14ac:dyDescent="0.35">
      <c r="B616" s="135"/>
      <c r="C616" s="135"/>
      <c r="D616" s="135"/>
      <c r="F616" s="73"/>
      <c r="G616" s="135"/>
      <c r="H616" s="135"/>
      <c r="I616" s="135"/>
    </row>
    <row r="617" spans="2:9" x14ac:dyDescent="0.35">
      <c r="B617" s="135"/>
      <c r="C617" s="135"/>
      <c r="D617" s="135"/>
      <c r="F617" s="73"/>
      <c r="G617" s="135"/>
      <c r="H617" s="135"/>
      <c r="I617" s="135"/>
    </row>
    <row r="618" spans="2:9" x14ac:dyDescent="0.35">
      <c r="B618" s="135"/>
      <c r="C618" s="135"/>
      <c r="D618" s="135"/>
      <c r="F618" s="73"/>
      <c r="G618" s="135"/>
      <c r="H618" s="135"/>
      <c r="I618" s="135"/>
    </row>
    <row r="619" spans="2:9" x14ac:dyDescent="0.35">
      <c r="B619" s="135"/>
      <c r="C619" s="135"/>
      <c r="D619" s="135"/>
      <c r="F619" s="73"/>
      <c r="G619" s="135"/>
      <c r="H619" s="135"/>
      <c r="I619" s="135"/>
    </row>
    <row r="620" spans="2:9" x14ac:dyDescent="0.35">
      <c r="B620" s="135"/>
      <c r="C620" s="135"/>
      <c r="D620" s="135"/>
      <c r="F620" s="73"/>
      <c r="G620" s="135"/>
      <c r="H620" s="135"/>
      <c r="I620" s="135"/>
    </row>
    <row r="621" spans="2:9" x14ac:dyDescent="0.35">
      <c r="B621" s="135"/>
      <c r="C621" s="135"/>
      <c r="D621" s="135"/>
      <c r="F621" s="73"/>
      <c r="G621" s="135"/>
      <c r="H621" s="135"/>
      <c r="I621" s="135"/>
    </row>
    <row r="622" spans="2:9" x14ac:dyDescent="0.35">
      <c r="B622" s="135"/>
      <c r="C622" s="135"/>
      <c r="D622" s="135"/>
      <c r="F622" s="73"/>
      <c r="G622" s="135"/>
      <c r="H622" s="135"/>
      <c r="I622" s="135"/>
    </row>
    <row r="623" spans="2:9" x14ac:dyDescent="0.35">
      <c r="B623" s="135"/>
      <c r="C623" s="135"/>
      <c r="D623" s="135"/>
      <c r="F623" s="73"/>
      <c r="G623" s="135"/>
      <c r="H623" s="135"/>
      <c r="I623" s="135"/>
    </row>
    <row r="624" spans="2:9" x14ac:dyDescent="0.35">
      <c r="B624" s="135"/>
      <c r="C624" s="135"/>
      <c r="D624" s="135"/>
      <c r="F624" s="73"/>
      <c r="G624" s="135"/>
      <c r="H624" s="135"/>
      <c r="I624" s="135"/>
    </row>
    <row r="625" spans="2:9" x14ac:dyDescent="0.35">
      <c r="B625" s="135"/>
      <c r="C625" s="135"/>
      <c r="D625" s="135"/>
      <c r="F625" s="73"/>
      <c r="G625" s="135"/>
      <c r="H625" s="135"/>
      <c r="I625" s="135"/>
    </row>
    <row r="626" spans="2:9" x14ac:dyDescent="0.35">
      <c r="B626" s="135"/>
      <c r="C626" s="135"/>
      <c r="D626" s="135"/>
      <c r="F626" s="73"/>
      <c r="G626" s="135"/>
      <c r="H626" s="135"/>
      <c r="I626" s="135"/>
    </row>
    <row r="627" spans="2:9" x14ac:dyDescent="0.35">
      <c r="B627" s="135"/>
      <c r="C627" s="135"/>
      <c r="D627" s="135"/>
      <c r="F627" s="73"/>
      <c r="G627" s="135"/>
      <c r="H627" s="135"/>
      <c r="I627" s="135"/>
    </row>
    <row r="628" spans="2:9" x14ac:dyDescent="0.35">
      <c r="B628" s="135"/>
      <c r="C628" s="135"/>
      <c r="D628" s="135"/>
      <c r="F628" s="73"/>
      <c r="G628" s="135"/>
      <c r="H628" s="135"/>
      <c r="I628" s="135"/>
    </row>
    <row r="629" spans="2:9" x14ac:dyDescent="0.35">
      <c r="B629" s="135"/>
      <c r="C629" s="135"/>
      <c r="D629" s="135"/>
      <c r="F629" s="73"/>
      <c r="G629" s="135"/>
      <c r="H629" s="135"/>
      <c r="I629" s="135"/>
    </row>
    <row r="630" spans="2:9" x14ac:dyDescent="0.35">
      <c r="B630" s="135"/>
      <c r="C630" s="135"/>
      <c r="D630" s="135"/>
      <c r="F630" s="73"/>
      <c r="G630" s="135"/>
      <c r="H630" s="135"/>
      <c r="I630" s="135"/>
    </row>
    <row r="631" spans="2:9" x14ac:dyDescent="0.35">
      <c r="B631" s="135"/>
      <c r="C631" s="135"/>
      <c r="D631" s="135"/>
      <c r="F631" s="73"/>
      <c r="G631" s="135"/>
      <c r="H631" s="135"/>
      <c r="I631" s="135"/>
    </row>
    <row r="632" spans="2:9" x14ac:dyDescent="0.35">
      <c r="B632" s="135"/>
      <c r="C632" s="135"/>
      <c r="D632" s="135"/>
      <c r="F632" s="73"/>
      <c r="G632" s="135"/>
      <c r="H632" s="135"/>
      <c r="I632" s="135"/>
    </row>
    <row r="633" spans="2:9" x14ac:dyDescent="0.35">
      <c r="B633" s="135"/>
      <c r="C633" s="135"/>
      <c r="D633" s="135"/>
      <c r="F633" s="73"/>
      <c r="G633" s="135"/>
      <c r="H633" s="135"/>
      <c r="I633" s="135"/>
    </row>
    <row r="634" spans="2:9" x14ac:dyDescent="0.35">
      <c r="B634" s="135"/>
      <c r="C634" s="135"/>
      <c r="D634" s="135"/>
      <c r="F634" s="73"/>
      <c r="G634" s="135"/>
      <c r="H634" s="135"/>
      <c r="I634" s="135"/>
    </row>
    <row r="635" spans="2:9" x14ac:dyDescent="0.35">
      <c r="B635" s="135"/>
      <c r="C635" s="135"/>
      <c r="D635" s="135"/>
      <c r="F635" s="73"/>
      <c r="G635" s="135"/>
      <c r="H635" s="135"/>
      <c r="I635" s="135"/>
    </row>
    <row r="636" spans="2:9" x14ac:dyDescent="0.35">
      <c r="B636" s="135"/>
      <c r="C636" s="135"/>
      <c r="D636" s="135"/>
      <c r="F636" s="73"/>
      <c r="G636" s="135"/>
      <c r="H636" s="135"/>
      <c r="I636" s="135"/>
    </row>
    <row r="637" spans="2:9" x14ac:dyDescent="0.35">
      <c r="B637" s="135"/>
      <c r="C637" s="135"/>
      <c r="D637" s="135"/>
      <c r="F637" s="73"/>
      <c r="G637" s="135"/>
      <c r="H637" s="135"/>
      <c r="I637" s="135"/>
    </row>
    <row r="638" spans="2:9" x14ac:dyDescent="0.35">
      <c r="B638" s="135"/>
      <c r="C638" s="135"/>
      <c r="D638" s="135"/>
      <c r="F638" s="73"/>
      <c r="G638" s="135"/>
      <c r="H638" s="135"/>
      <c r="I638" s="135"/>
    </row>
    <row r="639" spans="2:9" x14ac:dyDescent="0.35">
      <c r="B639" s="135"/>
      <c r="C639" s="135"/>
      <c r="D639" s="135"/>
      <c r="F639" s="73"/>
      <c r="G639" s="135"/>
      <c r="H639" s="135"/>
      <c r="I639" s="135"/>
    </row>
    <row r="640" spans="2:9" x14ac:dyDescent="0.35">
      <c r="B640" s="135"/>
      <c r="C640" s="135"/>
      <c r="D640" s="135"/>
      <c r="F640" s="73"/>
      <c r="G640" s="135"/>
      <c r="H640" s="135"/>
      <c r="I640" s="135"/>
    </row>
    <row r="641" spans="2:9" x14ac:dyDescent="0.35">
      <c r="B641" s="135"/>
      <c r="C641" s="135"/>
      <c r="D641" s="135"/>
      <c r="F641" s="73"/>
      <c r="G641" s="135"/>
      <c r="H641" s="135"/>
      <c r="I641" s="135"/>
    </row>
    <row r="642" spans="2:9" x14ac:dyDescent="0.35">
      <c r="B642" s="135"/>
      <c r="C642" s="135"/>
      <c r="D642" s="135"/>
      <c r="F642" s="73"/>
      <c r="G642" s="135"/>
      <c r="H642" s="135"/>
      <c r="I642" s="135"/>
    </row>
    <row r="643" spans="2:9" x14ac:dyDescent="0.35">
      <c r="B643" s="135"/>
      <c r="C643" s="135"/>
      <c r="D643" s="135"/>
      <c r="F643" s="73"/>
      <c r="G643" s="135"/>
      <c r="H643" s="135"/>
      <c r="I643" s="135"/>
    </row>
    <row r="644" spans="2:9" x14ac:dyDescent="0.35">
      <c r="B644" s="135"/>
      <c r="C644" s="135"/>
      <c r="D644" s="135"/>
      <c r="F644" s="73"/>
      <c r="G644" s="135"/>
      <c r="H644" s="135"/>
      <c r="I644" s="135"/>
    </row>
    <row r="645" spans="2:9" x14ac:dyDescent="0.35">
      <c r="B645" s="135"/>
      <c r="C645" s="135"/>
      <c r="D645" s="135"/>
      <c r="F645" s="73"/>
      <c r="G645" s="135"/>
      <c r="H645" s="135"/>
      <c r="I645" s="135"/>
    </row>
    <row r="646" spans="2:9" x14ac:dyDescent="0.35">
      <c r="B646" s="135"/>
      <c r="C646" s="135"/>
      <c r="D646" s="135"/>
      <c r="F646" s="73"/>
      <c r="G646" s="135"/>
      <c r="H646" s="135"/>
      <c r="I646" s="135"/>
    </row>
    <row r="647" spans="2:9" x14ac:dyDescent="0.35">
      <c r="B647" s="135"/>
      <c r="C647" s="135"/>
      <c r="D647" s="135"/>
      <c r="F647" s="73"/>
      <c r="G647" s="135"/>
      <c r="H647" s="135"/>
      <c r="I647" s="135"/>
    </row>
    <row r="648" spans="2:9" x14ac:dyDescent="0.35">
      <c r="B648" s="135"/>
      <c r="C648" s="135"/>
      <c r="D648" s="135"/>
      <c r="F648" s="73"/>
      <c r="G648" s="135"/>
      <c r="H648" s="135"/>
      <c r="I648" s="135"/>
    </row>
    <row r="649" spans="2:9" x14ac:dyDescent="0.35">
      <c r="B649" s="135"/>
      <c r="C649" s="135"/>
      <c r="D649" s="135"/>
      <c r="F649" s="73"/>
      <c r="G649" s="135"/>
      <c r="H649" s="135"/>
      <c r="I649" s="135"/>
    </row>
    <row r="650" spans="2:9" x14ac:dyDescent="0.35">
      <c r="B650" s="135"/>
      <c r="C650" s="135"/>
      <c r="D650" s="135"/>
      <c r="F650" s="73"/>
      <c r="G650" s="135"/>
      <c r="H650" s="135"/>
      <c r="I650" s="135"/>
    </row>
    <row r="651" spans="2:9" x14ac:dyDescent="0.35">
      <c r="B651" s="135"/>
      <c r="C651" s="135"/>
      <c r="D651" s="135"/>
      <c r="F651" s="73"/>
      <c r="G651" s="135"/>
      <c r="H651" s="135"/>
      <c r="I651" s="135"/>
    </row>
    <row r="652" spans="2:9" x14ac:dyDescent="0.35">
      <c r="B652" s="135"/>
      <c r="C652" s="135"/>
      <c r="D652" s="135"/>
      <c r="F652" s="73"/>
      <c r="G652" s="135"/>
      <c r="H652" s="135"/>
      <c r="I652" s="135"/>
    </row>
    <row r="653" spans="2:9" x14ac:dyDescent="0.35">
      <c r="B653" s="135"/>
      <c r="C653" s="135"/>
      <c r="D653" s="135"/>
      <c r="F653" s="73"/>
      <c r="G653" s="135"/>
      <c r="H653" s="135"/>
      <c r="I653" s="135"/>
    </row>
    <row r="654" spans="2:9" x14ac:dyDescent="0.35">
      <c r="B654" s="135"/>
      <c r="C654" s="135"/>
      <c r="D654" s="135"/>
      <c r="F654" s="73"/>
      <c r="G654" s="135"/>
      <c r="H654" s="135"/>
      <c r="I654" s="135"/>
    </row>
    <row r="655" spans="2:9" x14ac:dyDescent="0.35">
      <c r="B655" s="135"/>
      <c r="C655" s="135"/>
      <c r="D655" s="135"/>
      <c r="F655" s="73"/>
      <c r="G655" s="135"/>
      <c r="H655" s="135"/>
      <c r="I655" s="135"/>
    </row>
    <row r="656" spans="2:9" x14ac:dyDescent="0.35">
      <c r="B656" s="135"/>
      <c r="C656" s="135"/>
      <c r="D656" s="135"/>
      <c r="F656" s="73"/>
      <c r="G656" s="135"/>
      <c r="H656" s="135"/>
      <c r="I656" s="135"/>
    </row>
    <row r="657" spans="2:9" x14ac:dyDescent="0.35">
      <c r="B657" s="135"/>
      <c r="C657" s="135"/>
      <c r="D657" s="135"/>
      <c r="F657" s="73"/>
      <c r="G657" s="135"/>
      <c r="H657" s="135"/>
      <c r="I657" s="135"/>
    </row>
    <row r="658" spans="2:9" x14ac:dyDescent="0.35">
      <c r="B658" s="135"/>
      <c r="C658" s="135"/>
      <c r="D658" s="135"/>
      <c r="F658" s="73"/>
      <c r="G658" s="135"/>
      <c r="H658" s="135"/>
      <c r="I658" s="135"/>
    </row>
    <row r="659" spans="2:9" x14ac:dyDescent="0.35">
      <c r="B659" s="135"/>
      <c r="C659" s="135"/>
      <c r="D659" s="135"/>
      <c r="F659" s="73"/>
      <c r="G659" s="135"/>
      <c r="H659" s="135"/>
      <c r="I659" s="135"/>
    </row>
    <row r="660" spans="2:9" x14ac:dyDescent="0.35">
      <c r="B660" s="135"/>
      <c r="C660" s="135"/>
      <c r="D660" s="135"/>
      <c r="F660" s="73"/>
      <c r="G660" s="135"/>
      <c r="H660" s="135"/>
      <c r="I660" s="135"/>
    </row>
    <row r="661" spans="2:9" x14ac:dyDescent="0.35">
      <c r="B661" s="135"/>
      <c r="C661" s="135"/>
      <c r="D661" s="135"/>
      <c r="F661" s="73"/>
      <c r="G661" s="135"/>
      <c r="H661" s="135"/>
      <c r="I661" s="135"/>
    </row>
    <row r="662" spans="2:9" x14ac:dyDescent="0.35">
      <c r="B662" s="135"/>
      <c r="C662" s="135"/>
      <c r="D662" s="135"/>
      <c r="F662" s="73"/>
      <c r="G662" s="135"/>
      <c r="H662" s="135"/>
      <c r="I662" s="135"/>
    </row>
    <row r="663" spans="2:9" x14ac:dyDescent="0.35">
      <c r="B663" s="135"/>
      <c r="C663" s="135"/>
      <c r="D663" s="135"/>
      <c r="F663" s="73"/>
      <c r="G663" s="135"/>
      <c r="H663" s="135"/>
      <c r="I663" s="135"/>
    </row>
    <row r="664" spans="2:9" x14ac:dyDescent="0.35">
      <c r="B664" s="135"/>
      <c r="C664" s="135"/>
      <c r="D664" s="135"/>
      <c r="F664" s="73"/>
      <c r="G664" s="135"/>
      <c r="H664" s="135"/>
      <c r="I664" s="135"/>
    </row>
    <row r="665" spans="2:9" x14ac:dyDescent="0.35">
      <c r="B665" s="135"/>
      <c r="C665" s="135"/>
      <c r="D665" s="135"/>
      <c r="F665" s="73"/>
      <c r="G665" s="135"/>
      <c r="H665" s="135"/>
      <c r="I665" s="135"/>
    </row>
    <row r="666" spans="2:9" x14ac:dyDescent="0.35">
      <c r="B666" s="135"/>
      <c r="C666" s="135"/>
      <c r="D666" s="135"/>
      <c r="F666" s="73"/>
      <c r="G666" s="135"/>
      <c r="H666" s="135"/>
      <c r="I666" s="135"/>
    </row>
    <row r="667" spans="2:9" x14ac:dyDescent="0.35">
      <c r="B667" s="135"/>
      <c r="C667" s="135"/>
      <c r="D667" s="135"/>
      <c r="F667" s="73"/>
      <c r="G667" s="135"/>
      <c r="H667" s="135"/>
      <c r="I667" s="135"/>
    </row>
    <row r="668" spans="2:9" x14ac:dyDescent="0.35">
      <c r="B668" s="135"/>
      <c r="C668" s="135"/>
      <c r="D668" s="135"/>
      <c r="F668" s="73"/>
      <c r="G668" s="135"/>
      <c r="H668" s="135"/>
      <c r="I668" s="135"/>
    </row>
    <row r="669" spans="2:9" x14ac:dyDescent="0.35">
      <c r="B669" s="135"/>
      <c r="C669" s="135"/>
      <c r="D669" s="135"/>
      <c r="F669" s="73"/>
      <c r="G669" s="135"/>
      <c r="H669" s="135"/>
      <c r="I669" s="135"/>
    </row>
    <row r="670" spans="2:9" x14ac:dyDescent="0.35">
      <c r="B670" s="135"/>
      <c r="C670" s="135"/>
      <c r="D670" s="135"/>
      <c r="F670" s="73"/>
      <c r="G670" s="135"/>
      <c r="H670" s="135"/>
      <c r="I670" s="135"/>
    </row>
    <row r="671" spans="2:9" x14ac:dyDescent="0.35">
      <c r="B671" s="135"/>
      <c r="C671" s="135"/>
      <c r="D671" s="135"/>
      <c r="F671" s="73"/>
      <c r="G671" s="135"/>
      <c r="H671" s="135"/>
      <c r="I671" s="135"/>
    </row>
    <row r="672" spans="2:9" x14ac:dyDescent="0.35">
      <c r="B672" s="135"/>
      <c r="C672" s="135"/>
      <c r="D672" s="135"/>
      <c r="F672" s="73"/>
      <c r="G672" s="135"/>
      <c r="H672" s="135"/>
      <c r="I672" s="135"/>
    </row>
    <row r="673" spans="2:9" x14ac:dyDescent="0.35">
      <c r="B673" s="135"/>
      <c r="C673" s="135"/>
      <c r="D673" s="135"/>
      <c r="F673" s="73"/>
      <c r="G673" s="135"/>
      <c r="H673" s="135"/>
      <c r="I673" s="135"/>
    </row>
    <row r="674" spans="2:9" x14ac:dyDescent="0.35">
      <c r="B674" s="135"/>
      <c r="C674" s="135"/>
      <c r="D674" s="135"/>
      <c r="F674" s="73"/>
      <c r="G674" s="135"/>
      <c r="H674" s="135"/>
      <c r="I674" s="135"/>
    </row>
    <row r="675" spans="2:9" x14ac:dyDescent="0.35">
      <c r="B675" s="135"/>
      <c r="C675" s="135"/>
      <c r="D675" s="135"/>
      <c r="F675" s="73"/>
      <c r="G675" s="135"/>
      <c r="H675" s="135"/>
      <c r="I675" s="135"/>
    </row>
    <row r="676" spans="2:9" x14ac:dyDescent="0.35">
      <c r="B676" s="135"/>
      <c r="C676" s="135"/>
      <c r="D676" s="135"/>
      <c r="F676" s="73"/>
      <c r="G676" s="135"/>
      <c r="H676" s="135"/>
      <c r="I676" s="135"/>
    </row>
    <row r="677" spans="2:9" x14ac:dyDescent="0.35">
      <c r="B677" s="135"/>
      <c r="C677" s="135"/>
      <c r="D677" s="135"/>
      <c r="F677" s="73"/>
      <c r="G677" s="135"/>
      <c r="H677" s="135"/>
      <c r="I677" s="135"/>
    </row>
    <row r="678" spans="2:9" x14ac:dyDescent="0.35">
      <c r="B678" s="135"/>
      <c r="C678" s="135"/>
      <c r="D678" s="135"/>
      <c r="F678" s="73"/>
      <c r="G678" s="135"/>
      <c r="H678" s="135"/>
      <c r="I678" s="135"/>
    </row>
    <row r="679" spans="2:9" x14ac:dyDescent="0.35">
      <c r="B679" s="135"/>
      <c r="C679" s="135"/>
      <c r="D679" s="135"/>
      <c r="F679" s="73"/>
      <c r="G679" s="135"/>
      <c r="H679" s="135"/>
      <c r="I679" s="135"/>
    </row>
    <row r="680" spans="2:9" x14ac:dyDescent="0.35">
      <c r="B680" s="135"/>
      <c r="C680" s="135"/>
      <c r="D680" s="135"/>
      <c r="F680" s="73"/>
      <c r="G680" s="135"/>
      <c r="H680" s="135"/>
      <c r="I680" s="135"/>
    </row>
    <row r="681" spans="2:9" x14ac:dyDescent="0.35">
      <c r="B681" s="135"/>
      <c r="C681" s="135"/>
      <c r="D681" s="135"/>
      <c r="F681" s="73"/>
      <c r="G681" s="135"/>
      <c r="H681" s="135"/>
      <c r="I681" s="135"/>
    </row>
    <row r="682" spans="2:9" x14ac:dyDescent="0.35">
      <c r="B682" s="135"/>
      <c r="C682" s="135"/>
      <c r="D682" s="135"/>
      <c r="F682" s="73"/>
      <c r="G682" s="135"/>
      <c r="H682" s="135"/>
      <c r="I682" s="135"/>
    </row>
    <row r="683" spans="2:9" x14ac:dyDescent="0.35">
      <c r="B683" s="135"/>
      <c r="C683" s="135"/>
      <c r="D683" s="135"/>
      <c r="F683" s="73"/>
      <c r="G683" s="135"/>
      <c r="H683" s="135"/>
      <c r="I683" s="135"/>
    </row>
    <row r="684" spans="2:9" x14ac:dyDescent="0.35">
      <c r="B684" s="135"/>
      <c r="C684" s="135"/>
      <c r="D684" s="135"/>
      <c r="F684" s="73"/>
      <c r="G684" s="135"/>
      <c r="H684" s="135"/>
      <c r="I684" s="135"/>
    </row>
    <row r="685" spans="2:9" x14ac:dyDescent="0.35">
      <c r="B685" s="135"/>
      <c r="C685" s="135"/>
      <c r="D685" s="135"/>
      <c r="F685" s="73"/>
      <c r="G685" s="135"/>
      <c r="H685" s="135"/>
      <c r="I685" s="135"/>
    </row>
    <row r="686" spans="2:9" x14ac:dyDescent="0.35">
      <c r="B686" s="135"/>
      <c r="C686" s="135"/>
      <c r="D686" s="135"/>
      <c r="F686" s="73"/>
      <c r="G686" s="135"/>
      <c r="H686" s="135"/>
      <c r="I686" s="135"/>
    </row>
    <row r="687" spans="2:9" x14ac:dyDescent="0.35">
      <c r="B687" s="135"/>
      <c r="C687" s="135"/>
      <c r="D687" s="135"/>
      <c r="F687" s="73"/>
      <c r="G687" s="135"/>
      <c r="H687" s="135"/>
      <c r="I687" s="135"/>
    </row>
    <row r="688" spans="2:9" x14ac:dyDescent="0.35">
      <c r="B688" s="135"/>
      <c r="C688" s="135"/>
      <c r="D688" s="135"/>
      <c r="F688" s="73"/>
      <c r="G688" s="135"/>
      <c r="H688" s="135"/>
      <c r="I688" s="135"/>
    </row>
    <row r="689" spans="2:9" x14ac:dyDescent="0.35">
      <c r="B689" s="135"/>
      <c r="C689" s="135"/>
      <c r="D689" s="135"/>
      <c r="F689" s="73"/>
      <c r="G689" s="135"/>
      <c r="H689" s="135"/>
      <c r="I689" s="135"/>
    </row>
    <row r="690" spans="2:9" x14ac:dyDescent="0.35">
      <c r="B690" s="135"/>
      <c r="C690" s="135"/>
      <c r="D690" s="135"/>
      <c r="F690" s="73"/>
      <c r="G690" s="135"/>
      <c r="H690" s="135"/>
      <c r="I690" s="135"/>
    </row>
    <row r="691" spans="2:9" x14ac:dyDescent="0.35">
      <c r="B691" s="135"/>
      <c r="C691" s="135"/>
      <c r="D691" s="135"/>
      <c r="F691" s="73"/>
      <c r="G691" s="135"/>
      <c r="H691" s="135"/>
      <c r="I691" s="135"/>
    </row>
    <row r="692" spans="2:9" x14ac:dyDescent="0.35">
      <c r="B692" s="135"/>
      <c r="C692" s="135"/>
      <c r="D692" s="135"/>
      <c r="F692" s="73"/>
      <c r="G692" s="135"/>
      <c r="H692" s="135"/>
      <c r="I692" s="135"/>
    </row>
    <row r="693" spans="2:9" x14ac:dyDescent="0.35">
      <c r="B693" s="135"/>
      <c r="C693" s="135"/>
      <c r="D693" s="135"/>
      <c r="F693" s="73"/>
      <c r="G693" s="135"/>
      <c r="H693" s="135"/>
      <c r="I693" s="135"/>
    </row>
    <row r="694" spans="2:9" x14ac:dyDescent="0.35">
      <c r="B694" s="135"/>
      <c r="C694" s="135"/>
      <c r="D694" s="135"/>
      <c r="F694" s="73"/>
      <c r="G694" s="135"/>
      <c r="H694" s="135"/>
      <c r="I694" s="135"/>
    </row>
    <row r="695" spans="2:9" x14ac:dyDescent="0.35">
      <c r="B695" s="135"/>
      <c r="C695" s="135"/>
      <c r="D695" s="135"/>
      <c r="F695" s="73"/>
      <c r="G695" s="135"/>
      <c r="H695" s="135"/>
      <c r="I695" s="135"/>
    </row>
    <row r="696" spans="2:9" x14ac:dyDescent="0.35">
      <c r="B696" s="135"/>
      <c r="C696" s="135"/>
      <c r="D696" s="135"/>
      <c r="F696" s="73"/>
      <c r="G696" s="135"/>
      <c r="H696" s="135"/>
      <c r="I696" s="135"/>
    </row>
    <row r="697" spans="2:9" x14ac:dyDescent="0.35">
      <c r="B697" s="135"/>
      <c r="C697" s="135"/>
      <c r="D697" s="135"/>
      <c r="F697" s="73"/>
      <c r="G697" s="135"/>
      <c r="H697" s="135"/>
      <c r="I697" s="135"/>
    </row>
    <row r="698" spans="2:9" x14ac:dyDescent="0.35">
      <c r="B698" s="135"/>
      <c r="C698" s="135"/>
      <c r="D698" s="135"/>
      <c r="F698" s="73"/>
      <c r="G698" s="135"/>
      <c r="H698" s="135"/>
      <c r="I698" s="135"/>
    </row>
    <row r="699" spans="2:9" x14ac:dyDescent="0.35">
      <c r="B699" s="135"/>
      <c r="C699" s="135"/>
      <c r="D699" s="135"/>
      <c r="F699" s="73"/>
      <c r="G699" s="135"/>
      <c r="H699" s="135"/>
      <c r="I699" s="135"/>
    </row>
    <row r="700" spans="2:9" x14ac:dyDescent="0.35">
      <c r="B700" s="135"/>
      <c r="C700" s="135"/>
      <c r="D700" s="135"/>
      <c r="F700" s="73"/>
      <c r="G700" s="135"/>
      <c r="H700" s="135"/>
      <c r="I700" s="135"/>
    </row>
    <row r="701" spans="2:9" x14ac:dyDescent="0.35">
      <c r="B701" s="135"/>
      <c r="C701" s="135"/>
      <c r="D701" s="135"/>
      <c r="F701" s="73"/>
      <c r="G701" s="135"/>
      <c r="H701" s="135"/>
      <c r="I701" s="135"/>
    </row>
    <row r="702" spans="2:9" x14ac:dyDescent="0.35">
      <c r="B702" s="135"/>
      <c r="C702" s="135"/>
      <c r="D702" s="135"/>
      <c r="F702" s="73"/>
      <c r="G702" s="135"/>
      <c r="H702" s="135"/>
      <c r="I702" s="135"/>
    </row>
    <row r="703" spans="2:9" x14ac:dyDescent="0.35">
      <c r="B703" s="135"/>
      <c r="C703" s="135"/>
      <c r="D703" s="135"/>
      <c r="F703" s="73"/>
      <c r="G703" s="135"/>
      <c r="H703" s="135"/>
      <c r="I703" s="135"/>
    </row>
    <row r="704" spans="2:9" x14ac:dyDescent="0.35">
      <c r="B704" s="135"/>
      <c r="C704" s="135"/>
      <c r="D704" s="135"/>
      <c r="F704" s="73"/>
      <c r="G704" s="135"/>
      <c r="H704" s="135"/>
      <c r="I704" s="135"/>
    </row>
    <row r="705" spans="2:9" x14ac:dyDescent="0.35">
      <c r="B705" s="135"/>
      <c r="C705" s="135"/>
      <c r="D705" s="135"/>
      <c r="F705" s="73"/>
      <c r="G705" s="135"/>
      <c r="H705" s="135"/>
      <c r="I705" s="135"/>
    </row>
    <row r="706" spans="2:9" x14ac:dyDescent="0.35">
      <c r="B706" s="135"/>
      <c r="C706" s="135"/>
      <c r="D706" s="135"/>
      <c r="F706" s="73"/>
      <c r="G706" s="135"/>
      <c r="H706" s="135"/>
      <c r="I706" s="135"/>
    </row>
    <row r="707" spans="2:9" x14ac:dyDescent="0.35">
      <c r="B707" s="135"/>
      <c r="C707" s="135"/>
      <c r="D707" s="135"/>
      <c r="F707" s="73"/>
      <c r="G707" s="135"/>
      <c r="H707" s="135"/>
      <c r="I707" s="135"/>
    </row>
    <row r="708" spans="2:9" x14ac:dyDescent="0.35">
      <c r="B708" s="135"/>
      <c r="C708" s="135"/>
      <c r="D708" s="135"/>
      <c r="F708" s="73"/>
      <c r="G708" s="135"/>
      <c r="H708" s="135"/>
      <c r="I708" s="135"/>
    </row>
    <row r="709" spans="2:9" x14ac:dyDescent="0.35">
      <c r="B709" s="135"/>
      <c r="C709" s="135"/>
      <c r="D709" s="135"/>
      <c r="F709" s="73"/>
      <c r="G709" s="135"/>
      <c r="H709" s="135"/>
      <c r="I709" s="135"/>
    </row>
    <row r="710" spans="2:9" x14ac:dyDescent="0.35">
      <c r="B710" s="135"/>
      <c r="C710" s="135"/>
      <c r="D710" s="135"/>
      <c r="F710" s="73"/>
      <c r="G710" s="135"/>
      <c r="H710" s="135"/>
      <c r="I710" s="135"/>
    </row>
    <row r="711" spans="2:9" x14ac:dyDescent="0.35">
      <c r="B711" s="135"/>
      <c r="C711" s="135"/>
      <c r="D711" s="135"/>
      <c r="F711" s="73"/>
      <c r="G711" s="135"/>
      <c r="H711" s="135"/>
      <c r="I711" s="135"/>
    </row>
    <row r="712" spans="2:9" x14ac:dyDescent="0.35">
      <c r="B712" s="135"/>
      <c r="C712" s="135"/>
      <c r="D712" s="135"/>
      <c r="F712" s="73"/>
      <c r="G712" s="135"/>
      <c r="H712" s="135"/>
      <c r="I712" s="135"/>
    </row>
    <row r="713" spans="2:9" x14ac:dyDescent="0.35">
      <c r="B713" s="135"/>
      <c r="C713" s="135"/>
      <c r="D713" s="135"/>
      <c r="F713" s="73"/>
      <c r="G713" s="135"/>
      <c r="H713" s="135"/>
      <c r="I713" s="135"/>
    </row>
    <row r="714" spans="2:9" x14ac:dyDescent="0.35">
      <c r="B714" s="135"/>
      <c r="C714" s="135"/>
      <c r="D714" s="135"/>
      <c r="F714" s="73"/>
      <c r="G714" s="135"/>
      <c r="H714" s="135"/>
      <c r="I714" s="135"/>
    </row>
    <row r="715" spans="2:9" x14ac:dyDescent="0.35">
      <c r="B715" s="135"/>
      <c r="C715" s="135"/>
      <c r="D715" s="135"/>
      <c r="F715" s="73"/>
      <c r="G715" s="135"/>
      <c r="H715" s="135"/>
      <c r="I715" s="135"/>
    </row>
    <row r="716" spans="2:9" x14ac:dyDescent="0.35">
      <c r="B716" s="135"/>
      <c r="C716" s="135"/>
      <c r="D716" s="135"/>
      <c r="F716" s="73"/>
      <c r="G716" s="135"/>
      <c r="H716" s="135"/>
      <c r="I716" s="135"/>
    </row>
    <row r="717" spans="2:9" x14ac:dyDescent="0.35">
      <c r="B717" s="135"/>
      <c r="C717" s="135"/>
      <c r="D717" s="135"/>
      <c r="F717" s="73"/>
      <c r="G717" s="135"/>
      <c r="H717" s="135"/>
      <c r="I717" s="135"/>
    </row>
    <row r="718" spans="2:9" x14ac:dyDescent="0.35">
      <c r="B718" s="135"/>
      <c r="C718" s="135"/>
      <c r="D718" s="135"/>
      <c r="F718" s="73"/>
      <c r="G718" s="135"/>
      <c r="H718" s="135"/>
      <c r="I718" s="135"/>
    </row>
    <row r="719" spans="2:9" x14ac:dyDescent="0.35">
      <c r="B719" s="135"/>
      <c r="C719" s="135"/>
      <c r="D719" s="135"/>
      <c r="F719" s="73"/>
      <c r="G719" s="135"/>
      <c r="H719" s="135"/>
      <c r="I719" s="135"/>
    </row>
    <row r="720" spans="2:9" x14ac:dyDescent="0.35">
      <c r="B720" s="135"/>
      <c r="C720" s="135"/>
      <c r="D720" s="135"/>
      <c r="F720" s="73"/>
      <c r="G720" s="135"/>
      <c r="H720" s="135"/>
      <c r="I720" s="135"/>
    </row>
    <row r="721" spans="2:9" x14ac:dyDescent="0.35">
      <c r="B721" s="135"/>
      <c r="C721" s="135"/>
      <c r="D721" s="135"/>
      <c r="F721" s="73"/>
      <c r="G721" s="135"/>
      <c r="H721" s="135"/>
      <c r="I721" s="135"/>
    </row>
    <row r="722" spans="2:9" x14ac:dyDescent="0.35">
      <c r="B722" s="135"/>
      <c r="C722" s="135"/>
      <c r="D722" s="135"/>
      <c r="F722" s="73"/>
      <c r="G722" s="135"/>
      <c r="H722" s="135"/>
      <c r="I722" s="135"/>
    </row>
    <row r="723" spans="2:9" x14ac:dyDescent="0.35">
      <c r="B723" s="135"/>
      <c r="C723" s="135"/>
      <c r="D723" s="135"/>
      <c r="F723" s="73"/>
      <c r="G723" s="135"/>
      <c r="H723" s="135"/>
      <c r="I723" s="135"/>
    </row>
    <row r="724" spans="2:9" x14ac:dyDescent="0.35">
      <c r="B724" s="135"/>
      <c r="C724" s="135"/>
      <c r="D724" s="135"/>
      <c r="F724" s="73"/>
      <c r="G724" s="135"/>
      <c r="H724" s="135"/>
      <c r="I724" s="135"/>
    </row>
    <row r="725" spans="2:9" x14ac:dyDescent="0.35">
      <c r="B725" s="135"/>
      <c r="C725" s="135"/>
      <c r="D725" s="135"/>
      <c r="F725" s="73"/>
      <c r="G725" s="135"/>
      <c r="H725" s="135"/>
      <c r="I725" s="135"/>
    </row>
    <row r="726" spans="2:9" x14ac:dyDescent="0.35">
      <c r="B726" s="135"/>
      <c r="C726" s="135"/>
      <c r="D726" s="135"/>
      <c r="F726" s="73"/>
      <c r="G726" s="135"/>
      <c r="H726" s="135"/>
      <c r="I726" s="135"/>
    </row>
    <row r="727" spans="2:9" x14ac:dyDescent="0.35">
      <c r="B727" s="135"/>
      <c r="C727" s="135"/>
      <c r="D727" s="135"/>
      <c r="F727" s="73"/>
      <c r="G727" s="135"/>
      <c r="H727" s="135"/>
      <c r="I727" s="135"/>
    </row>
    <row r="728" spans="2:9" x14ac:dyDescent="0.35">
      <c r="B728" s="135"/>
      <c r="C728" s="135"/>
      <c r="D728" s="135"/>
      <c r="F728" s="73"/>
      <c r="G728" s="135"/>
      <c r="H728" s="135"/>
      <c r="I728" s="135"/>
    </row>
    <row r="729" spans="2:9" x14ac:dyDescent="0.35">
      <c r="B729" s="135"/>
      <c r="C729" s="135"/>
      <c r="D729" s="135"/>
      <c r="F729" s="73"/>
      <c r="G729" s="135"/>
      <c r="H729" s="135"/>
      <c r="I729" s="135"/>
    </row>
    <row r="730" spans="2:9" x14ac:dyDescent="0.35">
      <c r="B730" s="135"/>
      <c r="C730" s="135"/>
      <c r="D730" s="135"/>
      <c r="F730" s="73"/>
      <c r="G730" s="135"/>
      <c r="H730" s="135"/>
      <c r="I730" s="135"/>
    </row>
    <row r="731" spans="2:9" x14ac:dyDescent="0.35">
      <c r="B731" s="135"/>
      <c r="C731" s="135"/>
      <c r="D731" s="135"/>
      <c r="F731" s="73"/>
      <c r="G731" s="135"/>
      <c r="H731" s="135"/>
      <c r="I731" s="135"/>
    </row>
    <row r="732" spans="2:9" x14ac:dyDescent="0.35">
      <c r="B732" s="135"/>
      <c r="C732" s="135"/>
      <c r="D732" s="135"/>
      <c r="F732" s="73"/>
      <c r="G732" s="135"/>
      <c r="H732" s="135"/>
      <c r="I732" s="135"/>
    </row>
    <row r="733" spans="2:9" x14ac:dyDescent="0.35">
      <c r="B733" s="135"/>
      <c r="C733" s="135"/>
      <c r="D733" s="135"/>
      <c r="F733" s="73"/>
      <c r="G733" s="135"/>
      <c r="H733" s="135"/>
      <c r="I733" s="135"/>
    </row>
    <row r="734" spans="2:9" x14ac:dyDescent="0.35">
      <c r="B734" s="135"/>
      <c r="C734" s="135"/>
      <c r="D734" s="135"/>
      <c r="F734" s="73"/>
      <c r="G734" s="135"/>
      <c r="H734" s="135"/>
      <c r="I734" s="135"/>
    </row>
    <row r="735" spans="2:9" x14ac:dyDescent="0.35">
      <c r="B735" s="135"/>
      <c r="C735" s="135"/>
      <c r="D735" s="135"/>
      <c r="F735" s="73"/>
      <c r="G735" s="135"/>
      <c r="H735" s="135"/>
      <c r="I735" s="135"/>
    </row>
    <row r="736" spans="2:9" x14ac:dyDescent="0.35">
      <c r="B736" s="135"/>
      <c r="C736" s="135"/>
      <c r="D736" s="135"/>
      <c r="F736" s="73"/>
      <c r="G736" s="135"/>
      <c r="H736" s="135"/>
      <c r="I736" s="135"/>
    </row>
    <row r="737" spans="2:9" x14ac:dyDescent="0.35">
      <c r="B737" s="135"/>
      <c r="C737" s="135"/>
      <c r="D737" s="135"/>
      <c r="F737" s="73"/>
      <c r="G737" s="135"/>
      <c r="H737" s="135"/>
      <c r="I737" s="135"/>
    </row>
    <row r="738" spans="2:9" x14ac:dyDescent="0.35">
      <c r="B738" s="135"/>
      <c r="C738" s="135"/>
      <c r="D738" s="135"/>
      <c r="F738" s="73"/>
      <c r="G738" s="135"/>
      <c r="H738" s="135"/>
      <c r="I738" s="135"/>
    </row>
    <row r="739" spans="2:9" x14ac:dyDescent="0.35">
      <c r="B739" s="135"/>
      <c r="C739" s="135"/>
      <c r="D739" s="135"/>
      <c r="F739" s="73"/>
      <c r="G739" s="135"/>
      <c r="H739" s="135"/>
      <c r="I739" s="135"/>
    </row>
    <row r="740" spans="2:9" x14ac:dyDescent="0.35">
      <c r="B740" s="135"/>
      <c r="C740" s="135"/>
      <c r="D740" s="135"/>
      <c r="F740" s="73"/>
      <c r="G740" s="135"/>
      <c r="H740" s="135"/>
      <c r="I740" s="135"/>
    </row>
    <row r="741" spans="2:9" x14ac:dyDescent="0.35">
      <c r="B741" s="135"/>
      <c r="C741" s="135"/>
      <c r="D741" s="135"/>
      <c r="F741" s="73"/>
      <c r="G741" s="135"/>
      <c r="H741" s="135"/>
      <c r="I741" s="135"/>
    </row>
    <row r="742" spans="2:9" x14ac:dyDescent="0.35">
      <c r="B742" s="135"/>
      <c r="C742" s="135"/>
      <c r="D742" s="135"/>
      <c r="F742" s="73"/>
      <c r="G742" s="135"/>
      <c r="H742" s="135"/>
      <c r="I742" s="135"/>
    </row>
    <row r="743" spans="2:9" x14ac:dyDescent="0.35">
      <c r="B743" s="135"/>
      <c r="C743" s="135"/>
      <c r="D743" s="135"/>
      <c r="F743" s="73"/>
      <c r="G743" s="135"/>
      <c r="H743" s="135"/>
      <c r="I743" s="135"/>
    </row>
    <row r="744" spans="2:9" x14ac:dyDescent="0.35">
      <c r="B744" s="135"/>
      <c r="C744" s="135"/>
      <c r="D744" s="135"/>
      <c r="F744" s="73"/>
      <c r="G744" s="135"/>
      <c r="H744" s="135"/>
      <c r="I744" s="135"/>
    </row>
    <row r="745" spans="2:9" x14ac:dyDescent="0.35">
      <c r="B745" s="135"/>
      <c r="C745" s="135"/>
      <c r="D745" s="135"/>
      <c r="F745" s="73"/>
      <c r="G745" s="135"/>
      <c r="H745" s="135"/>
      <c r="I745" s="135"/>
    </row>
    <row r="746" spans="2:9" x14ac:dyDescent="0.35">
      <c r="B746" s="135"/>
      <c r="C746" s="135"/>
      <c r="D746" s="135"/>
      <c r="F746" s="73"/>
      <c r="G746" s="135"/>
      <c r="H746" s="135"/>
      <c r="I746" s="135"/>
    </row>
    <row r="747" spans="2:9" x14ac:dyDescent="0.35">
      <c r="B747" s="135"/>
      <c r="C747" s="135"/>
      <c r="D747" s="135"/>
      <c r="F747" s="73"/>
      <c r="G747" s="135"/>
      <c r="H747" s="135"/>
      <c r="I747" s="135"/>
    </row>
    <row r="748" spans="2:9" x14ac:dyDescent="0.35">
      <c r="B748" s="135"/>
      <c r="C748" s="135"/>
      <c r="D748" s="135"/>
      <c r="F748" s="73"/>
      <c r="G748" s="135"/>
      <c r="H748" s="135"/>
      <c r="I748" s="135"/>
    </row>
    <row r="749" spans="2:9" x14ac:dyDescent="0.35">
      <c r="B749" s="135"/>
      <c r="C749" s="135"/>
      <c r="D749" s="135"/>
      <c r="F749" s="73"/>
      <c r="G749" s="135"/>
      <c r="H749" s="135"/>
      <c r="I749" s="135"/>
    </row>
    <row r="750" spans="2:9" x14ac:dyDescent="0.35">
      <c r="B750" s="135"/>
      <c r="C750" s="135"/>
      <c r="D750" s="135"/>
      <c r="F750" s="73"/>
      <c r="G750" s="135"/>
      <c r="H750" s="135"/>
      <c r="I750" s="135"/>
    </row>
    <row r="751" spans="2:9" x14ac:dyDescent="0.35">
      <c r="B751" s="135"/>
      <c r="C751" s="135"/>
      <c r="D751" s="135"/>
      <c r="F751" s="73"/>
      <c r="G751" s="135"/>
      <c r="H751" s="135"/>
      <c r="I751" s="135"/>
    </row>
    <row r="752" spans="2:9" x14ac:dyDescent="0.35">
      <c r="B752" s="135"/>
      <c r="C752" s="135"/>
      <c r="D752" s="135"/>
      <c r="F752" s="73"/>
      <c r="G752" s="135"/>
      <c r="H752" s="135"/>
      <c r="I752" s="135"/>
    </row>
    <row r="753" spans="2:9" x14ac:dyDescent="0.35">
      <c r="B753" s="135"/>
      <c r="C753" s="135"/>
      <c r="D753" s="135"/>
      <c r="F753" s="73"/>
      <c r="G753" s="135"/>
      <c r="H753" s="135"/>
      <c r="I753" s="135"/>
    </row>
    <row r="754" spans="2:9" x14ac:dyDescent="0.35">
      <c r="B754" s="135"/>
      <c r="C754" s="135"/>
      <c r="D754" s="135"/>
      <c r="F754" s="73"/>
      <c r="G754" s="135"/>
      <c r="H754" s="135"/>
      <c r="I754" s="135"/>
    </row>
    <row r="755" spans="2:9" x14ac:dyDescent="0.35">
      <c r="B755" s="135"/>
      <c r="C755" s="135"/>
      <c r="D755" s="135"/>
      <c r="F755" s="73"/>
      <c r="G755" s="135"/>
      <c r="H755" s="135"/>
      <c r="I755" s="135"/>
    </row>
    <row r="756" spans="2:9" x14ac:dyDescent="0.35">
      <c r="B756" s="135"/>
      <c r="C756" s="135"/>
      <c r="D756" s="135"/>
      <c r="F756" s="73"/>
      <c r="G756" s="135"/>
      <c r="H756" s="135"/>
      <c r="I756" s="135"/>
    </row>
    <row r="757" spans="2:9" x14ac:dyDescent="0.35">
      <c r="B757" s="135"/>
      <c r="C757" s="135"/>
      <c r="D757" s="135"/>
      <c r="F757" s="73"/>
      <c r="G757" s="135"/>
      <c r="H757" s="135"/>
      <c r="I757" s="135"/>
    </row>
    <row r="758" spans="2:9" x14ac:dyDescent="0.35">
      <c r="B758" s="135"/>
      <c r="C758" s="135"/>
      <c r="D758" s="135"/>
      <c r="F758" s="73"/>
      <c r="G758" s="135"/>
      <c r="H758" s="135"/>
      <c r="I758" s="135"/>
    </row>
    <row r="759" spans="2:9" x14ac:dyDescent="0.35">
      <c r="B759" s="135"/>
      <c r="C759" s="135"/>
      <c r="D759" s="135"/>
      <c r="F759" s="73"/>
      <c r="G759" s="135"/>
      <c r="H759" s="135"/>
      <c r="I759" s="135"/>
    </row>
    <row r="760" spans="2:9" x14ac:dyDescent="0.35">
      <c r="B760" s="135"/>
      <c r="C760" s="135"/>
      <c r="D760" s="135"/>
      <c r="F760" s="73"/>
      <c r="G760" s="135"/>
      <c r="H760" s="135"/>
      <c r="I760" s="135"/>
    </row>
    <row r="761" spans="2:9" x14ac:dyDescent="0.35">
      <c r="B761" s="135"/>
      <c r="C761" s="135"/>
      <c r="D761" s="135"/>
      <c r="F761" s="73"/>
      <c r="G761" s="135"/>
      <c r="H761" s="135"/>
      <c r="I761" s="135"/>
    </row>
    <row r="762" spans="2:9" x14ac:dyDescent="0.35">
      <c r="B762" s="135"/>
      <c r="C762" s="135"/>
      <c r="D762" s="135"/>
      <c r="F762" s="73"/>
      <c r="G762" s="135"/>
      <c r="H762" s="135"/>
      <c r="I762" s="135"/>
    </row>
    <row r="763" spans="2:9" x14ac:dyDescent="0.35">
      <c r="B763" s="135"/>
      <c r="C763" s="135"/>
      <c r="D763" s="135"/>
      <c r="F763" s="73"/>
      <c r="G763" s="135"/>
      <c r="H763" s="135"/>
      <c r="I763" s="135"/>
    </row>
    <row r="764" spans="2:9" x14ac:dyDescent="0.35">
      <c r="B764" s="135"/>
      <c r="C764" s="135"/>
      <c r="D764" s="135"/>
      <c r="F764" s="73"/>
      <c r="G764" s="135"/>
      <c r="H764" s="135"/>
      <c r="I764" s="135"/>
    </row>
    <row r="765" spans="2:9" x14ac:dyDescent="0.35">
      <c r="B765" s="135"/>
      <c r="C765" s="135"/>
      <c r="D765" s="135"/>
      <c r="F765" s="73"/>
      <c r="G765" s="135"/>
      <c r="H765" s="135"/>
      <c r="I765" s="135"/>
    </row>
    <row r="766" spans="2:9" x14ac:dyDescent="0.35">
      <c r="B766" s="135"/>
      <c r="C766" s="135"/>
      <c r="D766" s="135"/>
      <c r="F766" s="73"/>
      <c r="G766" s="135"/>
      <c r="H766" s="135"/>
      <c r="I766" s="135"/>
    </row>
    <row r="767" spans="2:9" x14ac:dyDescent="0.35">
      <c r="B767" s="135"/>
      <c r="C767" s="135"/>
      <c r="D767" s="135"/>
      <c r="F767" s="73"/>
      <c r="G767" s="135"/>
      <c r="H767" s="135"/>
      <c r="I767" s="135"/>
    </row>
    <row r="768" spans="2:9" x14ac:dyDescent="0.35">
      <c r="B768" s="135"/>
      <c r="C768" s="135"/>
      <c r="D768" s="135"/>
      <c r="F768" s="73"/>
      <c r="G768" s="135"/>
      <c r="H768" s="135"/>
      <c r="I768" s="135"/>
    </row>
    <row r="769" spans="2:9" x14ac:dyDescent="0.35">
      <c r="B769" s="135"/>
      <c r="C769" s="135"/>
      <c r="D769" s="135"/>
      <c r="F769" s="73"/>
      <c r="G769" s="135"/>
      <c r="H769" s="135"/>
      <c r="I769" s="135"/>
    </row>
    <row r="770" spans="2:9" x14ac:dyDescent="0.35">
      <c r="B770" s="135"/>
      <c r="C770" s="135"/>
      <c r="D770" s="135"/>
      <c r="F770" s="73"/>
      <c r="G770" s="135"/>
      <c r="H770" s="135"/>
      <c r="I770" s="135"/>
    </row>
    <row r="771" spans="2:9" x14ac:dyDescent="0.35">
      <c r="B771" s="135"/>
      <c r="C771" s="135"/>
      <c r="D771" s="135"/>
      <c r="F771" s="73"/>
      <c r="G771" s="135"/>
      <c r="H771" s="135"/>
      <c r="I771" s="135"/>
    </row>
    <row r="772" spans="2:9" x14ac:dyDescent="0.35">
      <c r="B772" s="135"/>
      <c r="C772" s="135"/>
      <c r="D772" s="135"/>
      <c r="F772" s="73"/>
      <c r="G772" s="135"/>
      <c r="H772" s="135"/>
      <c r="I772" s="135"/>
    </row>
    <row r="773" spans="2:9" x14ac:dyDescent="0.35">
      <c r="B773" s="135"/>
      <c r="C773" s="135"/>
      <c r="D773" s="135"/>
      <c r="F773" s="73"/>
      <c r="G773" s="135"/>
      <c r="H773" s="135"/>
      <c r="I773" s="135"/>
    </row>
    <row r="774" spans="2:9" x14ac:dyDescent="0.35">
      <c r="B774" s="135"/>
      <c r="C774" s="135"/>
      <c r="D774" s="135"/>
      <c r="F774" s="73"/>
      <c r="G774" s="135"/>
      <c r="H774" s="135"/>
      <c r="I774" s="135"/>
    </row>
    <row r="775" spans="2:9" x14ac:dyDescent="0.35">
      <c r="B775" s="135"/>
      <c r="C775" s="135"/>
      <c r="D775" s="135"/>
      <c r="F775" s="73"/>
      <c r="G775" s="135"/>
      <c r="H775" s="135"/>
      <c r="I775" s="135"/>
    </row>
    <row r="776" spans="2:9" x14ac:dyDescent="0.35">
      <c r="B776" s="135"/>
      <c r="C776" s="135"/>
      <c r="D776" s="135"/>
      <c r="F776" s="73"/>
      <c r="G776" s="135"/>
      <c r="H776" s="135"/>
      <c r="I776" s="135"/>
    </row>
    <row r="777" spans="2:9" x14ac:dyDescent="0.35">
      <c r="B777" s="135"/>
      <c r="C777" s="135"/>
      <c r="D777" s="135"/>
      <c r="F777" s="73"/>
      <c r="G777" s="135"/>
      <c r="H777" s="135"/>
      <c r="I777" s="135"/>
    </row>
    <row r="778" spans="2:9" x14ac:dyDescent="0.35">
      <c r="B778" s="135"/>
      <c r="C778" s="135"/>
      <c r="D778" s="135"/>
      <c r="F778" s="73"/>
      <c r="G778" s="135"/>
      <c r="H778" s="135"/>
      <c r="I778" s="135"/>
    </row>
    <row r="779" spans="2:9" x14ac:dyDescent="0.35">
      <c r="B779" s="135"/>
      <c r="C779" s="135"/>
      <c r="D779" s="135"/>
      <c r="F779" s="73"/>
      <c r="G779" s="135"/>
      <c r="H779" s="135"/>
      <c r="I779" s="135"/>
    </row>
    <row r="780" spans="2:9" x14ac:dyDescent="0.35">
      <c r="B780" s="135"/>
      <c r="C780" s="135"/>
      <c r="D780" s="135"/>
      <c r="F780" s="73"/>
      <c r="G780" s="135"/>
      <c r="H780" s="135"/>
      <c r="I780" s="135"/>
    </row>
    <row r="781" spans="2:9" x14ac:dyDescent="0.35">
      <c r="B781" s="135"/>
      <c r="C781" s="135"/>
      <c r="D781" s="135"/>
      <c r="F781" s="73"/>
      <c r="G781" s="135"/>
      <c r="H781" s="135"/>
      <c r="I781" s="135"/>
    </row>
    <row r="782" spans="2:9" x14ac:dyDescent="0.35">
      <c r="B782" s="135"/>
      <c r="C782" s="135"/>
      <c r="D782" s="135"/>
      <c r="F782" s="73"/>
      <c r="G782" s="135"/>
      <c r="H782" s="135"/>
      <c r="I782" s="135"/>
    </row>
    <row r="783" spans="2:9" x14ac:dyDescent="0.35">
      <c r="B783" s="135"/>
      <c r="C783" s="135"/>
      <c r="D783" s="135"/>
      <c r="F783" s="73"/>
      <c r="G783" s="135"/>
      <c r="H783" s="135"/>
      <c r="I783" s="135"/>
    </row>
    <row r="784" spans="2:9" x14ac:dyDescent="0.35">
      <c r="B784" s="135"/>
      <c r="C784" s="135"/>
      <c r="D784" s="135"/>
      <c r="F784" s="73"/>
      <c r="G784" s="135"/>
      <c r="H784" s="135"/>
      <c r="I784" s="135"/>
    </row>
    <row r="785" spans="2:9" x14ac:dyDescent="0.35">
      <c r="B785" s="135"/>
      <c r="C785" s="135"/>
      <c r="D785" s="135"/>
      <c r="F785" s="73"/>
      <c r="G785" s="135"/>
      <c r="H785" s="135"/>
      <c r="I785" s="135"/>
    </row>
    <row r="786" spans="2:9" x14ac:dyDescent="0.35">
      <c r="B786" s="135"/>
      <c r="C786" s="135"/>
      <c r="D786" s="135"/>
      <c r="F786" s="73"/>
      <c r="G786" s="135"/>
      <c r="H786" s="135"/>
      <c r="I786" s="135"/>
    </row>
    <row r="787" spans="2:9" x14ac:dyDescent="0.35">
      <c r="B787" s="135"/>
      <c r="C787" s="135"/>
      <c r="D787" s="135"/>
      <c r="F787" s="73"/>
      <c r="G787" s="135"/>
      <c r="H787" s="135"/>
      <c r="I787" s="135"/>
    </row>
    <row r="788" spans="2:9" x14ac:dyDescent="0.35">
      <c r="B788" s="135"/>
      <c r="C788" s="135"/>
      <c r="D788" s="135"/>
      <c r="F788" s="73"/>
      <c r="G788" s="135"/>
      <c r="H788" s="135"/>
      <c r="I788" s="135"/>
    </row>
    <row r="789" spans="2:9" x14ac:dyDescent="0.35">
      <c r="B789" s="135"/>
      <c r="C789" s="135"/>
      <c r="D789" s="135"/>
      <c r="F789" s="73"/>
      <c r="G789" s="135"/>
      <c r="H789" s="135"/>
      <c r="I789" s="135"/>
    </row>
    <row r="790" spans="2:9" x14ac:dyDescent="0.35">
      <c r="B790" s="135"/>
      <c r="C790" s="135"/>
      <c r="D790" s="135"/>
      <c r="F790" s="73"/>
      <c r="G790" s="135"/>
      <c r="H790" s="135"/>
      <c r="I790" s="135"/>
    </row>
    <row r="791" spans="2:9" x14ac:dyDescent="0.35">
      <c r="B791" s="135"/>
      <c r="C791" s="135"/>
      <c r="D791" s="135"/>
      <c r="F791" s="73"/>
      <c r="G791" s="135"/>
      <c r="H791" s="135"/>
      <c r="I791" s="135"/>
    </row>
    <row r="792" spans="2:9" x14ac:dyDescent="0.35">
      <c r="B792" s="135"/>
      <c r="C792" s="135"/>
      <c r="D792" s="135"/>
      <c r="F792" s="73"/>
      <c r="G792" s="135"/>
      <c r="H792" s="135"/>
      <c r="I792" s="135"/>
    </row>
    <row r="793" spans="2:9" x14ac:dyDescent="0.35">
      <c r="B793" s="135"/>
      <c r="C793" s="135"/>
      <c r="D793" s="135"/>
      <c r="F793" s="73"/>
      <c r="G793" s="135"/>
      <c r="H793" s="135"/>
      <c r="I793" s="135"/>
    </row>
    <row r="794" spans="2:9" x14ac:dyDescent="0.35">
      <c r="B794" s="135"/>
      <c r="C794" s="135"/>
      <c r="D794" s="135"/>
      <c r="F794" s="73"/>
      <c r="G794" s="135"/>
      <c r="H794" s="135"/>
      <c r="I794" s="135"/>
    </row>
    <row r="795" spans="2:9" x14ac:dyDescent="0.35">
      <c r="B795" s="135"/>
      <c r="C795" s="135"/>
      <c r="D795" s="135"/>
      <c r="F795" s="73"/>
      <c r="G795" s="135"/>
      <c r="H795" s="135"/>
      <c r="I795" s="135"/>
    </row>
    <row r="796" spans="2:9" x14ac:dyDescent="0.35">
      <c r="B796" s="135"/>
      <c r="C796" s="135"/>
      <c r="D796" s="135"/>
      <c r="F796" s="73"/>
      <c r="G796" s="135"/>
      <c r="H796" s="135"/>
      <c r="I796" s="135"/>
    </row>
    <row r="797" spans="2:9" x14ac:dyDescent="0.35">
      <c r="B797" s="135"/>
      <c r="C797" s="135"/>
      <c r="D797" s="135"/>
      <c r="F797" s="73"/>
      <c r="G797" s="135"/>
      <c r="H797" s="135"/>
      <c r="I797" s="135"/>
    </row>
    <row r="798" spans="2:9" x14ac:dyDescent="0.35">
      <c r="B798" s="135"/>
      <c r="C798" s="135"/>
      <c r="D798" s="135"/>
      <c r="F798" s="73"/>
      <c r="G798" s="135"/>
      <c r="H798" s="135"/>
      <c r="I798" s="135"/>
    </row>
    <row r="799" spans="2:9" x14ac:dyDescent="0.35">
      <c r="B799" s="135"/>
      <c r="C799" s="135"/>
      <c r="D799" s="135"/>
      <c r="F799" s="73"/>
      <c r="G799" s="135"/>
      <c r="H799" s="135"/>
      <c r="I799" s="135"/>
    </row>
    <row r="800" spans="2:9" x14ac:dyDescent="0.35">
      <c r="B800" s="135"/>
      <c r="C800" s="135"/>
      <c r="D800" s="135"/>
      <c r="F800" s="73"/>
      <c r="G800" s="135"/>
      <c r="H800" s="135"/>
      <c r="I800" s="135"/>
    </row>
    <row r="801" spans="2:9" x14ac:dyDescent="0.35">
      <c r="B801" s="135"/>
      <c r="C801" s="135"/>
      <c r="D801" s="135"/>
      <c r="F801" s="73"/>
      <c r="G801" s="135"/>
      <c r="H801" s="135"/>
      <c r="I801" s="135"/>
    </row>
    <row r="802" spans="2:9" x14ac:dyDescent="0.35">
      <c r="B802" s="135"/>
      <c r="C802" s="135"/>
      <c r="D802" s="135"/>
      <c r="F802" s="73"/>
      <c r="G802" s="135"/>
      <c r="H802" s="135"/>
      <c r="I802" s="135"/>
    </row>
    <row r="803" spans="2:9" x14ac:dyDescent="0.35">
      <c r="B803" s="135"/>
      <c r="C803" s="135"/>
      <c r="D803" s="135"/>
      <c r="F803" s="73"/>
      <c r="G803" s="135"/>
      <c r="H803" s="135"/>
      <c r="I803" s="135"/>
    </row>
    <row r="804" spans="2:9" x14ac:dyDescent="0.35">
      <c r="B804" s="135"/>
      <c r="C804" s="135"/>
      <c r="D804" s="135"/>
      <c r="F804" s="73"/>
      <c r="G804" s="135"/>
      <c r="H804" s="135"/>
      <c r="I804" s="135"/>
    </row>
    <row r="805" spans="2:9" x14ac:dyDescent="0.35">
      <c r="B805" s="135"/>
      <c r="C805" s="135"/>
      <c r="D805" s="135"/>
      <c r="F805" s="73"/>
      <c r="G805" s="135"/>
      <c r="H805" s="135"/>
      <c r="I805" s="135"/>
    </row>
    <row r="806" spans="2:9" x14ac:dyDescent="0.35">
      <c r="B806" s="135"/>
      <c r="C806" s="135"/>
      <c r="D806" s="135"/>
      <c r="F806" s="73"/>
      <c r="G806" s="135"/>
      <c r="H806" s="135"/>
      <c r="I806" s="135"/>
    </row>
    <row r="807" spans="2:9" x14ac:dyDescent="0.35">
      <c r="B807" s="135"/>
      <c r="C807" s="135"/>
      <c r="D807" s="135"/>
      <c r="F807" s="73"/>
      <c r="G807" s="135"/>
      <c r="H807" s="135"/>
      <c r="I807" s="135"/>
    </row>
    <row r="808" spans="2:9" x14ac:dyDescent="0.35">
      <c r="B808" s="135"/>
      <c r="C808" s="135"/>
      <c r="D808" s="135"/>
      <c r="F808" s="73"/>
      <c r="G808" s="135"/>
      <c r="H808" s="135"/>
      <c r="I808" s="135"/>
    </row>
    <row r="809" spans="2:9" x14ac:dyDescent="0.35">
      <c r="B809" s="135"/>
      <c r="C809" s="135"/>
      <c r="D809" s="135"/>
      <c r="F809" s="73"/>
      <c r="G809" s="135"/>
      <c r="H809" s="135"/>
      <c r="I809" s="135"/>
    </row>
    <row r="810" spans="2:9" x14ac:dyDescent="0.35">
      <c r="B810" s="135"/>
      <c r="C810" s="135"/>
      <c r="D810" s="135"/>
      <c r="F810" s="73"/>
      <c r="G810" s="135"/>
      <c r="H810" s="135"/>
      <c r="I810" s="135"/>
    </row>
    <row r="811" spans="2:9" x14ac:dyDescent="0.35">
      <c r="B811" s="135"/>
      <c r="C811" s="135"/>
      <c r="D811" s="135"/>
      <c r="F811" s="73"/>
      <c r="G811" s="135"/>
      <c r="H811" s="135"/>
      <c r="I811" s="135"/>
    </row>
    <row r="812" spans="2:9" x14ac:dyDescent="0.35">
      <c r="B812" s="135"/>
      <c r="C812" s="135"/>
      <c r="D812" s="135"/>
      <c r="F812" s="73"/>
      <c r="G812" s="135"/>
      <c r="H812" s="135"/>
      <c r="I812" s="135"/>
    </row>
    <row r="813" spans="2:9" x14ac:dyDescent="0.35">
      <c r="B813" s="135"/>
      <c r="C813" s="135"/>
      <c r="D813" s="135"/>
      <c r="F813" s="73"/>
      <c r="G813" s="135"/>
      <c r="H813" s="135"/>
      <c r="I813" s="135"/>
    </row>
    <row r="814" spans="2:9" x14ac:dyDescent="0.35">
      <c r="B814" s="135"/>
      <c r="C814" s="135"/>
      <c r="D814" s="135"/>
      <c r="F814" s="73"/>
      <c r="G814" s="135"/>
      <c r="H814" s="135"/>
      <c r="I814" s="135"/>
    </row>
    <row r="815" spans="2:9" x14ac:dyDescent="0.35">
      <c r="B815" s="135"/>
      <c r="C815" s="135"/>
      <c r="D815" s="135"/>
      <c r="F815" s="73"/>
      <c r="G815" s="135"/>
      <c r="H815" s="135"/>
      <c r="I815" s="135"/>
    </row>
    <row r="816" spans="2:9" x14ac:dyDescent="0.35">
      <c r="B816" s="135"/>
      <c r="C816" s="135"/>
      <c r="D816" s="135"/>
      <c r="F816" s="73"/>
      <c r="G816" s="135"/>
      <c r="H816" s="135"/>
      <c r="I816" s="135"/>
    </row>
    <row r="817" spans="2:9" x14ac:dyDescent="0.35">
      <c r="B817" s="135"/>
      <c r="C817" s="135"/>
      <c r="D817" s="135"/>
      <c r="F817" s="73"/>
      <c r="G817" s="135"/>
      <c r="H817" s="135"/>
      <c r="I817" s="135"/>
    </row>
  </sheetData>
  <conditionalFormatting sqref="Q1">
    <cfRule type="cellIs" dxfId="27" priority="43" operator="equal">
      <formula>"Indéterminé"</formula>
    </cfRule>
    <cfRule type="cellIs" dxfId="26" priority="44" operator="equal">
      <formula>"NA"</formula>
    </cfRule>
    <cfRule type="cellIs" dxfId="25" priority="45" operator="equal">
      <formula>"Invalidé"</formula>
    </cfRule>
    <cfRule type="cellIs" dxfId="24" priority="46" operator="equal">
      <formula>"Validé"</formula>
    </cfRule>
  </conditionalFormatting>
  <conditionalFormatting sqref="H1:H1048576">
    <cfRule type="cellIs" dxfId="23" priority="349" operator="equal">
      <formula>"Indéterminé"</formula>
    </cfRule>
    <cfRule type="cellIs" dxfId="22" priority="350" operator="equal">
      <formula>"NA"</formula>
    </cfRule>
    <cfRule type="cellIs" dxfId="21" priority="351" operator="equal">
      <formula>"Invalidé"</formula>
    </cfRule>
    <cfRule type="cellIs" dxfId="2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260" xr:uid="{00000000-0002-0000-0A00-000001000000}">
      <formula1>Etat</formula1>
    </dataValidation>
    <dataValidation type="list" allowBlank="1" showInputMessage="1" showErrorMessage="1" sqref="O4:O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33"/>
  <sheetViews>
    <sheetView zoomScale="80" zoomScaleNormal="80" workbookViewId="0">
      <pane ySplit="1" topLeftCell="A2" activePane="bottomLeft" state="frozen"/>
      <selection pane="bottomLeft" activeCell="D252" sqref="D252"/>
    </sheetView>
  </sheetViews>
  <sheetFormatPr baseColWidth="10" defaultColWidth="11.453125" defaultRowHeight="14.5" x14ac:dyDescent="0.35"/>
  <cols>
    <col min="1" max="1" width="3.7265625" style="95"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95" customWidth="1"/>
    <col min="11" max="11" width="11.453125" style="123"/>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95" customWidth="1"/>
    <col min="18" max="18" width="8.1796875" style="95" customWidth="1"/>
    <col min="19" max="19" width="3.7265625" style="95" customWidth="1"/>
    <col min="20" max="20" width="9.453125" style="12" bestFit="1" customWidth="1"/>
    <col min="21" max="21" width="3.7265625" style="95" customWidth="1"/>
    <col min="22" max="22" width="5.453125" style="12" customWidth="1"/>
    <col min="23" max="23" width="26.7265625" style="12" customWidth="1"/>
    <col min="24" max="24" width="3.7265625" style="95" customWidth="1"/>
    <col min="25" max="25" width="7.1796875" style="12" customWidth="1"/>
    <col min="26" max="26" width="19.81640625" style="12" bestFit="1" customWidth="1"/>
    <col min="27" max="27" width="3.7265625" style="95" customWidth="1"/>
    <col min="28" max="28" width="13.453125" style="12" bestFit="1" customWidth="1"/>
    <col min="29" max="29" width="83.54296875" style="12" bestFit="1" customWidth="1"/>
    <col min="30" max="31" width="4.453125" style="95" customWidth="1"/>
    <col min="32" max="32" width="6.453125" style="12" bestFit="1" customWidth="1"/>
    <col min="33" max="44" width="9.26953125" style="12" bestFit="1" customWidth="1"/>
    <col min="45" max="45" width="4.453125" style="95"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66" t="s">
        <v>40</v>
      </c>
      <c r="M1" s="266"/>
      <c r="N1" s="266"/>
      <c r="O1" s="266"/>
      <c r="P1" s="266"/>
      <c r="Q1" s="12"/>
      <c r="R1" s="12"/>
      <c r="T1" s="34" t="s">
        <v>27</v>
      </c>
      <c r="V1" s="33" t="s">
        <v>28</v>
      </c>
      <c r="W1" s="19"/>
      <c r="Y1" s="32" t="s">
        <v>32</v>
      </c>
      <c r="Z1" s="31"/>
      <c r="AB1" s="36" t="s">
        <v>41</v>
      </c>
      <c r="AC1" s="35"/>
      <c r="AD1" s="95" t="s">
        <v>48</v>
      </c>
      <c r="AE1" s="95"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01" t="str">
        <f>Modèle!B4</f>
        <v>Images</v>
      </c>
      <c r="C2" s="107" t="str">
        <f>Modèle!D4</f>
        <v>1.1.1</v>
      </c>
      <c r="D2" s="108" t="str">
        <f>Modèle!E4</f>
        <v>A</v>
      </c>
      <c r="E2" s="231">
        <f ca="1">COUNTIF(OFFSET(Synthèse!$G11,0,0,1,COUNTA(Synthèse!$10:$10)-6),"="&amp;$E$1)</f>
        <v>0</v>
      </c>
      <c r="F2" s="231">
        <f ca="1">COUNTIF(OFFSET(Synthèse!$G11,0,0,1,COUNTA(Synthèse!$10:$10)-6),"="&amp;$F$1)</f>
        <v>0</v>
      </c>
      <c r="G2" s="231">
        <f ca="1">COUNTIF(OFFSET(Synthèse!$G11,0,0,1,COUNTA(Synthèse!$10:$10)-6),"="&amp;$G$1)</f>
        <v>0</v>
      </c>
      <c r="H2" s="231">
        <f ca="1">COUNTIF(OFFSET(Synthèse!$G11,0,0,1,COUNTA(Synthèse!$10:$10)-6),"="&amp;$H$1)</f>
        <v>0</v>
      </c>
      <c r="I2" s="18">
        <f ca="1">SUM(E2:H2)</f>
        <v>0</v>
      </c>
      <c r="L2" s="245" t="s">
        <v>46</v>
      </c>
      <c r="M2" s="25" t="s">
        <v>11</v>
      </c>
      <c r="N2" s="25" t="s">
        <v>12</v>
      </c>
      <c r="O2" s="25" t="s">
        <v>43</v>
      </c>
      <c r="P2" s="25" t="s">
        <v>37</v>
      </c>
      <c r="Q2" s="12"/>
      <c r="R2" s="12"/>
      <c r="T2" s="23" t="s">
        <v>680</v>
      </c>
      <c r="V2" s="24">
        <v>1</v>
      </c>
      <c r="W2" s="21" t="s">
        <v>29</v>
      </c>
      <c r="Y2" s="22" t="s">
        <v>33</v>
      </c>
      <c r="Z2" s="22" t="s">
        <v>35</v>
      </c>
      <c r="AB2" s="30" t="s">
        <v>12</v>
      </c>
      <c r="AC2" s="30" t="s">
        <v>18</v>
      </c>
      <c r="AF2" s="62">
        <f t="shared" ref="AF2:AF11" si="0">SUM($AG2:$AAC2)</f>
        <v>0</v>
      </c>
      <c r="AG2" s="49">
        <f>SUMPRODUCT((Synthèse!G$11:G$267="Validé")*(Synthèse!$D$11:$D$267&lt;&gt;"AAA"))</f>
        <v>0</v>
      </c>
      <c r="AH2" s="49">
        <f>SUMPRODUCT((Synthèse!H$11:H$267="Validé")*(Synthèse!$D$11:$D$267&lt;&gt;"AAA"))</f>
        <v>0</v>
      </c>
      <c r="AI2" s="49">
        <f>SUMPRODUCT((Synthèse!I$11:I$267="Validé")*(Synthèse!$D$11:$D$267&lt;&gt;"AAA"))</f>
        <v>0</v>
      </c>
      <c r="AJ2" s="49">
        <f>SUMPRODUCT((Synthèse!J$11:J$267="Validé")*(Synthèse!$D$11:$D$267&lt;&gt;"AAA"))</f>
        <v>0</v>
      </c>
      <c r="AK2" s="49">
        <f>SUMPRODUCT((Synthèse!K$11:K$267="Validé")*(Synthèse!$D$11:$D$267&lt;&gt;"AAA"))</f>
        <v>0</v>
      </c>
      <c r="AL2" s="49">
        <f>SUMPRODUCT((Synthèse!L$11:L$267="Validé")*(Synthèse!$D$11:$D$267&lt;&gt;"AAA"))</f>
        <v>0</v>
      </c>
      <c r="AM2" s="49">
        <f>SUMPRODUCT((Synthèse!M$11:M$267="Validé")*(Synthèse!$D$11:$D$267&lt;&gt;"AAA"))</f>
        <v>0</v>
      </c>
      <c r="AN2" s="49">
        <f>SUMPRODUCT((Synthèse!N$11:N$267="Validé")*(Synthèse!$D$11:$D$267&lt;&gt;"AAA"))</f>
        <v>0</v>
      </c>
      <c r="AO2" s="49">
        <f>SUMPRODUCT((Synthèse!O$11:O$267="Validé")*(Synthèse!$D$11:$D$267&lt;&gt;"AAA"))</f>
        <v>0</v>
      </c>
      <c r="AP2" s="49">
        <f>SUMPRODUCT((Synthèse!P$11:P$267="Validé")*(Synthèse!$D$11:$D$267&lt;&gt;"AAA"))</f>
        <v>0</v>
      </c>
      <c r="AQ2" s="49">
        <f>SUMPRODUCT((Synthèse!Q$11:Q$267="Validé")*(Synthèse!$D$11:$D$267&lt;&gt;"AAA"))</f>
        <v>0</v>
      </c>
      <c r="AR2" s="49">
        <f>SUMPRODUCT((Synthèse!R$11:R$267="Validé")*(Synthèse!$D$11:$D$267&lt;&gt;"AAA"))</f>
        <v>0</v>
      </c>
    </row>
    <row r="3" spans="1:44" x14ac:dyDescent="0.35">
      <c r="B3" s="101" t="str">
        <f>Modèle!B5</f>
        <v>Images</v>
      </c>
      <c r="C3" s="107" t="str">
        <f>Modèle!D5</f>
        <v>1.1.2</v>
      </c>
      <c r="D3" s="108" t="str">
        <f>Modèle!E5</f>
        <v>A</v>
      </c>
      <c r="E3" s="231">
        <f ca="1">COUNTIF(OFFSET(Synthèse!$G12,0,0,1,COUNTA(Synthèse!$10:$10)-6),"="&amp;$E$1)</f>
        <v>0</v>
      </c>
      <c r="F3" s="231">
        <f ca="1">COUNTIF(OFFSET(Synthèse!$G12,0,0,1,COUNTA(Synthèse!$10:$10)-6),"="&amp;$F$1)</f>
        <v>0</v>
      </c>
      <c r="G3" s="231">
        <f ca="1">COUNTIF(OFFSET(Synthèse!$G12,0,0,1,COUNTA(Synthèse!$10:$10)-6),"="&amp;$G$1)</f>
        <v>0</v>
      </c>
      <c r="H3" s="231">
        <f ca="1">COUNTIF(OFFSET(Synthèse!$G12,0,0,1,COUNTA(Synthèse!$10:$10)-6),"="&amp;$H$1)</f>
        <v>0</v>
      </c>
      <c r="I3" s="18">
        <f t="shared" ref="I3:I66" ca="1" si="1">SUM(E3:H3)</f>
        <v>0</v>
      </c>
      <c r="J3" s="96"/>
      <c r="L3" s="228" t="s">
        <v>5</v>
      </c>
      <c r="M3" s="229">
        <f ca="1">SUMIF($D$2:$D$59,"&lt;&gt;AAA",E$2:E$59)</f>
        <v>0</v>
      </c>
      <c r="N3" s="229">
        <f ca="1">SUMIF($D$2:$D$59,"&lt;&gt;AAA",F$2:F$59)</f>
        <v>0</v>
      </c>
      <c r="O3" s="229">
        <f t="shared" ref="O3:P3" ca="1" si="2">SUMIF($D$2:$D$59,"&lt;&gt;AAA",G$2:G$59)</f>
        <v>0</v>
      </c>
      <c r="P3" s="229">
        <f t="shared" ca="1" si="2"/>
        <v>0</v>
      </c>
      <c r="Q3" s="12"/>
      <c r="R3" s="12"/>
      <c r="S3" s="96"/>
      <c r="T3" s="23" t="s">
        <v>681</v>
      </c>
      <c r="U3" s="96"/>
      <c r="V3" s="24">
        <v>2</v>
      </c>
      <c r="W3" s="21" t="s">
        <v>30</v>
      </c>
      <c r="Y3" s="22" t="s">
        <v>34</v>
      </c>
      <c r="Z3" s="22" t="s">
        <v>36</v>
      </c>
      <c r="AB3" s="30" t="s">
        <v>11</v>
      </c>
      <c r="AC3" s="30" t="s">
        <v>19</v>
      </c>
      <c r="AF3" s="62">
        <f t="shared" si="0"/>
        <v>0</v>
      </c>
      <c r="AG3" s="49">
        <f>SUMPRODUCT((Synthèse!G$11:G$267="Invalidé")*(Synthèse!$D$11:$D$267&lt;&gt;"AAA"))</f>
        <v>0</v>
      </c>
      <c r="AH3" s="49">
        <f>SUMPRODUCT((Synthèse!H$11:H$267="Invalidé")*(Synthèse!$D$11:$D$267&lt;&gt;"AAA"))</f>
        <v>0</v>
      </c>
      <c r="AI3" s="49">
        <f>SUMPRODUCT((Synthèse!I$11:I$267="Invalidé")*(Synthèse!$D$11:$D$267&lt;&gt;"AAA"))</f>
        <v>0</v>
      </c>
      <c r="AJ3" s="49">
        <f>SUMPRODUCT((Synthèse!J$11:J$267="Invalidé")*(Synthèse!$D$11:$D$267&lt;&gt;"AAA"))</f>
        <v>0</v>
      </c>
      <c r="AK3" s="49">
        <f>SUMPRODUCT((Synthèse!K$11:K$267="Invalidé")*(Synthèse!$D$11:$D$267&lt;&gt;"AAA"))</f>
        <v>0</v>
      </c>
      <c r="AL3" s="49">
        <f>SUMPRODUCT((Synthèse!L$11:L$267="Invalidé")*(Synthèse!$D$11:$D$267&lt;&gt;"AAA"))</f>
        <v>0</v>
      </c>
      <c r="AM3" s="49">
        <f>SUMPRODUCT((Synthèse!M$11:M$267="Invalidé")*(Synthèse!$D$11:$D$267&lt;&gt;"AAA"))</f>
        <v>0</v>
      </c>
      <c r="AN3" s="49">
        <f>SUMPRODUCT((Synthèse!N$11:N$267="Invalidé")*(Synthèse!$D$11:$D$267&lt;&gt;"AAA"))</f>
        <v>0</v>
      </c>
      <c r="AO3" s="49">
        <f>SUMPRODUCT((Synthèse!O$11:O$267="Invalidé")*(Synthèse!$D$11:$D$267&lt;&gt;"AAA"))</f>
        <v>0</v>
      </c>
      <c r="AP3" s="49">
        <f>SUMPRODUCT((Synthèse!P$11:P$267="Invalidé")*(Synthèse!$D$11:$D$267&lt;&gt;"AAA"))</f>
        <v>0</v>
      </c>
      <c r="AQ3" s="49">
        <f>SUMPRODUCT((Synthèse!Q$11:Q$267="Invalidé")*(Synthèse!$D$11:$D$267&lt;&gt;"AAA"))</f>
        <v>0</v>
      </c>
      <c r="AR3" s="49">
        <f>SUMPRODUCT((Synthèse!R$11:R$267="Invalidé")*(Synthèse!$D$11:$D$267&lt;&gt;"AAA"))</f>
        <v>0</v>
      </c>
    </row>
    <row r="4" spans="1:44" ht="15.75" customHeight="1" x14ac:dyDescent="0.35">
      <c r="A4" s="97"/>
      <c r="B4" s="101" t="str">
        <f>Modèle!B6</f>
        <v>Images</v>
      </c>
      <c r="C4" s="107" t="str">
        <f>Modèle!D6</f>
        <v>1.1.3</v>
      </c>
      <c r="D4" s="108" t="str">
        <f>Modèle!E6</f>
        <v>A</v>
      </c>
      <c r="E4" s="231">
        <f ca="1">COUNTIF(OFFSET(Synthèse!$G13,0,0,1,COUNTA(Synthèse!$10:$10)-6),"="&amp;$E$1)</f>
        <v>0</v>
      </c>
      <c r="F4" s="231">
        <f ca="1">COUNTIF(OFFSET(Synthèse!$G13,0,0,1,COUNTA(Synthèse!$10:$10)-6),"="&amp;$F$1)</f>
        <v>0</v>
      </c>
      <c r="G4" s="231">
        <f ca="1">COUNTIF(OFFSET(Synthèse!$G13,0,0,1,COUNTA(Synthèse!$10:$10)-6),"="&amp;$G$1)</f>
        <v>0</v>
      </c>
      <c r="H4" s="231">
        <f ca="1">COUNTIF(OFFSET(Synthèse!$G13,0,0,1,COUNTA(Synthèse!$10:$10)-6),"="&amp;$H$1)</f>
        <v>0</v>
      </c>
      <c r="I4" s="18">
        <f t="shared" ca="1" si="1"/>
        <v>0</v>
      </c>
      <c r="J4" s="96"/>
      <c r="L4" s="228" t="s">
        <v>39</v>
      </c>
      <c r="M4" s="229">
        <f ca="1">SUMIF($D$60:$D$61,"&lt;&gt;AAA",E$60:E$61)</f>
        <v>0</v>
      </c>
      <c r="N4" s="229">
        <f ca="1">SUMIF($D$60:$D$61,"&lt;&gt;AAA",F$60:F$61)</f>
        <v>0</v>
      </c>
      <c r="O4" s="229">
        <f t="shared" ref="O4:P4" ca="1" si="3">SUMIF($D$60:$D$61,"&lt;&gt;AAA",G$60:G$61)</f>
        <v>0</v>
      </c>
      <c r="P4" s="229">
        <f t="shared" ca="1" si="3"/>
        <v>0</v>
      </c>
      <c r="Q4" s="12"/>
      <c r="R4" s="12"/>
      <c r="S4" s="96"/>
      <c r="T4" s="23" t="s">
        <v>682</v>
      </c>
      <c r="U4" s="96"/>
      <c r="V4" s="24">
        <v>3</v>
      </c>
      <c r="W4" s="21" t="s">
        <v>31</v>
      </c>
      <c r="Y4" s="13"/>
      <c r="Z4" s="13"/>
      <c r="AB4" s="30" t="s">
        <v>43</v>
      </c>
      <c r="AC4" s="30" t="s">
        <v>44</v>
      </c>
      <c r="AF4" s="62">
        <f t="shared" si="0"/>
        <v>0</v>
      </c>
      <c r="AG4" s="49">
        <f>SUMPRODUCT((Synthèse!G$11:G$267="Indéterminé")*(Synthèse!$D$11:$D$267&lt;&gt;"AAA"))</f>
        <v>0</v>
      </c>
      <c r="AH4" s="49">
        <f>SUMPRODUCT((Synthèse!H$11:H$267="Indéterminé")*(Synthèse!$D$11:$D$267&lt;&gt;"AAA"))</f>
        <v>0</v>
      </c>
      <c r="AI4" s="49">
        <f>SUMPRODUCT((Synthèse!I$11:I$267="Indéterminé")*(Synthèse!$D$11:$D$267&lt;&gt;"AAA"))</f>
        <v>0</v>
      </c>
      <c r="AJ4" s="49">
        <f>SUMPRODUCT((Synthèse!J$11:J$267="Indéterminé")*(Synthèse!$D$11:$D$267&lt;&gt;"AAA"))</f>
        <v>0</v>
      </c>
      <c r="AK4" s="49">
        <f>SUMPRODUCT((Synthèse!K$11:K$267="Indéterminé")*(Synthèse!$D$11:$D$267&lt;&gt;"AAA"))</f>
        <v>0</v>
      </c>
      <c r="AL4" s="49">
        <f>SUMPRODUCT((Synthèse!L$11:L$267="Indéterminé")*(Synthèse!$D$11:$D$267&lt;&gt;"AAA"))</f>
        <v>0</v>
      </c>
      <c r="AM4" s="49">
        <f>SUMPRODUCT((Synthèse!M$11:M$267="Indéterminé")*(Synthèse!$D$11:$D$267&lt;&gt;"AAA"))</f>
        <v>0</v>
      </c>
      <c r="AN4" s="49">
        <f>SUMPRODUCT((Synthèse!N$11:N$267="Indéterminé")*(Synthèse!$D$11:$D$267&lt;&gt;"AAA"))</f>
        <v>0</v>
      </c>
      <c r="AO4" s="49">
        <f>SUMPRODUCT((Synthèse!O$11:O$267="Indéterminé")*(Synthèse!$D$11:$D$267&lt;&gt;"AAA"))</f>
        <v>0</v>
      </c>
      <c r="AP4" s="49">
        <f>SUMPRODUCT((Synthèse!P$11:P$267="Indéterminé")*(Synthèse!$D$11:$D$267&lt;&gt;"AAA"))</f>
        <v>0</v>
      </c>
      <c r="AQ4" s="49">
        <f>SUMPRODUCT((Synthèse!Q$11:Q$267="Indéterminé")*(Synthèse!$D$11:$D$267&lt;&gt;"AAA"))</f>
        <v>0</v>
      </c>
      <c r="AR4" s="49">
        <f>SUMPRODUCT((Synthèse!R$11:R$267="Indéterminé")*(Synthèse!$D$11:$D$267&lt;&gt;"AAA"))</f>
        <v>0</v>
      </c>
    </row>
    <row r="5" spans="1:44" ht="15.75" customHeight="1" x14ac:dyDescent="0.35">
      <c r="A5" s="97"/>
      <c r="B5" s="101" t="str">
        <f>Modèle!B7</f>
        <v>Images</v>
      </c>
      <c r="C5" s="107" t="str">
        <f>Modèle!D7</f>
        <v>1.1.4</v>
      </c>
      <c r="D5" s="108" t="str">
        <f>Modèle!E7</f>
        <v>A</v>
      </c>
      <c r="E5" s="231">
        <f ca="1">COUNTIF(OFFSET(Synthèse!$G14,0,0,1,COUNTA(Synthèse!$10:$10)-6),"="&amp;$E$1)</f>
        <v>0</v>
      </c>
      <c r="F5" s="231">
        <f ca="1">COUNTIF(OFFSET(Synthèse!$G14,0,0,1,COUNTA(Synthèse!$10:$10)-6),"="&amp;$F$1)</f>
        <v>0</v>
      </c>
      <c r="G5" s="231">
        <f ca="1">COUNTIF(OFFSET(Synthèse!$G14,0,0,1,COUNTA(Synthèse!$10:$10)-6),"="&amp;$G$1)</f>
        <v>0</v>
      </c>
      <c r="H5" s="231">
        <f ca="1">COUNTIF(OFFSET(Synthèse!$G14,0,0,1,COUNTA(Synthèse!$10:$10)-6),"="&amp;$H$1)</f>
        <v>0</v>
      </c>
      <c r="I5" s="18">
        <f t="shared" ca="1" si="1"/>
        <v>0</v>
      </c>
      <c r="L5" s="228" t="s">
        <v>3</v>
      </c>
      <c r="M5" s="229">
        <f ca="1">SUMIF($D$62:$D$76,"&lt;&gt;AAA",E$62:E$76)</f>
        <v>0</v>
      </c>
      <c r="N5" s="229">
        <f ca="1">SUMIF($D$62:$D$76,"&lt;&gt;AAA",F$62:F$76)</f>
        <v>0</v>
      </c>
      <c r="O5" s="229">
        <f t="shared" ref="O5:P5" ca="1" si="4">SUMIF($D$62:$D$76,"&lt;&gt;AAA",G$62:G$76)</f>
        <v>0</v>
      </c>
      <c r="P5" s="229">
        <f t="shared" ca="1" si="4"/>
        <v>0</v>
      </c>
      <c r="Q5" s="12"/>
      <c r="R5" s="12"/>
      <c r="X5" s="96"/>
      <c r="AB5" s="30" t="s">
        <v>13</v>
      </c>
      <c r="AC5" s="30" t="s">
        <v>45</v>
      </c>
      <c r="AF5" s="62">
        <f t="shared" si="0"/>
        <v>0</v>
      </c>
      <c r="AG5" s="49">
        <f>SUMPRODUCT((Synthèse!G$11:G$267="NA")*(Synthèse!$D$11:$D$267&lt;&gt;"AAA"))</f>
        <v>0</v>
      </c>
      <c r="AH5" s="49">
        <f>SUMPRODUCT((Synthèse!H$11:H$267="NA")*(Synthèse!$D$11:$D$267&lt;&gt;"AAA"))</f>
        <v>0</v>
      </c>
      <c r="AI5" s="49">
        <f>SUMPRODUCT((Synthèse!I$11:I$267="NA")*(Synthèse!$D$11:$D$267&lt;&gt;"AAA"))</f>
        <v>0</v>
      </c>
      <c r="AJ5" s="49">
        <f>SUMPRODUCT((Synthèse!J$11:J$267="NA")*(Synthèse!$D$11:$D$267&lt;&gt;"AAA"))</f>
        <v>0</v>
      </c>
      <c r="AK5" s="49">
        <f>SUMPRODUCT((Synthèse!K$11:K$267="NA")*(Synthèse!$D$11:$D$267&lt;&gt;"AAA"))</f>
        <v>0</v>
      </c>
      <c r="AL5" s="49">
        <f>SUMPRODUCT((Synthèse!L$11:L$267="NA")*(Synthèse!$D$11:$D$267&lt;&gt;"AAA"))</f>
        <v>0</v>
      </c>
      <c r="AM5" s="49">
        <f>SUMPRODUCT((Synthèse!M$11:M$267="NA")*(Synthèse!$D$11:$D$267&lt;&gt;"AAA"))</f>
        <v>0</v>
      </c>
      <c r="AN5" s="49">
        <f>SUMPRODUCT((Synthèse!N$11:N$267="NA")*(Synthèse!$D$11:$D$267&lt;&gt;"AAA"))</f>
        <v>0</v>
      </c>
      <c r="AO5" s="49">
        <f>SUMPRODUCT((Synthèse!O$11:O$267="NA")*(Synthèse!$D$11:$D$267&lt;&gt;"AAA"))</f>
        <v>0</v>
      </c>
      <c r="AP5" s="49">
        <f>SUMPRODUCT((Synthèse!P$11:P$267="NA")*(Synthèse!$D$11:$D$267&lt;&gt;"AAA"))</f>
        <v>0</v>
      </c>
      <c r="AQ5" s="49">
        <f>SUMPRODUCT((Synthèse!Q$11:Q$267="NA")*(Synthèse!$D$11:$D$267&lt;&gt;"AAA"))</f>
        <v>0</v>
      </c>
      <c r="AR5" s="49">
        <f>SUMPRODUCT((Synthèse!R$11:R$267="NA")*(Synthèse!$D$11:$D$267&lt;&gt;"AAA"))</f>
        <v>0</v>
      </c>
    </row>
    <row r="6" spans="1:44" x14ac:dyDescent="0.35">
      <c r="A6" s="97"/>
      <c r="B6" s="101" t="str">
        <f>Modèle!B8</f>
        <v>Images</v>
      </c>
      <c r="C6" s="107" t="str">
        <f>Modèle!D8</f>
        <v>1.1.5</v>
      </c>
      <c r="D6" s="108" t="str">
        <f>Modèle!E8</f>
        <v>A</v>
      </c>
      <c r="E6" s="231">
        <f ca="1">COUNTIF(OFFSET(Synthèse!$G15,0,0,1,COUNTA(Synthèse!$10:$10)-6),"="&amp;$E$1)</f>
        <v>0</v>
      </c>
      <c r="F6" s="231">
        <f ca="1">COUNTIF(OFFSET(Synthèse!$G15,0,0,1,COUNTA(Synthèse!$10:$10)-6),"="&amp;$F$1)</f>
        <v>0</v>
      </c>
      <c r="G6" s="231">
        <f ca="1">COUNTIF(OFFSET(Synthèse!$G15,0,0,1,COUNTA(Synthèse!$10:$10)-6),"="&amp;$G$1)</f>
        <v>0</v>
      </c>
      <c r="H6" s="231">
        <f ca="1">COUNTIF(OFFSET(Synthèse!$G15,0,0,1,COUNTA(Synthèse!$10:$10)-6),"="&amp;$H$1)</f>
        <v>0</v>
      </c>
      <c r="I6" s="18">
        <f t="shared" ca="1" si="1"/>
        <v>0</v>
      </c>
      <c r="L6" s="228" t="s">
        <v>6</v>
      </c>
      <c r="M6" s="229">
        <f ca="1">SUMIF($D$77:$D$101,"&lt;&gt;AAA",E$77:E$101)</f>
        <v>0</v>
      </c>
      <c r="N6" s="229">
        <f ca="1">SUMIF($D$77:$D$101,"&lt;&gt;AAA",F$77:F$101)</f>
        <v>0</v>
      </c>
      <c r="O6" s="229">
        <f ca="1">SUMIF($D$77:$D$101,"&lt;&gt;AAA",G$77:G$101)</f>
        <v>0</v>
      </c>
      <c r="P6" s="229">
        <f ca="1">SUMIF($D$77:$D$101,"&lt;&gt;AAA",H$77:H$101)</f>
        <v>0</v>
      </c>
      <c r="Q6" s="12"/>
      <c r="R6" s="12"/>
      <c r="X6" s="96"/>
      <c r="AB6" s="30" t="s">
        <v>624</v>
      </c>
      <c r="AC6" s="30" t="s">
        <v>625</v>
      </c>
      <c r="AF6" s="63">
        <f t="shared" si="0"/>
        <v>0</v>
      </c>
      <c r="AG6" s="50">
        <f>SUMPRODUCT((Synthèse!G$11:G$267="Validé")*(Synthèse!$D$11:$D$267="AAA"))</f>
        <v>0</v>
      </c>
      <c r="AH6" s="50">
        <f>SUMPRODUCT((Synthèse!H$11:H$267="Validé")*(Synthèse!$D$11:$D$267="AAA"))</f>
        <v>0</v>
      </c>
      <c r="AI6" s="50">
        <f>SUMPRODUCT((Synthèse!I$11:I$267="Validé")*(Synthèse!$D$11:$D$267="AAA"))</f>
        <v>0</v>
      </c>
      <c r="AJ6" s="50">
        <f>SUMPRODUCT((Synthèse!J$11:J$267="Validé")*(Synthèse!$D$11:$D$267="AAA"))</f>
        <v>0</v>
      </c>
      <c r="AK6" s="50">
        <f>SUMPRODUCT((Synthèse!K$11:K$267="Validé")*(Synthèse!$D$11:$D$267="AAA"))</f>
        <v>0</v>
      </c>
      <c r="AL6" s="50">
        <f>SUMPRODUCT((Synthèse!L$11:L$267="Validé")*(Synthèse!$D$11:$D$267="AAA"))</f>
        <v>0</v>
      </c>
      <c r="AM6" s="50">
        <f>SUMPRODUCT((Synthèse!M$11:M$267="Validé")*(Synthèse!$D$11:$D$267="AAA"))</f>
        <v>0</v>
      </c>
      <c r="AN6" s="50">
        <f>SUMPRODUCT((Synthèse!N$11:N$267="Validé")*(Synthèse!$D$11:$D$267="AAA"))</f>
        <v>0</v>
      </c>
      <c r="AO6" s="50">
        <f>SUMPRODUCT((Synthèse!O$11:O$267="Validé")*(Synthèse!$D$11:$D$267="AAA"))</f>
        <v>0</v>
      </c>
      <c r="AP6" s="50">
        <f>SUMPRODUCT((Synthèse!P$11:P$267="Validé")*(Synthèse!$D$11:$D$267="AAA"))</f>
        <v>0</v>
      </c>
      <c r="AQ6" s="50">
        <f>SUMPRODUCT((Synthèse!Q$11:Q$267="Validé")*(Synthèse!$D$11:$D$267="AAA"))</f>
        <v>0</v>
      </c>
      <c r="AR6" s="50">
        <f>SUMPRODUCT((Synthèse!R$11:R$267="Validé")*(Synthèse!$D$11:$D$267="AAA"))</f>
        <v>0</v>
      </c>
    </row>
    <row r="7" spans="1:44" x14ac:dyDescent="0.35">
      <c r="B7" s="101" t="str">
        <f>Modèle!B9</f>
        <v>Images</v>
      </c>
      <c r="C7" s="107" t="str">
        <f>Modèle!D9</f>
        <v>1.1.6</v>
      </c>
      <c r="D7" s="108" t="str">
        <f>Modèle!E9</f>
        <v>A</v>
      </c>
      <c r="E7" s="231">
        <f ca="1">COUNTIF(OFFSET(Synthèse!$G16,0,0,1,COUNTA(Synthèse!$10:$10)-6),"="&amp;$E$1)</f>
        <v>0</v>
      </c>
      <c r="F7" s="231">
        <f ca="1">COUNTIF(OFFSET(Synthèse!$G16,0,0,1,COUNTA(Synthèse!$10:$10)-6),"="&amp;$F$1)</f>
        <v>0</v>
      </c>
      <c r="G7" s="231">
        <f ca="1">COUNTIF(OFFSET(Synthèse!$G16,0,0,1,COUNTA(Synthèse!$10:$10)-6),"="&amp;$G$1)</f>
        <v>0</v>
      </c>
      <c r="H7" s="231">
        <f ca="1">COUNTIF(OFFSET(Synthèse!$G16,0,0,1,COUNTA(Synthèse!$10:$10)-6),"="&amp;$H$1)</f>
        <v>0</v>
      </c>
      <c r="I7" s="18">
        <f t="shared" ca="1" si="1"/>
        <v>0</v>
      </c>
      <c r="L7" s="228" t="s">
        <v>9</v>
      </c>
      <c r="M7" s="229">
        <f ca="1">SUMIF($D$102:$D$115,"&lt;&gt;AAA",E$102:E$115)</f>
        <v>0</v>
      </c>
      <c r="N7" s="229">
        <f ca="1">SUMIF($D$102:$D$115,"&lt;&gt;AAA",F$102:F$115)</f>
        <v>0</v>
      </c>
      <c r="O7" s="229">
        <f ca="1">SUMIF($D$102:$D$115,"&lt;&gt;AAA",G$102:G$115)</f>
        <v>0</v>
      </c>
      <c r="P7" s="229">
        <f t="shared" ref="P7" ca="1" si="5">SUMIF($D$102:$D$115,"&lt;&gt;AAA",H$102:H$115)</f>
        <v>0</v>
      </c>
      <c r="Q7" s="12"/>
      <c r="R7" s="12"/>
      <c r="AF7" s="63">
        <f t="shared" si="0"/>
        <v>0</v>
      </c>
      <c r="AG7" s="50">
        <f>SUMPRODUCT((Synthèse!G$11:G$267="Invalidé")*(Synthèse!$D$11:$D$267="AAA"))</f>
        <v>0</v>
      </c>
      <c r="AH7" s="50">
        <f>SUMPRODUCT((Synthèse!H$11:H$267="Invalidé")*(Synthèse!$D$11:$D$267="AAA"))</f>
        <v>0</v>
      </c>
      <c r="AI7" s="50">
        <f>SUMPRODUCT((Synthèse!I$11:I$267="Invalidé")*(Synthèse!$D$11:$D$267="AAA"))</f>
        <v>0</v>
      </c>
      <c r="AJ7" s="50">
        <f>SUMPRODUCT((Synthèse!J$11:J$267="Invalidé")*(Synthèse!$D$11:$D$267="AAA"))</f>
        <v>0</v>
      </c>
      <c r="AK7" s="50">
        <f>SUMPRODUCT((Synthèse!K$11:K$267="Invalidé")*(Synthèse!$D$11:$D$267="AAA"))</f>
        <v>0</v>
      </c>
      <c r="AL7" s="50">
        <f>SUMPRODUCT((Synthèse!L$11:L$267="Invalidé")*(Synthèse!$D$11:$D$267="AAA"))</f>
        <v>0</v>
      </c>
      <c r="AM7" s="50">
        <f>SUMPRODUCT((Synthèse!M$11:M$267="Invalidé")*(Synthèse!$D$11:$D$267="AAA"))</f>
        <v>0</v>
      </c>
      <c r="AN7" s="50">
        <f>SUMPRODUCT((Synthèse!N$11:N$267="Invalidé")*(Synthèse!$D$11:$D$267="AAA"))</f>
        <v>0</v>
      </c>
      <c r="AO7" s="50">
        <f>SUMPRODUCT((Synthèse!O$11:O$267="Invalidé")*(Synthèse!$D$11:$D$267="AAA"))</f>
        <v>0</v>
      </c>
      <c r="AP7" s="50">
        <f>SUMPRODUCT((Synthèse!P$11:P$267="Invalidé")*(Synthèse!$D$11:$D$267="AAA"))</f>
        <v>0</v>
      </c>
      <c r="AQ7" s="50">
        <f>SUMPRODUCT((Synthèse!Q$11:Q$267="Invalidé")*(Synthèse!$D$11:$D$267="AAA"))</f>
        <v>0</v>
      </c>
      <c r="AR7" s="50">
        <f>SUMPRODUCT((Synthèse!R$11:R$267="Invalidé")*(Synthèse!$D$11:$D$267="AAA"))</f>
        <v>0</v>
      </c>
    </row>
    <row r="8" spans="1:44" x14ac:dyDescent="0.35">
      <c r="B8" s="101" t="str">
        <f>Modèle!B10</f>
        <v>Images</v>
      </c>
      <c r="C8" s="107" t="str">
        <f>Modèle!D10</f>
        <v>1.1.7</v>
      </c>
      <c r="D8" s="108" t="str">
        <f>Modèle!E10</f>
        <v>A</v>
      </c>
      <c r="E8" s="231">
        <f ca="1">COUNTIF(OFFSET(Synthèse!$G17,0,0,1,COUNTA(Synthèse!$10:$10)-6),"="&amp;$E$1)</f>
        <v>0</v>
      </c>
      <c r="F8" s="231">
        <f ca="1">COUNTIF(OFFSET(Synthèse!$G17,0,0,1,COUNTA(Synthèse!$10:$10)-6),"="&amp;$F$1)</f>
        <v>0</v>
      </c>
      <c r="G8" s="231">
        <f ca="1">COUNTIF(OFFSET(Synthèse!$G17,0,0,1,COUNTA(Synthèse!$10:$10)-6),"="&amp;$G$1)</f>
        <v>0</v>
      </c>
      <c r="H8" s="231">
        <f ca="1">COUNTIF(OFFSET(Synthèse!$G17,0,0,1,COUNTA(Synthèse!$10:$10)-6),"="&amp;$H$1)</f>
        <v>0</v>
      </c>
      <c r="I8" s="18">
        <f t="shared" ca="1" si="1"/>
        <v>0</v>
      </c>
      <c r="L8" s="228" t="s">
        <v>359</v>
      </c>
      <c r="M8" s="229">
        <f ca="1">SUMIF($D$116:$D$121,"&lt;&gt;AAA",E$116:E$121)</f>
        <v>0</v>
      </c>
      <c r="N8" s="229">
        <f ca="1">SUMIF($D$116:$D$121,"&lt;&gt;AAA",F$116:F$121)</f>
        <v>0</v>
      </c>
      <c r="O8" s="229">
        <f t="shared" ref="O8:P8" ca="1" si="6">SUMIF($D$116:$D$121,"&lt;&gt;AAA",G$116:G$121)</f>
        <v>0</v>
      </c>
      <c r="P8" s="229">
        <f t="shared" ca="1" si="6"/>
        <v>0</v>
      </c>
      <c r="Q8" s="12"/>
      <c r="R8" s="12"/>
      <c r="AF8" s="63">
        <f t="shared" si="0"/>
        <v>0</v>
      </c>
      <c r="AG8" s="50">
        <f>SUMPRODUCT((Synthèse!G$11:G$267="Indéterminé")*(Synthèse!$D$11:$D$267="AAA"))</f>
        <v>0</v>
      </c>
      <c r="AH8" s="50">
        <f>SUMPRODUCT((Synthèse!H$11:H$267="Indéterminé")*(Synthèse!$D$11:$D$267="AAA"))</f>
        <v>0</v>
      </c>
      <c r="AI8" s="50">
        <f>SUMPRODUCT((Synthèse!I$11:I$267="Indéterminé")*(Synthèse!$D$11:$D$267="AAA"))</f>
        <v>0</v>
      </c>
      <c r="AJ8" s="50">
        <f>SUMPRODUCT((Synthèse!J$11:J$267="Indéterminé")*(Synthèse!$D$11:$D$267="AAA"))</f>
        <v>0</v>
      </c>
      <c r="AK8" s="50">
        <f>SUMPRODUCT((Synthèse!K$11:K$267="Indéterminé")*(Synthèse!$D$11:$D$267="AAA"))</f>
        <v>0</v>
      </c>
      <c r="AL8" s="50">
        <f>SUMPRODUCT((Synthèse!L$11:L$267="Indéterminé")*(Synthèse!$D$11:$D$267="AAA"))</f>
        <v>0</v>
      </c>
      <c r="AM8" s="50">
        <f>SUMPRODUCT((Synthèse!M$11:M$267="Indéterminé")*(Synthèse!$D$11:$D$267="AAA"))</f>
        <v>0</v>
      </c>
      <c r="AN8" s="50">
        <f>SUMPRODUCT((Synthèse!N$11:N$267="Indéterminé")*(Synthèse!$D$11:$D$267="AAA"))</f>
        <v>0</v>
      </c>
      <c r="AO8" s="50">
        <f>SUMPRODUCT((Synthèse!O$11:O$267="Indéterminé")*(Synthèse!$D$11:$D$267="AAA"))</f>
        <v>0</v>
      </c>
      <c r="AP8" s="50">
        <f>SUMPRODUCT((Synthèse!P$11:P$267="Indéterminé")*(Synthèse!$D$11:$D$267="AAA"))</f>
        <v>0</v>
      </c>
      <c r="AQ8" s="50">
        <f>SUMPRODUCT((Synthèse!Q$11:Q$267="Indéterminé")*(Synthèse!$D$11:$D$267="AAA"))</f>
        <v>0</v>
      </c>
      <c r="AR8" s="50">
        <f>SUMPRODUCT((Synthèse!R$11:R$267="Indéterminé")*(Synthèse!$D$11:$D$267="AAA"))</f>
        <v>0</v>
      </c>
    </row>
    <row r="9" spans="1:44" x14ac:dyDescent="0.35">
      <c r="B9" s="101" t="str">
        <f>Modèle!B11</f>
        <v>Images</v>
      </c>
      <c r="C9" s="107" t="str">
        <f>Modèle!D11</f>
        <v>1.1.8</v>
      </c>
      <c r="D9" s="108" t="str">
        <f>Modèle!E11</f>
        <v>A</v>
      </c>
      <c r="E9" s="231">
        <f ca="1">COUNTIF(OFFSET(Synthèse!$G18,0,0,1,COUNTA(Synthèse!$10:$10)-6),"="&amp;$E$1)</f>
        <v>0</v>
      </c>
      <c r="F9" s="231">
        <f ca="1">COUNTIF(OFFSET(Synthèse!$G18,0,0,1,COUNTA(Synthèse!$10:$10)-6),"="&amp;$F$1)</f>
        <v>0</v>
      </c>
      <c r="G9" s="231">
        <f ca="1">COUNTIF(OFFSET(Synthèse!$G18,0,0,1,COUNTA(Synthèse!$10:$10)-6),"="&amp;$G$1)</f>
        <v>0</v>
      </c>
      <c r="H9" s="231">
        <f ca="1">COUNTIF(OFFSET(Synthèse!$G18,0,0,1,COUNTA(Synthèse!$10:$10)-6),"="&amp;$H$1)</f>
        <v>0</v>
      </c>
      <c r="I9" s="18">
        <f t="shared" ca="1" si="1"/>
        <v>0</v>
      </c>
      <c r="L9" s="228" t="s">
        <v>8</v>
      </c>
      <c r="M9" s="229">
        <f ca="1">SUMIF($D$122:$D$132,"&lt;&gt;AAA",E$122:E$132)</f>
        <v>0</v>
      </c>
      <c r="N9" s="229">
        <f ca="1">SUMIF($D$122:$D$132,"&lt;&gt;AAA",F$122:F$132)</f>
        <v>0</v>
      </c>
      <c r="O9" s="229">
        <f t="shared" ref="O9:P9" ca="1" si="7">SUMIF($D$122:$D$132,"&lt;&gt;AAA",G$122:G$132)</f>
        <v>0</v>
      </c>
      <c r="P9" s="229">
        <f t="shared" ca="1" si="7"/>
        <v>0</v>
      </c>
      <c r="Q9" s="12"/>
      <c r="R9" s="12"/>
      <c r="AF9" s="63">
        <f t="shared" si="0"/>
        <v>0</v>
      </c>
      <c r="AG9" s="50">
        <f>SUMPRODUCT((Synthèse!G$11:G$267="NA")*(Synthèse!$D$11:$D$267="AAA"))</f>
        <v>0</v>
      </c>
      <c r="AH9" s="50">
        <f>SUMPRODUCT((Synthèse!H$11:H$267="NA")*(Synthèse!$D$11:$D$267="AAA"))</f>
        <v>0</v>
      </c>
      <c r="AI9" s="50">
        <f>SUMPRODUCT((Synthèse!I$11:I$267="NA")*(Synthèse!$D$11:$D$267="AAA"))</f>
        <v>0</v>
      </c>
      <c r="AJ9" s="50">
        <f>SUMPRODUCT((Synthèse!J$11:J$267="NA")*(Synthèse!$D$11:$D$267="AAA"))</f>
        <v>0</v>
      </c>
      <c r="AK9" s="50">
        <f>SUMPRODUCT((Synthèse!K$11:K$267="NA")*(Synthèse!$D$11:$D$267="AAA"))</f>
        <v>0</v>
      </c>
      <c r="AL9" s="50">
        <f>SUMPRODUCT((Synthèse!L$11:L$267="NA")*(Synthèse!$D$11:$D$267="AAA"))</f>
        <v>0</v>
      </c>
      <c r="AM9" s="50">
        <f>SUMPRODUCT((Synthèse!M$11:M$267="NA")*(Synthèse!$D$11:$D$267="AAA"))</f>
        <v>0</v>
      </c>
      <c r="AN9" s="50">
        <f>SUMPRODUCT((Synthèse!N$11:N$267="NA")*(Synthèse!$D$11:$D$267="AAA"))</f>
        <v>0</v>
      </c>
      <c r="AO9" s="50">
        <f>SUMPRODUCT((Synthèse!O$11:O$267="NA")*(Synthèse!$D$11:$D$267="AAA"))</f>
        <v>0</v>
      </c>
      <c r="AP9" s="50">
        <f>SUMPRODUCT((Synthèse!P$11:P$267="NA")*(Synthèse!$D$11:$D$267="AAA"))</f>
        <v>0</v>
      </c>
      <c r="AQ9" s="50">
        <f>SUMPRODUCT((Synthèse!Q$11:Q$267="NA")*(Synthèse!$D$11:$D$267="AAA"))</f>
        <v>0</v>
      </c>
      <c r="AR9" s="50">
        <f>SUMPRODUCT((Synthèse!R$11:R$267="NA")*(Synthèse!$D$11:$D$267="AAA"))</f>
        <v>0</v>
      </c>
    </row>
    <row r="10" spans="1:44" ht="29" x14ac:dyDescent="0.35">
      <c r="B10" s="102" t="str">
        <f>Modèle!B12</f>
        <v>Images</v>
      </c>
      <c r="C10" s="109" t="str">
        <f>Modèle!D12</f>
        <v>1.2.1</v>
      </c>
      <c r="D10" s="110" t="str">
        <f>Modèle!E12</f>
        <v>A</v>
      </c>
      <c r="E10" s="232">
        <f ca="1">COUNTIF(OFFSET(Synthèse!$G19,0,0,1,COUNTA(Synthèse!$10:$10)-6),"="&amp;$E$1)</f>
        <v>0</v>
      </c>
      <c r="F10" s="232">
        <f ca="1">COUNTIF(OFFSET(Synthèse!$G19,0,0,1,COUNTA(Synthèse!$10:$10)-6),"="&amp;$F$1)</f>
        <v>0</v>
      </c>
      <c r="G10" s="232">
        <f ca="1">COUNTIF(OFFSET(Synthèse!$G19,0,0,1,COUNTA(Synthèse!$10:$10)-6),"="&amp;$G$1)</f>
        <v>0</v>
      </c>
      <c r="H10" s="232">
        <f ca="1">COUNTIF(OFFSET(Synthèse!$G19,0,0,1,COUNTA(Synthèse!$10:$10)-6),"="&amp;$H$1)</f>
        <v>0</v>
      </c>
      <c r="I10" s="18">
        <f t="shared" ca="1" si="1"/>
        <v>0</v>
      </c>
      <c r="L10" s="230" t="s">
        <v>491</v>
      </c>
      <c r="M10" s="229">
        <f ca="1">SUMIF($D$133:$D$145,"&lt;&gt;AAA",E$133:E$145)</f>
        <v>0</v>
      </c>
      <c r="N10" s="229">
        <f ca="1">SUMIF($D$133:$D$145,"&lt;&gt;AAA",F$133:F$145)</f>
        <v>0</v>
      </c>
      <c r="O10" s="229">
        <f t="shared" ref="O10:P10" ca="1" si="8">SUMIF($D$133:$D$145,"&lt;&gt;AAA",G$133:G$145)</f>
        <v>0</v>
      </c>
      <c r="P10" s="229">
        <f t="shared" ca="1" si="8"/>
        <v>0</v>
      </c>
      <c r="Q10" s="12"/>
      <c r="R10" s="12"/>
      <c r="T10" s="148" t="s">
        <v>501</v>
      </c>
      <c r="AB10" s="36" t="s">
        <v>627</v>
      </c>
      <c r="AC10" s="35"/>
      <c r="AF10" s="64">
        <f t="shared" si="0"/>
        <v>0</v>
      </c>
      <c r="AG10" s="54">
        <f t="shared" ref="AG10:AR10" si="9">SUM(AG$2:AG$5)</f>
        <v>0</v>
      </c>
      <c r="AH10" s="54">
        <f t="shared" si="9"/>
        <v>0</v>
      </c>
      <c r="AI10" s="54">
        <f t="shared" si="9"/>
        <v>0</v>
      </c>
      <c r="AJ10" s="54">
        <f t="shared" si="9"/>
        <v>0</v>
      </c>
      <c r="AK10" s="54">
        <f t="shared" si="9"/>
        <v>0</v>
      </c>
      <c r="AL10" s="54">
        <f t="shared" si="9"/>
        <v>0</v>
      </c>
      <c r="AM10" s="54">
        <f t="shared" si="9"/>
        <v>0</v>
      </c>
      <c r="AN10" s="54">
        <f t="shared" si="9"/>
        <v>0</v>
      </c>
      <c r="AO10" s="54">
        <f t="shared" si="9"/>
        <v>0</v>
      </c>
      <c r="AP10" s="54">
        <f t="shared" si="9"/>
        <v>0</v>
      </c>
      <c r="AQ10" s="54">
        <f t="shared" si="9"/>
        <v>0</v>
      </c>
      <c r="AR10" s="54">
        <f t="shared" si="9"/>
        <v>0</v>
      </c>
    </row>
    <row r="11" spans="1:44" ht="29" x14ac:dyDescent="0.35">
      <c r="A11" s="97"/>
      <c r="B11" s="102" t="str">
        <f>Modèle!B13</f>
        <v>Images</v>
      </c>
      <c r="C11" s="109" t="str">
        <f>Modèle!D13</f>
        <v>1.2.2</v>
      </c>
      <c r="D11" s="110" t="str">
        <f>Modèle!E13</f>
        <v>A</v>
      </c>
      <c r="E11" s="232">
        <f ca="1">COUNTIF(OFFSET(Synthèse!$G20,0,0,1,COUNTA(Synthèse!$10:$10)-6),"="&amp;$E$1)</f>
        <v>0</v>
      </c>
      <c r="F11" s="232">
        <f ca="1">COUNTIF(OFFSET(Synthèse!$G20,0,0,1,COUNTA(Synthèse!$10:$10)-6),"="&amp;$F$1)</f>
        <v>0</v>
      </c>
      <c r="G11" s="232">
        <f ca="1">COUNTIF(OFFSET(Synthèse!$G20,0,0,1,COUNTA(Synthèse!$10:$10)-6),"="&amp;$G$1)</f>
        <v>0</v>
      </c>
      <c r="H11" s="232">
        <f ca="1">COUNTIF(OFFSET(Synthèse!$G20,0,0,1,COUNTA(Synthèse!$10:$10)-6),"="&amp;$H$1)</f>
        <v>0</v>
      </c>
      <c r="I11" s="18">
        <f t="shared" ca="1" si="1"/>
        <v>0</v>
      </c>
      <c r="L11" s="230" t="s">
        <v>387</v>
      </c>
      <c r="M11" s="229">
        <f ca="1">SUMIF($D$146:$D$154,"&lt;&gt;AAA",E$146:E$154)</f>
        <v>0</v>
      </c>
      <c r="N11" s="229">
        <f ca="1">SUMIF($D$146:$D$154,"&lt;&gt;AAA",F$146:F$154)</f>
        <v>0</v>
      </c>
      <c r="O11" s="229">
        <f t="shared" ref="O11:P11" ca="1" si="10">SUMIF($D$146:$D$154,"&lt;&gt;AAA",G$146:G$154)</f>
        <v>0</v>
      </c>
      <c r="P11" s="229">
        <f t="shared" ca="1" si="10"/>
        <v>0</v>
      </c>
      <c r="Q11" s="12"/>
      <c r="R11" s="12"/>
      <c r="T11" s="149" t="s">
        <v>685</v>
      </c>
      <c r="AB11" s="30" t="s">
        <v>628</v>
      </c>
      <c r="AC11" s="30" t="s">
        <v>632</v>
      </c>
      <c r="AF11" s="48">
        <f t="shared" si="0"/>
        <v>0</v>
      </c>
      <c r="AG11" s="48">
        <f t="shared" ref="AG11:AR11" si="11">SUM(AG$2:AG$9)</f>
        <v>0</v>
      </c>
      <c r="AH11" s="48">
        <f t="shared" si="11"/>
        <v>0</v>
      </c>
      <c r="AI11" s="48">
        <f t="shared" si="11"/>
        <v>0</v>
      </c>
      <c r="AJ11" s="48">
        <f t="shared" si="11"/>
        <v>0</v>
      </c>
      <c r="AK11" s="48">
        <f t="shared" si="11"/>
        <v>0</v>
      </c>
      <c r="AL11" s="48">
        <f t="shared" si="11"/>
        <v>0</v>
      </c>
      <c r="AM11" s="48">
        <f t="shared" si="11"/>
        <v>0</v>
      </c>
      <c r="AN11" s="48">
        <f t="shared" si="11"/>
        <v>0</v>
      </c>
      <c r="AO11" s="48">
        <f t="shared" si="11"/>
        <v>0</v>
      </c>
      <c r="AP11" s="48">
        <f t="shared" si="11"/>
        <v>0</v>
      </c>
      <c r="AQ11" s="48">
        <f t="shared" si="11"/>
        <v>0</v>
      </c>
      <c r="AR11" s="48">
        <f t="shared" si="11"/>
        <v>0</v>
      </c>
    </row>
    <row r="12" spans="1:44" ht="29" x14ac:dyDescent="0.35">
      <c r="A12" s="97"/>
      <c r="B12" s="102" t="str">
        <f>Modèle!B14</f>
        <v>Images</v>
      </c>
      <c r="C12" s="109" t="str">
        <f>Modèle!D14</f>
        <v>1.2.3</v>
      </c>
      <c r="D12" s="110" t="str">
        <f>Modèle!E14</f>
        <v>A</v>
      </c>
      <c r="E12" s="232">
        <f ca="1">COUNTIF(OFFSET(Synthèse!$G21,0,0,1,COUNTA(Synthèse!$10:$10)-6),"="&amp;$E$1)</f>
        <v>0</v>
      </c>
      <c r="F12" s="232">
        <f ca="1">COUNTIF(OFFSET(Synthèse!$G21,0,0,1,COUNTA(Synthèse!$10:$10)-6),"="&amp;$F$1)</f>
        <v>0</v>
      </c>
      <c r="G12" s="232">
        <f ca="1">COUNTIF(OFFSET(Synthèse!$G21,0,0,1,COUNTA(Synthèse!$10:$10)-6),"="&amp;$G$1)</f>
        <v>0</v>
      </c>
      <c r="H12" s="232">
        <f ca="1">COUNTIF(OFFSET(Synthèse!$G21,0,0,1,COUNTA(Synthèse!$10:$10)-6),"="&amp;$H$1)</f>
        <v>0</v>
      </c>
      <c r="I12" s="18">
        <f t="shared" ca="1" si="1"/>
        <v>0</v>
      </c>
      <c r="L12" s="230" t="s">
        <v>396</v>
      </c>
      <c r="M12" s="229">
        <f ca="1">SUMIF($D$155:$D$184,"&lt;&gt;AAA",E$155:E$184)</f>
        <v>0</v>
      </c>
      <c r="N12" s="229">
        <f ca="1">SUMIF($D$155:$D$184,"&lt;&gt;AAA",F$155:F$184)</f>
        <v>0</v>
      </c>
      <c r="O12" s="229">
        <f t="shared" ref="O12:P12" ca="1" si="12">SUMIF($D$155:$D$184,"&lt;&gt;AAA",G$155:G$184)</f>
        <v>0</v>
      </c>
      <c r="P12" s="229">
        <f t="shared" ca="1" si="12"/>
        <v>0</v>
      </c>
      <c r="Q12" s="12"/>
      <c r="R12" s="12"/>
      <c r="T12" s="149" t="s">
        <v>686</v>
      </c>
      <c r="AB12" s="30" t="s">
        <v>629</v>
      </c>
      <c r="AC12" s="30" t="s">
        <v>633</v>
      </c>
      <c r="AF12" s="44"/>
      <c r="AG12" s="51"/>
      <c r="AH12" s="51"/>
      <c r="AI12" s="51"/>
      <c r="AJ12" s="51"/>
      <c r="AK12" s="51"/>
      <c r="AL12" s="51"/>
      <c r="AM12" s="51"/>
      <c r="AN12" s="51"/>
      <c r="AO12" s="51"/>
      <c r="AP12" s="51"/>
      <c r="AQ12" s="51"/>
      <c r="AR12" s="51"/>
    </row>
    <row r="13" spans="1:44" x14ac:dyDescent="0.35">
      <c r="A13" s="97"/>
      <c r="B13" s="102" t="str">
        <f>Modèle!B15</f>
        <v>Images</v>
      </c>
      <c r="C13" s="109" t="str">
        <f>Modèle!D15</f>
        <v>1.2.4</v>
      </c>
      <c r="D13" s="110" t="str">
        <f>Modèle!E15</f>
        <v>A</v>
      </c>
      <c r="E13" s="232">
        <f ca="1">COUNTIF(OFFSET(Synthèse!$G22,0,0,1,COUNTA(Synthèse!$10:$10)-6),"="&amp;$E$1)</f>
        <v>0</v>
      </c>
      <c r="F13" s="232">
        <f ca="1">COUNTIF(OFFSET(Synthèse!$G22,0,0,1,COUNTA(Synthèse!$10:$10)-6),"="&amp;$F$1)</f>
        <v>0</v>
      </c>
      <c r="G13" s="232">
        <f ca="1">COUNTIF(OFFSET(Synthèse!$G22,0,0,1,COUNTA(Synthèse!$10:$10)-6),"="&amp;$G$1)</f>
        <v>0</v>
      </c>
      <c r="H13" s="232">
        <f ca="1">COUNTIF(OFFSET(Synthèse!$G22,0,0,1,COUNTA(Synthèse!$10:$10)-6),"="&amp;$H$1)</f>
        <v>0</v>
      </c>
      <c r="I13" s="18">
        <f t="shared" ca="1" si="1"/>
        <v>0</v>
      </c>
      <c r="L13" s="228" t="s">
        <v>4</v>
      </c>
      <c r="M13" s="229">
        <f ca="1">SUMIF($D$185:$D$218,"&lt;&gt;AAA",E$185:E$218)</f>
        <v>0</v>
      </c>
      <c r="N13" s="229">
        <f ca="1">SUMIF($D$185:$D$218,"&lt;&gt;AAA",F$185:F$218)</f>
        <v>0</v>
      </c>
      <c r="O13" s="229">
        <f t="shared" ref="O13:P13" ca="1" si="13">SUMIF($D$185:$D$218,"&lt;&gt;AAA",G$185:G$218)</f>
        <v>0</v>
      </c>
      <c r="P13" s="229">
        <f t="shared" ca="1" si="13"/>
        <v>0</v>
      </c>
      <c r="Q13" s="12"/>
      <c r="R13" s="12"/>
      <c r="T13" s="149" t="s">
        <v>687</v>
      </c>
      <c r="AB13" s="30" t="s">
        <v>630</v>
      </c>
      <c r="AC13" s="30" t="s">
        <v>678</v>
      </c>
      <c r="AF13" s="45"/>
      <c r="AG13" s="52">
        <f t="shared" ref="AG13:AR15" si="14">IF(AG$10=0,0,CEILING(AG2/AG$10*100,0.5))</f>
        <v>0</v>
      </c>
      <c r="AH13" s="52">
        <f t="shared" si="14"/>
        <v>0</v>
      </c>
      <c r="AI13" s="52">
        <f t="shared" si="14"/>
        <v>0</v>
      </c>
      <c r="AJ13" s="52">
        <f t="shared" si="14"/>
        <v>0</v>
      </c>
      <c r="AK13" s="52">
        <f t="shared" si="14"/>
        <v>0</v>
      </c>
      <c r="AL13" s="52">
        <f t="shared" si="14"/>
        <v>0</v>
      </c>
      <c r="AM13" s="52">
        <f t="shared" si="14"/>
        <v>0</v>
      </c>
      <c r="AN13" s="52">
        <f t="shared" si="14"/>
        <v>0</v>
      </c>
      <c r="AO13" s="52">
        <f t="shared" si="14"/>
        <v>0</v>
      </c>
      <c r="AP13" s="52">
        <f t="shared" si="14"/>
        <v>0</v>
      </c>
      <c r="AQ13" s="52">
        <f t="shared" si="14"/>
        <v>0</v>
      </c>
      <c r="AR13" s="52">
        <f t="shared" si="14"/>
        <v>0</v>
      </c>
    </row>
    <row r="14" spans="1:44" x14ac:dyDescent="0.35">
      <c r="A14" s="97"/>
      <c r="B14" s="102" t="str">
        <f>Modèle!B16</f>
        <v>Images</v>
      </c>
      <c r="C14" s="109" t="str">
        <f>Modèle!D16</f>
        <v>1.2.5</v>
      </c>
      <c r="D14" s="110" t="str">
        <f>Modèle!E16</f>
        <v>A</v>
      </c>
      <c r="E14" s="232">
        <f ca="1">COUNTIF(OFFSET(Synthèse!$G23,0,0,1,COUNTA(Synthèse!$10:$10)-6),"="&amp;$E$1)</f>
        <v>0</v>
      </c>
      <c r="F14" s="232">
        <f ca="1">COUNTIF(OFFSET(Synthèse!$G23,0,0,1,COUNTA(Synthèse!$10:$10)-6),"="&amp;$F$1)</f>
        <v>0</v>
      </c>
      <c r="G14" s="232">
        <f ca="1">COUNTIF(OFFSET(Synthèse!$G23,0,0,1,COUNTA(Synthèse!$10:$10)-6),"="&amp;$G$1)</f>
        <v>0</v>
      </c>
      <c r="H14" s="232">
        <f ca="1">COUNTIF(OFFSET(Synthèse!$G23,0,0,1,COUNTA(Synthèse!$10:$10)-6),"="&amp;$H$1)</f>
        <v>0</v>
      </c>
      <c r="I14" s="18">
        <f t="shared" ca="1" si="1"/>
        <v>0</v>
      </c>
      <c r="L14" s="228" t="s">
        <v>7</v>
      </c>
      <c r="M14" s="229">
        <f ca="1">SUMIF($D$219:$D$237,"&lt;&gt;AAA",E$219:E$237)</f>
        <v>0</v>
      </c>
      <c r="N14" s="229">
        <f ca="1">SUMIF($D$219:$D$237,"&lt;&gt;AAA",F$219:F$237)</f>
        <v>0</v>
      </c>
      <c r="O14" s="229">
        <f t="shared" ref="O14:P14" ca="1" si="15">SUMIF($D$219:$D$237,"&lt;&gt;AAA",G$219:G$237)</f>
        <v>0</v>
      </c>
      <c r="P14" s="229">
        <f t="shared" ca="1" si="15"/>
        <v>0</v>
      </c>
      <c r="Q14" s="12"/>
      <c r="R14" s="12"/>
      <c r="T14" s="149" t="s">
        <v>688</v>
      </c>
      <c r="AB14" s="30" t="s">
        <v>631</v>
      </c>
      <c r="AC14" s="30" t="s">
        <v>679</v>
      </c>
      <c r="AF14" s="45"/>
      <c r="AG14" s="52">
        <f t="shared" si="14"/>
        <v>0</v>
      </c>
      <c r="AH14" s="52">
        <f t="shared" si="14"/>
        <v>0</v>
      </c>
      <c r="AI14" s="52">
        <f t="shared" si="14"/>
        <v>0</v>
      </c>
      <c r="AJ14" s="52">
        <f t="shared" si="14"/>
        <v>0</v>
      </c>
      <c r="AK14" s="52">
        <f t="shared" si="14"/>
        <v>0</v>
      </c>
      <c r="AL14" s="52">
        <f t="shared" si="14"/>
        <v>0</v>
      </c>
      <c r="AM14" s="52">
        <f t="shared" si="14"/>
        <v>0</v>
      </c>
      <c r="AN14" s="52">
        <f t="shared" si="14"/>
        <v>0</v>
      </c>
      <c r="AO14" s="52">
        <f t="shared" si="14"/>
        <v>0</v>
      </c>
      <c r="AP14" s="52">
        <f t="shared" si="14"/>
        <v>0</v>
      </c>
      <c r="AQ14" s="52">
        <f t="shared" si="14"/>
        <v>0</v>
      </c>
      <c r="AR14" s="52">
        <f t="shared" si="14"/>
        <v>0</v>
      </c>
    </row>
    <row r="15" spans="1:44" x14ac:dyDescent="0.35">
      <c r="A15" s="97"/>
      <c r="B15" s="102" t="str">
        <f>Modèle!B17</f>
        <v>Images</v>
      </c>
      <c r="C15" s="109" t="str">
        <f>Modèle!D17</f>
        <v>1.2.6</v>
      </c>
      <c r="D15" s="110" t="str">
        <f>Modèle!E17</f>
        <v>A</v>
      </c>
      <c r="E15" s="232">
        <f ca="1">COUNTIF(OFFSET(Synthèse!$G24,0,0,1,COUNTA(Synthèse!$10:$10)-6),"="&amp;$E$1)</f>
        <v>0</v>
      </c>
      <c r="F15" s="232">
        <f ca="1">COUNTIF(OFFSET(Synthèse!$G24,0,0,1,COUNTA(Synthèse!$10:$10)-6),"="&amp;$F$1)</f>
        <v>0</v>
      </c>
      <c r="G15" s="232">
        <f ca="1">COUNTIF(OFFSET(Synthèse!$G24,0,0,1,COUNTA(Synthèse!$10:$10)-6),"="&amp;$G$1)</f>
        <v>0</v>
      </c>
      <c r="H15" s="232">
        <f ca="1">COUNTIF(OFFSET(Synthèse!$G24,0,0,1,COUNTA(Synthèse!$10:$10)-6),"="&amp;$H$1)</f>
        <v>0</v>
      </c>
      <c r="I15" s="18">
        <f t="shared" ca="1" si="1"/>
        <v>0</v>
      </c>
      <c r="L15" s="228" t="s">
        <v>473</v>
      </c>
      <c r="M15" s="229">
        <f ca="1">SUMIF($D$238:$D$258,"&lt;&gt;AAA",E$238:E$258)</f>
        <v>0</v>
      </c>
      <c r="N15" s="229">
        <f ca="1">SUMIF($D$238:$D$258,"&lt;&gt;AAA",F$238:F$258)</f>
        <v>0</v>
      </c>
      <c r="O15" s="229">
        <f t="shared" ref="O15:P15" ca="1" si="16">SUMIF($D$238:$D$258,"&lt;&gt;AAA",G$238:G$258)</f>
        <v>0</v>
      </c>
      <c r="P15" s="229">
        <f t="shared" ca="1" si="16"/>
        <v>0</v>
      </c>
      <c r="Q15" s="12"/>
      <c r="R15" s="12"/>
      <c r="AF15" s="45"/>
      <c r="AG15" s="52">
        <f t="shared" si="14"/>
        <v>0</v>
      </c>
      <c r="AH15" s="52">
        <f t="shared" si="14"/>
        <v>0</v>
      </c>
      <c r="AI15" s="52">
        <f t="shared" si="14"/>
        <v>0</v>
      </c>
      <c r="AJ15" s="52">
        <f t="shared" si="14"/>
        <v>0</v>
      </c>
      <c r="AK15" s="52">
        <f t="shared" si="14"/>
        <v>0</v>
      </c>
      <c r="AL15" s="52">
        <f t="shared" si="14"/>
        <v>0</v>
      </c>
      <c r="AM15" s="52">
        <f t="shared" si="14"/>
        <v>0</v>
      </c>
      <c r="AN15" s="52">
        <f t="shared" si="14"/>
        <v>0</v>
      </c>
      <c r="AO15" s="52">
        <f t="shared" si="14"/>
        <v>0</v>
      </c>
      <c r="AP15" s="52">
        <f t="shared" si="14"/>
        <v>0</v>
      </c>
      <c r="AQ15" s="52">
        <f t="shared" si="14"/>
        <v>0</v>
      </c>
      <c r="AR15" s="52">
        <f t="shared" si="14"/>
        <v>0</v>
      </c>
    </row>
    <row r="16" spans="1:44" x14ac:dyDescent="0.35">
      <c r="A16" s="97"/>
      <c r="B16" s="101" t="str">
        <f>Modèle!B18</f>
        <v>Images</v>
      </c>
      <c r="C16" s="107" t="str">
        <f>Modèle!D18</f>
        <v>1.3.1</v>
      </c>
      <c r="D16" s="108" t="str">
        <f>Modèle!E18</f>
        <v>A</v>
      </c>
      <c r="E16" s="231">
        <f ca="1">COUNTIF(OFFSET(Synthèse!$G25,0,0,1,COUNTA(Synthèse!$10:$10)-6),"="&amp;$E$1)</f>
        <v>0</v>
      </c>
      <c r="F16" s="231">
        <f ca="1">COUNTIF(OFFSET(Synthèse!$G25,0,0,1,COUNTA(Synthèse!$10:$10)-6),"="&amp;$F$1)</f>
        <v>0</v>
      </c>
      <c r="G16" s="231">
        <f ca="1">COUNTIF(OFFSET(Synthèse!$G25,0,0,1,COUNTA(Synthèse!$10:$10)-6),"="&amp;$G$1)</f>
        <v>0</v>
      </c>
      <c r="H16" s="231">
        <f ca="1">COUNTIF(OFFSET(Synthèse!$G25,0,0,1,COUNTA(Synthèse!$10:$10)-6),"="&amp;$H$1)</f>
        <v>0</v>
      </c>
      <c r="I16" s="18">
        <f t="shared" ca="1" si="1"/>
        <v>0</v>
      </c>
      <c r="Q16" s="12"/>
      <c r="R16" s="12"/>
      <c r="AF16" s="46"/>
      <c r="AG16" s="53">
        <f t="shared" ref="AG16:AR16" si="17">IF(ISERROR(INT(AG2*100/(SUM(AG$2:AG$3)))),0,INT(AG2*100/(SUM(AG$2:AG$3))))</f>
        <v>0</v>
      </c>
      <c r="AH16" s="53">
        <f t="shared" ref="AH16:AJ16" si="18">IF(ISERROR(INT(AH2*100/(SUM(AH$2:AH$3)))),0,INT(AH2*100/(SUM(AH$2:AH$3))))</f>
        <v>0</v>
      </c>
      <c r="AI16" s="53">
        <f t="shared" si="18"/>
        <v>0</v>
      </c>
      <c r="AJ16" s="53">
        <f t="shared" si="18"/>
        <v>0</v>
      </c>
      <c r="AK16" s="53">
        <f t="shared" si="17"/>
        <v>0</v>
      </c>
      <c r="AL16" s="53">
        <f t="shared" si="17"/>
        <v>0</v>
      </c>
      <c r="AM16" s="53">
        <f t="shared" si="17"/>
        <v>0</v>
      </c>
      <c r="AN16" s="53">
        <f t="shared" si="17"/>
        <v>0</v>
      </c>
      <c r="AO16" s="53">
        <f t="shared" si="17"/>
        <v>0</v>
      </c>
      <c r="AP16" s="53">
        <f t="shared" si="17"/>
        <v>0</v>
      </c>
      <c r="AQ16" s="53">
        <f t="shared" si="17"/>
        <v>0</v>
      </c>
      <c r="AR16" s="53">
        <f t="shared" si="17"/>
        <v>0</v>
      </c>
    </row>
    <row r="17" spans="1:20" x14ac:dyDescent="0.35">
      <c r="A17" s="97"/>
      <c r="B17" s="101" t="str">
        <f>Modèle!B19</f>
        <v>Images</v>
      </c>
      <c r="C17" s="107" t="str">
        <f>Modèle!D19</f>
        <v>1.3.2</v>
      </c>
      <c r="D17" s="108" t="str">
        <f>Modèle!E19</f>
        <v>A</v>
      </c>
      <c r="E17" s="231">
        <f ca="1">COUNTIF(OFFSET(Synthèse!$G26,0,0,1,COUNTA(Synthèse!$10:$10)-6),"="&amp;$E$1)</f>
        <v>0</v>
      </c>
      <c r="F17" s="231">
        <f ca="1">COUNTIF(OFFSET(Synthèse!$G26,0,0,1,COUNTA(Synthèse!$10:$10)-6),"="&amp;$F$1)</f>
        <v>0</v>
      </c>
      <c r="G17" s="231">
        <f ca="1">COUNTIF(OFFSET(Synthèse!$G26,0,0,1,COUNTA(Synthèse!$10:$10)-6),"="&amp;$G$1)</f>
        <v>0</v>
      </c>
      <c r="H17" s="231">
        <f ca="1">COUNTIF(OFFSET(Synthèse!$G26,0,0,1,COUNTA(Synthèse!$10:$10)-6),"="&amp;$H$1)</f>
        <v>0</v>
      </c>
      <c r="I17" s="18">
        <f t="shared" ca="1" si="1"/>
        <v>0</v>
      </c>
      <c r="L17" s="242" t="s">
        <v>38</v>
      </c>
      <c r="M17" s="243">
        <f ca="1">SUM(M3:M15)</f>
        <v>0</v>
      </c>
      <c r="N17" s="243">
        <f ca="1">SUM(N3:N15)</f>
        <v>0</v>
      </c>
      <c r="O17" s="243">
        <f ca="1">SUM(O3:O15)</f>
        <v>0</v>
      </c>
      <c r="P17" s="243">
        <f ca="1">SUM(P3:P15)</f>
        <v>0</v>
      </c>
      <c r="Q17" s="12"/>
      <c r="R17" s="12"/>
    </row>
    <row r="18" spans="1:20" x14ac:dyDescent="0.35">
      <c r="A18" s="97"/>
      <c r="B18" s="101" t="str">
        <f>Modèle!B20</f>
        <v>Images</v>
      </c>
      <c r="C18" s="107" t="str">
        <f>Modèle!D20</f>
        <v>1.3.3</v>
      </c>
      <c r="D18" s="108" t="str">
        <f>Modèle!E20</f>
        <v>A</v>
      </c>
      <c r="E18" s="231">
        <f ca="1">COUNTIF(OFFSET(Synthèse!$G27,0,0,1,COUNTA(Synthèse!$10:$10)-6),"="&amp;$E$1)</f>
        <v>0</v>
      </c>
      <c r="F18" s="231">
        <f ca="1">COUNTIF(OFFSET(Synthèse!$G27,0,0,1,COUNTA(Synthèse!$10:$10)-6),"="&amp;$F$1)</f>
        <v>0</v>
      </c>
      <c r="G18" s="231">
        <f ca="1">COUNTIF(OFFSET(Synthèse!$G27,0,0,1,COUNTA(Synthèse!$10:$10)-6),"="&amp;$G$1)</f>
        <v>0</v>
      </c>
      <c r="H18" s="231">
        <f ca="1">COUNTIF(OFFSET(Synthèse!$G27,0,0,1,COUNTA(Synthèse!$10:$10)-6),"="&amp;$H$1)</f>
        <v>0</v>
      </c>
      <c r="I18" s="18">
        <f t="shared" ca="1" si="1"/>
        <v>0</v>
      </c>
      <c r="L18" s="242" t="s">
        <v>503</v>
      </c>
      <c r="M18" s="244" t="e">
        <f ca="1">(100/(M17+N17))*M17</f>
        <v>#DIV/0!</v>
      </c>
      <c r="N18" s="244" t="e">
        <f ca="1">(100/(M17+N17))*N17</f>
        <v>#DIV/0!</v>
      </c>
      <c r="Q18" s="12"/>
      <c r="R18" s="12"/>
    </row>
    <row r="19" spans="1:20" x14ac:dyDescent="0.35">
      <c r="A19" s="97"/>
      <c r="B19" s="101" t="str">
        <f>Modèle!B21</f>
        <v>Images</v>
      </c>
      <c r="C19" s="107" t="str">
        <f>Modèle!D21</f>
        <v>1.3.4</v>
      </c>
      <c r="D19" s="108" t="str">
        <f>Modèle!E21</f>
        <v>A</v>
      </c>
      <c r="E19" s="231">
        <f ca="1">COUNTIF(OFFSET(Synthèse!$G28,0,0,1,COUNTA(Synthèse!$10:$10)-6),"="&amp;$E$1)</f>
        <v>0</v>
      </c>
      <c r="F19" s="231">
        <f ca="1">COUNTIF(OFFSET(Synthèse!$G28,0,0,1,COUNTA(Synthèse!$10:$10)-6),"="&amp;$F$1)</f>
        <v>0</v>
      </c>
      <c r="G19" s="231">
        <f ca="1">COUNTIF(OFFSET(Synthèse!$G28,0,0,1,COUNTA(Synthèse!$10:$10)-6),"="&amp;$G$1)</f>
        <v>0</v>
      </c>
      <c r="H19" s="231">
        <f ca="1">COUNTIF(OFFSET(Synthèse!$G28,0,0,1,COUNTA(Synthèse!$10:$10)-6),"="&amp;$H$1)</f>
        <v>0</v>
      </c>
      <c r="I19" s="18">
        <f t="shared" ca="1" si="1"/>
        <v>0</v>
      </c>
      <c r="Q19" s="12"/>
      <c r="R19" s="12"/>
    </row>
    <row r="20" spans="1:20" x14ac:dyDescent="0.35">
      <c r="A20" s="97"/>
      <c r="B20" s="101" t="str">
        <f>Modèle!B22</f>
        <v>Images</v>
      </c>
      <c r="C20" s="107" t="str">
        <f>Modèle!D22</f>
        <v>1.3.5</v>
      </c>
      <c r="D20" s="108" t="str">
        <f>Modèle!E22</f>
        <v>A</v>
      </c>
      <c r="E20" s="231">
        <f ca="1">COUNTIF(OFFSET(Synthèse!$G29,0,0,1,COUNTA(Synthèse!$10:$10)-6),"="&amp;$E$1)</f>
        <v>0</v>
      </c>
      <c r="F20" s="231">
        <f ca="1">COUNTIF(OFFSET(Synthèse!$G29,0,0,1,COUNTA(Synthèse!$10:$10)-6),"="&amp;$F$1)</f>
        <v>0</v>
      </c>
      <c r="G20" s="231">
        <f ca="1">COUNTIF(OFFSET(Synthèse!$G29,0,0,1,COUNTA(Synthèse!$10:$10)-6),"="&amp;$G$1)</f>
        <v>0</v>
      </c>
      <c r="H20" s="231">
        <f ca="1">COUNTIF(OFFSET(Synthèse!$G29,0,0,1,COUNTA(Synthèse!$10:$10)-6),"="&amp;$H$1)</f>
        <v>0</v>
      </c>
      <c r="I20" s="18">
        <f t="shared" ca="1" si="1"/>
        <v>0</v>
      </c>
      <c r="L20" s="266" t="s">
        <v>863</v>
      </c>
      <c r="M20" s="266"/>
      <c r="N20" s="266"/>
      <c r="O20"/>
      <c r="P20"/>
      <c r="Q20" s="12"/>
      <c r="R20" s="12"/>
    </row>
    <row r="21" spans="1:20" x14ac:dyDescent="0.35">
      <c r="A21" s="97"/>
      <c r="B21" s="101" t="str">
        <f>Modèle!B23</f>
        <v>Images</v>
      </c>
      <c r="C21" s="107" t="str">
        <f>Modèle!D23</f>
        <v>1.3.6</v>
      </c>
      <c r="D21" s="108" t="str">
        <f>Modèle!E23</f>
        <v>A</v>
      </c>
      <c r="E21" s="231">
        <f ca="1">COUNTIF(OFFSET(Synthèse!$G30,0,0,1,COUNTA(Synthèse!$10:$10)-6),"="&amp;$E$1)</f>
        <v>0</v>
      </c>
      <c r="F21" s="231">
        <f ca="1">COUNTIF(OFFSET(Synthèse!$G30,0,0,1,COUNTA(Synthèse!$10:$10)-6),"="&amp;$F$1)</f>
        <v>0</v>
      </c>
      <c r="G21" s="231">
        <f ca="1">COUNTIF(OFFSET(Synthèse!$G30,0,0,1,COUNTA(Synthèse!$10:$10)-6),"="&amp;$G$1)</f>
        <v>0</v>
      </c>
      <c r="H21" s="231">
        <f ca="1">COUNTIF(OFFSET(Synthèse!$G30,0,0,1,COUNTA(Synthèse!$10:$10)-6),"="&amp;$H$1)</f>
        <v>0</v>
      </c>
      <c r="I21" s="18">
        <f t="shared" ca="1" si="1"/>
        <v>0</v>
      </c>
      <c r="L21" s="245" t="s">
        <v>504</v>
      </c>
      <c r="M21" s="25" t="s">
        <v>503</v>
      </c>
      <c r="N21" s="25" t="s">
        <v>505</v>
      </c>
      <c r="P21"/>
      <c r="Q21" s="12"/>
      <c r="R21" s="12"/>
    </row>
    <row r="22" spans="1:20" x14ac:dyDescent="0.35">
      <c r="A22" s="97"/>
      <c r="B22" s="101" t="str">
        <f>Modèle!B24</f>
        <v>Images</v>
      </c>
      <c r="C22" s="107" t="str">
        <f>Modèle!D24</f>
        <v>1.3.7</v>
      </c>
      <c r="D22" s="108" t="str">
        <f>Modèle!E24</f>
        <v>A</v>
      </c>
      <c r="E22" s="231">
        <f ca="1">COUNTIF(OFFSET(Synthèse!$G31,0,0,1,COUNTA(Synthèse!$10:$10)-6),"="&amp;$E$1)</f>
        <v>0</v>
      </c>
      <c r="F22" s="231">
        <f ca="1">COUNTIF(OFFSET(Synthèse!$G31,0,0,1,COUNTA(Synthèse!$10:$10)-6),"="&amp;$F$1)</f>
        <v>0</v>
      </c>
      <c r="G22" s="231">
        <f ca="1">COUNTIF(OFFSET(Synthèse!$G31,0,0,1,COUNTA(Synthèse!$10:$10)-6),"="&amp;$G$1)</f>
        <v>0</v>
      </c>
      <c r="H22" s="231">
        <f ca="1">COUNTIF(OFFSET(Synthèse!$G31,0,0,1,COUNTA(Synthèse!$10:$10)-6),"="&amp;$H$1)</f>
        <v>0</v>
      </c>
      <c r="I22" s="18">
        <f t="shared" ca="1" si="1"/>
        <v>0</v>
      </c>
      <c r="L22" s="27" t="s">
        <v>506</v>
      </c>
      <c r="M22" s="98" t="e">
        <f ca="1">(100/(N22+N23))*N22</f>
        <v>#DIV/0!</v>
      </c>
      <c r="N22" s="26">
        <f ca="1">COUNTIF(E2:E258,"&gt;0")</f>
        <v>0</v>
      </c>
      <c r="P22"/>
      <c r="Q22" s="12"/>
      <c r="R22" s="12"/>
    </row>
    <row r="23" spans="1:20" x14ac:dyDescent="0.35">
      <c r="A23" s="97"/>
      <c r="B23" s="101" t="str">
        <f>Modèle!B25</f>
        <v>Images</v>
      </c>
      <c r="C23" s="107" t="str">
        <f>Modèle!D25</f>
        <v>1.3.8</v>
      </c>
      <c r="D23" s="108" t="str">
        <f>Modèle!E25</f>
        <v>A</v>
      </c>
      <c r="E23" s="231">
        <f ca="1">COUNTIF(OFFSET(Synthèse!$G32,0,0,1,COUNTA(Synthèse!$10:$10)-6),"="&amp;$E$1)</f>
        <v>0</v>
      </c>
      <c r="F23" s="231">
        <f ca="1">COUNTIF(OFFSET(Synthèse!$G32,0,0,1,COUNTA(Synthèse!$10:$10)-6),"="&amp;$F$1)</f>
        <v>0</v>
      </c>
      <c r="G23" s="231">
        <f ca="1">COUNTIF(OFFSET(Synthèse!$G32,0,0,1,COUNTA(Synthèse!$10:$10)-6),"="&amp;$G$1)</f>
        <v>0</v>
      </c>
      <c r="H23" s="231">
        <f ca="1">COUNTIF(OFFSET(Synthèse!$G32,0,0,1,COUNTA(Synthèse!$10:$10)-6),"="&amp;$H$1)</f>
        <v>0</v>
      </c>
      <c r="I23" s="18">
        <f t="shared" ca="1" si="1"/>
        <v>0</v>
      </c>
      <c r="L23" s="27" t="s">
        <v>507</v>
      </c>
      <c r="M23" s="98" t="e">
        <f ca="1">(100/(N22+N23))*N23</f>
        <v>#DIV/0!</v>
      </c>
      <c r="N23" s="26">
        <f ca="1">COUNTIF(F2:F258,"&gt;0")</f>
        <v>0</v>
      </c>
      <c r="P23"/>
      <c r="Q23" s="12"/>
      <c r="R23" s="12"/>
    </row>
    <row r="24" spans="1:20" x14ac:dyDescent="0.35">
      <c r="B24" s="101" t="str">
        <f>Modèle!B26</f>
        <v>Images</v>
      </c>
      <c r="C24" s="107" t="str">
        <f>Modèle!D26</f>
        <v>1.3.9</v>
      </c>
      <c r="D24" s="108" t="str">
        <f>Modèle!E26</f>
        <v>A</v>
      </c>
      <c r="E24" s="231">
        <f ca="1">COUNTIF(OFFSET(Synthèse!$G33,0,0,1,COUNTA(Synthèse!$10:$10)-6),"="&amp;$E$1)</f>
        <v>0</v>
      </c>
      <c r="F24" s="231">
        <f ca="1">COUNTIF(OFFSET(Synthèse!$G33,0,0,1,COUNTA(Synthèse!$10:$10)-6),"="&amp;$F$1)</f>
        <v>0</v>
      </c>
      <c r="G24" s="231">
        <f ca="1">COUNTIF(OFFSET(Synthèse!$G33,0,0,1,COUNTA(Synthèse!$10:$10)-6),"="&amp;$G$1)</f>
        <v>0</v>
      </c>
      <c r="H24" s="231">
        <f ca="1">COUNTIF(OFFSET(Synthèse!$G33,0,0,1,COUNTA(Synthèse!$10:$10)-6),"="&amp;$H$1)</f>
        <v>0</v>
      </c>
      <c r="I24" s="18">
        <f t="shared" ca="1" si="1"/>
        <v>0</v>
      </c>
      <c r="L24"/>
      <c r="M24"/>
      <c r="N24"/>
      <c r="O24"/>
      <c r="P24"/>
      <c r="Q24" s="12"/>
      <c r="R24" s="12"/>
    </row>
    <row r="25" spans="1:20" x14ac:dyDescent="0.35">
      <c r="B25" s="102" t="str">
        <f>Modèle!B27</f>
        <v>Images</v>
      </c>
      <c r="C25" s="109" t="str">
        <f>Modèle!D27</f>
        <v>1.4.1</v>
      </c>
      <c r="D25" s="110" t="str">
        <f>Modèle!E27</f>
        <v>A</v>
      </c>
      <c r="E25" s="232">
        <f ca="1">COUNTIF(OFFSET(Synthèse!$G34,0,0,1,COUNTA(Synthèse!$10:$10)-6),"="&amp;$E$1)</f>
        <v>0</v>
      </c>
      <c r="F25" s="232">
        <f ca="1">COUNTIF(OFFSET(Synthèse!$G34,0,0,1,COUNTA(Synthèse!$10:$10)-6),"="&amp;$F$1)</f>
        <v>0</v>
      </c>
      <c r="G25" s="232">
        <f ca="1">COUNTIF(OFFSET(Synthèse!$G34,0,0,1,COUNTA(Synthèse!$10:$10)-6),"="&amp;$G$1)</f>
        <v>0</v>
      </c>
      <c r="H25" s="232">
        <f ca="1">COUNTIF(OFFSET(Synthèse!$G34,0,0,1,COUNTA(Synthèse!$10:$10)-6),"="&amp;$H$1)</f>
        <v>0</v>
      </c>
      <c r="I25" s="18">
        <f t="shared" ca="1" si="1"/>
        <v>0</v>
      </c>
      <c r="L25"/>
      <c r="M25"/>
      <c r="N25"/>
      <c r="O25"/>
      <c r="P25"/>
      <c r="Q25" s="12"/>
      <c r="R25" s="12"/>
    </row>
    <row r="26" spans="1:20" x14ac:dyDescent="0.35">
      <c r="B26" s="102" t="str">
        <f>Modèle!B28</f>
        <v>Images</v>
      </c>
      <c r="C26" s="109" t="str">
        <f>Modèle!D28</f>
        <v>1.4.2</v>
      </c>
      <c r="D26" s="110" t="str">
        <f>Modèle!E28</f>
        <v>A</v>
      </c>
      <c r="E26" s="232">
        <f ca="1">COUNTIF(OFFSET(Synthèse!$G35,0,0,1,COUNTA(Synthèse!$10:$10)-6),"="&amp;$E$1)</f>
        <v>0</v>
      </c>
      <c r="F26" s="232">
        <f ca="1">COUNTIF(OFFSET(Synthèse!$G35,0,0,1,COUNTA(Synthèse!$10:$10)-6),"="&amp;$F$1)</f>
        <v>0</v>
      </c>
      <c r="G26" s="232">
        <f ca="1">COUNTIF(OFFSET(Synthèse!$G35,0,0,1,COUNTA(Synthèse!$10:$10)-6),"="&amp;$G$1)</f>
        <v>0</v>
      </c>
      <c r="H26" s="232">
        <f ca="1">COUNTIF(OFFSET(Synthèse!$G35,0,0,1,COUNTA(Synthèse!$10:$10)-6),"="&amp;$H$1)</f>
        <v>0</v>
      </c>
      <c r="I26" s="18">
        <f t="shared" ca="1" si="1"/>
        <v>0</v>
      </c>
      <c r="L26" s="266" t="s">
        <v>508</v>
      </c>
      <c r="M26" s="266"/>
      <c r="N26" s="266"/>
      <c r="O26" s="266"/>
      <c r="P26" s="266"/>
      <c r="Q26" s="266"/>
      <c r="R26" s="241"/>
    </row>
    <row r="27" spans="1:20" x14ac:dyDescent="0.35">
      <c r="B27" s="102" t="str">
        <f>Modèle!B29</f>
        <v>Images</v>
      </c>
      <c r="C27" s="109" t="str">
        <f>Modèle!D29</f>
        <v>1.4.3</v>
      </c>
      <c r="D27" s="110" t="str">
        <f>Modèle!E29</f>
        <v>A</v>
      </c>
      <c r="E27" s="232">
        <f ca="1">COUNTIF(OFFSET(Synthèse!$G36,0,0,1,COUNTA(Synthèse!$10:$10)-6),"="&amp;$E$1)</f>
        <v>0</v>
      </c>
      <c r="F27" s="232">
        <f ca="1">COUNTIF(OFFSET(Synthèse!$G36,0,0,1,COUNTA(Synthèse!$10:$10)-6),"="&amp;$F$1)</f>
        <v>0</v>
      </c>
      <c r="G27" s="232">
        <f ca="1">COUNTIF(OFFSET(Synthèse!$G36,0,0,1,COUNTA(Synthèse!$10:$10)-6),"="&amp;$G$1)</f>
        <v>0</v>
      </c>
      <c r="H27" s="232">
        <f ca="1">COUNTIF(OFFSET(Synthèse!$G36,0,0,1,COUNTA(Synthèse!$10:$10)-6),"="&amp;$H$1)</f>
        <v>0</v>
      </c>
      <c r="I27" s="18">
        <f t="shared" ca="1" si="1"/>
        <v>0</v>
      </c>
      <c r="L27" s="60"/>
      <c r="M27" s="25" t="s">
        <v>492</v>
      </c>
      <c r="N27" s="25" t="s">
        <v>493</v>
      </c>
      <c r="O27" s="25" t="s">
        <v>497</v>
      </c>
      <c r="P27" s="25" t="s">
        <v>509</v>
      </c>
      <c r="Q27" s="120" t="s">
        <v>498</v>
      </c>
      <c r="R27" s="120"/>
    </row>
    <row r="28" spans="1:20" x14ac:dyDescent="0.35">
      <c r="B28" s="102" t="str">
        <f>Modèle!B30</f>
        <v>Images</v>
      </c>
      <c r="C28" s="109" t="str">
        <f>Modèle!D30</f>
        <v>1.4.4</v>
      </c>
      <c r="D28" s="110" t="str">
        <f>Modèle!E30</f>
        <v>A</v>
      </c>
      <c r="E28" s="232">
        <f ca="1">COUNTIF(OFFSET(Synthèse!$G37,0,0,1,COUNTA(Synthèse!$10:$10)-6),"="&amp;$E$1)</f>
        <v>0</v>
      </c>
      <c r="F28" s="232">
        <f ca="1">COUNTIF(OFFSET(Synthèse!$G37,0,0,1,COUNTA(Synthèse!$10:$10)-6),"="&amp;$F$1)</f>
        <v>0</v>
      </c>
      <c r="G28" s="232">
        <f ca="1">COUNTIF(OFFSET(Synthèse!$G37,0,0,1,COUNTA(Synthèse!$10:$10)-6),"="&amp;$G$1)</f>
        <v>0</v>
      </c>
      <c r="H28" s="232">
        <f ca="1">COUNTIF(OFFSET(Synthèse!$G37,0,0,1,COUNTA(Synthèse!$10:$10)-6),"="&amp;$H$1)</f>
        <v>0</v>
      </c>
      <c r="I28" s="18">
        <f t="shared" ca="1" si="1"/>
        <v>0</v>
      </c>
      <c r="L28" s="27" t="s">
        <v>506</v>
      </c>
      <c r="M28" s="205">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205">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205">
        <f ca="1">COUNTIF(I55:I59,L28)+COUNTIF(I84:I87,L28)+COUNTIF(I103:I110,L28)+COUNTIF(I186:I188,L28)+COUNTIF(I210:I215,L28)+COUNTIF(I247:I248,L28)+COUNTIF(I268:I271,L28)+COUNTIF(I281:I295,L28)</f>
        <v>0</v>
      </c>
      <c r="P28" s="205">
        <f ca="1">COUNTIF(I55:I59,L28)+COUNTIF(I84:I87,L28)+COUNTIF(I103:I110,L28)+COUNTIF(I186:I188,L28)+COUNTIF(I210:I215,L28)+COUNTIF(I247:I248,L28)+COUNTIF(I268:I271,L28)+COUNTIF(I281:I295,L28)</f>
        <v>0</v>
      </c>
      <c r="Q28" s="121">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21"/>
    </row>
    <row r="29" spans="1:20" x14ac:dyDescent="0.35">
      <c r="B29" s="102" t="str">
        <f>Modèle!B31</f>
        <v>Images</v>
      </c>
      <c r="C29" s="109" t="str">
        <f>Modèle!D31</f>
        <v>1.4.5</v>
      </c>
      <c r="D29" s="110" t="str">
        <f>Modèle!E31</f>
        <v>A</v>
      </c>
      <c r="E29" s="232">
        <f ca="1">COUNTIF(OFFSET(Synthèse!$G38,0,0,1,COUNTA(Synthèse!$10:$10)-6),"="&amp;$E$1)</f>
        <v>0</v>
      </c>
      <c r="F29" s="232">
        <f ca="1">COUNTIF(OFFSET(Synthèse!$G38,0,0,1,COUNTA(Synthèse!$10:$10)-6),"="&amp;$F$1)</f>
        <v>0</v>
      </c>
      <c r="G29" s="232">
        <f ca="1">COUNTIF(OFFSET(Synthèse!$G38,0,0,1,COUNTA(Synthèse!$10:$10)-6),"="&amp;$G$1)</f>
        <v>0</v>
      </c>
      <c r="H29" s="232">
        <f ca="1">COUNTIF(OFFSET(Synthèse!$G38,0,0,1,COUNTA(Synthèse!$10:$10)-6),"="&amp;$H$1)</f>
        <v>0</v>
      </c>
      <c r="I29" s="18">
        <f t="shared" ca="1" si="1"/>
        <v>0</v>
      </c>
      <c r="L29" s="27" t="s">
        <v>507</v>
      </c>
      <c r="M29" s="205">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205">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205">
        <f ca="1">COUNTIF(I55:I59,L29)+COUNTIF(I84:I87,L29)+COUNTIF(I103:I110,L29)+COUNTIF(I186:I188,L29)+COUNTIF(I210:I215,L29)+COUNTIF(I247:I248,L29)+COUNTIF(I268:I271,L29)+COUNTIF(I281:I295,L29)</f>
        <v>0</v>
      </c>
      <c r="P29" s="205">
        <f ca="1">COUNTIF(I55:I59,L29)+COUNTIF(I84:I87,L29)+COUNTIF(I103:I110,L29)+COUNTIF(I186:I188,L29)+COUNTIF(I210:I215,L29)+COUNTIF(I247:I248,L29)+COUNTIF(I268:I271,L29)+COUNTIF(I281:I295,L29)</f>
        <v>0</v>
      </c>
      <c r="Q29" s="121">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21"/>
      <c r="T29"/>
    </row>
    <row r="30" spans="1:20" x14ac:dyDescent="0.35">
      <c r="B30" s="102" t="str">
        <f>Modèle!B32</f>
        <v>Images</v>
      </c>
      <c r="C30" s="109" t="str">
        <f>Modèle!D32</f>
        <v>1.4.6</v>
      </c>
      <c r="D30" s="110" t="str">
        <f>Modèle!E32</f>
        <v>A</v>
      </c>
      <c r="E30" s="232">
        <f ca="1">COUNTIF(OFFSET(Synthèse!$G39,0,0,1,COUNTA(Synthèse!$10:$10)-6),"="&amp;$E$1)</f>
        <v>0</v>
      </c>
      <c r="F30" s="232">
        <f ca="1">COUNTIF(OFFSET(Synthèse!$G39,0,0,1,COUNTA(Synthèse!$10:$10)-6),"="&amp;$F$1)</f>
        <v>0</v>
      </c>
      <c r="G30" s="232">
        <f ca="1">COUNTIF(OFFSET(Synthèse!$G39,0,0,1,COUNTA(Synthèse!$10:$10)-6),"="&amp;$G$1)</f>
        <v>0</v>
      </c>
      <c r="H30" s="232">
        <f ca="1">COUNTIF(OFFSET(Synthèse!$G39,0,0,1,COUNTA(Synthèse!$10:$10)-6),"="&amp;$H$1)</f>
        <v>0</v>
      </c>
      <c r="I30" s="18">
        <f t="shared" ca="1" si="1"/>
        <v>0</v>
      </c>
      <c r="L30" s="27" t="s">
        <v>510</v>
      </c>
      <c r="M30" s="99" t="e">
        <f ca="1">(100/(M28+M29))*M29</f>
        <v>#DIV/0!</v>
      </c>
      <c r="N30" s="99" t="e">
        <f ca="1">(100/(N28+N29))*N29</f>
        <v>#DIV/0!</v>
      </c>
      <c r="O30" s="99" t="e">
        <f ca="1">IF(((100/(O28+O29))*O29)&gt;50,100,(100/(O28+O29))*O29)</f>
        <v>#DIV/0!</v>
      </c>
      <c r="P30" s="99" t="e">
        <f ca="1">(100/(P28+P29))*P29</f>
        <v>#DIV/0!</v>
      </c>
      <c r="Q30" s="122" t="e">
        <f ca="1">(100/(Q28+Q29))*Q29</f>
        <v>#DIV/0!</v>
      </c>
      <c r="R30" s="122"/>
      <c r="T30"/>
    </row>
    <row r="31" spans="1:20" x14ac:dyDescent="0.35">
      <c r="B31" s="102" t="str">
        <f>Modèle!B33</f>
        <v>Images</v>
      </c>
      <c r="C31" s="109" t="str">
        <f>Modèle!D33</f>
        <v>1.4.7</v>
      </c>
      <c r="D31" s="110" t="str">
        <f>Modèle!E33</f>
        <v>A</v>
      </c>
      <c r="E31" s="232">
        <f ca="1">COUNTIF(OFFSET(Synthèse!$G40,0,0,1,COUNTA(Synthèse!$10:$10)-6),"="&amp;$E$1)</f>
        <v>0</v>
      </c>
      <c r="F31" s="232">
        <f ca="1">COUNTIF(OFFSET(Synthèse!$G40,0,0,1,COUNTA(Synthèse!$10:$10)-6),"="&amp;$F$1)</f>
        <v>0</v>
      </c>
      <c r="G31" s="232">
        <f ca="1">COUNTIF(OFFSET(Synthèse!$G40,0,0,1,COUNTA(Synthèse!$10:$10)-6),"="&amp;$G$1)</f>
        <v>0</v>
      </c>
      <c r="H31" s="232">
        <f ca="1">COUNTIF(OFFSET(Synthèse!$G40,0,0,1,COUNTA(Synthèse!$10:$10)-6),"="&amp;$H$1)</f>
        <v>0</v>
      </c>
      <c r="I31" s="18">
        <f t="shared" ca="1" si="1"/>
        <v>0</v>
      </c>
      <c r="Q31" s="12"/>
      <c r="R31" s="12"/>
    </row>
    <row r="32" spans="1:20" x14ac:dyDescent="0.35">
      <c r="B32" s="101" t="str">
        <f>Modèle!B34</f>
        <v>Images</v>
      </c>
      <c r="C32" s="107" t="str">
        <f>Modèle!D34</f>
        <v>1.5.1</v>
      </c>
      <c r="D32" s="108" t="str">
        <f>Modèle!E34</f>
        <v>A</v>
      </c>
      <c r="E32" s="231">
        <f ca="1">COUNTIF(OFFSET(Synthèse!$G41,0,0,1,COUNTA(Synthèse!$10:$10)-6),"="&amp;$E$1)</f>
        <v>0</v>
      </c>
      <c r="F32" s="231">
        <f ca="1">COUNTIF(OFFSET(Synthèse!$G41,0,0,1,COUNTA(Synthèse!$10:$10)-6),"="&amp;$F$1)</f>
        <v>0</v>
      </c>
      <c r="G32" s="231">
        <f ca="1">COUNTIF(OFFSET(Synthèse!$G41,0,0,1,COUNTA(Synthèse!$10:$10)-6),"="&amp;$G$1)</f>
        <v>0</v>
      </c>
      <c r="H32" s="231">
        <f ca="1">COUNTIF(OFFSET(Synthèse!$G41,0,0,1,COUNTA(Synthèse!$10:$10)-6),"="&amp;$H$1)</f>
        <v>0</v>
      </c>
      <c r="I32" s="18">
        <f t="shared" ca="1" si="1"/>
        <v>0</v>
      </c>
      <c r="L32" s="267" t="s">
        <v>862</v>
      </c>
      <c r="M32" s="267"/>
      <c r="N32" s="267"/>
      <c r="O32" s="267"/>
      <c r="P32" s="267"/>
      <c r="Q32" s="267"/>
      <c r="R32" s="267"/>
    </row>
    <row r="33" spans="2:18" ht="29" x14ac:dyDescent="0.35">
      <c r="B33" s="101" t="str">
        <f>Modèle!B35</f>
        <v>Images</v>
      </c>
      <c r="C33" s="107" t="str">
        <f>Modèle!D35</f>
        <v>1.5.2</v>
      </c>
      <c r="D33" s="108" t="str">
        <f>Modèle!E35</f>
        <v>A</v>
      </c>
      <c r="E33" s="231">
        <f ca="1">COUNTIF(OFFSET(Synthèse!$G42,0,0,1,COUNTA(Synthèse!$10:$10)-6),"="&amp;$E$1)</f>
        <v>0</v>
      </c>
      <c r="F33" s="231">
        <f ca="1">COUNTIF(OFFSET(Synthèse!$G42,0,0,1,COUNTA(Synthèse!$10:$10)-6),"="&amp;$F$1)</f>
        <v>0</v>
      </c>
      <c r="G33" s="231">
        <f ca="1">COUNTIF(OFFSET(Synthèse!$G42,0,0,1,COUNTA(Synthèse!$10:$10)-6),"="&amp;$G$1)</f>
        <v>0</v>
      </c>
      <c r="H33" s="231">
        <f ca="1">COUNTIF(OFFSET(Synthèse!$G42,0,0,1,COUNTA(Synthèse!$10:$10)-6),"="&amp;$H$1)</f>
        <v>0</v>
      </c>
      <c r="I33" s="18">
        <f t="shared" ca="1" si="1"/>
        <v>0</v>
      </c>
      <c r="K33" s="246" t="s">
        <v>860</v>
      </c>
      <c r="L33" s="239" t="s">
        <v>23</v>
      </c>
      <c r="M33" s="239" t="s">
        <v>23</v>
      </c>
      <c r="N33" s="239" t="s">
        <v>511</v>
      </c>
      <c r="O33" s="240" t="s">
        <v>11</v>
      </c>
      <c r="P33" s="240" t="s">
        <v>12</v>
      </c>
      <c r="Q33" s="240" t="s">
        <v>635</v>
      </c>
      <c r="R33" s="240" t="s">
        <v>13</v>
      </c>
    </row>
    <row r="34" spans="2:18" x14ac:dyDescent="0.35">
      <c r="B34" s="102" t="str">
        <f>Modèle!B36</f>
        <v>Images</v>
      </c>
      <c r="C34" s="109" t="str">
        <f>Modèle!D36</f>
        <v>1.6.1</v>
      </c>
      <c r="D34" s="110" t="str">
        <f>Modèle!E36</f>
        <v>A</v>
      </c>
      <c r="E34" s="232">
        <f ca="1">COUNTIF(OFFSET(Synthèse!$G43,0,0,1,COUNTA(Synthèse!$10:$10)-6),"="&amp;$E$1)</f>
        <v>0</v>
      </c>
      <c r="F34" s="232">
        <f ca="1">COUNTIF(OFFSET(Synthèse!$G43,0,0,1,COUNTA(Synthèse!$10:$10)-6),"="&amp;$F$1)</f>
        <v>0</v>
      </c>
      <c r="G34" s="232">
        <f ca="1">COUNTIF(OFFSET(Synthèse!$G43,0,0,1,COUNTA(Synthèse!$10:$10)-6),"="&amp;$G$1)</f>
        <v>0</v>
      </c>
      <c r="H34" s="232">
        <f ca="1">COUNTIF(OFFSET(Synthèse!$G43,0,0,1,COUNTA(Synthèse!$10:$10)-6),"="&amp;$H$1)</f>
        <v>0</v>
      </c>
      <c r="I34" s="18">
        <f t="shared" ca="1" si="1"/>
        <v>0</v>
      </c>
      <c r="K34" s="123" t="s">
        <v>761</v>
      </c>
      <c r="L34" s="235" t="s">
        <v>24</v>
      </c>
      <c r="M34" s="235"/>
      <c r="N34" s="235" t="s">
        <v>513</v>
      </c>
      <c r="O34" s="236">
        <f ca="1">IF(SUM(E$2:E$9)&gt;=1,0,1)</f>
        <v>1</v>
      </c>
      <c r="P34" s="236">
        <f ca="1">IF(SUM(E$2:E$9)&gt;=1,1,IF(SUM(G$2:G$9)&gt;=1,1,IF(SUM(F$2:F$9)&gt;=1,0,1)))</f>
        <v>1</v>
      </c>
      <c r="Q34" s="236">
        <f ca="1">IF(SUM(E$2:E$9)&gt;=1,1,IF(SUM(G$2:G$9)&gt;=1,0,1))</f>
        <v>1</v>
      </c>
      <c r="R34" s="236">
        <f ca="1">IF(SUM(E$2:E$9)&gt;=1,1,IF(SUM(G$2:G$9)&gt;=1,1,IF(SUM(F$2:F$9)&gt;=1,1,IF(SUM(H$2:H$9)&gt;=1,0,1))))</f>
        <v>1</v>
      </c>
    </row>
    <row r="35" spans="2:18" x14ac:dyDescent="0.35">
      <c r="B35" s="102" t="str">
        <f>Modèle!B37</f>
        <v>Images</v>
      </c>
      <c r="C35" s="109" t="str">
        <f>Modèle!D37</f>
        <v>1.6.2</v>
      </c>
      <c r="D35" s="110" t="str">
        <f>Modèle!E37</f>
        <v>A</v>
      </c>
      <c r="E35" s="232">
        <f ca="1">COUNTIF(OFFSET(Synthèse!$G44,0,0,1,COUNTA(Synthèse!$10:$10)-6),"="&amp;$E$1)</f>
        <v>0</v>
      </c>
      <c r="F35" s="232">
        <f ca="1">COUNTIF(OFFSET(Synthèse!$G44,0,0,1,COUNTA(Synthèse!$10:$10)-6),"="&amp;$F$1)</f>
        <v>0</v>
      </c>
      <c r="G35" s="232">
        <f ca="1">COUNTIF(OFFSET(Synthèse!$G44,0,0,1,COUNTA(Synthèse!$10:$10)-6),"="&amp;$G$1)</f>
        <v>0</v>
      </c>
      <c r="H35" s="232">
        <f ca="1">COUNTIF(OFFSET(Synthèse!$G44,0,0,1,COUNTA(Synthèse!$10:$10)-6),"="&amp;$H$1)</f>
        <v>0</v>
      </c>
      <c r="I35" s="18">
        <f t="shared" ca="1" si="1"/>
        <v>0</v>
      </c>
      <c r="K35" s="123" t="s">
        <v>762</v>
      </c>
      <c r="L35" s="235" t="s">
        <v>24</v>
      </c>
      <c r="M35" s="235"/>
      <c r="N35" s="235" t="s">
        <v>515</v>
      </c>
      <c r="O35" s="236">
        <f ca="1">IF(SUM(E$10:E$15)&gt;=1,0,1)</f>
        <v>1</v>
      </c>
      <c r="P35" s="236">
        <f ca="1">IF(SUM(E$10:E$15)&gt;=1,1,IF(SUM(G$10:G$15)&gt;=1,1,IF(SUM(F$10:F$15)&gt;=1,0,1)))</f>
        <v>1</v>
      </c>
      <c r="Q35" s="236">
        <f ca="1">IF(SUM(E$10:E$15)&gt;=1,1,IF(SUM(G$10:G$15)&gt;=1,0,1))</f>
        <v>1</v>
      </c>
      <c r="R35" s="236">
        <f ca="1">IF(SUM(E$10:E$15)&gt;=1,1,IF(SUM(G$10:G$15)&gt;=1,1,IF(SUM(F$10:F$15)&gt;=1,1,IF(SUM(H$10:H$15)&gt;=1,0,1))))</f>
        <v>1</v>
      </c>
    </row>
    <row r="36" spans="2:18" x14ac:dyDescent="0.35">
      <c r="B36" s="102" t="str">
        <f>Modèle!B38</f>
        <v>Images</v>
      </c>
      <c r="C36" s="109" t="str">
        <f>Modèle!D38</f>
        <v>1.6.3</v>
      </c>
      <c r="D36" s="110" t="str">
        <f>Modèle!E38</f>
        <v>A</v>
      </c>
      <c r="E36" s="232">
        <f ca="1">COUNTIF(OFFSET(Synthèse!$G45,0,0,1,COUNTA(Synthèse!$10:$10)-6),"="&amp;$E$1)</f>
        <v>0</v>
      </c>
      <c r="F36" s="232">
        <f ca="1">COUNTIF(OFFSET(Synthèse!$G45,0,0,1,COUNTA(Synthèse!$10:$10)-6),"="&amp;$F$1)</f>
        <v>0</v>
      </c>
      <c r="G36" s="232">
        <f ca="1">COUNTIF(OFFSET(Synthèse!$G45,0,0,1,COUNTA(Synthèse!$10:$10)-6),"="&amp;$G$1)</f>
        <v>0</v>
      </c>
      <c r="H36" s="232">
        <f ca="1">COUNTIF(OFFSET(Synthèse!$G45,0,0,1,COUNTA(Synthèse!$10:$10)-6),"="&amp;$H$1)</f>
        <v>0</v>
      </c>
      <c r="I36" s="18">
        <f t="shared" ca="1" si="1"/>
        <v>0</v>
      </c>
      <c r="K36" s="123" t="s">
        <v>763</v>
      </c>
      <c r="L36" s="235" t="s">
        <v>24</v>
      </c>
      <c r="M36" s="235"/>
      <c r="N36" s="235" t="s">
        <v>516</v>
      </c>
      <c r="O36" s="236">
        <f ca="1">IF(SUM(E$16:E$24)&gt;=1,0,1)</f>
        <v>1</v>
      </c>
      <c r="P36" s="236">
        <f ca="1">IF(SUM(E$16:E$24)&gt;=1,1,IF(SUM(G$16:G$24)&gt;=1,1,IF(SUM(F$16:F$24)&gt;=1,0,1)))</f>
        <v>1</v>
      </c>
      <c r="Q36" s="236">
        <f ca="1">IF(SUM(E$16:E$24)&gt;=1,1,IF(SUM(G$16:G$24)&gt;=1,0,1))</f>
        <v>1</v>
      </c>
      <c r="R36" s="236">
        <f ca="1">IF(SUM(E$16:E$24)&gt;=1,1,IF(SUM(G$16:G$24)&gt;=1,1,IF(SUM(F$16:F$24)&gt;=1,1,IF(SUM(H$16:H$24)&gt;=1,0,1))))</f>
        <v>1</v>
      </c>
    </row>
    <row r="37" spans="2:18" x14ac:dyDescent="0.35">
      <c r="B37" s="102" t="str">
        <f>Modèle!B39</f>
        <v>Images</v>
      </c>
      <c r="C37" s="109" t="str">
        <f>Modèle!D39</f>
        <v>1.6.4</v>
      </c>
      <c r="D37" s="110" t="str">
        <f>Modèle!E39</f>
        <v>A</v>
      </c>
      <c r="E37" s="232">
        <f ca="1">COUNTIF(OFFSET(Synthèse!$G46,0,0,1,COUNTA(Synthèse!$10:$10)-6),"="&amp;$E$1)</f>
        <v>0</v>
      </c>
      <c r="F37" s="232">
        <f ca="1">COUNTIF(OFFSET(Synthèse!$G46,0,0,1,COUNTA(Synthèse!$10:$10)-6),"="&amp;$F$1)</f>
        <v>0</v>
      </c>
      <c r="G37" s="232">
        <f ca="1">COUNTIF(OFFSET(Synthèse!$G46,0,0,1,COUNTA(Synthèse!$10:$10)-6),"="&amp;$G$1)</f>
        <v>0</v>
      </c>
      <c r="H37" s="232">
        <f ca="1">COUNTIF(OFFSET(Synthèse!$G46,0,0,1,COUNTA(Synthèse!$10:$10)-6),"="&amp;$H$1)</f>
        <v>0</v>
      </c>
      <c r="I37" s="18">
        <f t="shared" ca="1" si="1"/>
        <v>0</v>
      </c>
      <c r="K37" s="123" t="s">
        <v>764</v>
      </c>
      <c r="L37" s="235" t="s">
        <v>24</v>
      </c>
      <c r="M37" s="235"/>
      <c r="N37" s="235" t="s">
        <v>517</v>
      </c>
      <c r="O37" s="236">
        <f ca="1">IF(SUM(E$25:E$31)&gt;=1,0,1)</f>
        <v>1</v>
      </c>
      <c r="P37" s="236">
        <f ca="1">IF(SUM(E$25:E$31)&gt;=1,1,IF(SUM(G$25:G$31)&gt;=1,1,IF(SUM(F$25:F$31)&gt;=1,0,1)))</f>
        <v>1</v>
      </c>
      <c r="Q37" s="236">
        <f ca="1">IF(SUM(E$25:E$31)&gt;=1,1,IF(SUM(G$25:G$31)&gt;=1,0,1))</f>
        <v>1</v>
      </c>
      <c r="R37" s="236">
        <f ca="1">IF(SUM(E$25:E$31)&gt;=1,1,IF(SUM(G$25:G$31)&gt;=1,1,IF(SUM(F$25:F$31)&gt;=1,1,IF(SUM(H$25:H$31)&gt;=1,0,1))))</f>
        <v>1</v>
      </c>
    </row>
    <row r="38" spans="2:18" x14ac:dyDescent="0.35">
      <c r="B38" s="102" t="str">
        <f>Modèle!B40</f>
        <v>Images</v>
      </c>
      <c r="C38" s="109" t="str">
        <f>Modèle!D40</f>
        <v>1.6.5</v>
      </c>
      <c r="D38" s="110" t="str">
        <f>Modèle!E40</f>
        <v>A</v>
      </c>
      <c r="E38" s="232">
        <f ca="1">COUNTIF(OFFSET(Synthèse!$G47,0,0,1,COUNTA(Synthèse!$10:$10)-6),"="&amp;$E$1)</f>
        <v>0</v>
      </c>
      <c r="F38" s="232">
        <f ca="1">COUNTIF(OFFSET(Synthèse!$G47,0,0,1,COUNTA(Synthèse!$10:$10)-6),"="&amp;$F$1)</f>
        <v>0</v>
      </c>
      <c r="G38" s="232">
        <f ca="1">COUNTIF(OFFSET(Synthèse!$G47,0,0,1,COUNTA(Synthèse!$10:$10)-6),"="&amp;$G$1)</f>
        <v>0</v>
      </c>
      <c r="H38" s="232">
        <f ca="1">COUNTIF(OFFSET(Synthèse!$G47,0,0,1,COUNTA(Synthèse!$10:$10)-6),"="&amp;$H$1)</f>
        <v>0</v>
      </c>
      <c r="I38" s="18">
        <f t="shared" ca="1" si="1"/>
        <v>0</v>
      </c>
      <c r="K38" s="123" t="s">
        <v>765</v>
      </c>
      <c r="L38" s="235" t="s">
        <v>24</v>
      </c>
      <c r="M38" s="235"/>
      <c r="N38" s="235" t="s">
        <v>518</v>
      </c>
      <c r="O38" s="236">
        <f ca="1">IF(SUM(E$32:E$33)&gt;=1,0,1)</f>
        <v>1</v>
      </c>
      <c r="P38" s="236">
        <f ca="1">IF(SUM(E$32:E$33)&gt;=1,1,IF(SUM(G$32:G$33)&gt;=1,1,IF(SUM(F$32:F$33)&gt;=1,0,1)))</f>
        <v>1</v>
      </c>
      <c r="Q38" s="236">
        <f ca="1">IF(SUM(E$32:E$33)&gt;=1,1,IF(SUM(G$32:G$33)&gt;=1,0,1))</f>
        <v>1</v>
      </c>
      <c r="R38" s="236">
        <f ca="1">IF(SUM(E$32:E$33)&gt;=1,1,IF(SUM(G$32:G$33)&gt;=1,1,IF(SUM(F$32:F$33)&gt;=1,1,IF(SUM(H$32:H$33)&gt;=1,0,1))))</f>
        <v>1</v>
      </c>
    </row>
    <row r="39" spans="2:18" x14ac:dyDescent="0.35">
      <c r="B39" s="102" t="str">
        <f>Modèle!B41</f>
        <v>Images</v>
      </c>
      <c r="C39" s="109" t="str">
        <f>Modèle!D41</f>
        <v>1.6.6</v>
      </c>
      <c r="D39" s="110" t="str">
        <f>Modèle!E41</f>
        <v>A</v>
      </c>
      <c r="E39" s="232">
        <f ca="1">COUNTIF(OFFSET(Synthèse!$G48,0,0,1,COUNTA(Synthèse!$10:$10)-6),"="&amp;$E$1)</f>
        <v>0</v>
      </c>
      <c r="F39" s="232">
        <f ca="1">COUNTIF(OFFSET(Synthèse!$G48,0,0,1,COUNTA(Synthèse!$10:$10)-6),"="&amp;$F$1)</f>
        <v>0</v>
      </c>
      <c r="G39" s="232">
        <f ca="1">COUNTIF(OFFSET(Synthèse!$G48,0,0,1,COUNTA(Synthèse!$10:$10)-6),"="&amp;$G$1)</f>
        <v>0</v>
      </c>
      <c r="H39" s="232">
        <f ca="1">COUNTIF(OFFSET(Synthèse!$G48,0,0,1,COUNTA(Synthèse!$10:$10)-6),"="&amp;$H$1)</f>
        <v>0</v>
      </c>
      <c r="I39" s="18">
        <f t="shared" ca="1" si="1"/>
        <v>0</v>
      </c>
      <c r="K39" s="123" t="s">
        <v>766</v>
      </c>
      <c r="L39" s="235" t="s">
        <v>24</v>
      </c>
      <c r="M39" s="235"/>
      <c r="N39" s="235" t="s">
        <v>519</v>
      </c>
      <c r="O39" s="236">
        <f ca="1">IF(SUM(E$34:E$43)&gt;=1,0,1)</f>
        <v>1</v>
      </c>
      <c r="P39" s="236">
        <f ca="1">IF(SUM(E$34:E$43)&gt;=1,1,IF(SUM(G$34:G$43)&gt;=1,1,IF(SUM(F$34:F$43)&gt;=1,0,1)))</f>
        <v>1</v>
      </c>
      <c r="Q39" s="236">
        <f ca="1">IF(SUM(E$34:E$43)&gt;=1,1,IF(SUM(G$34:G$43)&gt;=1,0,1))</f>
        <v>1</v>
      </c>
      <c r="R39" s="236">
        <f ca="1">IF(SUM(E$34:E$43)&gt;=1,1,IF(SUM(G$34:G$43)&gt;=1,1,IF(SUM(F$34:F$43)&gt;=1,1,IF(SUM(H$34:H$43)&gt;=1,0,1))))</f>
        <v>1</v>
      </c>
    </row>
    <row r="40" spans="2:18" x14ac:dyDescent="0.35">
      <c r="B40" s="102" t="str">
        <f>Modèle!B42</f>
        <v>Images</v>
      </c>
      <c r="C40" s="109" t="str">
        <f>Modèle!D42</f>
        <v>1.6.7</v>
      </c>
      <c r="D40" s="110" t="str">
        <f>Modèle!E42</f>
        <v>A</v>
      </c>
      <c r="E40" s="232">
        <f ca="1">COUNTIF(OFFSET(Synthèse!$G49,0,0,1,COUNTA(Synthèse!$10:$10)-6),"="&amp;$E$1)</f>
        <v>0</v>
      </c>
      <c r="F40" s="232">
        <f ca="1">COUNTIF(OFFSET(Synthèse!$G49,0,0,1,COUNTA(Synthèse!$10:$10)-6),"="&amp;$F$1)</f>
        <v>0</v>
      </c>
      <c r="G40" s="232">
        <f ca="1">COUNTIF(OFFSET(Synthèse!$G49,0,0,1,COUNTA(Synthèse!$10:$10)-6),"="&amp;$G$1)</f>
        <v>0</v>
      </c>
      <c r="H40" s="232">
        <f ca="1">COUNTIF(OFFSET(Synthèse!$G49,0,0,1,COUNTA(Synthèse!$10:$10)-6),"="&amp;$H$1)</f>
        <v>0</v>
      </c>
      <c r="I40" s="18">
        <f t="shared" ca="1" si="1"/>
        <v>0</v>
      </c>
      <c r="K40" s="123" t="s">
        <v>767</v>
      </c>
      <c r="L40" s="235" t="s">
        <v>24</v>
      </c>
      <c r="M40" s="235"/>
      <c r="N40" s="235" t="s">
        <v>520</v>
      </c>
      <c r="O40" s="236">
        <f ca="1">IF(SUM(E$44:E$49)&gt;=1,0,1)</f>
        <v>1</v>
      </c>
      <c r="P40" s="236">
        <f ca="1">IF(SUM(E$44:E$49)&gt;=1,1,IF(SUM(G$44:G$49)&gt;=1,1,IF(SUM(F$44:F$49)&gt;=1,0,1)))</f>
        <v>1</v>
      </c>
      <c r="Q40" s="236">
        <f ca="1">IF(SUM(E$44:E$49)&gt;=1,1,IF(SUM(G$44:G$49)&gt;=1,0,1))</f>
        <v>1</v>
      </c>
      <c r="R40" s="236">
        <f ca="1">IF(SUM(E$44:E$49)&gt;=1,1,IF(SUM(G$44:G$49)&gt;=1,1,IF(SUM(F$44:F$49)&gt;=1,1,IF(SUM(H$44:H$49)&gt;=1,0,1))))</f>
        <v>1</v>
      </c>
    </row>
    <row r="41" spans="2:18" x14ac:dyDescent="0.35">
      <c r="B41" s="102" t="str">
        <f>Modèle!B43</f>
        <v>Images</v>
      </c>
      <c r="C41" s="109" t="str">
        <f>Modèle!D43</f>
        <v>1.6.8</v>
      </c>
      <c r="D41" s="110" t="str">
        <f>Modèle!E43</f>
        <v>A</v>
      </c>
      <c r="E41" s="232">
        <f ca="1">COUNTIF(OFFSET(Synthèse!$G50,0,0,1,COUNTA(Synthèse!$10:$10)-6),"="&amp;$E$1)</f>
        <v>0</v>
      </c>
      <c r="F41" s="232">
        <f ca="1">COUNTIF(OFFSET(Synthèse!$G50,0,0,1,COUNTA(Synthèse!$10:$10)-6),"="&amp;$F$1)</f>
        <v>0</v>
      </c>
      <c r="G41" s="232">
        <f ca="1">COUNTIF(OFFSET(Synthèse!$G50,0,0,1,COUNTA(Synthèse!$10:$10)-6),"="&amp;$G$1)</f>
        <v>0</v>
      </c>
      <c r="H41" s="232">
        <f ca="1">COUNTIF(OFFSET(Synthèse!$G50,0,0,1,COUNTA(Synthèse!$10:$10)-6),"="&amp;$H$1)</f>
        <v>0</v>
      </c>
      <c r="I41" s="18">
        <f t="shared" ca="1" si="1"/>
        <v>0</v>
      </c>
      <c r="K41" s="123" t="s">
        <v>768</v>
      </c>
      <c r="L41" s="235" t="s">
        <v>25</v>
      </c>
      <c r="M41" s="235"/>
      <c r="N41" s="235" t="s">
        <v>522</v>
      </c>
      <c r="O41" s="236">
        <f ca="1">IF(SUM(E$50:E$54)&gt;=1,0,1)</f>
        <v>1</v>
      </c>
      <c r="P41" s="236">
        <f ca="1">IF(SUM(E$50:E$54)&gt;=1,1,IF(SUM(G$50:G$54)&gt;=1,1,IF(SUM(F$50:F$54)&gt;=1,0,1)))</f>
        <v>1</v>
      </c>
      <c r="Q41" s="236">
        <f ca="1">IF(SUM(E$50:E$54)&gt;=1,1,IF(SUM(G$50:G$54)&gt;=1,0,1))</f>
        <v>1</v>
      </c>
      <c r="R41" s="236">
        <f ca="1">IF(SUM(E$50:E$54)&gt;=1,1,IF(SUM(G$50:G$54)&gt;=1,1,IF(SUM(F$50:F$54)&gt;=1,1,IF(SUM(H$50:H$54)&gt;=1,0,1))))</f>
        <v>1</v>
      </c>
    </row>
    <row r="42" spans="2:18" x14ac:dyDescent="0.35">
      <c r="B42" s="102" t="str">
        <f>Modèle!B44</f>
        <v>Images</v>
      </c>
      <c r="C42" s="109" t="str">
        <f>Modèle!D44</f>
        <v>1.6.9</v>
      </c>
      <c r="D42" s="110" t="str">
        <f>Modèle!E44</f>
        <v>A</v>
      </c>
      <c r="E42" s="232">
        <f ca="1">COUNTIF(OFFSET(Synthèse!$G51,0,0,1,COUNTA(Synthèse!$10:$10)-6),"="&amp;$E$1)</f>
        <v>0</v>
      </c>
      <c r="F42" s="232">
        <f ca="1">COUNTIF(OFFSET(Synthèse!$G51,0,0,1,COUNTA(Synthèse!$10:$10)-6),"="&amp;$F$1)</f>
        <v>0</v>
      </c>
      <c r="G42" s="232">
        <f ca="1">COUNTIF(OFFSET(Synthèse!$G51,0,0,1,COUNTA(Synthèse!$10:$10)-6),"="&amp;$G$1)</f>
        <v>0</v>
      </c>
      <c r="H42" s="232">
        <f ca="1">COUNTIF(OFFSET(Synthèse!$G51,0,0,1,COUNTA(Synthèse!$10:$10)-6),"="&amp;$H$1)</f>
        <v>0</v>
      </c>
      <c r="I42" s="18">
        <f t="shared" ca="1" si="1"/>
        <v>0</v>
      </c>
      <c r="K42" s="123" t="s">
        <v>769</v>
      </c>
      <c r="L42" s="235" t="s">
        <v>24</v>
      </c>
      <c r="M42" s="235"/>
      <c r="N42" s="235" t="s">
        <v>524</v>
      </c>
      <c r="O42" s="236">
        <f ca="1">IF(SUM(E$55:E$59)&gt;=1,0,1)</f>
        <v>1</v>
      </c>
      <c r="P42" s="236">
        <f ca="1">IF(SUM(E$55:E$59)&gt;=1,1,IF(SUM(G$55:G$59)&gt;=1,1,IF(SUM(F$55:F$59)&gt;=1,0,1)))</f>
        <v>1</v>
      </c>
      <c r="Q42" s="236">
        <f ca="1">IF(SUM(E$55:E$59)&gt;=1,1,IF(SUM(G$55:G$59)&gt;=1,0,1))</f>
        <v>1</v>
      </c>
      <c r="R42" s="236">
        <f ca="1">IF(SUM(E$55:E$59)&gt;=1,1,IF(SUM(G$55:G$59)&gt;=1,1,IF(SUM(F$55:F$59)&gt;=1,1,IF(SUM(H$55:H$59)&gt;=1,0,1))))</f>
        <v>1</v>
      </c>
    </row>
    <row r="43" spans="2:18" x14ac:dyDescent="0.35">
      <c r="B43" s="102" t="str">
        <f>Modèle!B45</f>
        <v>Images</v>
      </c>
      <c r="C43" s="109" t="str">
        <f>Modèle!D45</f>
        <v>1.6.10</v>
      </c>
      <c r="D43" s="110" t="str">
        <f>Modèle!E45</f>
        <v>A</v>
      </c>
      <c r="E43" s="232">
        <f ca="1">COUNTIF(OFFSET(Synthèse!$G52,0,0,1,COUNTA(Synthèse!$10:$10)-6),"="&amp;$E$1)</f>
        <v>0</v>
      </c>
      <c r="F43" s="232">
        <f ca="1">COUNTIF(OFFSET(Synthèse!$G52,0,0,1,COUNTA(Synthèse!$10:$10)-6),"="&amp;$F$1)</f>
        <v>0</v>
      </c>
      <c r="G43" s="232">
        <f ca="1">COUNTIF(OFFSET(Synthèse!$G52,0,0,1,COUNTA(Synthèse!$10:$10)-6),"="&amp;$G$1)</f>
        <v>0</v>
      </c>
      <c r="H43" s="232">
        <f ca="1">COUNTIF(OFFSET(Synthèse!$G52,0,0,1,COUNTA(Synthèse!$10:$10)-6),"="&amp;$H$1)</f>
        <v>0</v>
      </c>
      <c r="I43" s="18">
        <f t="shared" ca="1" si="1"/>
        <v>0</v>
      </c>
      <c r="K43" s="123" t="s">
        <v>770</v>
      </c>
      <c r="L43" s="237" t="s">
        <v>24</v>
      </c>
      <c r="M43" s="237"/>
      <c r="N43" s="237" t="s">
        <v>525</v>
      </c>
      <c r="O43" s="238">
        <f ca="1">IF(SUM(E$60:E$60)&gt;=1,0,1)</f>
        <v>1</v>
      </c>
      <c r="P43" s="238">
        <f ca="1">IF(SUM(E$60:E$60)&gt;=1,1,IF(SUM(G$60:G$60)&gt;=1,1,IF(SUM(F$60:F$60)&gt;=1,0,1)))</f>
        <v>1</v>
      </c>
      <c r="Q43" s="238">
        <f ca="1">IF(SUM(E$60)&gt;=1,1,IF(SUM(G$60)&gt;=1,0,1))</f>
        <v>1</v>
      </c>
      <c r="R43" s="238">
        <f ca="1">IF(SUM(E$60)&gt;=1,1,IF(SUM(G$60)&gt;=1,1,IF(SUM(F$60)&gt;=1,1,IF(SUM(H$60)&gt;=1,0,1))))</f>
        <v>1</v>
      </c>
    </row>
    <row r="44" spans="2:18" x14ac:dyDescent="0.35">
      <c r="B44" s="101" t="str">
        <f>Modèle!B46</f>
        <v>Images</v>
      </c>
      <c r="C44" s="107" t="str">
        <f>Modèle!D46</f>
        <v>1.7.1</v>
      </c>
      <c r="D44" s="108" t="str">
        <f>Modèle!E46</f>
        <v>A</v>
      </c>
      <c r="E44" s="231">
        <f ca="1">COUNTIF(OFFSET(Synthèse!$G53,0,0,1,COUNTA(Synthèse!$10:$10)-6),"="&amp;$E$1)</f>
        <v>0</v>
      </c>
      <c r="F44" s="231">
        <f ca="1">COUNTIF(OFFSET(Synthèse!$G53,0,0,1,COUNTA(Synthèse!$10:$10)-6),"="&amp;$F$1)</f>
        <v>0</v>
      </c>
      <c r="G44" s="231">
        <f ca="1">COUNTIF(OFFSET(Synthèse!$G53,0,0,1,COUNTA(Synthèse!$10:$10)-6),"="&amp;$G$1)</f>
        <v>0</v>
      </c>
      <c r="H44" s="231">
        <f ca="1">COUNTIF(OFFSET(Synthèse!$G53,0,0,1,COUNTA(Synthèse!$10:$10)-6),"="&amp;$H$1)</f>
        <v>0</v>
      </c>
      <c r="I44" s="18">
        <f t="shared" ca="1" si="1"/>
        <v>0</v>
      </c>
      <c r="K44" s="123" t="s">
        <v>771</v>
      </c>
      <c r="L44" s="237" t="s">
        <v>24</v>
      </c>
      <c r="M44" s="237"/>
      <c r="N44" s="237" t="s">
        <v>526</v>
      </c>
      <c r="O44" s="238">
        <f ca="1">IF(SUM(E$61:E$61)&gt;=1,0,1)</f>
        <v>1</v>
      </c>
      <c r="P44" s="238">
        <f ca="1">IF(SUM(E$61:E$61)&gt;=1,1,IF(SUM(G$61:G$61)&gt;=1,1,IF(SUM(F$61:F$61)&gt;=1,0,1)))</f>
        <v>1</v>
      </c>
      <c r="Q44" s="238">
        <f ca="1">IF(SUM(E$61)&gt;=1,1,IF(SUM(G$61)&gt;=1,0,1))</f>
        <v>1</v>
      </c>
      <c r="R44" s="238">
        <f ca="1">IF(SUM(E$61)&gt;=1,1,IF(SUM(G$61)&gt;=1,1,IF(SUM(F$61)&gt;=1,1,IF(SUM(H$61)&gt;=1,0,1))))</f>
        <v>1</v>
      </c>
    </row>
    <row r="45" spans="2:18" x14ac:dyDescent="0.35">
      <c r="B45" s="101" t="str">
        <f>Modèle!B47</f>
        <v>Images</v>
      </c>
      <c r="C45" s="107" t="str">
        <f>Modèle!D47</f>
        <v>1.7.2</v>
      </c>
      <c r="D45" s="108" t="str">
        <f>Modèle!E47</f>
        <v>A</v>
      </c>
      <c r="E45" s="231">
        <f ca="1">COUNTIF(OFFSET(Synthèse!$G54,0,0,1,COUNTA(Synthèse!$10:$10)-6),"="&amp;$E$1)</f>
        <v>0</v>
      </c>
      <c r="F45" s="231">
        <f ca="1">COUNTIF(OFFSET(Synthèse!$G54,0,0,1,COUNTA(Synthèse!$10:$10)-6),"="&amp;$F$1)</f>
        <v>0</v>
      </c>
      <c r="G45" s="231">
        <f ca="1">COUNTIF(OFFSET(Synthèse!$G54,0,0,1,COUNTA(Synthèse!$10:$10)-6),"="&amp;$G$1)</f>
        <v>0</v>
      </c>
      <c r="H45" s="231">
        <f ca="1">COUNTIF(OFFSET(Synthèse!$G54,0,0,1,COUNTA(Synthèse!$10:$10)-6),"="&amp;$H$1)</f>
        <v>0</v>
      </c>
      <c r="I45" s="18">
        <f t="shared" ca="1" si="1"/>
        <v>0</v>
      </c>
      <c r="K45" s="123" t="s">
        <v>772</v>
      </c>
      <c r="L45" s="235" t="s">
        <v>24</v>
      </c>
      <c r="M45" s="235"/>
      <c r="N45" s="235" t="s">
        <v>527</v>
      </c>
      <c r="O45" s="236">
        <f ca="1">IF(SUM(E$62:E$67)&gt;=1,0,1)</f>
        <v>1</v>
      </c>
      <c r="P45" s="236">
        <f ca="1">IF(SUM(E$62:E$67)&gt;=1,1,IF(SUM(G$62:G$67)&gt;=1,1,IF(SUM(F$62:F$67)&gt;=1,0,1)))</f>
        <v>1</v>
      </c>
      <c r="Q45" s="236">
        <f ca="1">IF(SUM(E$62:E$67)&gt;=1,1,IF(SUM(G$62:G$67)&gt;=1,0,1))</f>
        <v>1</v>
      </c>
      <c r="R45" s="236">
        <f ca="1">IF(SUM(E$62:E$67)&gt;=1,1,IF(SUM(G$62:G$67)&gt;=1,1,IF(SUM(F$62:F$67)&gt;=1,1,IF(SUM(H$62:H$67)&gt;=1,0,1))))</f>
        <v>1</v>
      </c>
    </row>
    <row r="46" spans="2:18" x14ac:dyDescent="0.35">
      <c r="B46" s="101" t="str">
        <f>Modèle!B48</f>
        <v>Images</v>
      </c>
      <c r="C46" s="107" t="str">
        <f>Modèle!D48</f>
        <v>1.7.3</v>
      </c>
      <c r="D46" s="108" t="str">
        <f>Modèle!E48</f>
        <v>A</v>
      </c>
      <c r="E46" s="231">
        <f ca="1">COUNTIF(OFFSET(Synthèse!$G55,0,0,1,COUNTA(Synthèse!$10:$10)-6),"="&amp;$E$1)</f>
        <v>0</v>
      </c>
      <c r="F46" s="231">
        <f ca="1">COUNTIF(OFFSET(Synthèse!$G55,0,0,1,COUNTA(Synthèse!$10:$10)-6),"="&amp;$F$1)</f>
        <v>0</v>
      </c>
      <c r="G46" s="231">
        <f ca="1">COUNTIF(OFFSET(Synthèse!$G55,0,0,1,COUNTA(Synthèse!$10:$10)-6),"="&amp;$G$1)</f>
        <v>0</v>
      </c>
      <c r="H46" s="231">
        <f ca="1">COUNTIF(OFFSET(Synthèse!$G55,0,0,1,COUNTA(Synthèse!$10:$10)-6),"="&amp;$H$1)</f>
        <v>0</v>
      </c>
      <c r="I46" s="18">
        <f t="shared" ca="1" si="1"/>
        <v>0</v>
      </c>
      <c r="K46" s="123" t="s">
        <v>773</v>
      </c>
      <c r="L46" s="235" t="s">
        <v>25</v>
      </c>
      <c r="M46" s="235"/>
      <c r="N46" s="235" t="s">
        <v>528</v>
      </c>
      <c r="O46" s="236">
        <f ca="1">IF(SUM(E$68:E$72)&gt;=1,0,1)</f>
        <v>1</v>
      </c>
      <c r="P46" s="236">
        <f ca="1">IF(SUM(E$68:E$72)&gt;=1,1,IF(SUM(G$68:G$72)&gt;=1,1,IF(SUM(F$68:F$72)&gt;=1,0,1)))</f>
        <v>1</v>
      </c>
      <c r="Q46" s="236">
        <f ca="1">IF(SUM(E$68:E$72)&gt;=1,1,IF(SUM(G$68:G$72)&gt;=1,0,1))</f>
        <v>1</v>
      </c>
      <c r="R46" s="236">
        <f ca="1">IF(SUM(E$68:E$72)&gt;=1,1,IF(SUM(G$68:G$72)&gt;=1,1,IF(SUM(F$68:F$72)&gt;=1,1,IF(SUM(H$68:H$72)&gt;=1,0,1))))</f>
        <v>1</v>
      </c>
    </row>
    <row r="47" spans="2:18" x14ac:dyDescent="0.35">
      <c r="B47" s="101" t="str">
        <f>Modèle!B49</f>
        <v>Images</v>
      </c>
      <c r="C47" s="107" t="str">
        <f>Modèle!D49</f>
        <v>1.7.4</v>
      </c>
      <c r="D47" s="108" t="str">
        <f>Modèle!E49</f>
        <v>A</v>
      </c>
      <c r="E47" s="231">
        <f ca="1">COUNTIF(OFFSET(Synthèse!$G56,0,0,1,COUNTA(Synthèse!$10:$10)-6),"="&amp;$E$1)</f>
        <v>0</v>
      </c>
      <c r="F47" s="231">
        <f ca="1">COUNTIF(OFFSET(Synthèse!$G56,0,0,1,COUNTA(Synthèse!$10:$10)-6),"="&amp;$F$1)</f>
        <v>0</v>
      </c>
      <c r="G47" s="231">
        <f ca="1">COUNTIF(OFFSET(Synthèse!$G56,0,0,1,COUNTA(Synthèse!$10:$10)-6),"="&amp;$G$1)</f>
        <v>0</v>
      </c>
      <c r="H47" s="231">
        <f ca="1">COUNTIF(OFFSET(Synthèse!$G56,0,0,1,COUNTA(Synthèse!$10:$10)-6),"="&amp;$H$1)</f>
        <v>0</v>
      </c>
      <c r="I47" s="18">
        <f t="shared" ca="1" si="1"/>
        <v>0</v>
      </c>
      <c r="K47" s="123" t="s">
        <v>774</v>
      </c>
      <c r="L47" s="235" t="s">
        <v>25</v>
      </c>
      <c r="M47" s="235"/>
      <c r="N47" s="235" t="s">
        <v>529</v>
      </c>
      <c r="O47" s="236">
        <f ca="1">IF(SUM(E$73:E$76)&gt;=1,0,1)</f>
        <v>1</v>
      </c>
      <c r="P47" s="236">
        <f ca="1">IF(SUM(E$73:E$76)&gt;=1,1,IF(SUM(G$73:G$76)&gt;=1,1,IF(SUM(F$73:F$76)&gt;=1,0,1)))</f>
        <v>1</v>
      </c>
      <c r="Q47" s="236">
        <f ca="1">IF(SUM(E$73:E$76)&gt;=1,1,IF(SUM(G$73:G$76)&gt;=1,0,1))</f>
        <v>1</v>
      </c>
      <c r="R47" s="236">
        <f ca="1">IF(SUM(E$73:E$76)&gt;=1,1,IF(SUM(G$73:G$76)&gt;=1,1,IF(SUM(F$73:F$76)&gt;=1,1,IF(SUM(H$73:H$76)&gt;=1,0,1))))</f>
        <v>1</v>
      </c>
    </row>
    <row r="48" spans="2:18" x14ac:dyDescent="0.35">
      <c r="B48" s="101" t="str">
        <f>Modèle!B50</f>
        <v>Images</v>
      </c>
      <c r="C48" s="107" t="str">
        <f>Modèle!D50</f>
        <v>1.7.5</v>
      </c>
      <c r="D48" s="108" t="str">
        <f>Modèle!E50</f>
        <v>A</v>
      </c>
      <c r="E48" s="231">
        <f ca="1">COUNTIF(OFFSET(Synthèse!$G57,0,0,1,COUNTA(Synthèse!$10:$10)-6),"="&amp;$E$1)</f>
        <v>0</v>
      </c>
      <c r="F48" s="231">
        <f ca="1">COUNTIF(OFFSET(Synthèse!$G57,0,0,1,COUNTA(Synthèse!$10:$10)-6),"="&amp;$F$1)</f>
        <v>0</v>
      </c>
      <c r="G48" s="231">
        <f ca="1">COUNTIF(OFFSET(Synthèse!$G57,0,0,1,COUNTA(Synthèse!$10:$10)-6),"="&amp;$G$1)</f>
        <v>0</v>
      </c>
      <c r="H48" s="231">
        <f ca="1">COUNTIF(OFFSET(Synthèse!$G57,0,0,1,COUNTA(Synthèse!$10:$10)-6),"="&amp;$H$1)</f>
        <v>0</v>
      </c>
      <c r="I48" s="18">
        <f t="shared" ca="1" si="1"/>
        <v>0</v>
      </c>
      <c r="K48" s="123" t="s">
        <v>775</v>
      </c>
      <c r="L48" s="237" t="s">
        <v>24</v>
      </c>
      <c r="M48" s="237"/>
      <c r="N48" s="237" t="s">
        <v>530</v>
      </c>
      <c r="O48" s="238">
        <f ca="1">IF(SUM(E$77:E$79)&gt;=1,0,1)</f>
        <v>1</v>
      </c>
      <c r="P48" s="238">
        <f ca="1">IF(SUM(E$77:E$79)&gt;=1,1,IF(SUM(G$77:G$79)&gt;=1,1,IF(SUM(F$77:F$79)&gt;=1,0,1)))</f>
        <v>1</v>
      </c>
      <c r="Q48" s="238">
        <f ca="1">IF(SUM(E$77:E$79)&gt;=1,1,IF(SUM(G$77:G$79)&gt;=1,0,1))</f>
        <v>1</v>
      </c>
      <c r="R48" s="238">
        <f ca="1">IF(SUM(E$77:E$79)&gt;=1,1,IF(SUM(G$77:G$79)&gt;=1,1,IF(SUM(F$77:F$79)&gt;=1,1,IF(SUM(H$77:H$79)&gt;=1,0,1))))</f>
        <v>1</v>
      </c>
    </row>
    <row r="49" spans="2:18" x14ac:dyDescent="0.35">
      <c r="B49" s="101" t="str">
        <f>Modèle!B51</f>
        <v>Images</v>
      </c>
      <c r="C49" s="107" t="str">
        <f>Modèle!D51</f>
        <v>1.7.6</v>
      </c>
      <c r="D49" s="108" t="str">
        <f>Modèle!E51</f>
        <v>A</v>
      </c>
      <c r="E49" s="231">
        <f ca="1">COUNTIF(OFFSET(Synthèse!$G58,0,0,1,COUNTA(Synthèse!$10:$10)-6),"="&amp;$E$1)</f>
        <v>0</v>
      </c>
      <c r="F49" s="231">
        <f ca="1">COUNTIF(OFFSET(Synthèse!$G58,0,0,1,COUNTA(Synthèse!$10:$10)-6),"="&amp;$F$1)</f>
        <v>0</v>
      </c>
      <c r="G49" s="231">
        <f ca="1">COUNTIF(OFFSET(Synthèse!$G58,0,0,1,COUNTA(Synthèse!$10:$10)-6),"="&amp;$G$1)</f>
        <v>0</v>
      </c>
      <c r="H49" s="231">
        <f ca="1">COUNTIF(OFFSET(Synthèse!$G58,0,0,1,COUNTA(Synthèse!$10:$10)-6),"="&amp;$H$1)</f>
        <v>0</v>
      </c>
      <c r="I49" s="18">
        <f t="shared" ca="1" si="1"/>
        <v>0</v>
      </c>
      <c r="K49" s="123" t="s">
        <v>776</v>
      </c>
      <c r="L49" s="237" t="s">
        <v>24</v>
      </c>
      <c r="M49" s="237"/>
      <c r="N49" s="237" t="s">
        <v>531</v>
      </c>
      <c r="O49" s="238">
        <f ca="1">IF(SUM(E$80:E$82)&gt;=1,0,1)</f>
        <v>1</v>
      </c>
      <c r="P49" s="238">
        <f ca="1">IF(SUM(E$80:E$82)&gt;=1,1,IF(SUM(G$80:G$82)&gt;=1,1,IF(SUM(F$80:F$82)&gt;=1,0,1)))</f>
        <v>1</v>
      </c>
      <c r="Q49" s="238">
        <f ca="1">IF(SUM(E$80:E$82)&gt;=1,1,IF(SUM(G$80:G$82)&gt;=1,0,1))</f>
        <v>1</v>
      </c>
      <c r="R49" s="238">
        <f ca="1">IF(SUM(E$80:E$82)&gt;=1,1,IF(SUM(G$80:G$82)&gt;=1,1,IF(SUM(F$80:F$82)&gt;=1,1,IF(SUM(H$80:H$82)&gt;=1,0,1))))</f>
        <v>1</v>
      </c>
    </row>
    <row r="50" spans="2:18" x14ac:dyDescent="0.35">
      <c r="B50" s="102" t="str">
        <f>Modèle!B52</f>
        <v>Images</v>
      </c>
      <c r="C50" s="109" t="str">
        <f>Modèle!D52</f>
        <v>1.8.1</v>
      </c>
      <c r="D50" s="110" t="str">
        <f>Modèle!E52</f>
        <v>AA</v>
      </c>
      <c r="E50" s="232">
        <f ca="1">COUNTIF(OFFSET(Synthèse!$G59,0,0,1,COUNTA(Synthèse!$10:$10)-6),"="&amp;$E$1)</f>
        <v>0</v>
      </c>
      <c r="F50" s="232">
        <f ca="1">COUNTIF(OFFSET(Synthèse!$G59,0,0,1,COUNTA(Synthèse!$10:$10)-6),"="&amp;$F$1)</f>
        <v>0</v>
      </c>
      <c r="G50" s="232">
        <f ca="1">COUNTIF(OFFSET(Synthèse!$G59,0,0,1,COUNTA(Synthèse!$10:$10)-6),"="&amp;$G$1)</f>
        <v>0</v>
      </c>
      <c r="H50" s="232">
        <f ca="1">COUNTIF(OFFSET(Synthèse!$G59,0,0,1,COUNTA(Synthèse!$10:$10)-6),"="&amp;$H$1)</f>
        <v>0</v>
      </c>
      <c r="I50" s="18">
        <f t="shared" ca="1" si="1"/>
        <v>0</v>
      </c>
      <c r="K50" s="123" t="s">
        <v>777</v>
      </c>
      <c r="L50" s="237" t="s">
        <v>24</v>
      </c>
      <c r="M50" s="237"/>
      <c r="N50" s="237" t="s">
        <v>532</v>
      </c>
      <c r="O50" s="238">
        <f ca="1">IF(SUM(E$83:E$84)&gt;=1,0,1)</f>
        <v>1</v>
      </c>
      <c r="P50" s="238">
        <f ca="1">IF(SUM(E$83:E$84)&gt;=1,1,IF(SUM(G$83:G$84)&gt;=1,1,IF(SUM(F$83:F$84)&gt;=1,0,1)))</f>
        <v>1</v>
      </c>
      <c r="Q50" s="238">
        <f ca="1">IF(SUM(E$83:E$84)&gt;=1,1,IF(SUM(G$83:G$84)&gt;=1,0,1))</f>
        <v>1</v>
      </c>
      <c r="R50" s="238">
        <f ca="1">IF(SUM(E$83:E$84)&gt;=1,1,IF(SUM(G$83:G$84)&gt;=1,1,IF(SUM(F$83:F$84)&gt;=1,1,IF(SUM(H$83:H$84)&gt;=1,0,1))))</f>
        <v>1</v>
      </c>
    </row>
    <row r="51" spans="2:18" x14ac:dyDescent="0.35">
      <c r="B51" s="102" t="str">
        <f>Modèle!B53</f>
        <v>Images</v>
      </c>
      <c r="C51" s="109" t="str">
        <f>Modèle!D53</f>
        <v>1.8.2</v>
      </c>
      <c r="D51" s="110" t="str">
        <f>Modèle!E53</f>
        <v>AA</v>
      </c>
      <c r="E51" s="232">
        <f ca="1">COUNTIF(OFFSET(Synthèse!$G60,0,0,1,COUNTA(Synthèse!$10:$10)-6),"="&amp;$E$1)</f>
        <v>0</v>
      </c>
      <c r="F51" s="232">
        <f ca="1">COUNTIF(OFFSET(Synthèse!$G60,0,0,1,COUNTA(Synthèse!$10:$10)-6),"="&amp;$F$1)</f>
        <v>0</v>
      </c>
      <c r="G51" s="232">
        <f ca="1">COUNTIF(OFFSET(Synthèse!$G60,0,0,1,COUNTA(Synthèse!$10:$10)-6),"="&amp;$G$1)</f>
        <v>0</v>
      </c>
      <c r="H51" s="232">
        <f ca="1">COUNTIF(OFFSET(Synthèse!$G60,0,0,1,COUNTA(Synthèse!$10:$10)-6),"="&amp;$H$1)</f>
        <v>0</v>
      </c>
      <c r="I51" s="18">
        <f t="shared" ca="1" si="1"/>
        <v>0</v>
      </c>
      <c r="K51" s="123" t="s">
        <v>864</v>
      </c>
      <c r="L51" s="237" t="s">
        <v>24</v>
      </c>
      <c r="M51" s="237"/>
      <c r="N51" s="237" t="s">
        <v>533</v>
      </c>
      <c r="O51" s="238">
        <f ca="1">IF(SUM(E$85:E$85)&gt;=1,0,1)</f>
        <v>1</v>
      </c>
      <c r="P51" s="238">
        <f ca="1">IF(SUM(E$85)&gt;=1,1,IF(SUM(G$85)&gt;=1,1,IF(SUM(F$85)&gt;=1,0,1)))</f>
        <v>1</v>
      </c>
      <c r="Q51" s="238">
        <f ca="1">IF(SUM(E$85)&gt;=1,1,IF(SUM(G$85)&gt;=1,0,1))</f>
        <v>1</v>
      </c>
      <c r="R51" s="238">
        <f ca="1">IF(SUM(E$85)&gt;=1,1,IF(SUM(G$85)&gt;=1,1,IF(SUM(F$85)&gt;=1,1,IF(SUM(H$85)&gt;=1,0,1))))</f>
        <v>1</v>
      </c>
    </row>
    <row r="52" spans="2:18" x14ac:dyDescent="0.35">
      <c r="B52" s="102" t="str">
        <f>Modèle!B54</f>
        <v>Images</v>
      </c>
      <c r="C52" s="109" t="str">
        <f>Modèle!D54</f>
        <v>1.8.3</v>
      </c>
      <c r="D52" s="110" t="str">
        <f>Modèle!E54</f>
        <v>AA</v>
      </c>
      <c r="E52" s="232">
        <f ca="1">COUNTIF(OFFSET(Synthèse!$G61,0,0,1,COUNTA(Synthèse!$10:$10)-6),"="&amp;$E$1)</f>
        <v>0</v>
      </c>
      <c r="F52" s="232">
        <f ca="1">COUNTIF(OFFSET(Synthèse!$G61,0,0,1,COUNTA(Synthèse!$10:$10)-6),"="&amp;$F$1)</f>
        <v>0</v>
      </c>
      <c r="G52" s="232">
        <f ca="1">COUNTIF(OFFSET(Synthèse!$G61,0,0,1,COUNTA(Synthèse!$10:$10)-6),"="&amp;$G$1)</f>
        <v>0</v>
      </c>
      <c r="H52" s="232">
        <f ca="1">COUNTIF(OFFSET(Synthèse!$G61,0,0,1,COUNTA(Synthèse!$10:$10)-6),"="&amp;$H$1)</f>
        <v>0</v>
      </c>
      <c r="I52" s="18">
        <f t="shared" ca="1" si="1"/>
        <v>0</v>
      </c>
      <c r="K52" s="123" t="s">
        <v>778</v>
      </c>
      <c r="L52" s="237" t="s">
        <v>25</v>
      </c>
      <c r="M52" s="237"/>
      <c r="N52" s="237" t="s">
        <v>534</v>
      </c>
      <c r="O52" s="238">
        <f ca="1">IF(SUM(E$86:E$87)&gt;=1,0,1)</f>
        <v>1</v>
      </c>
      <c r="P52" s="238">
        <f ca="1">IF(SUM(E$86:E$87)&gt;=1,1,IF(SUM(G$86:G$87)&gt;=1,1,IF(SUM(F$86:F$87)&gt;=1,0,1)))</f>
        <v>1</v>
      </c>
      <c r="Q52" s="238">
        <f ca="1">IF(SUM(E$86:E$87)&gt;=1,1,IF(SUM(G$86:G$87)&gt;=1,0,1))</f>
        <v>1</v>
      </c>
      <c r="R52" s="238">
        <f ca="1">IF(SUM(E$86:E$87)&gt;=1,1,IF(SUM(G$86:G$87)&gt;=1,1,IF(SUM(F$86:F$87)&gt;=1,1,IF(SUM(H$86:H$87)&gt;=1,0,1))))</f>
        <v>1</v>
      </c>
    </row>
    <row r="53" spans="2:18" x14ac:dyDescent="0.35">
      <c r="B53" s="102" t="str">
        <f>Modèle!B55</f>
        <v>Images</v>
      </c>
      <c r="C53" s="109" t="str">
        <f>Modèle!D55</f>
        <v>1.8.4</v>
      </c>
      <c r="D53" s="110" t="str">
        <f>Modèle!E55</f>
        <v>AA</v>
      </c>
      <c r="E53" s="232">
        <f ca="1">COUNTIF(OFFSET(Synthèse!$G62,0,0,1,COUNTA(Synthèse!$10:$10)-6),"="&amp;$E$1)</f>
        <v>0</v>
      </c>
      <c r="F53" s="232">
        <f ca="1">COUNTIF(OFFSET(Synthèse!$G62,0,0,1,COUNTA(Synthèse!$10:$10)-6),"="&amp;$F$1)</f>
        <v>0</v>
      </c>
      <c r="G53" s="232">
        <f ca="1">COUNTIF(OFFSET(Synthèse!$G62,0,0,1,COUNTA(Synthèse!$10:$10)-6),"="&amp;$G$1)</f>
        <v>0</v>
      </c>
      <c r="H53" s="232">
        <f ca="1">COUNTIF(OFFSET(Synthèse!$G62,0,0,1,COUNTA(Synthèse!$10:$10)-6),"="&amp;$H$1)</f>
        <v>0</v>
      </c>
      <c r="I53" s="18">
        <f t="shared" ca="1" si="1"/>
        <v>0</v>
      </c>
      <c r="K53" s="123" t="s">
        <v>779</v>
      </c>
      <c r="L53" s="237" t="s">
        <v>25</v>
      </c>
      <c r="M53" s="237"/>
      <c r="N53" s="237" t="s">
        <v>535</v>
      </c>
      <c r="O53" s="238">
        <f ca="1">IF(SUM(E$88:E$89)&gt;=1,0,1)</f>
        <v>1</v>
      </c>
      <c r="P53" s="238">
        <f ca="1">IF(SUM(E$88:E$89)&gt;=1,1,IF(SUM(G$88:G$89)&gt;=1,1,IF(SUM(F$88:F$89)&gt;=1,0,1)))</f>
        <v>1</v>
      </c>
      <c r="Q53" s="238">
        <f ca="1">IF(SUM(E$88:E$89)&gt;=1,1,IF(SUM(G$88:G$89)&gt;=1,0,1))</f>
        <v>1</v>
      </c>
      <c r="R53" s="238">
        <f ca="1">IF(SUM(E$88:E$89)&gt;=1,1,IF(SUM(G$88:G$89)&gt;=1,1,IF(SUM(F$88:F$89)&gt;=1,1,IF(SUM(H$88:H$89)&gt;=1,0,1))))</f>
        <v>1</v>
      </c>
    </row>
    <row r="54" spans="2:18" x14ac:dyDescent="0.35">
      <c r="B54" s="102" t="str">
        <f>Modèle!B56</f>
        <v>Images</v>
      </c>
      <c r="C54" s="109" t="str">
        <f>Modèle!D56</f>
        <v>1.8.5</v>
      </c>
      <c r="D54" s="110" t="str">
        <f>Modèle!E56</f>
        <v>AA</v>
      </c>
      <c r="E54" s="232">
        <f ca="1">COUNTIF(OFFSET(Synthèse!$G63,0,0,1,COUNTA(Synthèse!$10:$10)-6),"="&amp;$E$1)</f>
        <v>0</v>
      </c>
      <c r="F54" s="232">
        <f ca="1">COUNTIF(OFFSET(Synthèse!$G63,0,0,1,COUNTA(Synthèse!$10:$10)-6),"="&amp;$F$1)</f>
        <v>0</v>
      </c>
      <c r="G54" s="232">
        <f ca="1">COUNTIF(OFFSET(Synthèse!$G63,0,0,1,COUNTA(Synthèse!$10:$10)-6),"="&amp;$G$1)</f>
        <v>0</v>
      </c>
      <c r="H54" s="232">
        <f ca="1">COUNTIF(OFFSET(Synthèse!$G63,0,0,1,COUNTA(Synthèse!$10:$10)-6),"="&amp;$H$1)</f>
        <v>0</v>
      </c>
      <c r="I54" s="18">
        <f t="shared" ca="1" si="1"/>
        <v>0</v>
      </c>
      <c r="K54" s="123" t="s">
        <v>780</v>
      </c>
      <c r="L54" s="237" t="s">
        <v>24</v>
      </c>
      <c r="M54" s="237"/>
      <c r="N54" s="237" t="s">
        <v>536</v>
      </c>
      <c r="O54" s="238">
        <f ca="1">IF(SUM(E$90:E$90)&gt;=1,0,1)</f>
        <v>1</v>
      </c>
      <c r="P54" s="238">
        <f ca="1">IF(SUM(E$90)&gt;=1,1,IF(SUM(G$90)&gt;=1,1,IF(SUM(F$90)&gt;=1,0,1)))</f>
        <v>1</v>
      </c>
      <c r="Q54" s="238">
        <f ca="1">IF(SUM(E$90)&gt;=1,1,IF(SUM(G$90)&gt;=1,0,1))</f>
        <v>1</v>
      </c>
      <c r="R54" s="238">
        <f ca="1">IF(SUM(E$90)&gt;=1,1,IF(SUM(G$90)&gt;=1,1,IF(SUM(F$90)&gt;=1,1,IF(SUM(H$90)&gt;=1,0,1))))</f>
        <v>1</v>
      </c>
    </row>
    <row r="55" spans="2:18" x14ac:dyDescent="0.35">
      <c r="B55" s="101" t="str">
        <f>Modèle!B57</f>
        <v>Images</v>
      </c>
      <c r="C55" s="107" t="str">
        <f>Modèle!D57</f>
        <v>1.9.1</v>
      </c>
      <c r="D55" s="108" t="str">
        <f>Modèle!E57</f>
        <v>A</v>
      </c>
      <c r="E55" s="231">
        <f ca="1">COUNTIF(OFFSET(Synthèse!$G64,0,0,1,COUNTA(Synthèse!$10:$10)-6),"="&amp;$E$1)</f>
        <v>0</v>
      </c>
      <c r="F55" s="231">
        <f ca="1">COUNTIF(OFFSET(Synthèse!$G64,0,0,1,COUNTA(Synthèse!$10:$10)-6),"="&amp;$F$1)</f>
        <v>0</v>
      </c>
      <c r="G55" s="231">
        <f ca="1">COUNTIF(OFFSET(Synthèse!$G64,0,0,1,COUNTA(Synthèse!$10:$10)-6),"="&amp;$G$1)</f>
        <v>0</v>
      </c>
      <c r="H55" s="231">
        <f ca="1">COUNTIF(OFFSET(Synthèse!$G64,0,0,1,COUNTA(Synthèse!$10:$10)-6),"="&amp;$H$1)</f>
        <v>0</v>
      </c>
      <c r="I55" s="18">
        <f t="shared" ca="1" si="1"/>
        <v>0</v>
      </c>
      <c r="K55" s="123" t="s">
        <v>781</v>
      </c>
      <c r="L55" s="237" t="s">
        <v>24</v>
      </c>
      <c r="M55" s="237"/>
      <c r="N55" s="237" t="s">
        <v>537</v>
      </c>
      <c r="O55" s="238">
        <f ca="1">IF(SUM(E$91:E$92)&gt;=1,0,1)</f>
        <v>1</v>
      </c>
      <c r="P55" s="238">
        <f ca="1">IF(SUM(E$91:E$92)&gt;=1,1,IF(SUM(G$91:G$92)&gt;=1,1,IF(SUM(F$91:F$92)&gt;=1,0,1)))</f>
        <v>1</v>
      </c>
      <c r="Q55" s="238">
        <f ca="1">IF(SUM(E$91:E$92)&gt;=1,1,IF(SUM(G$91:G$92)&gt;=1,0,1))</f>
        <v>1</v>
      </c>
      <c r="R55" s="238">
        <f ca="1">IF(SUM(E$91:E$92)&gt;=1,1,IF(SUM(G$91:G$92)&gt;=1,1,IF(SUM(F$91:F$92)&gt;=1,1,IF(SUM(H$91:H$92)&gt;=1,0,1))))</f>
        <v>1</v>
      </c>
    </row>
    <row r="56" spans="2:18" x14ac:dyDescent="0.35">
      <c r="B56" s="101" t="str">
        <f>Modèle!B58</f>
        <v>Images</v>
      </c>
      <c r="C56" s="107" t="str">
        <f>Modèle!D58</f>
        <v>1.9.2</v>
      </c>
      <c r="D56" s="108" t="str">
        <f>Modèle!E58</f>
        <v>A</v>
      </c>
      <c r="E56" s="231">
        <f ca="1">COUNTIF(OFFSET(Synthèse!$G65,0,0,1,COUNTA(Synthèse!$10:$10)-6),"="&amp;$E$1)</f>
        <v>0</v>
      </c>
      <c r="F56" s="231">
        <f ca="1">COUNTIF(OFFSET(Synthèse!$G65,0,0,1,COUNTA(Synthèse!$10:$10)-6),"="&amp;$F$1)</f>
        <v>0</v>
      </c>
      <c r="G56" s="231">
        <f ca="1">COUNTIF(OFFSET(Synthèse!$G65,0,0,1,COUNTA(Synthèse!$10:$10)-6),"="&amp;$G$1)</f>
        <v>0</v>
      </c>
      <c r="H56" s="231">
        <f ca="1">COUNTIF(OFFSET(Synthèse!$G65,0,0,1,COUNTA(Synthèse!$10:$10)-6),"="&amp;$H$1)</f>
        <v>0</v>
      </c>
      <c r="I56" s="18">
        <f t="shared" ca="1" si="1"/>
        <v>0</v>
      </c>
      <c r="K56" s="123" t="s">
        <v>865</v>
      </c>
      <c r="L56" s="237" t="s">
        <v>24</v>
      </c>
      <c r="M56" s="237"/>
      <c r="N56" s="237" t="s">
        <v>538</v>
      </c>
      <c r="O56" s="238">
        <f ca="1">IF(SUM(E$93:E$93)&gt;=1,0,1)</f>
        <v>1</v>
      </c>
      <c r="P56" s="238">
        <f ca="1">IF(SUM(E$93)&gt;=1,1,IF(SUM(G$93)&gt;=1,1,IF(SUM(F$93)&gt;=1,0,1)))</f>
        <v>1</v>
      </c>
      <c r="Q56" s="238">
        <f ca="1">IF(SUM(E$93)&gt;=1,1,IF(SUM(G$93)&gt;=1,0,1))</f>
        <v>1</v>
      </c>
      <c r="R56" s="238">
        <f ca="1">IF(SUM(E$93)&gt;=1,1,IF(SUM(G$93)&gt;=1,1,IF(SUM(F$93)&gt;=1,1,IF(SUM(H$93)&gt;=1,0,1))))</f>
        <v>1</v>
      </c>
    </row>
    <row r="57" spans="2:18" x14ac:dyDescent="0.35">
      <c r="B57" s="101" t="str">
        <f>Modèle!B59</f>
        <v>Images</v>
      </c>
      <c r="C57" s="107" t="str">
        <f>Modèle!D59</f>
        <v>1.9.3</v>
      </c>
      <c r="D57" s="108" t="str">
        <f>Modèle!E59</f>
        <v>A</v>
      </c>
      <c r="E57" s="231">
        <f ca="1">COUNTIF(OFFSET(Synthèse!$G66,0,0,1,COUNTA(Synthèse!$10:$10)-6),"="&amp;$E$1)</f>
        <v>0</v>
      </c>
      <c r="F57" s="231">
        <f ca="1">COUNTIF(OFFSET(Synthèse!$G66,0,0,1,COUNTA(Synthèse!$10:$10)-6),"="&amp;$F$1)</f>
        <v>0</v>
      </c>
      <c r="G57" s="231">
        <f ca="1">COUNTIF(OFFSET(Synthèse!$G66,0,0,1,COUNTA(Synthèse!$10:$10)-6),"="&amp;$G$1)</f>
        <v>0</v>
      </c>
      <c r="H57" s="231">
        <f ca="1">COUNTIF(OFFSET(Synthèse!$G66,0,0,1,COUNTA(Synthèse!$10:$10)-6),"="&amp;$H$1)</f>
        <v>0</v>
      </c>
      <c r="I57" s="18">
        <f t="shared" ca="1" si="1"/>
        <v>0</v>
      </c>
      <c r="K57" s="123" t="s">
        <v>866</v>
      </c>
      <c r="L57" s="237" t="s">
        <v>24</v>
      </c>
      <c r="M57" s="237"/>
      <c r="N57" s="237" t="s">
        <v>539</v>
      </c>
      <c r="O57" s="238">
        <f ca="1">IF(SUM(E$94:E$94)&gt;=1,0,1)</f>
        <v>1</v>
      </c>
      <c r="P57" s="238">
        <f ca="1">IF(SUM(E$94)&gt;=1,1,IF(SUM(G$94)&gt;=1,1,IF(SUM(F$94)&gt;=1,0,1)))</f>
        <v>1</v>
      </c>
      <c r="Q57" s="238">
        <f ca="1">IF(SUM(E$94)&gt;=1,1,IF(SUM(G$94)&gt;=1,0,1))</f>
        <v>1</v>
      </c>
      <c r="R57" s="238">
        <f ca="1">IF(SUM(E$94)&gt;=1,1,IF(SUM(G$94)&gt;=1,1,IF(SUM(F$94)&gt;=1,1,IF(SUM(H$94)&gt;=1,0,1))))</f>
        <v>1</v>
      </c>
    </row>
    <row r="58" spans="2:18" x14ac:dyDescent="0.35">
      <c r="B58" s="101" t="str">
        <f>Modèle!B60</f>
        <v>Images</v>
      </c>
      <c r="C58" s="107" t="str">
        <f>Modèle!D60</f>
        <v>1.9.4</v>
      </c>
      <c r="D58" s="108" t="str">
        <f>Modèle!E60</f>
        <v>A</v>
      </c>
      <c r="E58" s="231">
        <f ca="1">COUNTIF(OFFSET(Synthèse!$G67,0,0,1,COUNTA(Synthèse!$10:$10)-6),"="&amp;$E$1)</f>
        <v>0</v>
      </c>
      <c r="F58" s="231">
        <f ca="1">COUNTIF(OFFSET(Synthèse!$G67,0,0,1,COUNTA(Synthèse!$10:$10)-6),"="&amp;$F$1)</f>
        <v>0</v>
      </c>
      <c r="G58" s="231">
        <f ca="1">COUNTIF(OFFSET(Synthèse!$G67,0,0,1,COUNTA(Synthèse!$10:$10)-6),"="&amp;$G$1)</f>
        <v>0</v>
      </c>
      <c r="H58" s="231">
        <f ca="1">COUNTIF(OFFSET(Synthèse!$G67,0,0,1,COUNTA(Synthèse!$10:$10)-6),"="&amp;$H$1)</f>
        <v>0</v>
      </c>
      <c r="I58" s="18">
        <f t="shared" ca="1" si="1"/>
        <v>0</v>
      </c>
      <c r="K58" s="123" t="s">
        <v>782</v>
      </c>
      <c r="L58" s="237" t="s">
        <v>24</v>
      </c>
      <c r="M58" s="237"/>
      <c r="N58" s="237" t="s">
        <v>540</v>
      </c>
      <c r="O58" s="238">
        <f ca="1">IF(SUM(E$95:E$97)&gt;=1,0,1)</f>
        <v>1</v>
      </c>
      <c r="P58" s="238">
        <f ca="1">IF(SUM(E$95:E$97)&gt;=1,1,IF(SUM(G$95:G$97)&gt;=1,1,IF(SUM(F$95:F$97)&gt;=1,0,1)))</f>
        <v>1</v>
      </c>
      <c r="Q58" s="238">
        <f ca="1">IF(SUM(E$95:E$97)&gt;=1,1,IF(SUM(G$95:G$97)&gt;=1,0,1))</f>
        <v>1</v>
      </c>
      <c r="R58" s="238">
        <f ca="1">IF(SUM(E$95:E$97)&gt;=1,1,IF(SUM(G$95:G$97)&gt;=1,1,IF(SUM(F$95:F$97)&gt;=1,1,IF(SUM(H$95:H$97)&gt;=1,0,1))))</f>
        <v>1</v>
      </c>
    </row>
    <row r="59" spans="2:18" x14ac:dyDescent="0.35">
      <c r="B59" s="101" t="str">
        <f>Modèle!B61</f>
        <v>Images</v>
      </c>
      <c r="C59" s="107" t="str">
        <f>Modèle!D61</f>
        <v>1.9.5</v>
      </c>
      <c r="D59" s="108" t="str">
        <f>Modèle!E61</f>
        <v>A</v>
      </c>
      <c r="E59" s="231">
        <f ca="1">COUNTIF(OFFSET(Synthèse!$G68,0,0,1,COUNTA(Synthèse!$10:$10)-6),"="&amp;$E$1)</f>
        <v>0</v>
      </c>
      <c r="F59" s="231">
        <f ca="1">COUNTIF(OFFSET(Synthèse!$G68,0,0,1,COUNTA(Synthèse!$10:$10)-6),"="&amp;$F$1)</f>
        <v>0</v>
      </c>
      <c r="G59" s="231">
        <f ca="1">COUNTIF(OFFSET(Synthèse!$G68,0,0,1,COUNTA(Synthèse!$10:$10)-6),"="&amp;$G$1)</f>
        <v>0</v>
      </c>
      <c r="H59" s="231">
        <f ca="1">COUNTIF(OFFSET(Synthèse!$G68,0,0,1,COUNTA(Synthèse!$10:$10)-6),"="&amp;$H$1)</f>
        <v>0</v>
      </c>
      <c r="I59" s="18">
        <f t="shared" ca="1" si="1"/>
        <v>0</v>
      </c>
      <c r="K59" s="123" t="s">
        <v>783</v>
      </c>
      <c r="L59" s="237" t="s">
        <v>24</v>
      </c>
      <c r="M59" s="237"/>
      <c r="N59" s="237" t="s">
        <v>541</v>
      </c>
      <c r="O59" s="238">
        <f ca="1">IF(SUM(E$98:E$99)&gt;=1,0,1)</f>
        <v>1</v>
      </c>
      <c r="P59" s="238">
        <f ca="1">IF(SUM(E$98:E$99)&gt;=1,1,IF(SUM(G$98:G$99)&gt;=1,1,IF(SUM(F$98:F$99)&gt;=1,0,1)))</f>
        <v>1</v>
      </c>
      <c r="Q59" s="238">
        <f ca="1">IF(SUM(E$98:E$99)&gt;=1,1,IF(SUM(G$98:G$99)&gt;=1,0,1))</f>
        <v>1</v>
      </c>
      <c r="R59" s="238">
        <f ca="1">IF(SUM(E$98:E$99)&gt;=1,1,IF(SUM(G$98:G$99)&gt;=1,1,IF(SUM(F$98:F$99)&gt;=1,1,IF(SUM(H$98:H$99)&gt;=1,0,1))))</f>
        <v>1</v>
      </c>
    </row>
    <row r="60" spans="2:18" x14ac:dyDescent="0.35">
      <c r="B60" s="102" t="str">
        <f>Modèle!B62</f>
        <v>Cadres</v>
      </c>
      <c r="C60" s="109" t="str">
        <f>Modèle!D62</f>
        <v>2.1.1</v>
      </c>
      <c r="D60" s="110" t="str">
        <f>Modèle!E62</f>
        <v>A</v>
      </c>
      <c r="E60" s="232">
        <f ca="1">COUNTIF(OFFSET(Synthèse!$G69,0,0,1,COUNTA(Synthèse!$10:$10)-6),"="&amp;$E$1)</f>
        <v>0</v>
      </c>
      <c r="F60" s="232">
        <f ca="1">COUNTIF(OFFSET(Synthèse!$G69,0,0,1,COUNTA(Synthèse!$10:$10)-6),"="&amp;$F$1)</f>
        <v>0</v>
      </c>
      <c r="G60" s="232">
        <f ca="1">COUNTIF(OFFSET(Synthèse!$G69,0,0,1,COUNTA(Synthèse!$10:$10)-6),"="&amp;$G$1)</f>
        <v>0</v>
      </c>
      <c r="H60" s="232">
        <f ca="1">COUNTIF(OFFSET(Synthèse!$G69,0,0,1,COUNTA(Synthèse!$10:$10)-6),"="&amp;$H$1)</f>
        <v>0</v>
      </c>
      <c r="I60" s="18">
        <f t="shared" ca="1" si="1"/>
        <v>0</v>
      </c>
      <c r="K60" s="123" t="s">
        <v>636</v>
      </c>
      <c r="L60" s="237" t="s">
        <v>24</v>
      </c>
      <c r="M60" s="237"/>
      <c r="N60" s="237" t="s">
        <v>542</v>
      </c>
      <c r="O60" s="238">
        <f ca="1">IF(SUM(E$100:E$101)&gt;=1,0,1)</f>
        <v>1</v>
      </c>
      <c r="P60" s="238">
        <f ca="1">IF(SUM(E$100:E$101)&gt;=1,1,IF(SUM(G$100:G$101)&gt;=1,1,IF(SUM(F$100:F$101)&gt;=1,0,1)))</f>
        <v>1</v>
      </c>
      <c r="Q60" s="238">
        <f ca="1">IF(SUM(E$100:E$101)&gt;=1,1,IF(SUM(G$100:G$101)&gt;=1,0,1))</f>
        <v>1</v>
      </c>
      <c r="R60" s="238">
        <f ca="1">IF(SUM(E$100:E$101)&gt;=1,1,IF(SUM(G$100:G$101)&gt;=1,1,IF(SUM(F$100:F$101)&gt;=1,1,IF(SUM(H$100:H$101)&gt;=1,0,1))))</f>
        <v>1</v>
      </c>
    </row>
    <row r="61" spans="2:18" x14ac:dyDescent="0.35">
      <c r="B61" s="101" t="str">
        <f>Modèle!B63</f>
        <v>Cadres</v>
      </c>
      <c r="C61" s="107" t="str">
        <f>Modèle!D63</f>
        <v>2.2.1</v>
      </c>
      <c r="D61" s="108" t="str">
        <f>Modèle!E63</f>
        <v>A</v>
      </c>
      <c r="E61" s="231">
        <f ca="1">COUNTIF(OFFSET(Synthèse!$G70,0,0,1,COUNTA(Synthèse!$10:$10)-6),"="&amp;$E$1)</f>
        <v>0</v>
      </c>
      <c r="F61" s="231">
        <f ca="1">COUNTIF(OFFSET(Synthèse!$G70,0,0,1,COUNTA(Synthèse!$10:$10)-6),"="&amp;$F$1)</f>
        <v>0</v>
      </c>
      <c r="G61" s="231">
        <f ca="1">COUNTIF(OFFSET(Synthèse!$G70,0,0,1,COUNTA(Synthèse!$10:$10)-6),"="&amp;$G$1)</f>
        <v>0</v>
      </c>
      <c r="H61" s="231">
        <f ca="1">COUNTIF(OFFSET(Synthèse!$G70,0,0,1,COUNTA(Synthèse!$10:$10)-6),"="&amp;$H$1)</f>
        <v>0</v>
      </c>
      <c r="I61" s="18">
        <f t="shared" ca="1" si="1"/>
        <v>0</v>
      </c>
      <c r="K61" s="123" t="s">
        <v>867</v>
      </c>
      <c r="L61" s="235" t="s">
        <v>24</v>
      </c>
      <c r="M61" s="235"/>
      <c r="N61" s="235" t="s">
        <v>543</v>
      </c>
      <c r="O61" s="236">
        <f ca="1">IF(SUM(E$102:E$102)&gt;=1,0,1)</f>
        <v>1</v>
      </c>
      <c r="P61" s="236">
        <f ca="1">IF(SUM(E$102)&gt;=1,1,IF(SUM(G$102)&gt;=1,1,IF(SUM(F$102)&gt;=1,0,1)))</f>
        <v>1</v>
      </c>
      <c r="Q61" s="236">
        <f ca="1">IF(SUM(E$102)&gt;=1,1,IF(SUM(G$102)&gt;=1,0,1))</f>
        <v>1</v>
      </c>
      <c r="R61" s="236">
        <f ca="1">IF(SUM(E$102)&gt;=1,1,IF(SUM(G$102)&gt;=1,1,IF(SUM(F$102)&gt;=1,1,IF(SUM(H$102)&gt;=1,0,1))))</f>
        <v>1</v>
      </c>
    </row>
    <row r="62" spans="2:18" x14ac:dyDescent="0.35">
      <c r="B62" s="102" t="str">
        <f>Modèle!B64</f>
        <v>Couleurs</v>
      </c>
      <c r="C62" s="109" t="str">
        <f>Modèle!D64</f>
        <v>3.1.1</v>
      </c>
      <c r="D62" s="110" t="str">
        <f>Modèle!E64</f>
        <v>A</v>
      </c>
      <c r="E62" s="232">
        <f ca="1">COUNTIF(OFFSET(Synthèse!$G71,0,0,1,COUNTA(Synthèse!$10:$10)-6),"="&amp;$E$1)</f>
        <v>0</v>
      </c>
      <c r="F62" s="232">
        <f ca="1">COUNTIF(OFFSET(Synthèse!$G71,0,0,1,COUNTA(Synthèse!$10:$10)-6),"="&amp;$F$1)</f>
        <v>0</v>
      </c>
      <c r="G62" s="232">
        <f ca="1">COUNTIF(OFFSET(Synthèse!$G71,0,0,1,COUNTA(Synthèse!$10:$10)-6),"="&amp;$G$1)</f>
        <v>0</v>
      </c>
      <c r="H62" s="232">
        <f ca="1">COUNTIF(OFFSET(Synthèse!$G71,0,0,1,COUNTA(Synthèse!$10:$10)-6),"="&amp;$H$1)</f>
        <v>0</v>
      </c>
      <c r="I62" s="18">
        <f t="shared" ca="1" si="1"/>
        <v>0</v>
      </c>
      <c r="K62" s="123" t="s">
        <v>868</v>
      </c>
      <c r="L62" s="235" t="s">
        <v>24</v>
      </c>
      <c r="M62" s="235"/>
      <c r="N62" s="235" t="s">
        <v>544</v>
      </c>
      <c r="O62" s="236">
        <f ca="1">IF(SUM(E$103:E$103)&gt;=1,0,1)</f>
        <v>1</v>
      </c>
      <c r="P62" s="236">
        <f ca="1">IF(SUM(E$103)&gt;=1,1,IF(SUM(G$103)&gt;=1,1,IF(SUM(F$103)&gt;=1,0,1)))</f>
        <v>1</v>
      </c>
      <c r="Q62" s="236">
        <f ca="1">IF(SUM(E$103)&gt;=1,1,IF(SUM(G$103)&gt;=1,0,1))</f>
        <v>1</v>
      </c>
      <c r="R62" s="236">
        <f ca="1">IF(SUM(E$103)&gt;=1,1,IF(SUM(G$103)&gt;=1,1,IF(SUM(F$103)&gt;=1,1,IF(SUM(H$103)&gt;=1,0,1))))</f>
        <v>1</v>
      </c>
    </row>
    <row r="63" spans="2:18" x14ac:dyDescent="0.35">
      <c r="B63" s="102" t="str">
        <f>Modèle!B65</f>
        <v>Couleurs</v>
      </c>
      <c r="C63" s="109" t="str">
        <f>Modèle!D65</f>
        <v>3.1.2</v>
      </c>
      <c r="D63" s="110" t="str">
        <f>Modèle!E65</f>
        <v>A</v>
      </c>
      <c r="E63" s="232">
        <f ca="1">COUNTIF(OFFSET(Synthèse!$G72,0,0,1,COUNTA(Synthèse!$10:$10)-6),"="&amp;$E$1)</f>
        <v>0</v>
      </c>
      <c r="F63" s="232">
        <f ca="1">COUNTIF(OFFSET(Synthèse!$G72,0,0,1,COUNTA(Synthèse!$10:$10)-6),"="&amp;$F$1)</f>
        <v>0</v>
      </c>
      <c r="G63" s="232">
        <f ca="1">COUNTIF(OFFSET(Synthèse!$G72,0,0,1,COUNTA(Synthèse!$10:$10)-6),"="&amp;$G$1)</f>
        <v>0</v>
      </c>
      <c r="H63" s="232">
        <f ca="1">COUNTIF(OFFSET(Synthèse!$G72,0,0,1,COUNTA(Synthèse!$10:$10)-6),"="&amp;$H$1)</f>
        <v>0</v>
      </c>
      <c r="I63" s="18">
        <f t="shared" ca="1" si="1"/>
        <v>0</v>
      </c>
      <c r="K63" s="123" t="s">
        <v>869</v>
      </c>
      <c r="L63" s="235" t="s">
        <v>24</v>
      </c>
      <c r="M63" s="235"/>
      <c r="N63" s="235" t="s">
        <v>545</v>
      </c>
      <c r="O63" s="236">
        <f ca="1">IF(SUM(E$104:E$104)&gt;=1,0,1)</f>
        <v>1</v>
      </c>
      <c r="P63" s="236">
        <f ca="1">IF(SUM(E$104)&gt;=1,1,IF(SUM(G$104)&gt;=1,1,IF(SUM(F$104)&gt;=1,0,1)))</f>
        <v>1</v>
      </c>
      <c r="Q63" s="236">
        <f ca="1">IF(SUM(E$104)&gt;=1,1,IF(SUM(G$104)&gt;=1,0,1))</f>
        <v>1</v>
      </c>
      <c r="R63" s="236">
        <f ca="1">IF(SUM(E$104)&gt;=1,1,IF(SUM(G$104)&gt;=1,1,IF(SUM(F$104)&gt;=1,1,IF(SUM(H$104)&gt;=1,0,1))))</f>
        <v>1</v>
      </c>
    </row>
    <row r="64" spans="2:18" x14ac:dyDescent="0.35">
      <c r="B64" s="102" t="str">
        <f>Modèle!B66</f>
        <v>Couleurs</v>
      </c>
      <c r="C64" s="109" t="str">
        <f>Modèle!D66</f>
        <v>3.1.3</v>
      </c>
      <c r="D64" s="110" t="str">
        <f>Modèle!E66</f>
        <v>A</v>
      </c>
      <c r="E64" s="232">
        <f ca="1">COUNTIF(OFFSET(Synthèse!$G73,0,0,1,COUNTA(Synthèse!$10:$10)-6),"="&amp;$E$1)</f>
        <v>0</v>
      </c>
      <c r="F64" s="232">
        <f ca="1">COUNTIF(OFFSET(Synthèse!$G73,0,0,1,COUNTA(Synthèse!$10:$10)-6),"="&amp;$F$1)</f>
        <v>0</v>
      </c>
      <c r="G64" s="232">
        <f ca="1">COUNTIF(OFFSET(Synthèse!$G73,0,0,1,COUNTA(Synthèse!$10:$10)-6),"="&amp;$G$1)</f>
        <v>0</v>
      </c>
      <c r="H64" s="232">
        <f ca="1">COUNTIF(OFFSET(Synthèse!$G73,0,0,1,COUNTA(Synthèse!$10:$10)-6),"="&amp;$H$1)</f>
        <v>0</v>
      </c>
      <c r="I64" s="18">
        <f t="shared" ca="1" si="1"/>
        <v>0</v>
      </c>
      <c r="K64" s="123" t="s">
        <v>784</v>
      </c>
      <c r="L64" s="235" t="s">
        <v>24</v>
      </c>
      <c r="M64" s="235"/>
      <c r="N64" s="235" t="s">
        <v>546</v>
      </c>
      <c r="O64" s="236">
        <f ca="1">IF(SUM(E$105:E$105)&gt;=1,0,1)</f>
        <v>1</v>
      </c>
      <c r="P64" s="236">
        <f ca="1">IF(SUM(E$105)&gt;=1,1,IF(SUM(G$105)&gt;=1,1,IF(SUM(F$105)&gt;=1,0,1)))</f>
        <v>1</v>
      </c>
      <c r="Q64" s="236">
        <f ca="1">IF(SUM(E$105)&gt;=1,1,IF(SUM(G$105)&gt;=1,0,1))</f>
        <v>1</v>
      </c>
      <c r="R64" s="236">
        <f ca="1">IF(SUM(E$105)&gt;=1,1,IF(SUM(G$105)&gt;=1,1,IF(SUM(F$105)&gt;=1,1,IF(SUM(H$105)&gt;=1,0,1))))</f>
        <v>1</v>
      </c>
    </row>
    <row r="65" spans="2:18" x14ac:dyDescent="0.35">
      <c r="B65" s="102" t="str">
        <f>Modèle!B67</f>
        <v>Couleurs</v>
      </c>
      <c r="C65" s="109" t="str">
        <f>Modèle!D67</f>
        <v>3.1.4</v>
      </c>
      <c r="D65" s="110" t="str">
        <f>Modèle!E67</f>
        <v>A</v>
      </c>
      <c r="E65" s="232">
        <f ca="1">COUNTIF(OFFSET(Synthèse!$G74,0,0,1,COUNTA(Synthèse!$10:$10)-6),"="&amp;$E$1)</f>
        <v>0</v>
      </c>
      <c r="F65" s="232">
        <f ca="1">COUNTIF(OFFSET(Synthèse!$G74,0,0,1,COUNTA(Synthèse!$10:$10)-6),"="&amp;$F$1)</f>
        <v>0</v>
      </c>
      <c r="G65" s="232">
        <f ca="1">COUNTIF(OFFSET(Synthèse!$G74,0,0,1,COUNTA(Synthèse!$10:$10)-6),"="&amp;$G$1)</f>
        <v>0</v>
      </c>
      <c r="H65" s="232">
        <f ca="1">COUNTIF(OFFSET(Synthèse!$G74,0,0,1,COUNTA(Synthèse!$10:$10)-6),"="&amp;$H$1)</f>
        <v>0</v>
      </c>
      <c r="I65" s="18">
        <f t="shared" ca="1" si="1"/>
        <v>0</v>
      </c>
      <c r="K65" s="123" t="s">
        <v>785</v>
      </c>
      <c r="L65" s="235" t="s">
        <v>24</v>
      </c>
      <c r="M65" s="235"/>
      <c r="N65" s="235" t="s">
        <v>547</v>
      </c>
      <c r="O65" s="236">
        <f ca="1">IF(SUM(E$106:E$106)&gt;=1,0,1)</f>
        <v>1</v>
      </c>
      <c r="P65" s="236">
        <f ca="1">IF(SUM(E$106)&gt;=1,1,IF(SUM(G$106)&gt;=1,1,IF(SUM(F$106)&gt;=1,0,1)))</f>
        <v>1</v>
      </c>
      <c r="Q65" s="236">
        <f ca="1">IF(SUM(E$106)&gt;=1,1,IF(SUM(G$106)&gt;=1,0,1))</f>
        <v>1</v>
      </c>
      <c r="R65" s="236">
        <f ca="1">IF(SUM(E$106)&gt;=1,1,IF(SUM(G$106)&gt;=1,1,IF(SUM(F$106)&gt;=1,1,IF(SUM(H$106)&gt;=1,0,1))))</f>
        <v>1</v>
      </c>
    </row>
    <row r="66" spans="2:18" x14ac:dyDescent="0.35">
      <c r="B66" s="102" t="str">
        <f>Modèle!B68</f>
        <v>Couleurs</v>
      </c>
      <c r="C66" s="109" t="str">
        <f>Modèle!D68</f>
        <v>3.1.5</v>
      </c>
      <c r="D66" s="110" t="str">
        <f>Modèle!E68</f>
        <v>A</v>
      </c>
      <c r="E66" s="232">
        <f ca="1">COUNTIF(OFFSET(Synthèse!$G75,0,0,1,COUNTA(Synthèse!$10:$10)-6),"="&amp;$E$1)</f>
        <v>0</v>
      </c>
      <c r="F66" s="232">
        <f ca="1">COUNTIF(OFFSET(Synthèse!$G75,0,0,1,COUNTA(Synthèse!$10:$10)-6),"="&amp;$F$1)</f>
        <v>0</v>
      </c>
      <c r="G66" s="232">
        <f ca="1">COUNTIF(OFFSET(Synthèse!$G75,0,0,1,COUNTA(Synthèse!$10:$10)-6),"="&amp;$G$1)</f>
        <v>0</v>
      </c>
      <c r="H66" s="232">
        <f ca="1">COUNTIF(OFFSET(Synthèse!$G75,0,0,1,COUNTA(Synthèse!$10:$10)-6),"="&amp;$H$1)</f>
        <v>0</v>
      </c>
      <c r="I66" s="18">
        <f t="shared" ca="1" si="1"/>
        <v>0</v>
      </c>
      <c r="K66" s="123" t="s">
        <v>786</v>
      </c>
      <c r="L66" s="235" t="s">
        <v>24</v>
      </c>
      <c r="M66" s="235"/>
      <c r="N66" s="235" t="s">
        <v>548</v>
      </c>
      <c r="O66" s="236">
        <f ca="1">IF(SUM(E$107:E$109)&gt;=1,0,1)</f>
        <v>1</v>
      </c>
      <c r="P66" s="236">
        <f ca="1">IF(SUM(E$107:E$109)&gt;=1,1,IF(SUM(G$107:G$109)&gt;=1,1,IF(SUM(F$107:F$109)&gt;=1,0,1)))</f>
        <v>1</v>
      </c>
      <c r="Q66" s="236">
        <f ca="1">IF(SUM(E$107:E$109)&gt;=1,1,IF(SUM(G$107:G$109)&gt;=1,0,1))</f>
        <v>1</v>
      </c>
      <c r="R66" s="236">
        <f ca="1">IF(SUM(E$107:E$109)&gt;=1,1,IF(SUM(G$107:G$109)&gt;=1,1,IF(SUM(F$107:F$109)&gt;=1,1,IF(SUM(H$107:H$109)&gt;=1,0,1))))</f>
        <v>1</v>
      </c>
    </row>
    <row r="67" spans="2:18" x14ac:dyDescent="0.35">
      <c r="B67" s="102" t="str">
        <f>Modèle!B69</f>
        <v>Couleurs</v>
      </c>
      <c r="C67" s="109" t="str">
        <f>Modèle!D69</f>
        <v>3.1.6</v>
      </c>
      <c r="D67" s="110" t="str">
        <f>Modèle!E69</f>
        <v>A</v>
      </c>
      <c r="E67" s="232">
        <f ca="1">COUNTIF(OFFSET(Synthèse!$G76,0,0,1,COUNTA(Synthèse!$10:$10)-6),"="&amp;$E$1)</f>
        <v>0</v>
      </c>
      <c r="F67" s="232">
        <f ca="1">COUNTIF(OFFSET(Synthèse!$G76,0,0,1,COUNTA(Synthèse!$10:$10)-6),"="&amp;$F$1)</f>
        <v>0</v>
      </c>
      <c r="G67" s="232">
        <f ca="1">COUNTIF(OFFSET(Synthèse!$G76,0,0,1,COUNTA(Synthèse!$10:$10)-6),"="&amp;$G$1)</f>
        <v>0</v>
      </c>
      <c r="H67" s="232">
        <f ca="1">COUNTIF(OFFSET(Synthèse!$G76,0,0,1,COUNTA(Synthèse!$10:$10)-6),"="&amp;$H$1)</f>
        <v>0</v>
      </c>
      <c r="I67" s="18">
        <f t="shared" ref="I67:I133" ca="1" si="19">SUM(E67:H67)</f>
        <v>0</v>
      </c>
      <c r="K67" s="123" t="s">
        <v>787</v>
      </c>
      <c r="L67" s="235" t="s">
        <v>24</v>
      </c>
      <c r="M67" s="235"/>
      <c r="N67" s="235" t="s">
        <v>549</v>
      </c>
      <c r="O67" s="236">
        <f ca="1">IF(SUM(E$110:E$114)&gt;=1,0,1)</f>
        <v>1</v>
      </c>
      <c r="P67" s="236">
        <f ca="1">IF(SUM(E$110:E$114)&gt;=1,1,IF(SUM(G$110:G$114)&gt;=1,1,IF(SUM(F$110:F$114)&gt;=1,0,1)))</f>
        <v>1</v>
      </c>
      <c r="Q67" s="236">
        <f ca="1">IF(SUM(E$110:E$114)&gt;=1,1,IF(SUM(G$110:G$114)&gt;=1,0,1))</f>
        <v>1</v>
      </c>
      <c r="R67" s="236">
        <f ca="1">IF(SUM(E$110:E$114)&gt;=1,1,IF(SUM(G$110:G$114)&gt;=1,1,IF(SUM(F$110:F$114)&gt;=1,1,IF(SUM(H$110:H$114)&gt;=1,0,1))))</f>
        <v>1</v>
      </c>
    </row>
    <row r="68" spans="2:18" x14ac:dyDescent="0.35">
      <c r="B68" s="101" t="str">
        <f>Modèle!B70</f>
        <v>Couleurs</v>
      </c>
      <c r="C68" s="107" t="str">
        <f>Modèle!D70</f>
        <v>3.2.1</v>
      </c>
      <c r="D68" s="108" t="str">
        <f>Modèle!E70</f>
        <v>AA</v>
      </c>
      <c r="E68" s="231">
        <f ca="1">COUNTIF(OFFSET(Synthèse!$G77,0,0,1,COUNTA(Synthèse!$10:$10)-6),"="&amp;$E$1)</f>
        <v>0</v>
      </c>
      <c r="F68" s="231">
        <f ca="1">COUNTIF(OFFSET(Synthèse!$G77,0,0,1,COUNTA(Synthèse!$10:$10)-6),"="&amp;$F$1)</f>
        <v>0</v>
      </c>
      <c r="G68" s="231">
        <f ca="1">COUNTIF(OFFSET(Synthèse!$G77,0,0,1,COUNTA(Synthèse!$10:$10)-6),"="&amp;$G$1)</f>
        <v>0</v>
      </c>
      <c r="H68" s="231">
        <f ca="1">COUNTIF(OFFSET(Synthèse!$G77,0,0,1,COUNTA(Synthèse!$10:$10)-6),"="&amp;$H$1)</f>
        <v>0</v>
      </c>
      <c r="I68" s="18">
        <f t="shared" ca="1" si="19"/>
        <v>0</v>
      </c>
      <c r="K68" s="123" t="s">
        <v>788</v>
      </c>
      <c r="L68" s="235" t="s">
        <v>24</v>
      </c>
      <c r="M68" s="235"/>
      <c r="N68" s="235" t="s">
        <v>550</v>
      </c>
      <c r="O68" s="236">
        <f ca="1">IF(SUM(E$115:E$115)&gt;=1,0,1)</f>
        <v>1</v>
      </c>
      <c r="P68" s="236">
        <f ca="1">IF(SUM(E$115)&gt;=1,1,IF(SUM(G$115)&gt;=1,1,IF(SUM(F$115)&gt;=1,0,1)))</f>
        <v>1</v>
      </c>
      <c r="Q68" s="236">
        <f ca="1">IF(SUM(E$115)&gt;=1,1,IF(SUM(G$115)&gt;=1,0,1))</f>
        <v>1</v>
      </c>
      <c r="R68" s="236">
        <f ca="1">IF(SUM(E$115)&gt;=1,1,IF(SUM(G$115)&gt;=1,1,IF(SUM(F$115)&gt;=1,1,IF(SUM(H$115)&gt;=1,0,1))))</f>
        <v>1</v>
      </c>
    </row>
    <row r="69" spans="2:18" x14ac:dyDescent="0.35">
      <c r="B69" s="101" t="str">
        <f>Modèle!B71</f>
        <v>Couleurs</v>
      </c>
      <c r="C69" s="107" t="str">
        <f>Modèle!D71</f>
        <v>3.2.2</v>
      </c>
      <c r="D69" s="108" t="str">
        <f>Modèle!E71</f>
        <v>AA</v>
      </c>
      <c r="E69" s="231">
        <f ca="1">COUNTIF(OFFSET(Synthèse!$G78,0,0,1,COUNTA(Synthèse!$10:$10)-6),"="&amp;$E$1)</f>
        <v>0</v>
      </c>
      <c r="F69" s="231">
        <f ca="1">COUNTIF(OFFSET(Synthèse!$G78,0,0,1,COUNTA(Synthèse!$10:$10)-6),"="&amp;$F$1)</f>
        <v>0</v>
      </c>
      <c r="G69" s="231">
        <f ca="1">COUNTIF(OFFSET(Synthèse!$G78,0,0,1,COUNTA(Synthèse!$10:$10)-6),"="&amp;$G$1)</f>
        <v>0</v>
      </c>
      <c r="H69" s="231">
        <f ca="1">COUNTIF(OFFSET(Synthèse!$G78,0,0,1,COUNTA(Synthèse!$10:$10)-6),"="&amp;$H$1)</f>
        <v>0</v>
      </c>
      <c r="I69" s="18">
        <f t="shared" ca="1" si="19"/>
        <v>0</v>
      </c>
      <c r="K69" s="123" t="s">
        <v>789</v>
      </c>
      <c r="L69" s="237" t="s">
        <v>24</v>
      </c>
      <c r="M69" s="237"/>
      <c r="N69" s="237" t="s">
        <v>551</v>
      </c>
      <c r="O69" s="238">
        <f ca="1">IF(SUM(E$116:E$120)&gt;=1,0,1)</f>
        <v>1</v>
      </c>
      <c r="P69" s="238">
        <f ca="1">IF(SUM(E$116:E$120)&gt;=1,1,IF(SUM(G$116:G$120)&gt;=1,1,IF(SUM(F$116:F$120)&gt;=1,0,1)))</f>
        <v>1</v>
      </c>
      <c r="Q69" s="238">
        <f ca="1">IF(SUM(E$116:E$120)&gt;=1,1,IF(SUM(G$116:G$120)&gt;=1,0,1))</f>
        <v>1</v>
      </c>
      <c r="R69" s="238">
        <f ca="1">IF(SUM(E$116:E$120)&gt;=1,1,IF(SUM(G$116:G$120)&gt;=1,1,IF(SUM(F$116:F$120)&gt;=1,1,IF(SUM(H$116:H$120)&gt;=1,0,1))))</f>
        <v>1</v>
      </c>
    </row>
    <row r="70" spans="2:18" x14ac:dyDescent="0.35">
      <c r="B70" s="101" t="str">
        <f>Modèle!B72</f>
        <v>Couleurs</v>
      </c>
      <c r="C70" s="107" t="str">
        <f>Modèle!D72</f>
        <v>3.2.3</v>
      </c>
      <c r="D70" s="108" t="str">
        <f>Modèle!E72</f>
        <v>AA</v>
      </c>
      <c r="E70" s="231">
        <f ca="1">COUNTIF(OFFSET(Synthèse!$G79,0,0,1,COUNTA(Synthèse!$10:$10)-6),"="&amp;$E$1)</f>
        <v>0</v>
      </c>
      <c r="F70" s="231">
        <f ca="1">COUNTIF(OFFSET(Synthèse!$G79,0,0,1,COUNTA(Synthèse!$10:$10)-6),"="&amp;$F$1)</f>
        <v>0</v>
      </c>
      <c r="G70" s="231">
        <f ca="1">COUNTIF(OFFSET(Synthèse!$G79,0,0,1,COUNTA(Synthèse!$10:$10)-6),"="&amp;$G$1)</f>
        <v>0</v>
      </c>
      <c r="H70" s="231">
        <f ca="1">COUNTIF(OFFSET(Synthèse!$G79,0,0,1,COUNTA(Synthèse!$10:$10)-6),"="&amp;$H$1)</f>
        <v>0</v>
      </c>
      <c r="I70" s="18">
        <f t="shared" ca="1" si="19"/>
        <v>0</v>
      </c>
      <c r="K70" s="123" t="s">
        <v>790</v>
      </c>
      <c r="L70" s="237" t="s">
        <v>24</v>
      </c>
      <c r="M70" s="237"/>
      <c r="N70" s="237" t="s">
        <v>552</v>
      </c>
      <c r="O70" s="238">
        <f ca="1">IF(SUM(E$121:E$121)&gt;=1,0,1)</f>
        <v>1</v>
      </c>
      <c r="P70" s="238">
        <f ca="1">IF(SUM(E$121)&gt;=1,1,IF(SUM(G$121)&gt;=1,1,IF(SUM(F$121)&gt;=1,0,1)))</f>
        <v>1</v>
      </c>
      <c r="Q70" s="238">
        <f ca="1">IF(SUM(E$121)&gt;=1,1,IF(SUM(G$121)&gt;=1,0,1))</f>
        <v>1</v>
      </c>
      <c r="R70" s="238">
        <f ca="1">IF(SUM(E$121)&gt;=1,1,IF(SUM(G$121)&gt;=1,1,IF(SUM(F$121)&gt;=1,1,IF(SUM(H$121)&gt;=1,0,1))))</f>
        <v>1</v>
      </c>
    </row>
    <row r="71" spans="2:18" x14ac:dyDescent="0.35">
      <c r="B71" s="101" t="str">
        <f>Modèle!B73</f>
        <v>Couleurs</v>
      </c>
      <c r="C71" s="107" t="str">
        <f>Modèle!D73</f>
        <v>3.2.4</v>
      </c>
      <c r="D71" s="108" t="str">
        <f>Modèle!E73</f>
        <v>AA</v>
      </c>
      <c r="E71" s="231">
        <f ca="1">COUNTIF(OFFSET(Synthèse!$G80,0,0,1,COUNTA(Synthèse!$10:$10)-6),"="&amp;$E$1)</f>
        <v>0</v>
      </c>
      <c r="F71" s="231">
        <f ca="1">COUNTIF(OFFSET(Synthèse!$G80,0,0,1,COUNTA(Synthèse!$10:$10)-6),"="&amp;$F$1)</f>
        <v>0</v>
      </c>
      <c r="G71" s="231">
        <f ca="1">COUNTIF(OFFSET(Synthèse!$G80,0,0,1,COUNTA(Synthèse!$10:$10)-6),"="&amp;$G$1)</f>
        <v>0</v>
      </c>
      <c r="H71" s="231">
        <f ca="1">COUNTIF(OFFSET(Synthèse!$G80,0,0,1,COUNTA(Synthèse!$10:$10)-6),"="&amp;$H$1)</f>
        <v>0</v>
      </c>
      <c r="I71" s="18">
        <f t="shared" ca="1" si="19"/>
        <v>0</v>
      </c>
      <c r="K71" s="123" t="s">
        <v>791</v>
      </c>
      <c r="L71" s="235" t="s">
        <v>24</v>
      </c>
      <c r="M71" s="235"/>
      <c r="N71" s="235" t="s">
        <v>553</v>
      </c>
      <c r="O71" s="236">
        <f ca="1">IF(SUM(E$122:E$124)&gt;=1,0,1)</f>
        <v>1</v>
      </c>
      <c r="P71" s="236">
        <f ca="1">IF(SUM(E$122:E$124)&gt;=1,1,IF(SUM(G$122:G$124)&gt;=1,1,IF(SUM(F$122:F$124)&gt;=1,0,1)))</f>
        <v>1</v>
      </c>
      <c r="Q71" s="236">
        <f ca="1">IF(SUM(E$122:E$124)&gt;=1,1,IF(SUM(G$122:G$124)&gt;=1,0,1))</f>
        <v>1</v>
      </c>
      <c r="R71" s="236">
        <f ca="1">IF(SUM(E$122:E$124)&gt;=1,1,IF(SUM(G$122:G$124)&gt;=1,1,IF(SUM(F$122:F$124)&gt;=1,1,IF(SUM(H$122:H$124)&gt;=1,0,1))))</f>
        <v>1</v>
      </c>
    </row>
    <row r="72" spans="2:18" x14ac:dyDescent="0.35">
      <c r="B72" s="101" t="str">
        <f>Modèle!B74</f>
        <v>Couleurs</v>
      </c>
      <c r="C72" s="107" t="str">
        <f>Modèle!D74</f>
        <v>3.2.5</v>
      </c>
      <c r="D72" s="108" t="str">
        <f>Modèle!E74</f>
        <v>AA</v>
      </c>
      <c r="E72" s="231">
        <f ca="1">COUNTIF(OFFSET(Synthèse!$G81,0,0,1,COUNTA(Synthèse!$10:$10)-6),"="&amp;$E$1)</f>
        <v>0</v>
      </c>
      <c r="F72" s="231">
        <f ca="1">COUNTIF(OFFSET(Synthèse!$G81,0,0,1,COUNTA(Synthèse!$10:$10)-6),"="&amp;$F$1)</f>
        <v>0</v>
      </c>
      <c r="G72" s="231">
        <f ca="1">COUNTIF(OFFSET(Synthèse!$G81,0,0,1,COUNTA(Synthèse!$10:$10)-6),"="&amp;$G$1)</f>
        <v>0</v>
      </c>
      <c r="H72" s="231">
        <f ca="1">COUNTIF(OFFSET(Synthèse!$G81,0,0,1,COUNTA(Synthèse!$10:$10)-6),"="&amp;$H$1)</f>
        <v>0</v>
      </c>
      <c r="I72" s="18">
        <f t="shared" ca="1" si="19"/>
        <v>0</v>
      </c>
      <c r="K72" s="123" t="s">
        <v>637</v>
      </c>
      <c r="L72" s="235" t="s">
        <v>24</v>
      </c>
      <c r="M72" s="235"/>
      <c r="N72" s="235" t="s">
        <v>554</v>
      </c>
      <c r="O72" s="236">
        <f ca="1">IF(SUM(E$125:E$126)&gt;=1,0,1)</f>
        <v>1</v>
      </c>
      <c r="P72" s="236">
        <f ca="1">IF(SUM(E$125:E$126)&gt;=1,1,IF(SUM(G$125:G$126)&gt;=1,1,IF(SUM(F$125:F$126)&gt;=1,0,1)))</f>
        <v>1</v>
      </c>
      <c r="Q72" s="236">
        <f ca="1">IF(SUM(E$125:E$126)&gt;=1,1,IF(SUM(G$125:G$126)&gt;=1,0,1))</f>
        <v>1</v>
      </c>
      <c r="R72" s="236">
        <f ca="1">IF(SUM(E$125:E$126)&gt;=1,1,IF(SUM(G$125:G$126)&gt;=1,1,IF(SUM(F$125:F$126)&gt;=1,1,IF(SUM(H$125:H$126)&gt;=1,0,1))))</f>
        <v>1</v>
      </c>
    </row>
    <row r="73" spans="2:18" x14ac:dyDescent="0.35">
      <c r="B73" s="102" t="str">
        <f>Modèle!B75</f>
        <v>Couleurs</v>
      </c>
      <c r="C73" s="109" t="str">
        <f>Modèle!D75</f>
        <v>3.3.1</v>
      </c>
      <c r="D73" s="110" t="str">
        <f>Modèle!E75</f>
        <v>AA</v>
      </c>
      <c r="E73" s="232">
        <f ca="1">COUNTIF(OFFSET(Synthèse!$G82,0,0,1,COUNTA(Synthèse!$10:$10)-6),"="&amp;$E$1)</f>
        <v>0</v>
      </c>
      <c r="F73" s="232">
        <f ca="1">COUNTIF(OFFSET(Synthèse!$G82,0,0,1,COUNTA(Synthèse!$10:$10)-6),"="&amp;$F$1)</f>
        <v>0</v>
      </c>
      <c r="G73" s="232">
        <f ca="1">COUNTIF(OFFSET(Synthèse!$G82,0,0,1,COUNTA(Synthèse!$10:$10)-6),"="&amp;$G$1)</f>
        <v>0</v>
      </c>
      <c r="H73" s="232">
        <f ca="1">COUNTIF(OFFSET(Synthèse!$G82,0,0,1,COUNTA(Synthèse!$10:$10)-6),"="&amp;$H$1)</f>
        <v>0</v>
      </c>
      <c r="I73" s="18">
        <f t="shared" ca="1" si="19"/>
        <v>0</v>
      </c>
      <c r="K73" s="123" t="s">
        <v>792</v>
      </c>
      <c r="L73" s="235" t="s">
        <v>24</v>
      </c>
      <c r="M73" s="235"/>
      <c r="N73" s="235" t="s">
        <v>555</v>
      </c>
      <c r="O73" s="236">
        <f ca="1">IF(SUM(E$127:E$128)&gt;=1,0,1)</f>
        <v>1</v>
      </c>
      <c r="P73" s="236">
        <f ca="1">IF(SUM(E$127:E$128)&gt;=1,1,IF(SUM(G$127:G$128)&gt;=1,1,IF(SUM(F$127:F$128)&gt;=1,0,1)))</f>
        <v>1</v>
      </c>
      <c r="Q73" s="236">
        <f ca="1">IF(SUM(E$127:E$128)&gt;=1,1,IF(SUM(G$127:G$128)&gt;=1,0,1))</f>
        <v>1</v>
      </c>
      <c r="R73" s="236">
        <f ca="1">IF(SUM(E$127:E$128)&gt;=1,1,IF(SUM(G$127:G$128)&gt;=1,1,IF(SUM(F$127:F$128)&gt;=1,1,IF(SUM(H$127:H$128)&gt;=1,0,1))))</f>
        <v>1</v>
      </c>
    </row>
    <row r="74" spans="2:18" x14ac:dyDescent="0.35">
      <c r="B74" s="102" t="str">
        <f>Modèle!B76</f>
        <v>Couleurs</v>
      </c>
      <c r="C74" s="109" t="str">
        <f>Modèle!D76</f>
        <v>3.3.2</v>
      </c>
      <c r="D74" s="110" t="str">
        <f>Modèle!E76</f>
        <v>AA</v>
      </c>
      <c r="E74" s="232">
        <f ca="1">COUNTIF(OFFSET(Synthèse!$G83,0,0,1,COUNTA(Synthèse!$10:$10)-6),"="&amp;$E$1)</f>
        <v>0</v>
      </c>
      <c r="F74" s="232">
        <f ca="1">COUNTIF(OFFSET(Synthèse!$G83,0,0,1,COUNTA(Synthèse!$10:$10)-6),"="&amp;$F$1)</f>
        <v>0</v>
      </c>
      <c r="G74" s="232">
        <f ca="1">COUNTIF(OFFSET(Synthèse!$G83,0,0,1,COUNTA(Synthèse!$10:$10)-6),"="&amp;$G$1)</f>
        <v>0</v>
      </c>
      <c r="H74" s="232">
        <f ca="1">COUNTIF(OFFSET(Synthèse!$G83,0,0,1,COUNTA(Synthèse!$10:$10)-6),"="&amp;$H$1)</f>
        <v>0</v>
      </c>
      <c r="I74" s="18">
        <f t="shared" ca="1" si="19"/>
        <v>0</v>
      </c>
      <c r="K74" s="123" t="s">
        <v>793</v>
      </c>
      <c r="L74" s="235" t="s">
        <v>24</v>
      </c>
      <c r="M74" s="235"/>
      <c r="N74" s="235" t="s">
        <v>556</v>
      </c>
      <c r="O74" s="236">
        <f ca="1">IF(SUM(E$129:E$129)&gt;=1,0,1)</f>
        <v>1</v>
      </c>
      <c r="P74" s="236">
        <f ca="1">IF(SUM(E$129)&gt;=1,1,IF(SUM(G$129)&gt;=1,1,IF(SUM(F$129)&gt;=1,0,1)))</f>
        <v>1</v>
      </c>
      <c r="Q74" s="236">
        <f ca="1">IF(SUM(E$129)&gt;=1,1,IF(SUM(G$129)&gt;=1,0,1))</f>
        <v>1</v>
      </c>
      <c r="R74" s="236">
        <f ca="1">IF(SUM(E$129)&gt;=1,1,IF(SUM(G$129)&gt;=1,1,IF(SUM(F$129)&gt;=1,1,IF(SUM(H$129)&gt;=1,0,1))))</f>
        <v>1</v>
      </c>
    </row>
    <row r="75" spans="2:18" x14ac:dyDescent="0.35">
      <c r="B75" s="102" t="str">
        <f>Modèle!B77</f>
        <v>Couleurs</v>
      </c>
      <c r="C75" s="109" t="str">
        <f>Modèle!D77</f>
        <v>3.3.3</v>
      </c>
      <c r="D75" s="110" t="str">
        <f>Modèle!E77</f>
        <v>AA</v>
      </c>
      <c r="E75" s="232">
        <f ca="1">COUNTIF(OFFSET(Synthèse!$G84,0,0,1,COUNTA(Synthèse!$10:$10)-6),"="&amp;$E$1)</f>
        <v>0</v>
      </c>
      <c r="F75" s="232">
        <f ca="1">COUNTIF(OFFSET(Synthèse!$G84,0,0,1,COUNTA(Synthèse!$10:$10)-6),"="&amp;$F$1)</f>
        <v>0</v>
      </c>
      <c r="G75" s="232">
        <f ca="1">COUNTIF(OFFSET(Synthèse!$G84,0,0,1,COUNTA(Synthèse!$10:$10)-6),"="&amp;$G$1)</f>
        <v>0</v>
      </c>
      <c r="H75" s="232">
        <f ca="1">COUNTIF(OFFSET(Synthèse!$G84,0,0,1,COUNTA(Synthèse!$10:$10)-6),"="&amp;$H$1)</f>
        <v>0</v>
      </c>
      <c r="I75" s="18">
        <f t="shared" ca="1" si="19"/>
        <v>0</v>
      </c>
      <c r="K75" s="123" t="s">
        <v>638</v>
      </c>
      <c r="L75" s="235" t="s">
        <v>25</v>
      </c>
      <c r="M75" s="235"/>
      <c r="N75" s="235" t="s">
        <v>557</v>
      </c>
      <c r="O75" s="236">
        <f ca="1">IF(SUM(E$130:E$132)&gt;=1,0,1)</f>
        <v>1</v>
      </c>
      <c r="P75" s="236">
        <f ca="1">IF(SUM(E$130:E$132)&gt;=1,1,IF(SUM(G$130:G$132)&gt;=1,1,IF(SUM(F$130:F$132)&gt;=1,0,1)))</f>
        <v>1</v>
      </c>
      <c r="Q75" s="236">
        <f ca="1">IF(SUM(E$130:E$132)&gt;=1,1,IF(SUM(G$130:G$132)&gt;=1,0,1))</f>
        <v>1</v>
      </c>
      <c r="R75" s="236">
        <f ca="1">IF(SUM(E$130:E$132)&gt;=1,1,IF(SUM(G$130:G$132)&gt;=1,1,IF(SUM(F$130:F$132)&gt;=1,1,IF(SUM(H$130:H$132)&gt;=1,0,1))))</f>
        <v>1</v>
      </c>
    </row>
    <row r="76" spans="2:18" x14ac:dyDescent="0.35">
      <c r="B76" s="102" t="str">
        <f>Modèle!B78</f>
        <v>Couleurs</v>
      </c>
      <c r="C76" s="109" t="str">
        <f>Modèle!D78</f>
        <v>3.3.4</v>
      </c>
      <c r="D76" s="110" t="str">
        <f>Modèle!E78</f>
        <v>AA</v>
      </c>
      <c r="E76" s="232">
        <f ca="1">COUNTIF(OFFSET(Synthèse!$G85,0,0,1,COUNTA(Synthèse!$10:$10)-6),"="&amp;$E$1)</f>
        <v>0</v>
      </c>
      <c r="F76" s="232">
        <f ca="1">COUNTIF(OFFSET(Synthèse!$G85,0,0,1,COUNTA(Synthèse!$10:$10)-6),"="&amp;$F$1)</f>
        <v>0</v>
      </c>
      <c r="G76" s="232">
        <f ca="1">COUNTIF(OFFSET(Synthèse!$G85,0,0,1,COUNTA(Synthèse!$10:$10)-6),"="&amp;$G$1)</f>
        <v>0</v>
      </c>
      <c r="H76" s="232">
        <f ca="1">COUNTIF(OFFSET(Synthèse!$G85,0,0,1,COUNTA(Synthèse!$10:$10)-6),"="&amp;$H$1)</f>
        <v>0</v>
      </c>
      <c r="I76" s="18">
        <f t="shared" ca="1" si="19"/>
        <v>0</v>
      </c>
      <c r="K76" s="123" t="s">
        <v>794</v>
      </c>
      <c r="L76" s="237" t="s">
        <v>24</v>
      </c>
      <c r="M76" s="237"/>
      <c r="N76" s="237" t="s">
        <v>558</v>
      </c>
      <c r="O76" s="238">
        <f ca="1">IF(SUM(E$133:E$135)&gt;=1,0,1)</f>
        <v>1</v>
      </c>
      <c r="P76" s="238">
        <f ca="1">IF(SUM(E$133:E$135)&gt;=1,1,IF(SUM(G$133:G$135)&gt;=1,1,IF(SUM(F$133:F$135)&gt;=1,0,1)))</f>
        <v>1</v>
      </c>
      <c r="Q76" s="238">
        <f ca="1">IF(SUM(E$133:E$135)&gt;=1,1,IF(SUM(G$133:G$135)&gt;=1,0,1))</f>
        <v>1</v>
      </c>
      <c r="R76" s="238">
        <f ca="1">IF(SUM(E$133:E$135)&gt;=1,1,IF(SUM(G$133:G$135)&gt;=1,1,IF(SUM(F$133:F$135)&gt;=1,1,IF(SUM(H$133:H$135)&gt;=1,0,1))))</f>
        <v>1</v>
      </c>
    </row>
    <row r="77" spans="2:18" x14ac:dyDescent="0.35">
      <c r="B77" s="101" t="str">
        <f>Modèle!B79</f>
        <v>Multimédia</v>
      </c>
      <c r="C77" s="107" t="str">
        <f>Modèle!D79</f>
        <v>4.1.1</v>
      </c>
      <c r="D77" s="108" t="str">
        <f>Modèle!E79</f>
        <v>A</v>
      </c>
      <c r="E77" s="231">
        <f ca="1">COUNTIF(OFFSET(Synthèse!$G86,0,0,1,COUNTA(Synthèse!$10:$10)-6),"="&amp;$E$1)</f>
        <v>0</v>
      </c>
      <c r="F77" s="231">
        <f ca="1">COUNTIF(OFFSET(Synthèse!$G86,0,0,1,COUNTA(Synthèse!$10:$10)-6),"="&amp;$F$1)</f>
        <v>0</v>
      </c>
      <c r="G77" s="231">
        <f ca="1">COUNTIF(OFFSET(Synthèse!$G86,0,0,1,COUNTA(Synthèse!$10:$10)-6),"="&amp;$G$1)</f>
        <v>0</v>
      </c>
      <c r="H77" s="231">
        <f ca="1">COUNTIF(OFFSET(Synthèse!$G86,0,0,1,COUNTA(Synthèse!$10:$10)-6),"="&amp;$H$1)</f>
        <v>0</v>
      </c>
      <c r="I77" s="18">
        <f t="shared" ca="1" si="19"/>
        <v>0</v>
      </c>
      <c r="K77" s="123" t="s">
        <v>795</v>
      </c>
      <c r="L77" s="237" t="s">
        <v>24</v>
      </c>
      <c r="M77" s="237"/>
      <c r="N77" s="237" t="s">
        <v>559</v>
      </c>
      <c r="O77" s="238">
        <f ca="1">IF(SUM(E$136:E$136)&gt;=1,0,1)</f>
        <v>1</v>
      </c>
      <c r="P77" s="238">
        <f ca="1">IF(SUM(E$136)&gt;=1,1,IF(SUM(G$136)&gt;=1,1,IF(SUM(F$136)&gt;=1,0,1)))</f>
        <v>1</v>
      </c>
      <c r="Q77" s="238">
        <f ca="1">IF(SUM(E$136)&gt;=1,1,IF(SUM(G$136)&gt;=1,0,1))</f>
        <v>1</v>
      </c>
      <c r="R77" s="238">
        <f ca="1">IF(SUM(E$136)&gt;=1,1,IF(SUM(G$136)&gt;=1,1,IF(SUM(F$136)&gt;=1,1,IF(SUM(H$136)&gt;=1,0,1))))</f>
        <v>1</v>
      </c>
    </row>
    <row r="78" spans="2:18" x14ac:dyDescent="0.35">
      <c r="B78" s="101" t="str">
        <f>Modèle!B80</f>
        <v>Multimédia</v>
      </c>
      <c r="C78" s="107" t="str">
        <f>Modèle!D80</f>
        <v>4.1.2</v>
      </c>
      <c r="D78" s="108" t="str">
        <f>Modèle!E80</f>
        <v>A</v>
      </c>
      <c r="E78" s="231">
        <f ca="1">COUNTIF(OFFSET(Synthèse!$G87,0,0,1,COUNTA(Synthèse!$10:$10)-6),"="&amp;$E$1)</f>
        <v>0</v>
      </c>
      <c r="F78" s="231">
        <f ca="1">COUNTIF(OFFSET(Synthèse!$G87,0,0,1,COUNTA(Synthèse!$10:$10)-6),"="&amp;$F$1)</f>
        <v>0</v>
      </c>
      <c r="G78" s="231">
        <f ca="1">COUNTIF(OFFSET(Synthèse!$G87,0,0,1,COUNTA(Synthèse!$10:$10)-6),"="&amp;$G$1)</f>
        <v>0</v>
      </c>
      <c r="H78" s="231">
        <f ca="1">COUNTIF(OFFSET(Synthèse!$G87,0,0,1,COUNTA(Synthèse!$10:$10)-6),"="&amp;$H$1)</f>
        <v>0</v>
      </c>
      <c r="I78" s="18">
        <f t="shared" ca="1" si="19"/>
        <v>0</v>
      </c>
      <c r="K78" s="123" t="s">
        <v>796</v>
      </c>
      <c r="L78" s="237" t="s">
        <v>24</v>
      </c>
      <c r="M78" s="237"/>
      <c r="N78" s="237" t="s">
        <v>560</v>
      </c>
      <c r="O78" s="238">
        <f ca="1">IF(SUM(E$137:E$137)&gt;=1,0,1)</f>
        <v>1</v>
      </c>
      <c r="P78" s="238">
        <f ca="1">IF(SUM(E$137)&gt;=1,1,IF(SUM(G$137)&gt;=1,1,IF(SUM(F$137)&gt;=1,0,1)))</f>
        <v>1</v>
      </c>
      <c r="Q78" s="238">
        <f ca="1">IF(SUM(E$137)&gt;=1,1,IF(SUM(G$137)&gt;=1,0,1))</f>
        <v>1</v>
      </c>
      <c r="R78" s="238">
        <f ca="1">IF(SUM(E$137)&gt;=1,1,IF(SUM(G$137)&gt;=1,1,IF(SUM(F$137)&gt;=1,1,IF(SUM(H$137)&gt;=1,0,1))))</f>
        <v>1</v>
      </c>
    </row>
    <row r="79" spans="2:18" x14ac:dyDescent="0.35">
      <c r="B79" s="101" t="str">
        <f>Modèle!B81</f>
        <v>Multimédia</v>
      </c>
      <c r="C79" s="107" t="str">
        <f>Modèle!D81</f>
        <v>4.1.3</v>
      </c>
      <c r="D79" s="108" t="str">
        <f>Modèle!E81</f>
        <v>A</v>
      </c>
      <c r="E79" s="231">
        <f ca="1">COUNTIF(OFFSET(Synthèse!$G88,0,0,1,COUNTA(Synthèse!$10:$10)-6),"="&amp;$E$1)</f>
        <v>0</v>
      </c>
      <c r="F79" s="231">
        <f ca="1">COUNTIF(OFFSET(Synthèse!$G88,0,0,1,COUNTA(Synthèse!$10:$10)-6),"="&amp;$F$1)</f>
        <v>0</v>
      </c>
      <c r="G79" s="231">
        <f ca="1">COUNTIF(OFFSET(Synthèse!$G88,0,0,1,COUNTA(Synthèse!$10:$10)-6),"="&amp;$G$1)</f>
        <v>0</v>
      </c>
      <c r="H79" s="231">
        <f ca="1">COUNTIF(OFFSET(Synthèse!$G88,0,0,1,COUNTA(Synthèse!$10:$10)-6),"="&amp;$H$1)</f>
        <v>0</v>
      </c>
      <c r="I79" s="18">
        <f t="shared" ca="1" si="19"/>
        <v>0</v>
      </c>
      <c r="K79" s="123" t="s">
        <v>797</v>
      </c>
      <c r="L79" s="237" t="s">
        <v>24</v>
      </c>
      <c r="M79" s="237"/>
      <c r="N79" s="237" t="s">
        <v>561</v>
      </c>
      <c r="O79" s="238">
        <f ca="1">IF(SUM(E$138:E$138)&gt;=1,0,1)</f>
        <v>1</v>
      </c>
      <c r="P79" s="238">
        <f ca="1">IF(SUM(E$138)&gt;=1,1,IF(SUM(G$138)&gt;=1,1,IF(SUM(F$138)&gt;=1,0,1)))</f>
        <v>1</v>
      </c>
      <c r="Q79" s="238">
        <f ca="1">IF(SUM(E$138)&gt;=1,1,IF(SUM(G$138)&gt;=1,0,1))</f>
        <v>1</v>
      </c>
      <c r="R79" s="238">
        <f ca="1">IF(SUM(E$138)&gt;=1,1,IF(SUM(G$138)&gt;=1,1,IF(SUM(F$138)&gt;=1,1,IF(SUM(H$138)&gt;=1,0,1))))</f>
        <v>1</v>
      </c>
    </row>
    <row r="80" spans="2:18" x14ac:dyDescent="0.35">
      <c r="B80" s="102" t="str">
        <f>Modèle!B82</f>
        <v>Multimédia</v>
      </c>
      <c r="C80" s="109" t="str">
        <f>Modèle!D82</f>
        <v>4.2.1</v>
      </c>
      <c r="D80" s="110" t="str">
        <f>Modèle!E82</f>
        <v>A</v>
      </c>
      <c r="E80" s="232">
        <f ca="1">COUNTIF(OFFSET(Synthèse!$G89,0,0,1,COUNTA(Synthèse!$10:$10)-6),"="&amp;$E$1)</f>
        <v>0</v>
      </c>
      <c r="F80" s="232">
        <f ca="1">COUNTIF(OFFSET(Synthèse!$G89,0,0,1,COUNTA(Synthèse!$10:$10)-6),"="&amp;$F$1)</f>
        <v>0</v>
      </c>
      <c r="G80" s="232">
        <f ca="1">COUNTIF(OFFSET(Synthèse!$G89,0,0,1,COUNTA(Synthèse!$10:$10)-6),"="&amp;$G$1)</f>
        <v>0</v>
      </c>
      <c r="H80" s="232">
        <f ca="1">COUNTIF(OFFSET(Synthèse!$G89,0,0,1,COUNTA(Synthèse!$10:$10)-6),"="&amp;$H$1)</f>
        <v>0</v>
      </c>
      <c r="I80" s="18">
        <f t="shared" ca="1" si="19"/>
        <v>0</v>
      </c>
      <c r="K80" s="123" t="s">
        <v>798</v>
      </c>
      <c r="L80" s="237" t="s">
        <v>24</v>
      </c>
      <c r="M80" s="237"/>
      <c r="N80" s="237" t="s">
        <v>562</v>
      </c>
      <c r="O80" s="238">
        <f ca="1">IF(SUM(E$139:E$139)&gt;=1,0,1)</f>
        <v>1</v>
      </c>
      <c r="P80" s="238">
        <f ca="1">IF(SUM(E$139)&gt;=1,1,IF(SUM(G$139)&gt;=1,1,IF(SUM(F$139)&gt;=1,0,1)))</f>
        <v>1</v>
      </c>
      <c r="Q80" s="238">
        <f ca="1">IF(SUM(E$139)&gt;=1,1,IF(SUM(G$139)&gt;=1,0,1))</f>
        <v>1</v>
      </c>
      <c r="R80" s="238">
        <f ca="1">IF(SUM(E$139)&gt;=1,1,IF(SUM(G$139)&gt;=1,1,IF(SUM(F$139)&gt;=1,1,IF(SUM(H$139)&gt;=1,0,1))))</f>
        <v>1</v>
      </c>
    </row>
    <row r="81" spans="2:18" x14ac:dyDescent="0.35">
      <c r="B81" s="102" t="str">
        <f>Modèle!B83</f>
        <v>Multimédia</v>
      </c>
      <c r="C81" s="109" t="str">
        <f>Modèle!D83</f>
        <v>4.2.2</v>
      </c>
      <c r="D81" s="110" t="str">
        <f>Modèle!E83</f>
        <v>A</v>
      </c>
      <c r="E81" s="232">
        <f ca="1">COUNTIF(OFFSET(Synthèse!$G90,0,0,1,COUNTA(Synthèse!$10:$10)-6),"="&amp;$E$1)</f>
        <v>0</v>
      </c>
      <c r="F81" s="232">
        <f ca="1">COUNTIF(OFFSET(Synthèse!$G90,0,0,1,COUNTA(Synthèse!$10:$10)-6),"="&amp;$F$1)</f>
        <v>0</v>
      </c>
      <c r="G81" s="232">
        <f ca="1">COUNTIF(OFFSET(Synthèse!$G90,0,0,1,COUNTA(Synthèse!$10:$10)-6),"="&amp;$G$1)</f>
        <v>0</v>
      </c>
      <c r="H81" s="232">
        <f ca="1">COUNTIF(OFFSET(Synthèse!$G90,0,0,1,COUNTA(Synthèse!$10:$10)-6),"="&amp;$H$1)</f>
        <v>0</v>
      </c>
      <c r="I81" s="18">
        <f t="shared" ca="1" si="19"/>
        <v>0</v>
      </c>
      <c r="K81" s="123" t="s">
        <v>799</v>
      </c>
      <c r="L81" s="237" t="s">
        <v>24</v>
      </c>
      <c r="M81" s="237"/>
      <c r="N81" s="237" t="s">
        <v>563</v>
      </c>
      <c r="O81" s="238">
        <f ca="1">IF(SUM(E$140:E$140)&gt;=1,0,1)</f>
        <v>1</v>
      </c>
      <c r="P81" s="238">
        <f ca="1">IF(SUM(E$140)&gt;=1,1,IF(SUM(G$140)&gt;=1,1,IF(SUM(F$140)&gt;=1,0,1)))</f>
        <v>1</v>
      </c>
      <c r="Q81" s="238">
        <f ca="1">IF(SUM(E$140)&gt;=1,1,IF(SUM(G$140)&gt;=1,0,1))</f>
        <v>1</v>
      </c>
      <c r="R81" s="238">
        <f ca="1">IF(SUM(E$140)&gt;=1,1,IF(SUM(G$140)&gt;=1,1,IF(SUM(F$140)&gt;=1,1,IF(SUM(H$140)&gt;=1,0,1))))</f>
        <v>1</v>
      </c>
    </row>
    <row r="82" spans="2:18" x14ac:dyDescent="0.35">
      <c r="B82" s="102" t="str">
        <f>Modèle!B84</f>
        <v>Multimédia</v>
      </c>
      <c r="C82" s="109" t="str">
        <f>Modèle!D84</f>
        <v>4.2.3</v>
      </c>
      <c r="D82" s="110" t="str">
        <f>Modèle!E84</f>
        <v>A</v>
      </c>
      <c r="E82" s="232">
        <f ca="1">COUNTIF(OFFSET(Synthèse!$G91,0,0,1,COUNTA(Synthèse!$10:$10)-6),"="&amp;$E$1)</f>
        <v>0</v>
      </c>
      <c r="F82" s="232">
        <f ca="1">COUNTIF(OFFSET(Synthèse!$G91,0,0,1,COUNTA(Synthèse!$10:$10)-6),"="&amp;$F$1)</f>
        <v>0</v>
      </c>
      <c r="G82" s="232">
        <f ca="1">COUNTIF(OFFSET(Synthèse!$G91,0,0,1,COUNTA(Synthèse!$10:$10)-6),"="&amp;$G$1)</f>
        <v>0</v>
      </c>
      <c r="H82" s="232">
        <f ca="1">COUNTIF(OFFSET(Synthèse!$G91,0,0,1,COUNTA(Synthèse!$10:$10)-6),"="&amp;$H$1)</f>
        <v>0</v>
      </c>
      <c r="I82" s="18">
        <f t="shared" ca="1" si="19"/>
        <v>0</v>
      </c>
      <c r="K82" s="123" t="s">
        <v>800</v>
      </c>
      <c r="L82" s="237" t="s">
        <v>25</v>
      </c>
      <c r="M82" s="237"/>
      <c r="N82" s="237" t="s">
        <v>564</v>
      </c>
      <c r="O82" s="238">
        <f ca="1">IF(SUM(E$141:E$141)&gt;=1,0,1)</f>
        <v>1</v>
      </c>
      <c r="P82" s="238">
        <f ca="1">IF(SUM(E$141)&gt;=1,1,IF(SUM(G$141)&gt;=1,1,IF(SUM(F$141)&gt;=1,0,1)))</f>
        <v>1</v>
      </c>
      <c r="Q82" s="238">
        <f ca="1">IF(SUM(E$141)&gt;=1,1,IF(SUM(G$141)&gt;=1,0,1))</f>
        <v>1</v>
      </c>
      <c r="R82" s="238">
        <f ca="1">IF(SUM(E$141)&gt;=1,1,IF(SUM(G$141)&gt;=1,1,IF(SUM(F$141)&gt;=1,1,IF(SUM(H$141)&gt;=1,0,1))))</f>
        <v>1</v>
      </c>
    </row>
    <row r="83" spans="2:18" x14ac:dyDescent="0.35">
      <c r="B83" s="101" t="str">
        <f>Modèle!B85</f>
        <v>Multimédia</v>
      </c>
      <c r="C83" s="107" t="str">
        <f>Modèle!D85</f>
        <v>4.3.1</v>
      </c>
      <c r="D83" s="108" t="str">
        <f>Modèle!E85</f>
        <v>A</v>
      </c>
      <c r="E83" s="231">
        <f ca="1">COUNTIF(OFFSET(Synthèse!$G92,0,0,1,COUNTA(Synthèse!$10:$10)-6),"="&amp;$E$1)</f>
        <v>0</v>
      </c>
      <c r="F83" s="231">
        <f ca="1">COUNTIF(OFFSET(Synthèse!$G92,0,0,1,COUNTA(Synthèse!$10:$10)-6),"="&amp;$F$1)</f>
        <v>0</v>
      </c>
      <c r="G83" s="231">
        <f ca="1">COUNTIF(OFFSET(Synthèse!$G92,0,0,1,COUNTA(Synthèse!$10:$10)-6),"="&amp;$G$1)</f>
        <v>0</v>
      </c>
      <c r="H83" s="231">
        <f ca="1">COUNTIF(OFFSET(Synthèse!$G92,0,0,1,COUNTA(Synthèse!$10:$10)-6),"="&amp;$H$1)</f>
        <v>0</v>
      </c>
      <c r="I83" s="18">
        <f t="shared" ca="1" si="19"/>
        <v>0</v>
      </c>
      <c r="K83" s="123" t="s">
        <v>801</v>
      </c>
      <c r="L83" s="237" t="s">
        <v>25</v>
      </c>
      <c r="M83" s="237"/>
      <c r="N83" s="237" t="s">
        <v>565</v>
      </c>
      <c r="O83" s="238">
        <f ca="1">IF(SUM(E$142:E$142)&gt;=1,0,1)</f>
        <v>1</v>
      </c>
      <c r="P83" s="238">
        <f ca="1">IF(SUM(E$142)&gt;=1,1,IF(SUM(G$142)&gt;=1,1,IF(SUM(F$142)&gt;=1,0,1)))</f>
        <v>1</v>
      </c>
      <c r="Q83" s="238">
        <f ca="1">IF(SUM(E$142)&gt;=1,1,IF(SUM(G$142)&gt;=1,0,1))</f>
        <v>1</v>
      </c>
      <c r="R83" s="238">
        <f ca="1">IF(SUM(E$142)&gt;=1,1,IF(SUM(G$142)&gt;=1,1,IF(SUM(F$142)&gt;=1,1,IF(SUM(H$142)&gt;=1,0,1))))</f>
        <v>1</v>
      </c>
    </row>
    <row r="84" spans="2:18" x14ac:dyDescent="0.35">
      <c r="B84" s="101" t="str">
        <f>Modèle!B86</f>
        <v>Multimédia</v>
      </c>
      <c r="C84" s="107" t="str">
        <f>Modèle!D86</f>
        <v>4.3.2</v>
      </c>
      <c r="D84" s="108" t="str">
        <f>Modèle!E86</f>
        <v>A</v>
      </c>
      <c r="E84" s="231">
        <f ca="1">COUNTIF(OFFSET(Synthèse!$G93,0,0,1,COUNTA(Synthèse!$10:$10)-6),"="&amp;$E$1)</f>
        <v>0</v>
      </c>
      <c r="F84" s="231">
        <f ca="1">COUNTIF(OFFSET(Synthèse!$G93,0,0,1,COUNTA(Synthèse!$10:$10)-6),"="&amp;$F$1)</f>
        <v>0</v>
      </c>
      <c r="G84" s="231">
        <f ca="1">COUNTIF(OFFSET(Synthèse!$G93,0,0,1,COUNTA(Synthèse!$10:$10)-6),"="&amp;$G$1)</f>
        <v>0</v>
      </c>
      <c r="H84" s="231">
        <f ca="1">COUNTIF(OFFSET(Synthèse!$G93,0,0,1,COUNTA(Synthèse!$10:$10)-6),"="&amp;$H$1)</f>
        <v>0</v>
      </c>
      <c r="I84" s="18">
        <f t="shared" ca="1" si="19"/>
        <v>0</v>
      </c>
      <c r="K84" s="123" t="s">
        <v>802</v>
      </c>
      <c r="L84" s="237" t="s">
        <v>24</v>
      </c>
      <c r="M84" s="237"/>
      <c r="N84" s="237" t="s">
        <v>566</v>
      </c>
      <c r="O84" s="238">
        <f ca="1">IF(SUM(E$143:E$143)&gt;=1,0,1)</f>
        <v>1</v>
      </c>
      <c r="P84" s="238">
        <f ca="1">IF(SUM(E$143)&gt;=1,1,IF(SUM(G$143)&gt;=1,1,IF(SUM(F$143)&gt;=1,0,1)))</f>
        <v>1</v>
      </c>
      <c r="Q84" s="238">
        <f ca="1">IF(SUM(E$143)&gt;=1,1,IF(SUM(G$143)&gt;=1,0,1))</f>
        <v>1</v>
      </c>
      <c r="R84" s="238">
        <f ca="1">IF(SUM(E$143)&gt;=1,1,IF(SUM(G$143)&gt;=1,1,IF(SUM(F$143)&gt;=1,1,IF(SUM(H$143)&gt;=1,0,1))))</f>
        <v>1</v>
      </c>
    </row>
    <row r="85" spans="2:18" x14ac:dyDescent="0.35">
      <c r="B85" s="102" t="str">
        <f>Modèle!B87</f>
        <v>Multimédia</v>
      </c>
      <c r="C85" s="109" t="str">
        <f>Modèle!D87</f>
        <v>4.4.1</v>
      </c>
      <c r="D85" s="110" t="str">
        <f>Modèle!E87</f>
        <v>A</v>
      </c>
      <c r="E85" s="232">
        <f ca="1">COUNTIF(OFFSET(Synthèse!$G94,0,0,1,COUNTA(Synthèse!$10:$10)-6),"="&amp;$E$1)</f>
        <v>0</v>
      </c>
      <c r="F85" s="232">
        <f ca="1">COUNTIF(OFFSET(Synthèse!$G94,0,0,1,COUNTA(Synthèse!$10:$10)-6),"="&amp;$F$1)</f>
        <v>0</v>
      </c>
      <c r="G85" s="232">
        <f ca="1">COUNTIF(OFFSET(Synthèse!$G94,0,0,1,COUNTA(Synthèse!$10:$10)-6),"="&amp;$G$1)</f>
        <v>0</v>
      </c>
      <c r="H85" s="232">
        <f ca="1">COUNTIF(OFFSET(Synthèse!$G94,0,0,1,COUNTA(Synthèse!$10:$10)-6),"="&amp;$H$1)</f>
        <v>0</v>
      </c>
      <c r="I85" s="18">
        <f t="shared" ca="1" si="19"/>
        <v>0</v>
      </c>
      <c r="K85" s="123" t="s">
        <v>803</v>
      </c>
      <c r="L85" s="237" t="s">
        <v>24</v>
      </c>
      <c r="M85" s="237"/>
      <c r="N85" s="237" t="s">
        <v>567</v>
      </c>
      <c r="O85" s="238">
        <f ca="1">IF(SUM(E$144:E$145)&gt;=1,0,1)</f>
        <v>1</v>
      </c>
      <c r="P85" s="238">
        <f ca="1">IF(SUM(E$144:E$145)&gt;=1,1,IF(SUM(G$144:G$145)&gt;=1,1,IF(SUM(F$144:F$145)&gt;=1,0,1)))</f>
        <v>1</v>
      </c>
      <c r="Q85" s="238">
        <f ca="1">IF(SUM(E$144:E$145)&gt;=1,1,IF(SUM(G$144:G$145)&gt;=1,0,1))</f>
        <v>1</v>
      </c>
      <c r="R85" s="238">
        <f ca="1">IF(SUM(E$144:E$145)&gt;=1,1,IF(SUM(G$144:G$145)&gt;=1,1,IF(SUM(F$144:F$145)&gt;=1,1,IF(SUM(H$144:H$145)&gt;=1,0,1))))</f>
        <v>1</v>
      </c>
    </row>
    <row r="86" spans="2:18" x14ac:dyDescent="0.35">
      <c r="B86" s="101" t="str">
        <f>Modèle!B88</f>
        <v>Multimédia</v>
      </c>
      <c r="C86" s="107" t="str">
        <f>Modèle!D88</f>
        <v>4.5.1</v>
      </c>
      <c r="D86" s="108" t="str">
        <f>Modèle!E88</f>
        <v>AA</v>
      </c>
      <c r="E86" s="231">
        <f ca="1">COUNTIF(OFFSET(Synthèse!$G95,0,0,1,COUNTA(Synthèse!$10:$10)-6),"="&amp;$E$1)</f>
        <v>0</v>
      </c>
      <c r="F86" s="231">
        <f ca="1">COUNTIF(OFFSET(Synthèse!$G95,0,0,1,COUNTA(Synthèse!$10:$10)-6),"="&amp;$F$1)</f>
        <v>0</v>
      </c>
      <c r="G86" s="231">
        <f ca="1">COUNTIF(OFFSET(Synthèse!$G95,0,0,1,COUNTA(Synthèse!$10:$10)-6),"="&amp;$G$1)</f>
        <v>0</v>
      </c>
      <c r="H86" s="231">
        <f ca="1">COUNTIF(OFFSET(Synthèse!$G95,0,0,1,COUNTA(Synthèse!$10:$10)-6),"="&amp;$H$1)</f>
        <v>0</v>
      </c>
      <c r="I86" s="18">
        <f t="shared" ca="1" si="19"/>
        <v>0</v>
      </c>
      <c r="K86" s="123" t="s">
        <v>804</v>
      </c>
      <c r="L86" s="235" t="s">
        <v>24</v>
      </c>
      <c r="M86" s="235"/>
      <c r="N86" s="235" t="s">
        <v>568</v>
      </c>
      <c r="O86" s="236">
        <f ca="1">IF(SUM(E$146:E$148)&gt;=1,0,1)</f>
        <v>1</v>
      </c>
      <c r="P86" s="236">
        <f ca="1">IF(SUM(E$146:E$148)&gt;=1,1,IF(SUM(G$146:G$148)&gt;=1,1,IF(SUM(F$146:F$148)&gt;=1,0,1)))</f>
        <v>1</v>
      </c>
      <c r="Q86" s="236">
        <f ca="1">IF(SUM(E$146:E$148)&gt;=1,1,IF(SUM(G$146:G$148)&gt;=1,0,1))</f>
        <v>1</v>
      </c>
      <c r="R86" s="236">
        <f ca="1">IF(SUM(E$146:E$148)&gt;=1,1,IF(SUM(G$146:G$148)&gt;=1,1,IF(SUM(F$146:F$148)&gt;=1,1,IF(SUM(H$146:H$148)&gt;=1,0,1))))</f>
        <v>1</v>
      </c>
    </row>
    <row r="87" spans="2:18" x14ac:dyDescent="0.35">
      <c r="B87" s="101" t="str">
        <f>Modèle!B89</f>
        <v>Multimédia</v>
      </c>
      <c r="C87" s="107" t="str">
        <f>Modèle!D89</f>
        <v>4.5.2</v>
      </c>
      <c r="D87" s="108" t="str">
        <f>Modèle!E89</f>
        <v>AA</v>
      </c>
      <c r="E87" s="231">
        <f ca="1">COUNTIF(OFFSET(Synthèse!$G96,0,0,1,COUNTA(Synthèse!$10:$10)-6),"="&amp;$E$1)</f>
        <v>0</v>
      </c>
      <c r="F87" s="231">
        <f ca="1">COUNTIF(OFFSET(Synthèse!$G96,0,0,1,COUNTA(Synthèse!$10:$10)-6),"="&amp;$F$1)</f>
        <v>0</v>
      </c>
      <c r="G87" s="231">
        <f ca="1">COUNTIF(OFFSET(Synthèse!$G96,0,0,1,COUNTA(Synthèse!$10:$10)-6),"="&amp;$G$1)</f>
        <v>0</v>
      </c>
      <c r="H87" s="231">
        <f ca="1">COUNTIF(OFFSET(Synthèse!$G96,0,0,1,COUNTA(Synthèse!$10:$10)-6),"="&amp;$H$1)</f>
        <v>0</v>
      </c>
      <c r="I87" s="18">
        <f t="shared" ca="1" si="19"/>
        <v>0</v>
      </c>
      <c r="K87" s="123" t="s">
        <v>805</v>
      </c>
      <c r="L87" s="235" t="s">
        <v>24</v>
      </c>
      <c r="M87" s="235"/>
      <c r="N87" s="235" t="s">
        <v>569</v>
      </c>
      <c r="O87" s="236">
        <f ca="1">IF(SUM(E$149:E$149)&gt;=1,0,1)</f>
        <v>1</v>
      </c>
      <c r="P87" s="236">
        <f ca="1">IF(SUM(E$149)&gt;=1,1,IF(SUM(G$149)&gt;=1,1,IF(SUM(F$149)&gt;=1,0,1)))</f>
        <v>1</v>
      </c>
      <c r="Q87" s="236">
        <f ca="1">IF(SUM(E$149)&gt;=1,1,IF(SUM(G$149)&gt;=1,0,1))</f>
        <v>1</v>
      </c>
      <c r="R87" s="236">
        <f ca="1">IF(SUM(E$149)&gt;=1,1,IF(SUM(G$149)&gt;=1,1,IF(SUM(F$149)&gt;=1,1,IF(SUM(H$149)&gt;=1,0,1))))</f>
        <v>1</v>
      </c>
    </row>
    <row r="88" spans="2:18" x14ac:dyDescent="0.35">
      <c r="B88" s="102" t="str">
        <f>Modèle!B90</f>
        <v>Multimédia</v>
      </c>
      <c r="C88" s="109" t="str">
        <f>Modèle!D90</f>
        <v>4.6.1</v>
      </c>
      <c r="D88" s="110" t="str">
        <f>Modèle!E90</f>
        <v>AA</v>
      </c>
      <c r="E88" s="232">
        <f ca="1">COUNTIF(OFFSET(Synthèse!$G97,0,0,1,COUNTA(Synthèse!$10:$10)-6),"="&amp;$E$1)</f>
        <v>0</v>
      </c>
      <c r="F88" s="232">
        <f ca="1">COUNTIF(OFFSET(Synthèse!$G97,0,0,1,COUNTA(Synthèse!$10:$10)-6),"="&amp;$F$1)</f>
        <v>0</v>
      </c>
      <c r="G88" s="232">
        <f ca="1">COUNTIF(OFFSET(Synthèse!$G97,0,0,1,COUNTA(Synthèse!$10:$10)-6),"="&amp;$G$1)</f>
        <v>0</v>
      </c>
      <c r="H88" s="232">
        <f ca="1">COUNTIF(OFFSET(Synthèse!$G97,0,0,1,COUNTA(Synthèse!$10:$10)-6),"="&amp;$H$1)</f>
        <v>0</v>
      </c>
      <c r="I88" s="18">
        <f t="shared" ca="1" si="19"/>
        <v>0</v>
      </c>
      <c r="K88" s="123" t="s">
        <v>806</v>
      </c>
      <c r="L88" s="235" t="s">
        <v>24</v>
      </c>
      <c r="M88" s="235"/>
      <c r="N88" s="235" t="s">
        <v>570</v>
      </c>
      <c r="O88" s="236">
        <f ca="1">IF(SUM(E$150:E$152)&gt;=1,0,1)</f>
        <v>1</v>
      </c>
      <c r="P88" s="236">
        <f ca="1">IF(SUM(E$150:E$152)&gt;=1,1,IF(SUM(G$150:G$152)&gt;=1,1,IF(SUM(F$150:F$152)&gt;=1,0,1)))</f>
        <v>1</v>
      </c>
      <c r="Q88" s="236">
        <f ca="1">IF(SUM(E$150:E$152)&gt;=1,1,IF(SUM(G$150:G$152)&gt;=1,0,1))</f>
        <v>1</v>
      </c>
      <c r="R88" s="236">
        <f ca="1">IF(SUM(E$150:E$152)&gt;=1,1,IF(SUM(G$150:G$152)&gt;=1,1,IF(SUM(F$150:F$152)&gt;=1,1,IF(SUM(H$150:H$152)&gt;=1,0,1))))</f>
        <v>1</v>
      </c>
    </row>
    <row r="89" spans="2:18" x14ac:dyDescent="0.35">
      <c r="B89" s="102" t="str">
        <f>Modèle!B91</f>
        <v>Multimédia</v>
      </c>
      <c r="C89" s="109" t="str">
        <f>Modèle!D91</f>
        <v>4.6.2</v>
      </c>
      <c r="D89" s="110" t="str">
        <f>Modèle!E91</f>
        <v>AA</v>
      </c>
      <c r="E89" s="232">
        <f ca="1">COUNTIF(OFFSET(Synthèse!$G98,0,0,1,COUNTA(Synthèse!$10:$10)-6),"="&amp;$E$1)</f>
        <v>0</v>
      </c>
      <c r="F89" s="232">
        <f ca="1">COUNTIF(OFFSET(Synthèse!$G98,0,0,1,COUNTA(Synthèse!$10:$10)-6),"="&amp;$F$1)</f>
        <v>0</v>
      </c>
      <c r="G89" s="232">
        <f ca="1">COUNTIF(OFFSET(Synthèse!$G98,0,0,1,COUNTA(Synthèse!$10:$10)-6),"="&amp;$G$1)</f>
        <v>0</v>
      </c>
      <c r="H89" s="232">
        <f ca="1">COUNTIF(OFFSET(Synthèse!$G98,0,0,1,COUNTA(Synthèse!$10:$10)-6),"="&amp;$H$1)</f>
        <v>0</v>
      </c>
      <c r="I89" s="18">
        <f t="shared" ca="1" si="19"/>
        <v>0</v>
      </c>
      <c r="K89" s="123" t="s">
        <v>807</v>
      </c>
      <c r="L89" s="235" t="s">
        <v>24</v>
      </c>
      <c r="M89" s="235"/>
      <c r="N89" s="235" t="s">
        <v>571</v>
      </c>
      <c r="O89" s="236">
        <f ca="1">IF(SUM(E$153:E$154)&gt;=1,0,1)</f>
        <v>1</v>
      </c>
      <c r="P89" s="236">
        <f ca="1">IF(SUM(E$153:E$154)&gt;=1,1,IF(SUM(G$153:G$154)&gt;=1,1,IF(SUM(F$153:F$154)&gt;=1,0,1)))</f>
        <v>1</v>
      </c>
      <c r="Q89" s="236">
        <f ca="1">IF(SUM(E$153:E$154)&gt;=1,1,IF(SUM(G$153:G$154)&gt;=1,0,1))</f>
        <v>1</v>
      </c>
      <c r="R89" s="236">
        <f ca="1">IF(SUM(E$153:E$154)&gt;=1,1,IF(SUM(G$153:G$154)&gt;=1,1,IF(SUM(F$153:F$154)&gt;=1,1,IF(SUM(H$153:H$154)&gt;=1,0,1))))</f>
        <v>1</v>
      </c>
    </row>
    <row r="90" spans="2:18" x14ac:dyDescent="0.35">
      <c r="B90" s="101" t="str">
        <f>Modèle!B92</f>
        <v>Multimédia</v>
      </c>
      <c r="C90" s="107" t="str">
        <f>Modèle!D92</f>
        <v>4.7.1</v>
      </c>
      <c r="D90" s="108" t="str">
        <f>Modèle!E92</f>
        <v>A</v>
      </c>
      <c r="E90" s="231">
        <f ca="1">COUNTIF(OFFSET(Synthèse!$G99,0,0,1,COUNTA(Synthèse!$10:$10)-6),"="&amp;$E$1)</f>
        <v>0</v>
      </c>
      <c r="F90" s="231">
        <f ca="1">COUNTIF(OFFSET(Synthèse!$G99,0,0,1,COUNTA(Synthèse!$10:$10)-6),"="&amp;$F$1)</f>
        <v>0</v>
      </c>
      <c r="G90" s="231">
        <f ca="1">COUNTIF(OFFSET(Synthèse!$G99,0,0,1,COUNTA(Synthèse!$10:$10)-6),"="&amp;$G$1)</f>
        <v>0</v>
      </c>
      <c r="H90" s="231">
        <f ca="1">COUNTIF(OFFSET(Synthèse!$G99,0,0,1,COUNTA(Synthèse!$10:$10)-6),"="&amp;$H$1)</f>
        <v>0</v>
      </c>
      <c r="I90" s="18">
        <f t="shared" ca="1" si="19"/>
        <v>0</v>
      </c>
      <c r="K90" s="123" t="s">
        <v>639</v>
      </c>
      <c r="L90" s="237" t="s">
        <v>24</v>
      </c>
      <c r="M90" s="237"/>
      <c r="N90" s="237" t="s">
        <v>572</v>
      </c>
      <c r="O90" s="238">
        <f ca="1">IF(SUM(E$155:E$157)&gt;=1,0,1)</f>
        <v>1</v>
      </c>
      <c r="P90" s="238">
        <f ca="1">IF(SUM(E$155:E$157)&gt;=1,1,IF(SUM(G$155:G$157)&gt;=1,1,IF(SUM(F$155:F$157)&gt;=1,0,1)))</f>
        <v>1</v>
      </c>
      <c r="Q90" s="238">
        <f ca="1">IF(SUM(E$155:E$157)&gt;=1,1,IF(SUM(G$155:G$157)&gt;=1,0,1))</f>
        <v>1</v>
      </c>
      <c r="R90" s="238">
        <f ca="1">IF(SUM(E$155:E$157)&gt;=1,1,IF(SUM(G$155:G$157)&gt;=1,1,IF(SUM(F$155:F$157)&gt;=1,1,IF(SUM(H$155:H$157)&gt;=1,0,1))))</f>
        <v>1</v>
      </c>
    </row>
    <row r="91" spans="2:18" x14ac:dyDescent="0.35">
      <c r="B91" s="102" t="str">
        <f>Modèle!B93</f>
        <v>Multimédia</v>
      </c>
      <c r="C91" s="109" t="str">
        <f>Modèle!D93</f>
        <v>4.8.1</v>
      </c>
      <c r="D91" s="110" t="str">
        <f>Modèle!E93</f>
        <v>A</v>
      </c>
      <c r="E91" s="232">
        <f ca="1">COUNTIF(OFFSET(Synthèse!$G100,0,0,1,COUNTA(Synthèse!$10:$10)-6),"="&amp;$E$1)</f>
        <v>0</v>
      </c>
      <c r="F91" s="232">
        <f ca="1">COUNTIF(OFFSET(Synthèse!$G100,0,0,1,COUNTA(Synthèse!$10:$10)-6),"="&amp;$F$1)</f>
        <v>0</v>
      </c>
      <c r="G91" s="232">
        <f ca="1">COUNTIF(OFFSET(Synthèse!$G100,0,0,1,COUNTA(Synthèse!$10:$10)-6),"="&amp;$G$1)</f>
        <v>0</v>
      </c>
      <c r="H91" s="232">
        <f ca="1">COUNTIF(OFFSET(Synthèse!$G100,0,0,1,COUNTA(Synthèse!$10:$10)-6),"="&amp;$H$1)</f>
        <v>0</v>
      </c>
      <c r="I91" s="18">
        <f t="shared" ca="1" si="19"/>
        <v>0</v>
      </c>
      <c r="K91" s="123" t="s">
        <v>808</v>
      </c>
      <c r="L91" s="237" t="s">
        <v>24</v>
      </c>
      <c r="M91" s="237"/>
      <c r="N91" s="237" t="s">
        <v>573</v>
      </c>
      <c r="O91" s="238">
        <f ca="1">IF(SUM(E$158:E$158)&gt;=1,0,1)</f>
        <v>1</v>
      </c>
      <c r="P91" s="238">
        <f ca="1">IF(SUM(E$158)&gt;=1,1,IF(SUM(G$158)&gt;=1,1,IF(SUM(F$158)&gt;=1,0,1)))</f>
        <v>1</v>
      </c>
      <c r="Q91" s="238">
        <f ca="1">IF(SUM(E$158)&gt;=1,1,IF(SUM(G$158)&gt;=1,0,1))</f>
        <v>1</v>
      </c>
      <c r="R91" s="238">
        <f ca="1">IF(SUM(E$158)&gt;=1,1,IF(SUM(G$158)&gt;=1,1,IF(SUM(F$158)&gt;=1,1,IF(SUM(H$158)&gt;=1,0,1))))</f>
        <v>1</v>
      </c>
    </row>
    <row r="92" spans="2:18" x14ac:dyDescent="0.35">
      <c r="B92" s="102" t="str">
        <f>Modèle!B94</f>
        <v>Multimédia</v>
      </c>
      <c r="C92" s="109" t="str">
        <f>Modèle!D94</f>
        <v>4.8.2</v>
      </c>
      <c r="D92" s="110" t="str">
        <f>Modèle!E94</f>
        <v>A</v>
      </c>
      <c r="E92" s="232">
        <f ca="1">COUNTIF(OFFSET(Synthèse!$G101,0,0,1,COUNTA(Synthèse!$10:$10)-6),"="&amp;$E$1)</f>
        <v>0</v>
      </c>
      <c r="F92" s="232">
        <f ca="1">COUNTIF(OFFSET(Synthèse!$G101,0,0,1,COUNTA(Synthèse!$10:$10)-6),"="&amp;$F$1)</f>
        <v>0</v>
      </c>
      <c r="G92" s="232">
        <f ca="1">COUNTIF(OFFSET(Synthèse!$G101,0,0,1,COUNTA(Synthèse!$10:$10)-6),"="&amp;$G$1)</f>
        <v>0</v>
      </c>
      <c r="H92" s="232">
        <f ca="1">COUNTIF(OFFSET(Synthèse!$G101,0,0,1,COUNTA(Synthèse!$10:$10)-6),"="&amp;$H$1)</f>
        <v>0</v>
      </c>
      <c r="I92" s="18">
        <f t="shared" ca="1" si="19"/>
        <v>0</v>
      </c>
      <c r="K92" s="123" t="s">
        <v>809</v>
      </c>
      <c r="L92" s="237" t="s">
        <v>24</v>
      </c>
      <c r="M92" s="237"/>
      <c r="N92" s="237" t="s">
        <v>574</v>
      </c>
      <c r="O92" s="238">
        <f ca="1">IF(SUM(E$159:E$159)&gt;=1,0,1)</f>
        <v>1</v>
      </c>
      <c r="P92" s="238">
        <f ca="1">IF(SUM(E$159)&gt;=1,1,IF(SUM(G$159)&gt;=1,1,IF(SUM(F$159)&gt;=1,0,1)))</f>
        <v>1</v>
      </c>
      <c r="Q92" s="238">
        <f ca="1">IF(SUM(E$159)&gt;=1,1,IF(SUM(G$159)&gt;=1,0,1))</f>
        <v>1</v>
      </c>
      <c r="R92" s="238">
        <f ca="1">IF(SUM(E$159)&gt;=1,1,IF(SUM(G$159)&gt;=1,1,IF(SUM(F$159)&gt;=1,1,IF(SUM(H$159)&gt;=1,0,1))))</f>
        <v>1</v>
      </c>
    </row>
    <row r="93" spans="2:18" x14ac:dyDescent="0.35">
      <c r="B93" s="101" t="str">
        <f>Modèle!B95</f>
        <v>Multimédia</v>
      </c>
      <c r="C93" s="107" t="str">
        <f>Modèle!D95</f>
        <v>4.9.1</v>
      </c>
      <c r="D93" s="108" t="str">
        <f>Modèle!E95</f>
        <v>A</v>
      </c>
      <c r="E93" s="231">
        <f ca="1">COUNTIF(OFFSET(Synthèse!$G102,0,0,1,COUNTA(Synthèse!$10:$10)-6),"="&amp;$E$1)</f>
        <v>0</v>
      </c>
      <c r="F93" s="231">
        <f ca="1">COUNTIF(OFFSET(Synthèse!$G102,0,0,1,COUNTA(Synthèse!$10:$10)-6),"="&amp;$F$1)</f>
        <v>0</v>
      </c>
      <c r="G93" s="231">
        <f ca="1">COUNTIF(OFFSET(Synthèse!$G102,0,0,1,COUNTA(Synthèse!$10:$10)-6),"="&amp;$G$1)</f>
        <v>0</v>
      </c>
      <c r="H93" s="231">
        <f ca="1">COUNTIF(OFFSET(Synthèse!$G102,0,0,1,COUNTA(Synthèse!$10:$10)-6),"="&amp;$H$1)</f>
        <v>0</v>
      </c>
      <c r="I93" s="18">
        <f t="shared" ca="1" si="19"/>
        <v>0</v>
      </c>
      <c r="K93" s="123" t="s">
        <v>810</v>
      </c>
      <c r="L93" s="237" t="s">
        <v>25</v>
      </c>
      <c r="M93" s="237"/>
      <c r="N93" s="237" t="s">
        <v>575</v>
      </c>
      <c r="O93" s="238">
        <f ca="1">IF(SUM(E$160:E$162)&gt;=1,0,1)</f>
        <v>1</v>
      </c>
      <c r="P93" s="238">
        <f ca="1">IF(SUM(E$160:E$162)&gt;=1,1,IF(SUM(G$160:G$162)&gt;=1,1,IF(SUM(F$160:F$162)&gt;=1,0,1)))</f>
        <v>1</v>
      </c>
      <c r="Q93" s="238">
        <f ca="1">IF(SUM(E$160:E$162)&gt;=1,1,IF(SUM(G$160:G$162)&gt;=1,0,1))</f>
        <v>1</v>
      </c>
      <c r="R93" s="238">
        <f ca="1">IF(SUM(E$160:E$162)&gt;=1,1,IF(SUM(G$160:G$162)&gt;=1,1,IF(SUM(F$160:F$162)&gt;=1,1,IF(SUM(H$160:H$162)&gt;=1,0,1))))</f>
        <v>1</v>
      </c>
    </row>
    <row r="94" spans="2:18" x14ac:dyDescent="0.35">
      <c r="B94" s="102" t="str">
        <f>Modèle!B96</f>
        <v>Multimédia</v>
      </c>
      <c r="C94" s="109" t="str">
        <f>Modèle!D96</f>
        <v>4.10.1</v>
      </c>
      <c r="D94" s="110" t="str">
        <f>Modèle!E96</f>
        <v>A</v>
      </c>
      <c r="E94" s="232">
        <f ca="1">COUNTIF(OFFSET(Synthèse!$G103,0,0,1,COUNTA(Synthèse!$10:$10)-6),"="&amp;$E$1)</f>
        <v>0</v>
      </c>
      <c r="F94" s="232">
        <f ca="1">COUNTIF(OFFSET(Synthèse!$G103,0,0,1,COUNTA(Synthèse!$10:$10)-6),"="&amp;$F$1)</f>
        <v>0</v>
      </c>
      <c r="G94" s="232">
        <f ca="1">COUNTIF(OFFSET(Synthèse!$G103,0,0,1,COUNTA(Synthèse!$10:$10)-6),"="&amp;$G$1)</f>
        <v>0</v>
      </c>
      <c r="H94" s="232">
        <f ca="1">COUNTIF(OFFSET(Synthèse!$G103,0,0,1,COUNTA(Synthèse!$10:$10)-6),"="&amp;$H$1)</f>
        <v>0</v>
      </c>
      <c r="I94" s="18">
        <f t="shared" ca="1" si="19"/>
        <v>0</v>
      </c>
      <c r="K94" s="123" t="s">
        <v>811</v>
      </c>
      <c r="L94" s="237" t="s">
        <v>25</v>
      </c>
      <c r="M94" s="237"/>
      <c r="N94" s="237" t="s">
        <v>576</v>
      </c>
      <c r="O94" s="238">
        <f ca="1">IF(SUM(E$163:E$165)&gt;=1,0,1)</f>
        <v>1</v>
      </c>
      <c r="P94" s="238">
        <f ca="1">IF(SUM(E$163:E$165)&gt;=1,1,IF(SUM(G$163:G$165)&gt;=1,1,IF(SUM(F$163:F$165)&gt;=1,0,1)))</f>
        <v>1</v>
      </c>
      <c r="Q94" s="238">
        <f ca="1">IF(SUM(E$163:E$165)&gt;=1,1,IF(SUM(G$163:G$165)&gt;=1,0,1))</f>
        <v>1</v>
      </c>
      <c r="R94" s="238">
        <f ca="1">IF(SUM(E$163:E$165)&gt;=1,1,IF(SUM(G$163:G$165)&gt;=1,1,IF(SUM(F$163:F$165)&gt;=1,1,IF(SUM(H$163:H$165)&gt;=1,0,1))))</f>
        <v>1</v>
      </c>
    </row>
    <row r="95" spans="2:18" x14ac:dyDescent="0.35">
      <c r="B95" s="101" t="str">
        <f>Modèle!B97</f>
        <v>Multimédia</v>
      </c>
      <c r="C95" s="107" t="str">
        <f>Modèle!D97</f>
        <v>4.11.1</v>
      </c>
      <c r="D95" s="108" t="str">
        <f>Modèle!E97</f>
        <v>A</v>
      </c>
      <c r="E95" s="231">
        <f ca="1">COUNTIF(OFFSET(Synthèse!$G104,0,0,1,COUNTA(Synthèse!$10:$10)-6),"="&amp;$E$1)</f>
        <v>0</v>
      </c>
      <c r="F95" s="231">
        <f ca="1">COUNTIF(OFFSET(Synthèse!$G104,0,0,1,COUNTA(Synthèse!$10:$10)-6),"="&amp;$F$1)</f>
        <v>0</v>
      </c>
      <c r="G95" s="231">
        <f ca="1">COUNTIF(OFFSET(Synthèse!$G104,0,0,1,COUNTA(Synthèse!$10:$10)-6),"="&amp;$G$1)</f>
        <v>0</v>
      </c>
      <c r="H95" s="231">
        <f ca="1">COUNTIF(OFFSET(Synthèse!$G104,0,0,1,COUNTA(Synthèse!$10:$10)-6),"="&amp;$H$1)</f>
        <v>0</v>
      </c>
      <c r="I95" s="18">
        <f t="shared" ca="1" si="19"/>
        <v>0</v>
      </c>
      <c r="K95" s="123" t="s">
        <v>812</v>
      </c>
      <c r="L95" s="237" t="s">
        <v>24</v>
      </c>
      <c r="M95" s="237"/>
      <c r="N95" s="237" t="s">
        <v>577</v>
      </c>
      <c r="O95" s="238">
        <f ca="1">IF(SUM(E$166:E$166)&gt;=1,0,1)</f>
        <v>1</v>
      </c>
      <c r="P95" s="238">
        <f ca="1">IF(SUM(E$166)&gt;=1,1,IF(SUM(G$166)&gt;=1,1,IF(SUM(F$166)&gt;=1,0,1)))</f>
        <v>1</v>
      </c>
      <c r="Q95" s="238">
        <f ca="1">IF(SUM(E$166)&gt;=1,1,IF(SUM(G$166)&gt;=1,0,1))</f>
        <v>1</v>
      </c>
      <c r="R95" s="238">
        <f ca="1">IF(SUM(E$166)&gt;=1,1,IF(SUM(G$166)&gt;=1,1,IF(SUM(F$166)&gt;=1,1,IF(SUM(H$166)&gt;=1,0,1))))</f>
        <v>1</v>
      </c>
    </row>
    <row r="96" spans="2:18" x14ac:dyDescent="0.35">
      <c r="B96" s="101" t="str">
        <f>Modèle!B98</f>
        <v>Multimédia</v>
      </c>
      <c r="C96" s="107" t="str">
        <f>Modèle!D98</f>
        <v>4.11.2</v>
      </c>
      <c r="D96" s="108" t="str">
        <f>Modèle!E98</f>
        <v>A</v>
      </c>
      <c r="E96" s="231">
        <f ca="1">COUNTIF(OFFSET(Synthèse!$G105,0,0,1,COUNTA(Synthèse!$10:$10)-6),"="&amp;$E$1)</f>
        <v>0</v>
      </c>
      <c r="F96" s="231">
        <f ca="1">COUNTIF(OFFSET(Synthèse!$G105,0,0,1,COUNTA(Synthèse!$10:$10)-6),"="&amp;$F$1)</f>
        <v>0</v>
      </c>
      <c r="G96" s="231">
        <f ca="1">COUNTIF(OFFSET(Synthèse!$G105,0,0,1,COUNTA(Synthèse!$10:$10)-6),"="&amp;$G$1)</f>
        <v>0</v>
      </c>
      <c r="H96" s="231">
        <f ca="1">COUNTIF(OFFSET(Synthèse!$G105,0,0,1,COUNTA(Synthèse!$10:$10)-6),"="&amp;$H$1)</f>
        <v>0</v>
      </c>
      <c r="I96" s="18">
        <f t="shared" ca="1" si="19"/>
        <v>0</v>
      </c>
      <c r="K96" s="123" t="s">
        <v>813</v>
      </c>
      <c r="L96" s="237" t="s">
        <v>24</v>
      </c>
      <c r="M96" s="237"/>
      <c r="N96" s="237" t="s">
        <v>578</v>
      </c>
      <c r="O96" s="238">
        <f ca="1">IF(SUM(E$167:E$167)&gt;=1,0,1)</f>
        <v>1</v>
      </c>
      <c r="P96" s="238">
        <f ca="1">IF(SUM(E$167)&gt;=1,1,IF(SUM(G$167)&gt;=1,1,IF(SUM(F$167)&gt;=1,0,1)))</f>
        <v>1</v>
      </c>
      <c r="Q96" s="238">
        <f ca="1">IF(SUM(E$167)&gt;=1,1,IF(SUM(G$167)&gt;=1,0,1))</f>
        <v>1</v>
      </c>
      <c r="R96" s="238">
        <f ca="1">IF(SUM(E$167)&gt;=1,1,IF(SUM(G$167)&gt;=1,1,IF(SUM(F$167)&gt;=1,1,IF(SUM(H$167)&gt;=1,0,1))))</f>
        <v>1</v>
      </c>
    </row>
    <row r="97" spans="2:18" x14ac:dyDescent="0.35">
      <c r="B97" s="101" t="str">
        <f>Modèle!B99</f>
        <v>Multimédia</v>
      </c>
      <c r="C97" s="107" t="str">
        <f>Modèle!D99</f>
        <v>4.11.3</v>
      </c>
      <c r="D97" s="108" t="str">
        <f>Modèle!E99</f>
        <v>A</v>
      </c>
      <c r="E97" s="231">
        <f ca="1">COUNTIF(OFFSET(Synthèse!$G106,0,0,1,COUNTA(Synthèse!$10:$10)-6),"="&amp;$E$1)</f>
        <v>0</v>
      </c>
      <c r="F97" s="231">
        <f ca="1">COUNTIF(OFFSET(Synthèse!$G106,0,0,1,COUNTA(Synthèse!$10:$10)-6),"="&amp;$F$1)</f>
        <v>0</v>
      </c>
      <c r="G97" s="231">
        <f ca="1">COUNTIF(OFFSET(Synthèse!$G106,0,0,1,COUNTA(Synthèse!$10:$10)-6),"="&amp;$G$1)</f>
        <v>0</v>
      </c>
      <c r="H97" s="231">
        <f ca="1">COUNTIF(OFFSET(Synthèse!$G106,0,0,1,COUNTA(Synthèse!$10:$10)-6),"="&amp;$H$1)</f>
        <v>0</v>
      </c>
      <c r="I97" s="18">
        <f t="shared" ca="1" si="19"/>
        <v>0</v>
      </c>
      <c r="K97" s="123" t="s">
        <v>814</v>
      </c>
      <c r="L97" s="237" t="s">
        <v>24</v>
      </c>
      <c r="M97" s="237"/>
      <c r="N97" s="237" t="s">
        <v>579</v>
      </c>
      <c r="O97" s="238">
        <f ca="1">IF(SUM(E$168:E$168)&gt;=1,0,1)</f>
        <v>1</v>
      </c>
      <c r="P97" s="238">
        <f ca="1">IF(SUM(E$168)&gt;=1,1,IF(SUM(G$168)&gt;=1,1,IF(SUM(F$168)&gt;=1,0,1)))</f>
        <v>1</v>
      </c>
      <c r="Q97" s="238">
        <f ca="1">IF(SUM(E$168)&gt;=1,1,IF(SUM(G$168)&gt;=1,0,1))</f>
        <v>1</v>
      </c>
      <c r="R97" s="238">
        <f ca="1">IF(SUM(E$168)&gt;=1,1,IF(SUM(G$168)&gt;=1,1,IF(SUM(F$168)&gt;=1,1,IF(SUM(H$168)&gt;=1,0,1))))</f>
        <v>1</v>
      </c>
    </row>
    <row r="98" spans="2:18" x14ac:dyDescent="0.35">
      <c r="B98" s="102" t="str">
        <f>Modèle!B100</f>
        <v>Multimédia</v>
      </c>
      <c r="C98" s="109" t="str">
        <f>Modèle!D100</f>
        <v>4.12.1</v>
      </c>
      <c r="D98" s="110" t="str">
        <f>Modèle!E100</f>
        <v>A</v>
      </c>
      <c r="E98" s="232">
        <f ca="1">COUNTIF(OFFSET(Synthèse!$G107,0,0,1,COUNTA(Synthèse!$10:$10)-6),"="&amp;$E$1)</f>
        <v>0</v>
      </c>
      <c r="F98" s="232">
        <f ca="1">COUNTIF(OFFSET(Synthèse!$G107,0,0,1,COUNTA(Synthèse!$10:$10)-6),"="&amp;$F$1)</f>
        <v>0</v>
      </c>
      <c r="G98" s="232">
        <f ca="1">COUNTIF(OFFSET(Synthèse!$G107,0,0,1,COUNTA(Synthèse!$10:$10)-6),"="&amp;$G$1)</f>
        <v>0</v>
      </c>
      <c r="H98" s="232">
        <f ca="1">COUNTIF(OFFSET(Synthèse!$G107,0,0,1,COUNTA(Synthèse!$10:$10)-6),"="&amp;$H$1)</f>
        <v>0</v>
      </c>
      <c r="I98" s="18">
        <f t="shared" ca="1" si="19"/>
        <v>0</v>
      </c>
      <c r="K98" s="123" t="s">
        <v>815</v>
      </c>
      <c r="L98" s="237" t="s">
        <v>24</v>
      </c>
      <c r="M98" s="237"/>
      <c r="N98" s="237" t="s">
        <v>580</v>
      </c>
      <c r="O98" s="238">
        <f ca="1">IF(SUM(E$169:E$172)&gt;=1,0,1)</f>
        <v>1</v>
      </c>
      <c r="P98" s="238">
        <f ca="1">IF(SUM(E$169:E$172)&gt;=1,1,IF(SUM(G$169:G$172)&gt;=1,1,IF(SUM(F$169:F$172)&gt;=1,0,1)))</f>
        <v>1</v>
      </c>
      <c r="Q98" s="238">
        <f ca="1">IF(SUM(E$169:E$172)&gt;=1,1,IF(SUM(G$169:G$172)&gt;=1,0,1))</f>
        <v>1</v>
      </c>
      <c r="R98" s="238">
        <f ca="1">IF(SUM(E$169:E$172)&gt;=1,1,IF(SUM(G$169:G$172)&gt;=1,1,IF(SUM(F$169:F$172)&gt;=1,1,IF(SUM(H$169:H$172)&gt;=1,0,1))))</f>
        <v>1</v>
      </c>
    </row>
    <row r="99" spans="2:18" x14ac:dyDescent="0.35">
      <c r="B99" s="102" t="str">
        <f>Modèle!B101</f>
        <v>Multimédia</v>
      </c>
      <c r="C99" s="109" t="str">
        <f>Modèle!D101</f>
        <v>4.12.2</v>
      </c>
      <c r="D99" s="110" t="str">
        <f>Modèle!E101</f>
        <v>A</v>
      </c>
      <c r="E99" s="232">
        <f ca="1">COUNTIF(OFFSET(Synthèse!$G108,0,0,1,COUNTA(Synthèse!$10:$10)-6),"="&amp;$E$1)</f>
        <v>0</v>
      </c>
      <c r="F99" s="232">
        <f ca="1">COUNTIF(OFFSET(Synthèse!$G108,0,0,1,COUNTA(Synthèse!$10:$10)-6),"="&amp;$F$1)</f>
        <v>0</v>
      </c>
      <c r="G99" s="232">
        <f ca="1">COUNTIF(OFFSET(Synthèse!$G108,0,0,1,COUNTA(Synthèse!$10:$10)-6),"="&amp;$G$1)</f>
        <v>0</v>
      </c>
      <c r="H99" s="232">
        <f ca="1">COUNTIF(OFFSET(Synthèse!$G108,0,0,1,COUNTA(Synthèse!$10:$10)-6),"="&amp;$H$1)</f>
        <v>0</v>
      </c>
      <c r="I99" s="18">
        <f t="shared" ca="1" si="19"/>
        <v>0</v>
      </c>
      <c r="K99" s="123" t="s">
        <v>816</v>
      </c>
      <c r="L99" s="237" t="s">
        <v>24</v>
      </c>
      <c r="M99" s="237"/>
      <c r="N99" s="237" t="s">
        <v>581</v>
      </c>
      <c r="O99" s="238">
        <f ca="1">IF(SUM(E$173:E$176)&gt;=1,0,1)</f>
        <v>1</v>
      </c>
      <c r="P99" s="238">
        <f ca="1">IF(SUM(E$173:E$176)&gt;=1,1,IF(SUM(G$173:G$176)&gt;=1,1,IF(SUM(F$173:F$176)&gt;=1,0,1)))</f>
        <v>1</v>
      </c>
      <c r="Q99" s="238">
        <f ca="1">IF(SUM(E$173:E$176)&gt;=1,1,IF(SUM(G$173:G$176)&gt;=1,0,1))</f>
        <v>1</v>
      </c>
      <c r="R99" s="238">
        <f ca="1">IF(SUM(E$173:E$176)&gt;=1,1,IF(SUM(G$173:G$176)&gt;=1,1,IF(SUM(F$173:F$176)&gt;=1,1,IF(SUM(H$173:H$176)&gt;=1,0,1))))</f>
        <v>1</v>
      </c>
    </row>
    <row r="100" spans="2:18" x14ac:dyDescent="0.35">
      <c r="B100" s="101" t="str">
        <f>Modèle!B102</f>
        <v>Multimédia</v>
      </c>
      <c r="C100" s="107" t="str">
        <f>Modèle!D102</f>
        <v>4.13.1</v>
      </c>
      <c r="D100" s="108" t="str">
        <f>Modèle!E102</f>
        <v>A</v>
      </c>
      <c r="E100" s="231">
        <f ca="1">COUNTIF(OFFSET(Synthèse!$G109,0,0,1,COUNTA(Synthèse!$10:$10)-6),"="&amp;$E$1)</f>
        <v>0</v>
      </c>
      <c r="F100" s="231">
        <f ca="1">COUNTIF(OFFSET(Synthèse!$G109,0,0,1,COUNTA(Synthèse!$10:$10)-6),"="&amp;$F$1)</f>
        <v>0</v>
      </c>
      <c r="G100" s="231">
        <f ca="1">COUNTIF(OFFSET(Synthèse!$G109,0,0,1,COUNTA(Synthèse!$10:$10)-6),"="&amp;$G$1)</f>
        <v>0</v>
      </c>
      <c r="H100" s="231">
        <f ca="1">COUNTIF(OFFSET(Synthèse!$G109,0,0,1,COUNTA(Synthèse!$10:$10)-6),"="&amp;$H$1)</f>
        <v>0</v>
      </c>
      <c r="I100" s="18">
        <f t="shared" ca="1" si="19"/>
        <v>0</v>
      </c>
      <c r="K100" s="123" t="s">
        <v>817</v>
      </c>
      <c r="L100" s="237" t="s">
        <v>25</v>
      </c>
      <c r="M100" s="237"/>
      <c r="N100" s="237" t="s">
        <v>582</v>
      </c>
      <c r="O100" s="238">
        <f ca="1">IF(SUM(E$177:E$178)&gt;=1,0,1)</f>
        <v>1</v>
      </c>
      <c r="P100" s="238">
        <f ca="1">IF(SUM(E$177:E$178)&gt;=1,1,IF(SUM(G$177:G$178)&gt;=1,1,IF(SUM(F$177:F$178)&gt;=1,0,1)))</f>
        <v>1</v>
      </c>
      <c r="Q100" s="238">
        <f ca="1">IF(SUM(E$177:E$178)&gt;=1,1,IF(SUM(G$177:G$178)&gt;=1,0,1))</f>
        <v>1</v>
      </c>
      <c r="R100" s="238">
        <f ca="1">IF(SUM(E$177:E$178)&gt;=1,1,IF(SUM(G$177:G$178)&gt;=1,1,IF(SUM(F$177:F$178)&gt;=1,1,IF(SUM(H$177:H$178)&gt;=1,0,1))))</f>
        <v>1</v>
      </c>
    </row>
    <row r="101" spans="2:18" x14ac:dyDescent="0.35">
      <c r="B101" s="101" t="str">
        <f>Modèle!B103</f>
        <v>Multimédia</v>
      </c>
      <c r="C101" s="107" t="str">
        <f>Modèle!D103</f>
        <v>4.13.2</v>
      </c>
      <c r="D101" s="108" t="str">
        <f>Modèle!E103</f>
        <v>A</v>
      </c>
      <c r="E101" s="231">
        <f ca="1">COUNTIF(OFFSET(Synthèse!$G110,0,0,1,COUNTA(Synthèse!$10:$10)-6),"="&amp;$E$1)</f>
        <v>0</v>
      </c>
      <c r="F101" s="231">
        <f ca="1">COUNTIF(OFFSET(Synthèse!$G110,0,0,1,COUNTA(Synthèse!$10:$10)-6),"="&amp;$F$1)</f>
        <v>0</v>
      </c>
      <c r="G101" s="231">
        <f ca="1">COUNTIF(OFFSET(Synthèse!$G110,0,0,1,COUNTA(Synthèse!$10:$10)-6),"="&amp;$G$1)</f>
        <v>0</v>
      </c>
      <c r="H101" s="231">
        <f ca="1">COUNTIF(OFFSET(Synthèse!$G110,0,0,1,COUNTA(Synthèse!$10:$10)-6),"="&amp;$H$1)</f>
        <v>0</v>
      </c>
      <c r="I101" s="18">
        <f t="shared" ca="1" si="19"/>
        <v>0</v>
      </c>
      <c r="K101" s="123" t="s">
        <v>818</v>
      </c>
      <c r="L101" s="237" t="s">
        <v>25</v>
      </c>
      <c r="M101" s="237"/>
      <c r="N101" s="237" t="s">
        <v>583</v>
      </c>
      <c r="O101" s="238">
        <f ca="1">IF(SUM(E$179:E$179)&gt;=1,0,1)</f>
        <v>1</v>
      </c>
      <c r="P101" s="238">
        <f ca="1">IF(SUM(E$179)&gt;=1,1,IF(SUM(G$179)&gt;=1,1,IF(SUM(F$179)&gt;=1,0,1)))</f>
        <v>1</v>
      </c>
      <c r="Q101" s="238">
        <f ca="1">IF(SUM(E$179)&gt;=1,1,IF(SUM(G$179)&gt;=1,0,1))</f>
        <v>1</v>
      </c>
      <c r="R101" s="238">
        <f ca="1">IF(SUM(E$179)&gt;=1,1,IF(SUM(G$179)&gt;=1,1,IF(SUM(F$179)&gt;=1,1,IF(SUM(H$179)&gt;=1,0,1))))</f>
        <v>1</v>
      </c>
    </row>
    <row r="102" spans="2:18" x14ac:dyDescent="0.35">
      <c r="B102" s="102" t="str">
        <f>Modèle!B104</f>
        <v>Tableaux</v>
      </c>
      <c r="C102" s="109" t="str">
        <f>Modèle!D104</f>
        <v>5.1.1</v>
      </c>
      <c r="D102" s="110" t="str">
        <f>Modèle!E104</f>
        <v>A</v>
      </c>
      <c r="E102" s="232">
        <f ca="1">COUNTIF(OFFSET(Synthèse!$G111,0,0,1,COUNTA(Synthèse!$10:$10)-6),"="&amp;$E$1)</f>
        <v>0</v>
      </c>
      <c r="F102" s="232">
        <f ca="1">COUNTIF(OFFSET(Synthèse!$G111,0,0,1,COUNTA(Synthèse!$10:$10)-6),"="&amp;$F$1)</f>
        <v>0</v>
      </c>
      <c r="G102" s="232">
        <f ca="1">COUNTIF(OFFSET(Synthèse!$G111,0,0,1,COUNTA(Synthèse!$10:$10)-6),"="&amp;$G$1)</f>
        <v>0</v>
      </c>
      <c r="H102" s="232">
        <f ca="1">COUNTIF(OFFSET(Synthèse!$G111,0,0,1,COUNTA(Synthèse!$10:$10)-6),"="&amp;$H$1)</f>
        <v>0</v>
      </c>
      <c r="I102" s="18">
        <f t="shared" ca="1" si="19"/>
        <v>0</v>
      </c>
      <c r="K102" s="123" t="s">
        <v>819</v>
      </c>
      <c r="L102" s="237" t="s">
        <v>25</v>
      </c>
      <c r="M102" s="237"/>
      <c r="N102" s="237" t="s">
        <v>584</v>
      </c>
      <c r="O102" s="238">
        <f ca="1">IF(SUM(E$180:E$182)&gt;=1,0,1)</f>
        <v>1</v>
      </c>
      <c r="P102" s="238">
        <f ca="1">IF(SUM(E$180:E$182)&gt;=1,1,IF(SUM(G$180:G$182)&gt;=1,1,IF(SUM(F$180:F$182)&gt;=1,0,1)))</f>
        <v>1</v>
      </c>
      <c r="Q102" s="238">
        <f ca="1">IF(SUM(E$180:E$182)&gt;=1,1,IF(SUM(G$180:G$182)&gt;=1,0,1))</f>
        <v>1</v>
      </c>
      <c r="R102" s="238">
        <f ca="1">IF(SUM(E$180:E$182)&gt;=1,1,IF(SUM(G$180:G$182)&gt;=1,1,IF(SUM(F$180:F$182)&gt;=1,1,IF(SUM(H$180:H$182)&gt;=1,0,1))))</f>
        <v>1</v>
      </c>
    </row>
    <row r="103" spans="2:18" x14ac:dyDescent="0.35">
      <c r="B103" s="101" t="str">
        <f>Modèle!B105</f>
        <v>Tableaux</v>
      </c>
      <c r="C103" s="107" t="str">
        <f>Modèle!D105</f>
        <v>5.2.1</v>
      </c>
      <c r="D103" s="108" t="str">
        <f>Modèle!E105</f>
        <v>A</v>
      </c>
      <c r="E103" s="231">
        <f ca="1">COUNTIF(OFFSET(Synthèse!$G112,0,0,1,COUNTA(Synthèse!$10:$10)-6),"="&amp;$E$1)</f>
        <v>0</v>
      </c>
      <c r="F103" s="231">
        <f ca="1">COUNTIF(OFFSET(Synthèse!$G112,0,0,1,COUNTA(Synthèse!$10:$10)-6),"="&amp;$F$1)</f>
        <v>0</v>
      </c>
      <c r="G103" s="231">
        <f ca="1">COUNTIF(OFFSET(Synthèse!$G112,0,0,1,COUNTA(Synthèse!$10:$10)-6),"="&amp;$G$1)</f>
        <v>0</v>
      </c>
      <c r="H103" s="231">
        <f ca="1">COUNTIF(OFFSET(Synthèse!$G112,0,0,1,COUNTA(Synthèse!$10:$10)-6),"="&amp;$H$1)</f>
        <v>0</v>
      </c>
      <c r="I103" s="18">
        <f t="shared" ca="1" si="19"/>
        <v>0</v>
      </c>
      <c r="K103" s="123" t="s">
        <v>820</v>
      </c>
      <c r="L103" s="237" t="s">
        <v>24</v>
      </c>
      <c r="M103" s="237"/>
      <c r="N103" s="237" t="s">
        <v>585</v>
      </c>
      <c r="O103" s="238">
        <f ca="1">IF(SUM(E$183:E$184)&gt;=1,0,1)</f>
        <v>1</v>
      </c>
      <c r="P103" s="238">
        <f ca="1">IF(SUM(E$183:E$184)&gt;=1,1,IF(SUM(G$183:G$184)&gt;=1,1,IF(SUM(F$183:F$184)&gt;=1,0,1)))</f>
        <v>1</v>
      </c>
      <c r="Q103" s="238">
        <f ca="1">IF(SUM(E$183:E$184)&gt;=1,1,IF(SUM(G$183:G$184)&gt;=1,0,1))</f>
        <v>1</v>
      </c>
      <c r="R103" s="238">
        <f ca="1">IF(SUM(E$183:E$184)&gt;=1,1,IF(SUM(G$183:G$184)&gt;=1,1,IF(SUM(F$183:F$184)&gt;=1,1,IF(SUM(H$183:H$184)&gt;=1,0,1))))</f>
        <v>1</v>
      </c>
    </row>
    <row r="104" spans="2:18" x14ac:dyDescent="0.35">
      <c r="B104" s="102" t="str">
        <f>Modèle!B106</f>
        <v>Tableaux</v>
      </c>
      <c r="C104" s="109" t="str">
        <f>Modèle!D106</f>
        <v>5.3.1</v>
      </c>
      <c r="D104" s="110" t="str">
        <f>Modèle!E106</f>
        <v>A</v>
      </c>
      <c r="E104" s="232">
        <f ca="1">COUNTIF(OFFSET(Synthèse!$G113,0,0,1,COUNTA(Synthèse!$10:$10)-6),"="&amp;$E$1)</f>
        <v>0</v>
      </c>
      <c r="F104" s="232">
        <f ca="1">COUNTIF(OFFSET(Synthèse!$G113,0,0,1,COUNTA(Synthèse!$10:$10)-6),"="&amp;$F$1)</f>
        <v>0</v>
      </c>
      <c r="G104" s="232">
        <f ca="1">COUNTIF(OFFSET(Synthèse!$G113,0,0,1,COUNTA(Synthèse!$10:$10)-6),"="&amp;$G$1)</f>
        <v>0</v>
      </c>
      <c r="H104" s="232">
        <f ca="1">COUNTIF(OFFSET(Synthèse!$G113,0,0,1,COUNTA(Synthèse!$10:$10)-6),"="&amp;$H$1)</f>
        <v>0</v>
      </c>
      <c r="I104" s="18">
        <f t="shared" ca="1" si="19"/>
        <v>0</v>
      </c>
      <c r="K104" s="123" t="s">
        <v>821</v>
      </c>
      <c r="L104" s="235" t="s">
        <v>24</v>
      </c>
      <c r="M104" s="235"/>
      <c r="N104" s="235" t="s">
        <v>586</v>
      </c>
      <c r="O104" s="236">
        <f ca="1">IF(SUM(E$185:E$187)&gt;=1,0,1)</f>
        <v>1</v>
      </c>
      <c r="P104" s="236">
        <f ca="1">IF(SUM(E$185:E$187)&gt;=1,1,IF(SUM(G$185:G$187)&gt;=1,1,IF(SUM(F$185:F$187)&gt;=1,0,1)))</f>
        <v>1</v>
      </c>
      <c r="Q104" s="236">
        <f ca="1">IF(SUM(E$185:E$187)&gt;=1,1,IF(SUM(G$185:G$187)&gt;=1,0,1))</f>
        <v>1</v>
      </c>
      <c r="R104" s="236">
        <f ca="1">IF(SUM(E$185:E$187)&gt;=1,1,IF(SUM(G$185:G$187)&gt;=1,1,IF(SUM(F$185:F$187)&gt;=1,1,IF(SUM(H$185:H$187)&gt;=1,0,1))))</f>
        <v>1</v>
      </c>
    </row>
    <row r="105" spans="2:18" x14ac:dyDescent="0.35">
      <c r="B105" s="101" t="str">
        <f>Modèle!B107</f>
        <v>Tableaux</v>
      </c>
      <c r="C105" s="107" t="str">
        <f>Modèle!D107</f>
        <v>5.4.1</v>
      </c>
      <c r="D105" s="108" t="str">
        <f>Modèle!E107</f>
        <v>A</v>
      </c>
      <c r="E105" s="231">
        <f ca="1">COUNTIF(OFFSET(Synthèse!$G114,0,0,1,COUNTA(Synthèse!$10:$10)-6),"="&amp;$E$1)</f>
        <v>0</v>
      </c>
      <c r="F105" s="231">
        <f ca="1">COUNTIF(OFFSET(Synthèse!$G114,0,0,1,COUNTA(Synthèse!$10:$10)-6),"="&amp;$F$1)</f>
        <v>0</v>
      </c>
      <c r="G105" s="231">
        <f ca="1">COUNTIF(OFFSET(Synthèse!$G114,0,0,1,COUNTA(Synthèse!$10:$10)-6),"="&amp;$G$1)</f>
        <v>0</v>
      </c>
      <c r="H105" s="231">
        <f ca="1">COUNTIF(OFFSET(Synthèse!$G114,0,0,1,COUNTA(Synthèse!$10:$10)-6),"="&amp;$H$1)</f>
        <v>0</v>
      </c>
      <c r="I105" s="18">
        <f t="shared" ca="1" si="19"/>
        <v>0</v>
      </c>
      <c r="K105" s="123" t="s">
        <v>822</v>
      </c>
      <c r="L105" s="235" t="s">
        <v>24</v>
      </c>
      <c r="M105" s="235"/>
      <c r="N105" s="235" t="s">
        <v>587</v>
      </c>
      <c r="O105" s="236">
        <f ca="1">IF(SUM(E$188:E$193)&gt;=1,0,1)</f>
        <v>1</v>
      </c>
      <c r="P105" s="236">
        <f ca="1">IF(SUM(E$188:E$193)&gt;=1,1,IF(SUM(G$188:G$193)&gt;=1,1,IF(SUM(F$188:F$193)&gt;=1,0,1)))</f>
        <v>1</v>
      </c>
      <c r="Q105" s="236">
        <f ca="1">IF(SUM(E$188:E$193)&gt;=1,1,IF(SUM(G$188:G$193)&gt;=1,0,1))</f>
        <v>1</v>
      </c>
      <c r="R105" s="236">
        <f ca="1">IF(SUM(E$188:E$193)&gt;=1,1,IF(SUM(G$188:G$193)&gt;=1,1,IF(SUM(F$188:F$193)&gt;=1,1,IF(SUM(H$188:H$193)&gt;=1,0,1))))</f>
        <v>1</v>
      </c>
    </row>
    <row r="106" spans="2:18" x14ac:dyDescent="0.35">
      <c r="B106" s="102" t="str">
        <f>Modèle!B108</f>
        <v>Tableaux</v>
      </c>
      <c r="C106" s="109" t="str">
        <f>Modèle!D108</f>
        <v>5.5.1</v>
      </c>
      <c r="D106" s="110" t="str">
        <f>Modèle!E108</f>
        <v>A</v>
      </c>
      <c r="E106" s="232">
        <f ca="1">COUNTIF(OFFSET(Synthèse!$G115,0,0,1,COUNTA(Synthèse!$10:$10)-6),"="&amp;$E$1)</f>
        <v>0</v>
      </c>
      <c r="F106" s="232">
        <f ca="1">COUNTIF(OFFSET(Synthèse!$G115,0,0,1,COUNTA(Synthèse!$10:$10)-6),"="&amp;$F$1)</f>
        <v>0</v>
      </c>
      <c r="G106" s="232">
        <f ca="1">COUNTIF(OFFSET(Synthèse!$G115,0,0,1,COUNTA(Synthèse!$10:$10)-6),"="&amp;$G$1)</f>
        <v>0</v>
      </c>
      <c r="H106" s="232">
        <f ca="1">COUNTIF(OFFSET(Synthèse!$G115,0,0,1,COUNTA(Synthèse!$10:$10)-6),"="&amp;$H$1)</f>
        <v>0</v>
      </c>
      <c r="I106" s="18">
        <f t="shared" ca="1" si="19"/>
        <v>0</v>
      </c>
      <c r="K106" s="123" t="s">
        <v>640</v>
      </c>
      <c r="L106" s="235" t="s">
        <v>25</v>
      </c>
      <c r="M106" s="235"/>
      <c r="N106" s="235" t="s">
        <v>588</v>
      </c>
      <c r="O106" s="236">
        <f ca="1">IF(SUM(E$194:E$195)&gt;=1,0,1)</f>
        <v>1</v>
      </c>
      <c r="P106" s="236">
        <f ca="1">IF(SUM(E$194:E$195)&gt;=1,1,IF(SUM(G$194:G$195)&gt;=1,1,IF(SUM(F$194:F$195)&gt;=1,0,1)))</f>
        <v>1</v>
      </c>
      <c r="Q106" s="236">
        <f ca="1">IF(SUM(E$194:E$195)&gt;=1,1,IF(SUM(G$194:G$195)&gt;=1,0,1))</f>
        <v>1</v>
      </c>
      <c r="R106" s="236">
        <f ca="1">IF(SUM(E$194:E$195)&gt;=1,1,IF(SUM(G$194:G$195)&gt;=1,1,IF(SUM(F$194:F$195)&gt;=1,1,IF(SUM(H$194:H$195)&gt;=1,0,1))))</f>
        <v>1</v>
      </c>
    </row>
    <row r="107" spans="2:18" x14ac:dyDescent="0.35">
      <c r="B107" s="101" t="str">
        <f>Modèle!B109</f>
        <v>Tableaux</v>
      </c>
      <c r="C107" s="107" t="str">
        <f>Modèle!D109</f>
        <v>5.6.1</v>
      </c>
      <c r="D107" s="108" t="str">
        <f>Modèle!E109</f>
        <v>A</v>
      </c>
      <c r="E107" s="231">
        <f ca="1">COUNTIF(OFFSET(Synthèse!$G116,0,0,1,COUNTA(Synthèse!$10:$10)-6),"="&amp;$E$1)</f>
        <v>0</v>
      </c>
      <c r="F107" s="231">
        <f ca="1">COUNTIF(OFFSET(Synthèse!$G116,0,0,1,COUNTA(Synthèse!$10:$10)-6),"="&amp;$F$1)</f>
        <v>0</v>
      </c>
      <c r="G107" s="231">
        <f ca="1">COUNTIF(OFFSET(Synthèse!$G116,0,0,1,COUNTA(Synthèse!$10:$10)-6),"="&amp;$G$1)</f>
        <v>0</v>
      </c>
      <c r="H107" s="231">
        <f ca="1">COUNTIF(OFFSET(Synthèse!$G116,0,0,1,COUNTA(Synthèse!$10:$10)-6),"="&amp;$H$1)</f>
        <v>0</v>
      </c>
      <c r="I107" s="18">
        <f t="shared" ca="1" si="19"/>
        <v>0</v>
      </c>
      <c r="K107" s="123" t="s">
        <v>641</v>
      </c>
      <c r="L107" s="235" t="s">
        <v>25</v>
      </c>
      <c r="M107" s="235"/>
      <c r="N107" s="235" t="s">
        <v>589</v>
      </c>
      <c r="O107" s="236">
        <f ca="1">IF(SUM(E$196:E$198)&gt;=1,0,1)</f>
        <v>1</v>
      </c>
      <c r="P107" s="236">
        <f ca="1">IF(SUM(E$196:E$198)&gt;=1,1,IF(SUM(G$196:G$198)&gt;=1,1,IF(SUM(F$196:F$198)&gt;=1,0,1)))</f>
        <v>1</v>
      </c>
      <c r="Q107" s="236">
        <f ca="1">IF(SUM(E$196:E$198)&gt;=1,1,IF(SUM(G$196:G$198)&gt;=1,0,1))</f>
        <v>1</v>
      </c>
      <c r="R107" s="236">
        <f ca="1">IF(SUM(E$196:E$198)&gt;=1,1,IF(SUM(G$196:G$198)&gt;=1,1,IF(SUM(F$196:F$198)&gt;=1,1,IF(SUM(H$196:H$198)&gt;=1,0,1))))</f>
        <v>1</v>
      </c>
    </row>
    <row r="108" spans="2:18" x14ac:dyDescent="0.35">
      <c r="B108" s="101" t="str">
        <f>Modèle!B110</f>
        <v>Tableaux</v>
      </c>
      <c r="C108" s="107" t="str">
        <f>Modèle!D110</f>
        <v>5.6.2</v>
      </c>
      <c r="D108" s="108" t="str">
        <f>Modèle!E110</f>
        <v>A</v>
      </c>
      <c r="E108" s="231">
        <f ca="1">COUNTIF(OFFSET(Synthèse!$G117,0,0,1,COUNTA(Synthèse!$10:$10)-6),"="&amp;$E$1)</f>
        <v>0</v>
      </c>
      <c r="F108" s="231">
        <f ca="1">COUNTIF(OFFSET(Synthèse!$G117,0,0,1,COUNTA(Synthèse!$10:$10)-6),"="&amp;$F$1)</f>
        <v>0</v>
      </c>
      <c r="G108" s="231">
        <f ca="1">COUNTIF(OFFSET(Synthèse!$G117,0,0,1,COUNTA(Synthèse!$10:$10)-6),"="&amp;$G$1)</f>
        <v>0</v>
      </c>
      <c r="H108" s="231">
        <f ca="1">COUNTIF(OFFSET(Synthèse!$G117,0,0,1,COUNTA(Synthèse!$10:$10)-6),"="&amp;$H$1)</f>
        <v>0</v>
      </c>
      <c r="I108" s="18">
        <f t="shared" ca="1" si="19"/>
        <v>0</v>
      </c>
      <c r="K108" s="123" t="s">
        <v>823</v>
      </c>
      <c r="L108" s="235" t="s">
        <v>24</v>
      </c>
      <c r="M108" s="235"/>
      <c r="N108" s="235" t="s">
        <v>590</v>
      </c>
      <c r="O108" s="236">
        <f ca="1">IF(SUM(E$199:E$199)&gt;=1,0,1)</f>
        <v>1</v>
      </c>
      <c r="P108" s="236">
        <f ca="1">IF(SUM(E$199)&gt;=1,1,IF(SUM(G$199)&gt;=1,1,IF(SUM(F$199)&gt;=1,0,1)))</f>
        <v>1</v>
      </c>
      <c r="Q108" s="236">
        <f ca="1">IF(SUM(E$199)&gt;=1,1,IF(SUM(G$199)&gt;=1,0,1))</f>
        <v>1</v>
      </c>
      <c r="R108" s="236">
        <f ca="1">IF(SUM(E$199)&gt;=1,1,IF(SUM(G$199)&gt;=1,1,IF(SUM(F$199)&gt;=1,1,IF(SUM(H$199)&gt;=1,0,1))))</f>
        <v>1</v>
      </c>
    </row>
    <row r="109" spans="2:18" x14ac:dyDescent="0.35">
      <c r="B109" s="101" t="str">
        <f>Modèle!B111</f>
        <v>Tableaux</v>
      </c>
      <c r="C109" s="107" t="str">
        <f>Modèle!D111</f>
        <v>5.6.3</v>
      </c>
      <c r="D109" s="108" t="str">
        <f>Modèle!E111</f>
        <v>A</v>
      </c>
      <c r="E109" s="231">
        <f ca="1">COUNTIF(OFFSET(Synthèse!$G118,0,0,1,COUNTA(Synthèse!$10:$10)-6),"="&amp;$E$1)</f>
        <v>0</v>
      </c>
      <c r="F109" s="231">
        <f ca="1">COUNTIF(OFFSET(Synthèse!$G118,0,0,1,COUNTA(Synthèse!$10:$10)-6),"="&amp;$F$1)</f>
        <v>0</v>
      </c>
      <c r="G109" s="231">
        <f ca="1">COUNTIF(OFFSET(Synthèse!$G118,0,0,1,COUNTA(Synthèse!$10:$10)-6),"="&amp;$G$1)</f>
        <v>0</v>
      </c>
      <c r="H109" s="231">
        <f ca="1">COUNTIF(OFFSET(Synthèse!$G118,0,0,1,COUNTA(Synthèse!$10:$10)-6),"="&amp;$H$1)</f>
        <v>0</v>
      </c>
      <c r="I109" s="18">
        <f t="shared" ca="1" si="19"/>
        <v>0</v>
      </c>
      <c r="K109" s="123" t="s">
        <v>824</v>
      </c>
      <c r="L109" s="235" t="s">
        <v>24</v>
      </c>
      <c r="M109" s="235"/>
      <c r="N109" s="235" t="s">
        <v>591</v>
      </c>
      <c r="O109" s="236">
        <f ca="1">IF(SUM(E$200:E$200)&gt;=1,0,1)</f>
        <v>1</v>
      </c>
      <c r="P109" s="236">
        <f ca="1">IF(SUM(E$200)&gt;=1,1,IF(SUM(G$200)&gt;=1,1,IF(SUM(F$200)&gt;=1,0,1)))</f>
        <v>1</v>
      </c>
      <c r="Q109" s="236">
        <f ca="1">IF(SUM(E$200)&gt;=1,1,IF(SUM(G$200)&gt;=1,0,1))</f>
        <v>1</v>
      </c>
      <c r="R109" s="236">
        <f ca="1">IF(SUM(E$200)&gt;=1,1,IF(SUM(G$200)&gt;=1,1,IF(SUM(F$200)&gt;=1,1,IF(SUM(H$200)&gt;=1,0,1))))</f>
        <v>1</v>
      </c>
    </row>
    <row r="110" spans="2:18" x14ac:dyDescent="0.35">
      <c r="B110" s="102" t="str">
        <f>Modèle!B112</f>
        <v>Tableaux</v>
      </c>
      <c r="C110" s="109" t="str">
        <f>Modèle!D112</f>
        <v>5.7.1</v>
      </c>
      <c r="D110" s="110" t="str">
        <f>Modèle!E112</f>
        <v>A</v>
      </c>
      <c r="E110" s="232">
        <f ca="1">COUNTIF(OFFSET(Synthèse!$G119,0,0,1,COUNTA(Synthèse!$10:$10)-6),"="&amp;$E$1)</f>
        <v>0</v>
      </c>
      <c r="F110" s="232">
        <f ca="1">COUNTIF(OFFSET(Synthèse!$G119,0,0,1,COUNTA(Synthèse!$10:$10)-6),"="&amp;$F$1)</f>
        <v>0</v>
      </c>
      <c r="G110" s="232">
        <f ca="1">COUNTIF(OFFSET(Synthèse!$G119,0,0,1,COUNTA(Synthèse!$10:$10)-6),"="&amp;$G$1)</f>
        <v>0</v>
      </c>
      <c r="H110" s="232">
        <f ca="1">COUNTIF(OFFSET(Synthèse!$G119,0,0,1,COUNTA(Synthèse!$10:$10)-6),"="&amp;$H$1)</f>
        <v>0</v>
      </c>
      <c r="I110" s="18">
        <f t="shared" ca="1" si="19"/>
        <v>0</v>
      </c>
      <c r="K110" s="123" t="s">
        <v>825</v>
      </c>
      <c r="L110" s="235" t="s">
        <v>24</v>
      </c>
      <c r="M110" s="235"/>
      <c r="N110" s="235" t="s">
        <v>592</v>
      </c>
      <c r="O110" s="236">
        <f ca="1">IF(SUM(E$201:E$201)&gt;=1,0,1)</f>
        <v>1</v>
      </c>
      <c r="P110" s="236">
        <f ca="1">IF(SUM(E$201)&gt;=1,1,IF(SUM(G$201)&gt;=1,1,IF(SUM(F$201)&gt;=1,0,1)))</f>
        <v>1</v>
      </c>
      <c r="Q110" s="236">
        <f ca="1">IF(SUM(E$201)&gt;=1,1,IF(SUM(G$201)&gt;=1,0,1))</f>
        <v>1</v>
      </c>
      <c r="R110" s="236">
        <f ca="1">IF(SUM(E$201)&gt;=1,1,IF(SUM(G$201)&gt;=1,1,IF(SUM(F$201)&gt;=1,1,IF(SUM(H$201)&gt;=1,0,1))))</f>
        <v>1</v>
      </c>
    </row>
    <row r="111" spans="2:18" x14ac:dyDescent="0.35">
      <c r="B111" s="102" t="str">
        <f>Modèle!B113</f>
        <v>Tableaux</v>
      </c>
      <c r="C111" s="109" t="str">
        <f>Modèle!D113</f>
        <v>5.7.2</v>
      </c>
      <c r="D111" s="110" t="str">
        <f>Modèle!E113</f>
        <v>A</v>
      </c>
      <c r="E111" s="232">
        <f ca="1">COUNTIF(OFFSET(Synthèse!$G120,0,0,1,COUNTA(Synthèse!$10:$10)-6),"="&amp;$E$1)</f>
        <v>0</v>
      </c>
      <c r="F111" s="232">
        <f ca="1">COUNTIF(OFFSET(Synthèse!$G120,0,0,1,COUNTA(Synthèse!$10:$10)-6),"="&amp;$F$1)</f>
        <v>0</v>
      </c>
      <c r="G111" s="232">
        <f ca="1">COUNTIF(OFFSET(Synthèse!$G120,0,0,1,COUNTA(Synthèse!$10:$10)-6),"="&amp;$G$1)</f>
        <v>0</v>
      </c>
      <c r="H111" s="232">
        <f ca="1">COUNTIF(OFFSET(Synthèse!$G120,0,0,1,COUNTA(Synthèse!$10:$10)-6),"="&amp;$H$1)</f>
        <v>0</v>
      </c>
      <c r="I111" s="18">
        <f t="shared" ca="1" si="19"/>
        <v>0</v>
      </c>
      <c r="K111" s="123" t="s">
        <v>826</v>
      </c>
      <c r="L111" s="235" t="s">
        <v>24</v>
      </c>
      <c r="M111" s="235"/>
      <c r="N111" s="235" t="s">
        <v>593</v>
      </c>
      <c r="O111" s="236">
        <f ca="1">IF(SUM(E$202:E$204)&gt;=1,0,1)</f>
        <v>1</v>
      </c>
      <c r="P111" s="236">
        <f ca="1">IF(SUM(E$202:E$204)&gt;=1,1,IF(SUM(G$202:G$204)&gt;=1,1,IF(SUM(F$202:F$204)&gt;=1,0,1)))</f>
        <v>1</v>
      </c>
      <c r="Q111" s="236">
        <f ca="1">IF(SUM(E$202:E$204)&gt;=1,1,IF(SUM(G$202:G$204)&gt;=1,0,1))</f>
        <v>1</v>
      </c>
      <c r="R111" s="236">
        <f ca="1">IF(SUM(E$202:E$204)&gt;=1,1,IF(SUM(G$202:G$204)&gt;=1,1,IF(SUM(F$202:F$204)&gt;=1,1,IF(SUM(H$202:H$204)&gt;=1,0,1))))</f>
        <v>1</v>
      </c>
    </row>
    <row r="112" spans="2:18" x14ac:dyDescent="0.35">
      <c r="B112" s="102" t="str">
        <f>Modèle!B114</f>
        <v>Tableaux</v>
      </c>
      <c r="C112" s="109" t="str">
        <f>Modèle!D114</f>
        <v>5.7.3</v>
      </c>
      <c r="D112" s="110" t="str">
        <f>Modèle!E114</f>
        <v>A</v>
      </c>
      <c r="E112" s="232">
        <f ca="1">COUNTIF(OFFSET(Synthèse!$G121,0,0,1,COUNTA(Synthèse!$10:$10)-6),"="&amp;$E$1)</f>
        <v>0</v>
      </c>
      <c r="F112" s="232">
        <f ca="1">COUNTIF(OFFSET(Synthèse!$G121,0,0,1,COUNTA(Synthèse!$10:$10)-6),"="&amp;$F$1)</f>
        <v>0</v>
      </c>
      <c r="G112" s="232">
        <f ca="1">COUNTIF(OFFSET(Synthèse!$G121,0,0,1,COUNTA(Synthèse!$10:$10)-6),"="&amp;$G$1)</f>
        <v>0</v>
      </c>
      <c r="H112" s="232">
        <f ca="1">COUNTIF(OFFSET(Synthèse!$G121,0,0,1,COUNTA(Synthèse!$10:$10)-6),"="&amp;$H$1)</f>
        <v>0</v>
      </c>
      <c r="I112" s="18">
        <f t="shared" ca="1" si="19"/>
        <v>0</v>
      </c>
      <c r="K112" s="123" t="s">
        <v>827</v>
      </c>
      <c r="L112" s="235" t="s">
        <v>24</v>
      </c>
      <c r="M112" s="235"/>
      <c r="N112" s="235" t="s">
        <v>594</v>
      </c>
      <c r="O112" s="236">
        <f ca="1">IF(SUM(E$205:E$206)&gt;=1,0,1)</f>
        <v>1</v>
      </c>
      <c r="P112" s="236">
        <f ca="1">IF(SUM(E$205:E$206)&gt;=1,1,IF(SUM(G$205:G$206)&gt;=1,1,IF(SUM(F$205:F$206)&gt;=1,0,1)))</f>
        <v>1</v>
      </c>
      <c r="Q112" s="236">
        <f ca="1">IF(SUM(E$205:E$206)&gt;=1,1,IF(SUM(G$205:G$206)&gt;=1,0,1))</f>
        <v>1</v>
      </c>
      <c r="R112" s="236">
        <f ca="1">IF(SUM(E$205:E$206)&gt;=1,1,IF(SUM(G$205:G$206)&gt;=1,1,IF(SUM(F$205:F$206)&gt;=1,1,IF(SUM(H$205:H$206)&gt;=1,0,1))))</f>
        <v>1</v>
      </c>
    </row>
    <row r="113" spans="2:18" x14ac:dyDescent="0.35">
      <c r="B113" s="102" t="str">
        <f>Modèle!B115</f>
        <v>Tableaux</v>
      </c>
      <c r="C113" s="109" t="str">
        <f>Modèle!D115</f>
        <v>5.7.4</v>
      </c>
      <c r="D113" s="110" t="str">
        <f>Modèle!E115</f>
        <v>A</v>
      </c>
      <c r="E113" s="232">
        <f ca="1">COUNTIF(OFFSET(Synthèse!$G122,0,0,1,COUNTA(Synthèse!$10:$10)-6),"="&amp;$E$1)</f>
        <v>0</v>
      </c>
      <c r="F113" s="232">
        <f ca="1">COUNTIF(OFFSET(Synthèse!$G122,0,0,1,COUNTA(Synthèse!$10:$10)-6),"="&amp;$F$1)</f>
        <v>0</v>
      </c>
      <c r="G113" s="232">
        <f ca="1">COUNTIF(OFFSET(Synthèse!$G122,0,0,1,COUNTA(Synthèse!$10:$10)-6),"="&amp;$G$1)</f>
        <v>0</v>
      </c>
      <c r="H113" s="232">
        <f ca="1">COUNTIF(OFFSET(Synthèse!$G122,0,0,1,COUNTA(Synthèse!$10:$10)-6),"="&amp;$H$1)</f>
        <v>0</v>
      </c>
      <c r="I113" s="18">
        <f t="shared" ca="1" si="19"/>
        <v>0</v>
      </c>
      <c r="K113" s="123" t="s">
        <v>828</v>
      </c>
      <c r="L113" s="235" t="s">
        <v>24</v>
      </c>
      <c r="M113" s="235"/>
      <c r="N113" s="235" t="s">
        <v>595</v>
      </c>
      <c r="O113" s="236">
        <f ca="1">IF(SUM(E$207:E$213)&gt;=1,0,1)</f>
        <v>1</v>
      </c>
      <c r="P113" s="236">
        <f ca="1">IF(SUM(E$207:E$213)&gt;=1,1,IF(SUM(G$207:G$213)&gt;=1,1,IF(SUM(F$207:F$213)&gt;=1,0,1)))</f>
        <v>1</v>
      </c>
      <c r="Q113" s="236">
        <f ca="1">IF(SUM(E$207:E$213)&gt;=1,1,IF(SUM(G$207:G$213)&gt;=1,0,1))</f>
        <v>1</v>
      </c>
      <c r="R113" s="236">
        <f ca="1">IF(SUM(E$207:E$213)&gt;=1,1,IF(SUM(G$207:G$213)&gt;=1,1,IF(SUM(F$207:F$213)&gt;=1,1,IF(SUM(H$207:H$213)&gt;=1,0,1))))</f>
        <v>1</v>
      </c>
    </row>
    <row r="114" spans="2:18" x14ac:dyDescent="0.35">
      <c r="B114" s="102" t="str">
        <f>Modèle!B116</f>
        <v>Tableaux</v>
      </c>
      <c r="C114" s="109" t="str">
        <f>Modèle!D116</f>
        <v>5.7.5</v>
      </c>
      <c r="D114" s="110" t="str">
        <f>Modèle!E116</f>
        <v>A</v>
      </c>
      <c r="E114" s="232">
        <f ca="1">COUNTIF(OFFSET(Synthèse!$G123,0,0,1,COUNTA(Synthèse!$10:$10)-6),"="&amp;$E$1)</f>
        <v>0</v>
      </c>
      <c r="F114" s="232">
        <f ca="1">COUNTIF(OFFSET(Synthèse!$G123,0,0,1,COUNTA(Synthèse!$10:$10)-6),"="&amp;$F$1)</f>
        <v>0</v>
      </c>
      <c r="G114" s="232">
        <f ca="1">COUNTIF(OFFSET(Synthèse!$G123,0,0,1,COUNTA(Synthèse!$10:$10)-6),"="&amp;$G$1)</f>
        <v>0</v>
      </c>
      <c r="H114" s="232">
        <f ca="1">COUNTIF(OFFSET(Synthèse!$G123,0,0,1,COUNTA(Synthèse!$10:$10)-6),"="&amp;$H$1)</f>
        <v>0</v>
      </c>
      <c r="I114" s="18">
        <f t="shared" ca="1" si="19"/>
        <v>0</v>
      </c>
      <c r="K114" s="123" t="s">
        <v>829</v>
      </c>
      <c r="L114" s="235" t="s">
        <v>25</v>
      </c>
      <c r="M114" s="235"/>
      <c r="N114" s="235" t="s">
        <v>596</v>
      </c>
      <c r="O114" s="236">
        <f ca="1">IF(SUM(E$214:E$215)&gt;=1,0,1)</f>
        <v>1</v>
      </c>
      <c r="P114" s="236">
        <f ca="1">IF(SUM(E$214:E$215)&gt;=1,1,IF(SUM(G$214:G$215)&gt;=1,1,IF(SUM(F$214:F$215)&gt;=1,0,1)))</f>
        <v>1</v>
      </c>
      <c r="Q114" s="236">
        <f ca="1">IF(SUM(E$214:E$215)&gt;=1,1,IF(SUM(G$214:G$215)&gt;=1,0,1))</f>
        <v>1</v>
      </c>
      <c r="R114" s="236">
        <f ca="1">IF(SUM(E$214:E$215)&gt;=1,1,IF(SUM(G$214:G$215)&gt;=1,1,IF(SUM(F$214:F$215)&gt;=1,1,IF(SUM(H$214:H$215)&gt;=1,0,1))))</f>
        <v>1</v>
      </c>
    </row>
    <row r="115" spans="2:18" x14ac:dyDescent="0.35">
      <c r="B115" s="101" t="str">
        <f>Modèle!B117</f>
        <v>Tableaux</v>
      </c>
      <c r="C115" s="107" t="str">
        <f>Modèle!D117</f>
        <v>5.8.1</v>
      </c>
      <c r="D115" s="108" t="str">
        <f>Modèle!E117</f>
        <v>A</v>
      </c>
      <c r="E115" s="231">
        <f ca="1">COUNTIF(OFFSET(Synthèse!$G124,0,0,1,COUNTA(Synthèse!$10:$10)-6),"="&amp;$E$1)</f>
        <v>0</v>
      </c>
      <c r="F115" s="231">
        <f ca="1">COUNTIF(OFFSET(Synthèse!$G124,0,0,1,COUNTA(Synthèse!$10:$10)-6),"="&amp;$F$1)</f>
        <v>0</v>
      </c>
      <c r="G115" s="231">
        <f ca="1">COUNTIF(OFFSET(Synthèse!$G124,0,0,1,COUNTA(Synthèse!$10:$10)-6),"="&amp;$G$1)</f>
        <v>0</v>
      </c>
      <c r="H115" s="231">
        <f ca="1">COUNTIF(OFFSET(Synthèse!$G124,0,0,1,COUNTA(Synthèse!$10:$10)-6),"="&amp;$H$1)</f>
        <v>0</v>
      </c>
      <c r="I115" s="18">
        <f t="shared" ca="1" si="19"/>
        <v>0</v>
      </c>
      <c r="K115" s="123" t="s">
        <v>830</v>
      </c>
      <c r="L115" s="235" t="s">
        <v>25</v>
      </c>
      <c r="M115" s="235"/>
      <c r="N115" s="235" t="s">
        <v>597</v>
      </c>
      <c r="O115" s="236">
        <f ca="1">IF(SUM(E$216:E$217)&gt;=1,0,1)</f>
        <v>1</v>
      </c>
      <c r="P115" s="236">
        <f ca="1">IF(SUM(E$216:E$217)&gt;=1,1,IF(SUM(G$216:G$217)&gt;=1,1,IF(SUM(F$216:F$217)&gt;=1,0,1)))</f>
        <v>1</v>
      </c>
      <c r="Q115" s="236">
        <f ca="1">IF(SUM(E$216:E$217)&gt;=1,1,IF(SUM(G$216:G$217)&gt;=1,0,1))</f>
        <v>1</v>
      </c>
      <c r="R115" s="236">
        <f ca="1">IF(SUM(E$216:E$217)&gt;=1,1,IF(SUM(G$216:G$217)&gt;=1,1,IF(SUM(F$216:F$217)&gt;=1,1,IF(SUM(H$216:H$217)&gt;=1,0,1))))</f>
        <v>1</v>
      </c>
    </row>
    <row r="116" spans="2:18" x14ac:dyDescent="0.35">
      <c r="B116" s="102" t="str">
        <f>Modèle!B118</f>
        <v>Liens</v>
      </c>
      <c r="C116" s="109" t="str">
        <f>Modèle!D118</f>
        <v>6.1.1</v>
      </c>
      <c r="D116" s="110" t="str">
        <f>Modèle!E118</f>
        <v>A</v>
      </c>
      <c r="E116" s="232">
        <f ca="1">COUNTIF(OFFSET(Synthèse!$G125,0,0,1,COUNTA(Synthèse!$10:$10)-6),"="&amp;$E$1)</f>
        <v>0</v>
      </c>
      <c r="F116" s="232">
        <f ca="1">COUNTIF(OFFSET(Synthèse!$G125,0,0,1,COUNTA(Synthèse!$10:$10)-6),"="&amp;$F$1)</f>
        <v>0</v>
      </c>
      <c r="G116" s="232">
        <f ca="1">COUNTIF(OFFSET(Synthèse!$G125,0,0,1,COUNTA(Synthèse!$10:$10)-6),"="&amp;$G$1)</f>
        <v>0</v>
      </c>
      <c r="H116" s="232">
        <f ca="1">COUNTIF(OFFSET(Synthèse!$G125,0,0,1,COUNTA(Synthèse!$10:$10)-6),"="&amp;$H$1)</f>
        <v>0</v>
      </c>
      <c r="I116" s="18">
        <f t="shared" ca="1" si="19"/>
        <v>0</v>
      </c>
      <c r="K116" s="123" t="s">
        <v>831</v>
      </c>
      <c r="L116" s="235" t="s">
        <v>25</v>
      </c>
      <c r="M116" s="235"/>
      <c r="N116" s="235" t="s">
        <v>598</v>
      </c>
      <c r="O116" s="236">
        <f ca="1">IF(SUM(E$218:E$218)&gt;=1,0,1)</f>
        <v>1</v>
      </c>
      <c r="P116" s="236">
        <f ca="1">IF(SUM(E$218)&gt;=1,1,IF(SUM(G$218)&gt;=1,1,IF(SUM(F$218)&gt;=1,0,1)))</f>
        <v>1</v>
      </c>
      <c r="Q116" s="236">
        <f ca="1">IF(SUM(E$218)&gt;=1,1,IF(SUM(G$218)&gt;=1,0,1))</f>
        <v>1</v>
      </c>
      <c r="R116" s="236">
        <f ca="1">IF(SUM(E$218)&gt;=1,1,IF(SUM(G$218)&gt;=1,1,IF(SUM(F$218)&gt;=1,1,IF(SUM(H$218)&gt;=1,0,1))))</f>
        <v>1</v>
      </c>
    </row>
    <row r="117" spans="2:18" x14ac:dyDescent="0.35">
      <c r="B117" s="102" t="str">
        <f>Modèle!B119</f>
        <v>Liens</v>
      </c>
      <c r="C117" s="109" t="str">
        <f>Modèle!D119</f>
        <v>6.1.2</v>
      </c>
      <c r="D117" s="110" t="str">
        <f>Modèle!E119</f>
        <v>A</v>
      </c>
      <c r="E117" s="232">
        <f ca="1">COUNTIF(OFFSET(Synthèse!$G126,0,0,1,COUNTA(Synthèse!$10:$10)-6),"="&amp;$E$1)</f>
        <v>0</v>
      </c>
      <c r="F117" s="232">
        <f ca="1">COUNTIF(OFFSET(Synthèse!$G126,0,0,1,COUNTA(Synthèse!$10:$10)-6),"="&amp;$F$1)</f>
        <v>0</v>
      </c>
      <c r="G117" s="232">
        <f ca="1">COUNTIF(OFFSET(Synthèse!$G126,0,0,1,COUNTA(Synthèse!$10:$10)-6),"="&amp;$G$1)</f>
        <v>0</v>
      </c>
      <c r="H117" s="232">
        <f ca="1">COUNTIF(OFFSET(Synthèse!$G126,0,0,1,COUNTA(Synthèse!$10:$10)-6),"="&amp;$H$1)</f>
        <v>0</v>
      </c>
      <c r="I117" s="18">
        <f t="shared" ca="1" si="19"/>
        <v>0</v>
      </c>
      <c r="K117" s="123" t="s">
        <v>832</v>
      </c>
      <c r="L117" s="237" t="s">
        <v>25</v>
      </c>
      <c r="M117" s="237"/>
      <c r="N117" s="237" t="s">
        <v>599</v>
      </c>
      <c r="O117" s="238">
        <f ca="1">IF(SUM(E$219:E$219)&gt;=1,0,1)</f>
        <v>1</v>
      </c>
      <c r="P117" s="238">
        <f ca="1">IF(SUM(E$219)&gt;=1,1,IF(SUM(G$219)&gt;=1,1,IF(SUM(F$219)&gt;=1,0,1)))</f>
        <v>1</v>
      </c>
      <c r="Q117" s="238">
        <f ca="1">IF(SUM(E$219)&gt;=1,1,IF(SUM(G$219)&gt;=1,0,1))</f>
        <v>1</v>
      </c>
      <c r="R117" s="238">
        <f ca="1">IF(SUM(E$219)&gt;=1,1,IF(SUM(G$219)&gt;=1,1,IF(SUM(F$219)&gt;=1,1,IF(SUM(H$219)&gt;=1,0,1))))</f>
        <v>1</v>
      </c>
    </row>
    <row r="118" spans="2:18" x14ac:dyDescent="0.35">
      <c r="B118" s="102" t="str">
        <f>Modèle!B120</f>
        <v>Liens</v>
      </c>
      <c r="C118" s="109" t="str">
        <f>Modèle!D120</f>
        <v>6.1.3</v>
      </c>
      <c r="D118" s="110" t="str">
        <f>Modèle!E120</f>
        <v>A</v>
      </c>
      <c r="E118" s="232">
        <f ca="1">COUNTIF(OFFSET(Synthèse!$G127,0,0,1,COUNTA(Synthèse!$10:$10)-6),"="&amp;$E$1)</f>
        <v>0</v>
      </c>
      <c r="F118" s="232">
        <f ca="1">COUNTIF(OFFSET(Synthèse!$G127,0,0,1,COUNTA(Synthèse!$10:$10)-6),"="&amp;$F$1)</f>
        <v>0</v>
      </c>
      <c r="G118" s="232">
        <f ca="1">COUNTIF(OFFSET(Synthèse!$G127,0,0,1,COUNTA(Synthèse!$10:$10)-6),"="&amp;$G$1)</f>
        <v>0</v>
      </c>
      <c r="H118" s="232">
        <f ca="1">COUNTIF(OFFSET(Synthèse!$G127,0,0,1,COUNTA(Synthèse!$10:$10)-6),"="&amp;$H$1)</f>
        <v>0</v>
      </c>
      <c r="I118" s="18">
        <f t="shared" ca="1" si="19"/>
        <v>0</v>
      </c>
      <c r="K118" s="123" t="s">
        <v>833</v>
      </c>
      <c r="L118" s="237" t="s">
        <v>25</v>
      </c>
      <c r="M118" s="237"/>
      <c r="N118" s="237" t="s">
        <v>600</v>
      </c>
      <c r="O118" s="238">
        <f ca="1">IF(SUM(E$220:E$220)&gt;=1,0,1)</f>
        <v>1</v>
      </c>
      <c r="P118" s="238">
        <f ca="1">IF(SUM(E$220)&gt;=1,1,IF(SUM(G$220)&gt;=1,1,IF(SUM(F$220)&gt;=1,0,1)))</f>
        <v>1</v>
      </c>
      <c r="Q118" s="238">
        <f ca="1">IF(SUM(E$220)&gt;=1,1,IF(SUM(G$220)&gt;=1,0,1))</f>
        <v>1</v>
      </c>
      <c r="R118" s="238">
        <f ca="1">IF(SUM(E$220)&gt;=1,1,IF(SUM(G$220)&gt;=1,1,IF(SUM(F$220)&gt;=1,1,IF(SUM(H$220)&gt;=1,0,1))))</f>
        <v>1</v>
      </c>
    </row>
    <row r="119" spans="2:18" x14ac:dyDescent="0.35">
      <c r="B119" s="102" t="str">
        <f>Modèle!B121</f>
        <v>Liens</v>
      </c>
      <c r="C119" s="109" t="str">
        <f>Modèle!D121</f>
        <v>6.1.4</v>
      </c>
      <c r="D119" s="110" t="str">
        <f>Modèle!E121</f>
        <v>A</v>
      </c>
      <c r="E119" s="232">
        <f ca="1">COUNTIF(OFFSET(Synthèse!$G128,0,0,1,COUNTA(Synthèse!$10:$10)-6),"="&amp;$E$1)</f>
        <v>0</v>
      </c>
      <c r="F119" s="232">
        <f ca="1">COUNTIF(OFFSET(Synthèse!$G128,0,0,1,COUNTA(Synthèse!$10:$10)-6),"="&amp;$F$1)</f>
        <v>0</v>
      </c>
      <c r="G119" s="232">
        <f ca="1">COUNTIF(OFFSET(Synthèse!$G128,0,0,1,COUNTA(Synthèse!$10:$10)-6),"="&amp;$G$1)</f>
        <v>0</v>
      </c>
      <c r="H119" s="232">
        <f ca="1">COUNTIF(OFFSET(Synthèse!$G128,0,0,1,COUNTA(Synthèse!$10:$10)-6),"="&amp;$H$1)</f>
        <v>0</v>
      </c>
      <c r="I119" s="18">
        <f t="shared" ca="1" si="19"/>
        <v>0</v>
      </c>
      <c r="K119" s="123" t="s">
        <v>834</v>
      </c>
      <c r="L119" s="237" t="s">
        <v>25</v>
      </c>
      <c r="M119" s="237"/>
      <c r="N119" s="237" t="s">
        <v>601</v>
      </c>
      <c r="O119" s="238">
        <f ca="1">IF(SUM(E$221:E$223)&gt;=1,0,1)</f>
        <v>1</v>
      </c>
      <c r="P119" s="238">
        <f ca="1">IF(SUM(E$221:E$223)&gt;=1,1,IF(SUM(G$221:G$223)&gt;=1,1,IF(SUM(F$221:F$223)&gt;=1,0,1)))</f>
        <v>1</v>
      </c>
      <c r="Q119" s="238">
        <f ca="1">IF(SUM(E$221:E$223)&gt;=1,1,IF(SUM(G$221:G$223)&gt;=1,0,1))</f>
        <v>1</v>
      </c>
      <c r="R119" s="238">
        <f ca="1">IF(SUM(E$221:E$223)&gt;=1,1,IF(SUM(G$221:G$223)&gt;=1,1,IF(SUM(F$221:F$223)&gt;=1,1,IF(SUM(H$221:H$223)&gt;=1,0,1))))</f>
        <v>1</v>
      </c>
    </row>
    <row r="120" spans="2:18" x14ac:dyDescent="0.35">
      <c r="B120" s="102" t="str">
        <f>Modèle!B122</f>
        <v>Liens</v>
      </c>
      <c r="C120" s="109" t="str">
        <f>Modèle!D122</f>
        <v>6.1.5</v>
      </c>
      <c r="D120" s="110" t="str">
        <f>Modèle!E122</f>
        <v>A</v>
      </c>
      <c r="E120" s="232">
        <f ca="1">COUNTIF(OFFSET(Synthèse!$G129,0,0,1,COUNTA(Synthèse!$10:$10)-6),"="&amp;$E$1)</f>
        <v>0</v>
      </c>
      <c r="F120" s="232">
        <f ca="1">COUNTIF(OFFSET(Synthèse!$G129,0,0,1,COUNTA(Synthèse!$10:$10)-6),"="&amp;$F$1)</f>
        <v>0</v>
      </c>
      <c r="G120" s="232">
        <f ca="1">COUNTIF(OFFSET(Synthèse!$G129,0,0,1,COUNTA(Synthèse!$10:$10)-6),"="&amp;$G$1)</f>
        <v>0</v>
      </c>
      <c r="H120" s="232">
        <f ca="1">COUNTIF(OFFSET(Synthèse!$G129,0,0,1,COUNTA(Synthèse!$10:$10)-6),"="&amp;$H$1)</f>
        <v>0</v>
      </c>
      <c r="I120" s="18">
        <f t="shared" ca="1" si="19"/>
        <v>0</v>
      </c>
      <c r="K120" s="123" t="s">
        <v>835</v>
      </c>
      <c r="L120" s="237" t="s">
        <v>25</v>
      </c>
      <c r="M120" s="237"/>
      <c r="N120" s="237" t="s">
        <v>602</v>
      </c>
      <c r="O120" s="238">
        <f ca="1">IF(SUM(E$224:E$226)&gt;=1,0,1)</f>
        <v>1</v>
      </c>
      <c r="P120" s="238">
        <f ca="1">IF(SUM(E$224:E$226)&gt;=1,1,IF(SUM(G$224:G$226)&gt;=1,1,IF(SUM(F$224:F$226)&gt;=1,0,1)))</f>
        <v>1</v>
      </c>
      <c r="Q120" s="238">
        <f ca="1">IF(SUM(E$224:E$226)&gt;=1,1,IF(SUM(G$224:G$226)&gt;=1,0,1))</f>
        <v>1</v>
      </c>
      <c r="R120" s="238">
        <f ca="1">IF(SUM(E$224:E$226)&gt;=1,1,IF(SUM(G$224:G$226)&gt;=1,1,IF(SUM(F$224:F$226)&gt;=1,1,IF(SUM(H$224:H$226)&gt;=1,0,1))))</f>
        <v>1</v>
      </c>
    </row>
    <row r="121" spans="2:18" x14ac:dyDescent="0.35">
      <c r="B121" s="101" t="str">
        <f>Modèle!B123</f>
        <v>Liens</v>
      </c>
      <c r="C121" s="107" t="str">
        <f>Modèle!D123</f>
        <v>6.2.1</v>
      </c>
      <c r="D121" s="108" t="str">
        <f>Modèle!E123</f>
        <v>A</v>
      </c>
      <c r="E121" s="231">
        <f ca="1">COUNTIF(OFFSET(Synthèse!$G130,0,0,1,COUNTA(Synthèse!$10:$10)-6),"="&amp;$E$1)</f>
        <v>0</v>
      </c>
      <c r="F121" s="231">
        <f ca="1">COUNTIF(OFFSET(Synthèse!$G130,0,0,1,COUNTA(Synthèse!$10:$10)-6),"="&amp;$F$1)</f>
        <v>0</v>
      </c>
      <c r="G121" s="231">
        <f ca="1">COUNTIF(OFFSET(Synthèse!$G130,0,0,1,COUNTA(Synthèse!$10:$10)-6),"="&amp;$G$1)</f>
        <v>0</v>
      </c>
      <c r="H121" s="231">
        <f ca="1">COUNTIF(OFFSET(Synthèse!$G130,0,0,1,COUNTA(Synthèse!$10:$10)-6),"="&amp;$H$1)</f>
        <v>0</v>
      </c>
      <c r="I121" s="18">
        <f t="shared" ca="1" si="19"/>
        <v>0</v>
      </c>
      <c r="K121" s="123" t="s">
        <v>836</v>
      </c>
      <c r="L121" s="237" t="s">
        <v>25</v>
      </c>
      <c r="M121" s="237"/>
      <c r="N121" s="237" t="s">
        <v>603</v>
      </c>
      <c r="O121" s="238">
        <f ca="1">IF(SUM(E$227:E$229)&gt;=1,0,1)</f>
        <v>1</v>
      </c>
      <c r="P121" s="238">
        <f ca="1">IF(SUM(E$227:E$229)&gt;=1,1,IF(SUM(G$227:G$229)&gt;=1,1,IF(SUM(F$227:F$229)&gt;=1,0,1)))</f>
        <v>1</v>
      </c>
      <c r="Q121" s="238">
        <f ca="1">IF(SUM(E$227:E$229)&gt;=1,1,IF(SUM(G$227:G$229)&gt;=1,0,1))</f>
        <v>1</v>
      </c>
      <c r="R121" s="238">
        <f ca="1">IF(SUM(E$227:E$229)&gt;=1,1,IF(SUM(G$227:G$229)&gt;=1,1,IF(SUM(F$227:F$229)&gt;=1,1,IF(SUM(H$227:H$229)&gt;=1,0,1))))</f>
        <v>1</v>
      </c>
    </row>
    <row r="122" spans="2:18" x14ac:dyDescent="0.35">
      <c r="B122" s="102" t="str">
        <f>Modèle!B124</f>
        <v>Scripts</v>
      </c>
      <c r="C122" s="109" t="str">
        <f>Modèle!D124</f>
        <v>7.1.1</v>
      </c>
      <c r="D122" s="110" t="str">
        <f>Modèle!E124</f>
        <v>A</v>
      </c>
      <c r="E122" s="232">
        <f ca="1">COUNTIF(OFFSET(Synthèse!$G131,0,0,1,COUNTA(Synthèse!$10:$10)-6),"="&amp;$E$1)</f>
        <v>0</v>
      </c>
      <c r="F122" s="232">
        <f ca="1">COUNTIF(OFFSET(Synthèse!$G131,0,0,1,COUNTA(Synthèse!$10:$10)-6),"="&amp;$F$1)</f>
        <v>0</v>
      </c>
      <c r="G122" s="232">
        <f ca="1">COUNTIF(OFFSET(Synthèse!$G131,0,0,1,COUNTA(Synthèse!$10:$10)-6),"="&amp;$G$1)</f>
        <v>0</v>
      </c>
      <c r="H122" s="232">
        <f ca="1">COUNTIF(OFFSET(Synthèse!$G131,0,0,1,COUNTA(Synthèse!$10:$10)-6),"="&amp;$H$1)</f>
        <v>0</v>
      </c>
      <c r="I122" s="18">
        <f t="shared" ca="1" si="19"/>
        <v>0</v>
      </c>
      <c r="K122" s="123" t="s">
        <v>837</v>
      </c>
      <c r="L122" s="237" t="s">
        <v>24</v>
      </c>
      <c r="M122" s="237"/>
      <c r="N122" s="237" t="s">
        <v>604</v>
      </c>
      <c r="O122" s="238">
        <f ca="1">IF(SUM(E$230:E$230)&gt;=1,0,1)</f>
        <v>1</v>
      </c>
      <c r="P122" s="238">
        <f ca="1">IF(SUM(E$230)&gt;=1,1,IF(SUM(G$230)&gt;=1,1,IF(SUM(F$230)&gt;=1,0,1)))</f>
        <v>1</v>
      </c>
      <c r="Q122" s="238">
        <f ca="1">IF(SUM(E$230)&gt;=1,1,IF(SUM(G$230)&gt;=1,0,1))</f>
        <v>1</v>
      </c>
      <c r="R122" s="238">
        <f ca="1">IF(SUM(E$230)&gt;=1,1,IF(SUM(G$230)&gt;=1,1,IF(SUM(F$230)&gt;=1,1,IF(SUM(H$230)&gt;=1,0,1))))</f>
        <v>1</v>
      </c>
    </row>
    <row r="123" spans="2:18" x14ac:dyDescent="0.35">
      <c r="B123" s="102" t="str">
        <f>Modèle!B125</f>
        <v>Scripts</v>
      </c>
      <c r="C123" s="109" t="str">
        <f>Modèle!D125</f>
        <v>7.1.2</v>
      </c>
      <c r="D123" s="110" t="str">
        <f>Modèle!E125</f>
        <v>A</v>
      </c>
      <c r="E123" s="232">
        <f ca="1">COUNTIF(OFFSET(Synthèse!$G132,0,0,1,COUNTA(Synthèse!$10:$10)-6),"="&amp;$E$1)</f>
        <v>0</v>
      </c>
      <c r="F123" s="232">
        <f ca="1">COUNTIF(OFFSET(Synthèse!$G132,0,0,1,COUNTA(Synthèse!$10:$10)-6),"="&amp;$F$1)</f>
        <v>0</v>
      </c>
      <c r="G123" s="232">
        <f ca="1">COUNTIF(OFFSET(Synthèse!$G132,0,0,1,COUNTA(Synthèse!$10:$10)-6),"="&amp;$G$1)</f>
        <v>0</v>
      </c>
      <c r="H123" s="232">
        <f ca="1">COUNTIF(OFFSET(Synthèse!$G132,0,0,1,COUNTA(Synthèse!$10:$10)-6),"="&amp;$H$1)</f>
        <v>0</v>
      </c>
      <c r="I123" s="18">
        <f t="shared" ca="1" si="19"/>
        <v>0</v>
      </c>
      <c r="K123" s="123" t="s">
        <v>838</v>
      </c>
      <c r="L123" s="237" t="s">
        <v>24</v>
      </c>
      <c r="M123" s="237"/>
      <c r="N123" s="237" t="s">
        <v>605</v>
      </c>
      <c r="O123" s="238">
        <f ca="1">IF(SUM(E$231:E$232)&gt;=1,0,1)</f>
        <v>1</v>
      </c>
      <c r="P123" s="238">
        <f ca="1">IF(SUM(E$231:E$232)&gt;=1,1,IF(SUM(G$231:G$232)&gt;=1,1,IF(SUM(F$231:F$232)&gt;=1,0,1)))</f>
        <v>1</v>
      </c>
      <c r="Q123" s="238">
        <f ca="1">IF(SUM(E$231:E$232)&gt;=1,1,IF(SUM(G$231:G$232)&gt;=1,0,1))</f>
        <v>1</v>
      </c>
      <c r="R123" s="238">
        <f ca="1">IF(SUM(E$231:E$232)&gt;=1,1,IF(SUM(G$231:G$232)&gt;=1,1,IF(SUM(F$231:F$232)&gt;=1,1,IF(SUM(H$231:H$232)&gt;=1,0,1))))</f>
        <v>1</v>
      </c>
    </row>
    <row r="124" spans="2:18" x14ac:dyDescent="0.35">
      <c r="B124" s="102" t="str">
        <f>Modèle!B126</f>
        <v>Scripts</v>
      </c>
      <c r="C124" s="109" t="str">
        <f>Modèle!D126</f>
        <v>7.1.3</v>
      </c>
      <c r="D124" s="110" t="str">
        <f>Modèle!E126</f>
        <v>A</v>
      </c>
      <c r="E124" s="232">
        <f ca="1">COUNTIF(OFFSET(Synthèse!$G133,0,0,1,COUNTA(Synthèse!$10:$10)-6),"="&amp;$E$1)</f>
        <v>0</v>
      </c>
      <c r="F124" s="232">
        <f ca="1">COUNTIF(OFFSET(Synthèse!$G133,0,0,1,COUNTA(Synthèse!$10:$10)-6),"="&amp;$F$1)</f>
        <v>0</v>
      </c>
      <c r="G124" s="232">
        <f ca="1">COUNTIF(OFFSET(Synthèse!$G133,0,0,1,COUNTA(Synthèse!$10:$10)-6),"="&amp;$G$1)</f>
        <v>0</v>
      </c>
      <c r="H124" s="232">
        <f ca="1">COUNTIF(OFFSET(Synthèse!$G133,0,0,1,COUNTA(Synthèse!$10:$10)-6),"="&amp;$H$1)</f>
        <v>0</v>
      </c>
      <c r="I124" s="18">
        <f t="shared" ca="1" si="19"/>
        <v>0</v>
      </c>
      <c r="K124" s="123" t="s">
        <v>839</v>
      </c>
      <c r="L124" s="237" t="s">
        <v>24</v>
      </c>
      <c r="M124" s="237"/>
      <c r="N124" s="237" t="s">
        <v>606</v>
      </c>
      <c r="O124" s="238">
        <f ca="1">IF(SUM(E$233:E$234)&gt;=1,0,1)</f>
        <v>1</v>
      </c>
      <c r="P124" s="238">
        <f ca="1">IF(SUM(E$233:E$234)&gt;=1,1,IF(SUM(G$233:G$234)&gt;=1,1,IF(SUM(F$233:F$234)&gt;=1,0,1)))</f>
        <v>1</v>
      </c>
      <c r="Q124" s="238">
        <f ca="1">IF(SUM(E$233:E$234)&gt;=1,1,IF(SUM(G$233:G$234)&gt;=1,0,1))</f>
        <v>1</v>
      </c>
      <c r="R124" s="238">
        <f ca="1">IF(SUM(E$233:E$234)&gt;=1,1,IF(SUM(G$233:G$234)&gt;=1,1,IF(SUM(F$233:F$234)&gt;=1,1,IF(SUM(H$233:H$234)&gt;=1,0,1))))</f>
        <v>1</v>
      </c>
    </row>
    <row r="125" spans="2:18" x14ac:dyDescent="0.35">
      <c r="B125" s="101" t="str">
        <f>Modèle!B127</f>
        <v>Scripts</v>
      </c>
      <c r="C125" s="107" t="str">
        <f>Modèle!D127</f>
        <v>7.2.1</v>
      </c>
      <c r="D125" s="108" t="str">
        <f>Modèle!E127</f>
        <v>A</v>
      </c>
      <c r="E125" s="231">
        <f ca="1">COUNTIF(OFFSET(Synthèse!$G134,0,0,1,COUNTA(Synthèse!$10:$10)-6),"="&amp;$E$1)</f>
        <v>0</v>
      </c>
      <c r="F125" s="231">
        <f ca="1">COUNTIF(OFFSET(Synthèse!$G134,0,0,1,COUNTA(Synthèse!$10:$10)-6),"="&amp;$F$1)</f>
        <v>0</v>
      </c>
      <c r="G125" s="231">
        <f ca="1">COUNTIF(OFFSET(Synthèse!$G134,0,0,1,COUNTA(Synthèse!$10:$10)-6),"="&amp;$G$1)</f>
        <v>0</v>
      </c>
      <c r="H125" s="231">
        <f ca="1">COUNTIF(OFFSET(Synthèse!$G134,0,0,1,COUNTA(Synthèse!$10:$10)-6),"="&amp;$H$1)</f>
        <v>0</v>
      </c>
      <c r="I125" s="18">
        <f t="shared" ca="1" si="19"/>
        <v>0</v>
      </c>
      <c r="K125" s="123" t="s">
        <v>840</v>
      </c>
      <c r="L125" s="237" t="s">
        <v>24</v>
      </c>
      <c r="M125" s="237"/>
      <c r="N125" s="237" t="s">
        <v>607</v>
      </c>
      <c r="O125" s="238">
        <f ca="1">IF(SUM(E$235:E$235)&gt;=1,0,1)</f>
        <v>1</v>
      </c>
      <c r="P125" s="238">
        <f ca="1">IF(SUM(E$235)&gt;=1,1,IF(SUM(G$235)&gt;=1,1,IF(SUM(F$235)&gt;=1,0,1)))</f>
        <v>1</v>
      </c>
      <c r="Q125" s="238">
        <f ca="1">IF(SUM(E$235)&gt;=1,1,IF(SUM(G$235)&gt;=1,0,1))</f>
        <v>1</v>
      </c>
      <c r="R125" s="238">
        <f ca="1">IF(SUM(E$235)&gt;=1,1,IF(SUM(G$235)&gt;=1,1,IF(SUM(F$235)&gt;=1,1,IF(SUM(H$235)&gt;=1,0,1))))</f>
        <v>1</v>
      </c>
    </row>
    <row r="126" spans="2:18" x14ac:dyDescent="0.35">
      <c r="B126" s="101" t="str">
        <f>Modèle!B128</f>
        <v>Scripts</v>
      </c>
      <c r="C126" s="107" t="str">
        <f>Modèle!D128</f>
        <v>7.2.2</v>
      </c>
      <c r="D126" s="108" t="str">
        <f>Modèle!E128</f>
        <v>A</v>
      </c>
      <c r="E126" s="231">
        <f ca="1">COUNTIF(OFFSET(Synthèse!$G135,0,0,1,COUNTA(Synthèse!$10:$10)-6),"="&amp;$E$1)</f>
        <v>0</v>
      </c>
      <c r="F126" s="231">
        <f ca="1">COUNTIF(OFFSET(Synthèse!$G135,0,0,1,COUNTA(Synthèse!$10:$10)-6),"="&amp;$F$1)</f>
        <v>0</v>
      </c>
      <c r="G126" s="231">
        <f ca="1">COUNTIF(OFFSET(Synthèse!$G135,0,0,1,COUNTA(Synthèse!$10:$10)-6),"="&amp;$G$1)</f>
        <v>0</v>
      </c>
      <c r="H126" s="231">
        <f ca="1">COUNTIF(OFFSET(Synthèse!$G135,0,0,1,COUNTA(Synthèse!$10:$10)-6),"="&amp;$H$1)</f>
        <v>0</v>
      </c>
      <c r="I126" s="18">
        <f t="shared" ca="1" si="19"/>
        <v>0</v>
      </c>
      <c r="K126" s="123" t="s">
        <v>841</v>
      </c>
      <c r="L126" s="237" t="s">
        <v>24</v>
      </c>
      <c r="M126" s="237"/>
      <c r="N126" s="237" t="s">
        <v>608</v>
      </c>
      <c r="O126" s="238">
        <f ca="1">IF(SUM(E$236:E$236)&gt;=1,0,1)</f>
        <v>1</v>
      </c>
      <c r="P126" s="238">
        <f ca="1">IF(SUM(E$236)&gt;=1,1,IF(SUM(G$236)&gt;=1,1,IF(SUM(F$236)&gt;=1,0,1)))</f>
        <v>1</v>
      </c>
      <c r="Q126" s="238">
        <f ca="1">IF(SUM(E$236)&gt;=1,1,IF(SUM(G$236)&gt;=1,0,1))</f>
        <v>1</v>
      </c>
      <c r="R126" s="238">
        <f ca="1">IF(SUM(E$236)&gt;=1,1,IF(SUM(G$236)&gt;=1,1,IF(SUM(F$236)&gt;=1,1,IF(SUM(H$236)&gt;=1,0,1))))</f>
        <v>1</v>
      </c>
    </row>
    <row r="127" spans="2:18" x14ac:dyDescent="0.35">
      <c r="B127" s="102" t="str">
        <f>Modèle!B129</f>
        <v>Scripts</v>
      </c>
      <c r="C127" s="109" t="str">
        <f>Modèle!D129</f>
        <v>7.3.1</v>
      </c>
      <c r="D127" s="110" t="str">
        <f>Modèle!E129</f>
        <v>A</v>
      </c>
      <c r="E127" s="232">
        <f ca="1">COUNTIF(OFFSET(Synthèse!$G136,0,0,1,COUNTA(Synthèse!$10:$10)-6),"="&amp;$E$1)</f>
        <v>0</v>
      </c>
      <c r="F127" s="232">
        <f ca="1">COUNTIF(OFFSET(Synthèse!$G136,0,0,1,COUNTA(Synthèse!$10:$10)-6),"="&amp;$F$1)</f>
        <v>0</v>
      </c>
      <c r="G127" s="232">
        <f ca="1">COUNTIF(OFFSET(Synthèse!$G136,0,0,1,COUNTA(Synthèse!$10:$10)-6),"="&amp;$G$1)</f>
        <v>0</v>
      </c>
      <c r="H127" s="232">
        <f ca="1">COUNTIF(OFFSET(Synthèse!$G136,0,0,1,COUNTA(Synthèse!$10:$10)-6),"="&amp;$H$1)</f>
        <v>0</v>
      </c>
      <c r="I127" s="18">
        <f t="shared" ca="1" si="19"/>
        <v>0</v>
      </c>
      <c r="K127" s="123" t="s">
        <v>842</v>
      </c>
      <c r="L127" s="237" t="s">
        <v>24</v>
      </c>
      <c r="M127" s="237"/>
      <c r="N127" s="237" t="s">
        <v>609</v>
      </c>
      <c r="O127" s="238">
        <f ca="1">IF(SUM(E$237:E$237)&gt;=1,0,1)</f>
        <v>1</v>
      </c>
      <c r="P127" s="238">
        <f ca="1">IF(SUM(E$237)&gt;=1,1,IF(SUM(G$237)&gt;=1,1,IF(SUM(F$237)&gt;=1,0,1)))</f>
        <v>1</v>
      </c>
      <c r="Q127" s="238">
        <f ca="1">IF(SUM(E$237)&gt;=1,1,IF(SUM(G$237)&gt;=1,0,1))</f>
        <v>1</v>
      </c>
      <c r="R127" s="238">
        <f ca="1">IF(SUM(E$237)&gt;=1,1,IF(SUM(G$237)&gt;=1,1,IF(SUM(F$237)&gt;=1,1,IF(SUM(H$237)&gt;=1,0,1))))</f>
        <v>1</v>
      </c>
    </row>
    <row r="128" spans="2:18" x14ac:dyDescent="0.35">
      <c r="B128" s="102" t="str">
        <f>Modèle!B130</f>
        <v>Scripts</v>
      </c>
      <c r="C128" s="109" t="str">
        <f>Modèle!D130</f>
        <v>7.3.2</v>
      </c>
      <c r="D128" s="110" t="str">
        <f>Modèle!E130</f>
        <v>A</v>
      </c>
      <c r="E128" s="232">
        <f ca="1">COUNTIF(OFFSET(Synthèse!$G137,0,0,1,COUNTA(Synthèse!$10:$10)-6),"="&amp;$E$1)</f>
        <v>0</v>
      </c>
      <c r="F128" s="232">
        <f ca="1">COUNTIF(OFFSET(Synthèse!$G137,0,0,1,COUNTA(Synthèse!$10:$10)-6),"="&amp;$F$1)</f>
        <v>0</v>
      </c>
      <c r="G128" s="232">
        <f ca="1">COUNTIF(OFFSET(Synthèse!$G137,0,0,1,COUNTA(Synthèse!$10:$10)-6),"="&amp;$G$1)</f>
        <v>0</v>
      </c>
      <c r="H128" s="232">
        <f ca="1">COUNTIF(OFFSET(Synthèse!$G137,0,0,1,COUNTA(Synthèse!$10:$10)-6),"="&amp;$H$1)</f>
        <v>0</v>
      </c>
      <c r="I128" s="18">
        <f t="shared" ca="1" si="19"/>
        <v>0</v>
      </c>
      <c r="K128" s="123" t="s">
        <v>843</v>
      </c>
      <c r="L128" s="235" t="s">
        <v>24</v>
      </c>
      <c r="M128" s="235"/>
      <c r="N128" s="235" t="s">
        <v>610</v>
      </c>
      <c r="O128" s="236">
        <f ca="1">IF(SUM(E$238:E$241)&gt;=1,0,1)</f>
        <v>1</v>
      </c>
      <c r="P128" s="236">
        <f ca="1">IF(SUM(E$238:E$241)&gt;=1,1,IF(SUM(G$238:G$241)&gt;=1,1,IF(SUM(F$238:F$241)&gt;=1,0,1)))</f>
        <v>1</v>
      </c>
      <c r="Q128" s="236">
        <f ca="1">IF(SUM(E$238:E$241)&gt;=1,1,IF(SUM(G$238:G$241)&gt;=1,0,1))</f>
        <v>1</v>
      </c>
      <c r="R128" s="236">
        <f ca="1">IF(SUM(E$238:E$241)&gt;=1,1,IF(SUM(G$238:G$241)&gt;=1,1,IF(SUM(F$238:F$241)&gt;=1,1,IF(SUM(H$238:H$241)&gt;=1,0,1))))</f>
        <v>1</v>
      </c>
    </row>
    <row r="129" spans="2:18" x14ac:dyDescent="0.35">
      <c r="B129" s="101" t="str">
        <f>Modèle!B131</f>
        <v>Scripts</v>
      </c>
      <c r="C129" s="107" t="str">
        <f>Modèle!D131</f>
        <v>7.4.1</v>
      </c>
      <c r="D129" s="108" t="str">
        <f>Modèle!E131</f>
        <v>A</v>
      </c>
      <c r="E129" s="231">
        <f ca="1">COUNTIF(OFFSET(Synthèse!$G138,0,0,1,COUNTA(Synthèse!$10:$10)-6),"="&amp;$E$1)</f>
        <v>0</v>
      </c>
      <c r="F129" s="231">
        <f ca="1">COUNTIF(OFFSET(Synthèse!$G138,0,0,1,COUNTA(Synthèse!$10:$10)-6),"="&amp;$F$1)</f>
        <v>0</v>
      </c>
      <c r="G129" s="231">
        <f ca="1">COUNTIF(OFFSET(Synthèse!$G138,0,0,1,COUNTA(Synthèse!$10:$10)-6),"="&amp;$G$1)</f>
        <v>0</v>
      </c>
      <c r="H129" s="231">
        <f ca="1">COUNTIF(OFFSET(Synthèse!$G138,0,0,1,COUNTA(Synthèse!$10:$10)-6),"="&amp;$H$1)</f>
        <v>0</v>
      </c>
      <c r="I129" s="18">
        <f t="shared" ca="1" si="19"/>
        <v>0</v>
      </c>
      <c r="K129" s="123" t="s">
        <v>844</v>
      </c>
      <c r="L129" s="235" t="s">
        <v>24</v>
      </c>
      <c r="M129" s="235"/>
      <c r="N129" s="235" t="s">
        <v>611</v>
      </c>
      <c r="O129" s="236">
        <f ca="1">IF(SUM(E$242:E$242)&gt;=1,0,1)</f>
        <v>1</v>
      </c>
      <c r="P129" s="236">
        <f ca="1">IF(SUM(E$242)&gt;=1,1,IF(SUM(G$242)&gt;=1,1,IF(SUM(F$242)&gt;=1,0,1)))</f>
        <v>1</v>
      </c>
      <c r="Q129" s="236">
        <f ca="1">IF(SUM(E$242)&gt;=1,1,IF(SUM(G$242)&gt;=1,0,1))</f>
        <v>1</v>
      </c>
      <c r="R129" s="236">
        <f ca="1">IF(SUM(E$242)&gt;=1,1,IF(SUM(G$242)&gt;=1,1,IF(SUM(F$242)&gt;=1,1,IF(SUM(H$242)&gt;=1,0,1))))</f>
        <v>1</v>
      </c>
    </row>
    <row r="130" spans="2:18" x14ac:dyDescent="0.35">
      <c r="B130" s="102" t="str">
        <f>Modèle!B132</f>
        <v>Scripts</v>
      </c>
      <c r="C130" s="109" t="str">
        <f>Modèle!D132</f>
        <v>7.5.1</v>
      </c>
      <c r="D130" s="110" t="str">
        <f>Modèle!E132</f>
        <v>AA</v>
      </c>
      <c r="E130" s="232">
        <f ca="1">COUNTIF(OFFSET(Synthèse!$G139,0,0,1,COUNTA(Synthèse!$10:$10)-6),"="&amp;$E$1)</f>
        <v>0</v>
      </c>
      <c r="F130" s="232">
        <f ca="1">COUNTIF(OFFSET(Synthèse!$G139,0,0,1,COUNTA(Synthèse!$10:$10)-6),"="&amp;$F$1)</f>
        <v>0</v>
      </c>
      <c r="G130" s="232">
        <f ca="1">COUNTIF(OFFSET(Synthèse!$G139,0,0,1,COUNTA(Synthèse!$10:$10)-6),"="&amp;$G$1)</f>
        <v>0</v>
      </c>
      <c r="H130" s="232">
        <f ca="1">COUNTIF(OFFSET(Synthèse!$G139,0,0,1,COUNTA(Synthèse!$10:$10)-6),"="&amp;$H$1)</f>
        <v>0</v>
      </c>
      <c r="I130" s="18">
        <f ca="1">SUM(E130:H130)</f>
        <v>0</v>
      </c>
      <c r="K130" s="123" t="s">
        <v>845</v>
      </c>
      <c r="L130" s="235" t="s">
        <v>24</v>
      </c>
      <c r="M130" s="235"/>
      <c r="N130" s="235" t="s">
        <v>612</v>
      </c>
      <c r="O130" s="236">
        <f ca="1">IF(SUM(E$243:E$243)&gt;=1,0,1)</f>
        <v>1</v>
      </c>
      <c r="P130" s="236">
        <f ca="1">IF(SUM(E$243)&gt;=1,1,IF(SUM(G$243)&gt;=1,1,IF(SUM(F$243)&gt;=1,0,1)))</f>
        <v>1</v>
      </c>
      <c r="Q130" s="236">
        <f ca="1">IF(SUM(E$243)&gt;=1,1,IF(SUM(G$243)&gt;=1,0,1))</f>
        <v>1</v>
      </c>
      <c r="R130" s="236">
        <f ca="1">IF(SUM(E$243)&gt;=1,1,IF(SUM(G$243)&gt;=1,1,IF(SUM(F$243)&gt;=1,1,IF(SUM(H$243)&gt;=1,0,1))))</f>
        <v>1</v>
      </c>
    </row>
    <row r="131" spans="2:18" x14ac:dyDescent="0.35">
      <c r="B131" s="102" t="str">
        <f>Modèle!B133</f>
        <v>Scripts</v>
      </c>
      <c r="C131" s="109" t="str">
        <f>Modèle!D133</f>
        <v>7.5.2</v>
      </c>
      <c r="D131" s="110" t="str">
        <f>Modèle!E133</f>
        <v>AA</v>
      </c>
      <c r="E131" s="232">
        <f ca="1">COUNTIF(OFFSET(Synthèse!$G140,0,0,1,COUNTA(Synthèse!$10:$10)-6),"="&amp;$E$1)</f>
        <v>0</v>
      </c>
      <c r="F131" s="232">
        <f ca="1">COUNTIF(OFFSET(Synthèse!$G140,0,0,1,COUNTA(Synthèse!$10:$10)-6),"="&amp;$F$1)</f>
        <v>0</v>
      </c>
      <c r="G131" s="232">
        <f ca="1">COUNTIF(OFFSET(Synthèse!$G140,0,0,1,COUNTA(Synthèse!$10:$10)-6),"="&amp;$G$1)</f>
        <v>0</v>
      </c>
      <c r="H131" s="232">
        <f ca="1">COUNTIF(OFFSET(Synthèse!$G140,0,0,1,COUNTA(Synthèse!$10:$10)-6),"="&amp;$H$1)</f>
        <v>0</v>
      </c>
      <c r="I131" s="18">
        <f t="shared" ca="1" si="19"/>
        <v>0</v>
      </c>
      <c r="K131" s="123" t="s">
        <v>846</v>
      </c>
      <c r="L131" s="235" t="s">
        <v>24</v>
      </c>
      <c r="M131" s="235"/>
      <c r="N131" s="235" t="s">
        <v>613</v>
      </c>
      <c r="O131" s="236">
        <f ca="1">IF(SUM(E$244:E$244)&gt;=1,0,1)</f>
        <v>1</v>
      </c>
      <c r="P131" s="236">
        <f ca="1">IF(SUM(E$244)&gt;=1,1,IF(SUM(G$244)&gt;=1,1,IF(SUM(F$244)&gt;=1,0,1)))</f>
        <v>1</v>
      </c>
      <c r="Q131" s="236">
        <f ca="1">IF(SUM(E$244)&gt;=1,1,IF(SUM(G$244)&gt;=1,0,1))</f>
        <v>1</v>
      </c>
      <c r="R131" s="236">
        <f ca="1">IF(SUM(E$244)&gt;=1,1,IF(SUM(G$244)&gt;=1,1,IF(SUM(F$244)&gt;=1,1,IF(SUM(H$244)&gt;=1,0,1))))</f>
        <v>1</v>
      </c>
    </row>
    <row r="132" spans="2:18" x14ac:dyDescent="0.35">
      <c r="B132" s="102" t="str">
        <f>Modèle!B134</f>
        <v>Scripts</v>
      </c>
      <c r="C132" s="109" t="str">
        <f>Modèle!D134</f>
        <v>7.5.3</v>
      </c>
      <c r="D132" s="110" t="str">
        <f>Modèle!E134</f>
        <v>AA</v>
      </c>
      <c r="E132" s="232">
        <f ca="1">COUNTIF(OFFSET(Synthèse!$G141,0,0,1,COUNTA(Synthèse!$10:$10)-6),"="&amp;$E$1)</f>
        <v>0</v>
      </c>
      <c r="F132" s="232">
        <f ca="1">COUNTIF(OFFSET(Synthèse!$G141,0,0,1,COUNTA(Synthèse!$10:$10)-6),"="&amp;$F$1)</f>
        <v>0</v>
      </c>
      <c r="G132" s="232">
        <f ca="1">COUNTIF(OFFSET(Synthèse!$G141,0,0,1,COUNTA(Synthèse!$10:$10)-6),"="&amp;$G$1)</f>
        <v>0</v>
      </c>
      <c r="H132" s="232">
        <f ca="1">COUNTIF(OFFSET(Synthèse!$G141,0,0,1,COUNTA(Synthèse!$10:$10)-6),"="&amp;$H$1)</f>
        <v>0</v>
      </c>
      <c r="I132" s="18">
        <f t="shared" ca="1" si="19"/>
        <v>0</v>
      </c>
      <c r="K132" s="123" t="s">
        <v>847</v>
      </c>
      <c r="L132" s="235" t="s">
        <v>24</v>
      </c>
      <c r="M132" s="235"/>
      <c r="N132" s="235" t="s">
        <v>614</v>
      </c>
      <c r="O132" s="236">
        <f ca="1">IF(SUM(E$245:E$245)&gt;=1,0,1)</f>
        <v>1</v>
      </c>
      <c r="P132" s="236">
        <f ca="1">IF(SUM(E$245)&gt;=1,1,IF(SUM(G$245)&gt;=1,1,IF(SUM(F$245)&gt;=1,0,1)))</f>
        <v>1</v>
      </c>
      <c r="Q132" s="236">
        <f ca="1">IF(SUM(E$245)&gt;=1,1,IF(SUM(G$245)&gt;=1,0,1))</f>
        <v>1</v>
      </c>
      <c r="R132" s="236">
        <f ca="1">IF(SUM(E$245)&gt;=1,1,IF(SUM(G$245)&gt;=1,1,IF(SUM(F$245)&gt;=1,1,IF(SUM(H$245)&gt;=1,0,1))))</f>
        <v>1</v>
      </c>
    </row>
    <row r="133" spans="2:18" x14ac:dyDescent="0.35">
      <c r="B133" s="101" t="str">
        <f>Modèle!B135</f>
        <v>Éléments Obligatoires</v>
      </c>
      <c r="C133" s="107" t="str">
        <f>Modèle!D135</f>
        <v>8.1.1</v>
      </c>
      <c r="D133" s="108" t="str">
        <f>Modèle!E135</f>
        <v>A</v>
      </c>
      <c r="E133" s="231">
        <f ca="1">COUNTIF(OFFSET(Synthèse!$G142,0,0,1,COUNTA(Synthèse!$10:$10)-6),"="&amp;$E$1)</f>
        <v>0</v>
      </c>
      <c r="F133" s="231">
        <f ca="1">COUNTIF(OFFSET(Synthèse!$G142,0,0,1,COUNTA(Synthèse!$10:$10)-6),"="&amp;$F$1)</f>
        <v>0</v>
      </c>
      <c r="G133" s="231">
        <f ca="1">COUNTIF(OFFSET(Synthèse!$G142,0,0,1,COUNTA(Synthèse!$10:$10)-6),"="&amp;$G$1)</f>
        <v>0</v>
      </c>
      <c r="H133" s="231">
        <f ca="1">COUNTIF(OFFSET(Synthèse!$G142,0,0,1,COUNTA(Synthèse!$10:$10)-6),"="&amp;$H$1)</f>
        <v>0</v>
      </c>
      <c r="I133" s="18">
        <f t="shared" ca="1" si="19"/>
        <v>0</v>
      </c>
      <c r="K133" s="123" t="s">
        <v>848</v>
      </c>
      <c r="L133" s="235" t="s">
        <v>24</v>
      </c>
      <c r="M133" s="235"/>
      <c r="N133" s="235" t="s">
        <v>615</v>
      </c>
      <c r="O133" s="236">
        <f ca="1">IF(SUM(E$246:E$246)&gt;=1,0,1)</f>
        <v>1</v>
      </c>
      <c r="P133" s="236">
        <f ca="1">IF(SUM(E$246)&gt;=1,1,IF(SUM(G$246)&gt;=1,1,IF(SUM(F$246)&gt;=1,0,1)))</f>
        <v>1</v>
      </c>
      <c r="Q133" s="236">
        <f ca="1">IF(SUM(E$246)&gt;=1,1,IF(SUM(G$246)&gt;=1,0,1))</f>
        <v>1</v>
      </c>
      <c r="R133" s="236">
        <f ca="1">IF(SUM(E$246)&gt;=1,1,IF(SUM(G$246)&gt;=1,1,IF(SUM(F$246)&gt;=1,1,IF(SUM(H$246)&gt;=1,0,1))))</f>
        <v>1</v>
      </c>
    </row>
    <row r="134" spans="2:18" x14ac:dyDescent="0.35">
      <c r="B134" s="101" t="str">
        <f>Modèle!B136</f>
        <v>Éléments Obligatoires</v>
      </c>
      <c r="C134" s="107" t="str">
        <f>Modèle!D136</f>
        <v>8.1.2</v>
      </c>
      <c r="D134" s="108" t="str">
        <f>Modèle!E136</f>
        <v>A</v>
      </c>
      <c r="E134" s="231">
        <f ca="1">COUNTIF(OFFSET(Synthèse!$G143,0,0,1,COUNTA(Synthèse!$10:$10)-6),"="&amp;$E$1)</f>
        <v>0</v>
      </c>
      <c r="F134" s="231">
        <f ca="1">COUNTIF(OFFSET(Synthèse!$G143,0,0,1,COUNTA(Synthèse!$10:$10)-6),"="&amp;$F$1)</f>
        <v>0</v>
      </c>
      <c r="G134" s="231">
        <f ca="1">COUNTIF(OFFSET(Synthèse!$G143,0,0,1,COUNTA(Synthèse!$10:$10)-6),"="&amp;$G$1)</f>
        <v>0</v>
      </c>
      <c r="H134" s="231">
        <f ca="1">COUNTIF(OFFSET(Synthèse!$G143,0,0,1,COUNTA(Synthèse!$10:$10)-6),"="&amp;$H$1)</f>
        <v>0</v>
      </c>
      <c r="I134" s="18">
        <f t="shared" ref="I134:I197" ca="1" si="20">SUM(E134:H134)</f>
        <v>0</v>
      </c>
      <c r="K134" s="123" t="s">
        <v>849</v>
      </c>
      <c r="L134" s="235" t="s">
        <v>24</v>
      </c>
      <c r="M134" s="235"/>
      <c r="N134" s="235" t="s">
        <v>616</v>
      </c>
      <c r="O134" s="236">
        <f ca="1">IF(SUM(E$247:E$249)&gt;=1,0,1)</f>
        <v>1</v>
      </c>
      <c r="P134" s="236">
        <f ca="1">IF(SUM(E$247:E$249)&gt;=1,1,IF(SUM(G$247:G$249)&gt;=1,1,IF(SUM(F$247:F$249)&gt;=1,0,1)))</f>
        <v>1</v>
      </c>
      <c r="Q134" s="236">
        <f ca="1">IF(SUM(E$247:E$249)&gt;=1,1,IF(SUM(G$247:G$249)&gt;=1,0,1))</f>
        <v>1</v>
      </c>
      <c r="R134" s="236">
        <f ca="1">IF(SUM(E$247:E$249)&gt;=1,1,IF(SUM(G$247:G$249)&gt;=1,1,IF(SUM(F$247:F$249)&gt;=1,1,IF(SUM(H$247:H$249)&gt;=1,0,1))))</f>
        <v>1</v>
      </c>
    </row>
    <row r="135" spans="2:18" x14ac:dyDescent="0.35">
      <c r="B135" s="101" t="str">
        <f>Modèle!B137</f>
        <v>Éléments Obligatoires</v>
      </c>
      <c r="C135" s="107" t="str">
        <f>Modèle!D137</f>
        <v>8.1.3</v>
      </c>
      <c r="D135" s="108" t="str">
        <f>Modèle!E137</f>
        <v>A</v>
      </c>
      <c r="E135" s="231">
        <f ca="1">COUNTIF(OFFSET(Synthèse!$G144,0,0,1,COUNTA(Synthèse!$10:$10)-6),"="&amp;$E$1)</f>
        <v>0</v>
      </c>
      <c r="F135" s="231">
        <f ca="1">COUNTIF(OFFSET(Synthèse!$G144,0,0,1,COUNTA(Synthèse!$10:$10)-6),"="&amp;$F$1)</f>
        <v>0</v>
      </c>
      <c r="G135" s="231">
        <f ca="1">COUNTIF(OFFSET(Synthèse!$G144,0,0,1,COUNTA(Synthèse!$10:$10)-6),"="&amp;$G$1)</f>
        <v>0</v>
      </c>
      <c r="H135" s="231">
        <f ca="1">COUNTIF(OFFSET(Synthèse!$G144,0,0,1,COUNTA(Synthèse!$10:$10)-6),"="&amp;$H$1)</f>
        <v>0</v>
      </c>
      <c r="I135" s="18">
        <f t="shared" ca="1" si="20"/>
        <v>0</v>
      </c>
      <c r="K135" s="123" t="s">
        <v>850</v>
      </c>
      <c r="L135" s="235" t="s">
        <v>24</v>
      </c>
      <c r="M135" s="235"/>
      <c r="N135" s="235" t="s">
        <v>617</v>
      </c>
      <c r="O135" s="236">
        <f ca="1">IF(SUM(E$250:E$251)&gt;=1,0,1)</f>
        <v>1</v>
      </c>
      <c r="P135" s="236">
        <f ca="1">IF(SUM(E$250:E$251)&gt;=1,1,IF(SUM(G$250:G$251)&gt;=1,1,IF(SUM(F$250:F$251)&gt;=1,0,1)))</f>
        <v>1</v>
      </c>
      <c r="Q135" s="236">
        <f ca="1">IF(SUM(E$250:E$251)&gt;=1,1,IF(SUM(G$250:G$251)&gt;=1,0,1))</f>
        <v>1</v>
      </c>
      <c r="R135" s="236">
        <f ca="1">IF(SUM(E$250:E$251)&gt;=1,1,IF(SUM(G$250:G$251)&gt;=1,1,IF(SUM(F$250:F$251)&gt;=1,1,IF(SUM(H$250:H$251)&gt;=1,0,1))))</f>
        <v>1</v>
      </c>
    </row>
    <row r="136" spans="2:18" x14ac:dyDescent="0.35">
      <c r="B136" s="102" t="str">
        <f>Modèle!B138</f>
        <v>Éléments Obligatoires</v>
      </c>
      <c r="C136" s="109" t="str">
        <f>Modèle!D138</f>
        <v>8.2.1</v>
      </c>
      <c r="D136" s="110" t="str">
        <f>Modèle!E138</f>
        <v>A</v>
      </c>
      <c r="E136" s="232">
        <f ca="1">COUNTIF(OFFSET(Synthèse!$G145,0,0,1,COUNTA(Synthèse!$10:$10)-6),"="&amp;$E$1)</f>
        <v>0</v>
      </c>
      <c r="F136" s="232">
        <f ca="1">COUNTIF(OFFSET(Synthèse!$G145,0,0,1,COUNTA(Synthèse!$10:$10)-6),"="&amp;$F$1)</f>
        <v>0</v>
      </c>
      <c r="G136" s="232">
        <f ca="1">COUNTIF(OFFSET(Synthèse!$G145,0,0,1,COUNTA(Synthèse!$10:$10)-6),"="&amp;$G$1)</f>
        <v>0</v>
      </c>
      <c r="H136" s="232">
        <f ca="1">COUNTIF(OFFSET(Synthèse!$G145,0,0,1,COUNTA(Synthèse!$10:$10)-6),"="&amp;$H$1)</f>
        <v>0</v>
      </c>
      <c r="I136" s="18">
        <f t="shared" ca="1" si="20"/>
        <v>0</v>
      </c>
      <c r="K136" s="123" t="s">
        <v>851</v>
      </c>
      <c r="L136" s="235" t="s">
        <v>25</v>
      </c>
      <c r="M136" s="235"/>
      <c r="N136" s="235" t="s">
        <v>618</v>
      </c>
      <c r="O136" s="236">
        <f ca="1">IF(SUM(E$252:E$252)&gt;=1,0,1)</f>
        <v>1</v>
      </c>
      <c r="P136" s="236">
        <f ca="1">IF(SUM(E$252)&gt;=1,1,IF(SUM(G$252)&gt;=1,1,IF(SUM(F$252)&gt;=1,0,1)))</f>
        <v>1</v>
      </c>
      <c r="Q136" s="236">
        <f ca="1">IF(SUM(E$252)&gt;=1,1,IF(SUM(G$252)&gt;=1,0,1))</f>
        <v>1</v>
      </c>
      <c r="R136" s="236">
        <f ca="1">IF(SUM(E$252)&gt;=1,1,IF(SUM(G$252)&gt;=1,1,IF(SUM(F$252)&gt;=1,1,IF(SUM(H$252)&gt;=1,0,1))))</f>
        <v>1</v>
      </c>
    </row>
    <row r="137" spans="2:18" x14ac:dyDescent="0.35">
      <c r="B137" s="101" t="str">
        <f>Modèle!B139</f>
        <v>Éléments Obligatoires</v>
      </c>
      <c r="C137" s="107" t="str">
        <f>Modèle!D139</f>
        <v>8.3.1</v>
      </c>
      <c r="D137" s="108" t="str">
        <f>Modèle!E139</f>
        <v>A</v>
      </c>
      <c r="E137" s="231">
        <f ca="1">COUNTIF(OFFSET(Synthèse!$G146,0,0,1,COUNTA(Synthèse!$10:$10)-6),"="&amp;$E$1)</f>
        <v>0</v>
      </c>
      <c r="F137" s="231">
        <f ca="1">COUNTIF(OFFSET(Synthèse!$G146,0,0,1,COUNTA(Synthèse!$10:$10)-6),"="&amp;$F$1)</f>
        <v>0</v>
      </c>
      <c r="G137" s="231">
        <f ca="1">COUNTIF(OFFSET(Synthèse!$G146,0,0,1,COUNTA(Synthèse!$10:$10)-6),"="&amp;$G$1)</f>
        <v>0</v>
      </c>
      <c r="H137" s="231">
        <f ca="1">COUNTIF(OFFSET(Synthèse!$G146,0,0,1,COUNTA(Synthèse!$10:$10)-6),"="&amp;$H$1)</f>
        <v>0</v>
      </c>
      <c r="I137" s="18">
        <f t="shared" ca="1" si="20"/>
        <v>0</v>
      </c>
      <c r="K137" s="123" t="s">
        <v>852</v>
      </c>
      <c r="L137" s="235" t="s">
        <v>24</v>
      </c>
      <c r="M137" s="235"/>
      <c r="N137" s="235" t="s">
        <v>619</v>
      </c>
      <c r="O137" s="236">
        <f ca="1">IF(SUM(E$253:E$254)&gt;=1,0,1)</f>
        <v>1</v>
      </c>
      <c r="P137" s="236">
        <f ca="1">IF(SUM(E$253:E$254)&gt;=1,1,IF(SUM(G$253:G$254)&gt;=1,1,IF(SUM(F$253:F$254)&gt;=1,0,1)))</f>
        <v>1</v>
      </c>
      <c r="Q137" s="236">
        <f ca="1">IF(SUM(E$253:E$254)&gt;=1,1,IF(SUM(G$253:G$254)&gt;=1,0,1))</f>
        <v>1</v>
      </c>
      <c r="R137" s="236">
        <f ca="1">IF(SUM(E$253:E$254)&gt;=1,1,IF(SUM(G$253:G$254)&gt;=1,1,IF(SUM(F$253:F$254)&gt;=1,1,IF(SUM(H$253:H$254)&gt;=1,0,1))))</f>
        <v>1</v>
      </c>
    </row>
    <row r="138" spans="2:18" x14ac:dyDescent="0.35">
      <c r="B138" s="102" t="str">
        <f>Modèle!B140</f>
        <v>Éléments Obligatoires</v>
      </c>
      <c r="C138" s="109" t="str">
        <f>Modèle!D140</f>
        <v>8.4.1</v>
      </c>
      <c r="D138" s="110" t="str">
        <f>Modèle!E140</f>
        <v>A</v>
      </c>
      <c r="E138" s="232">
        <f ca="1">COUNTIF(OFFSET(Synthèse!$G147,0,0,1,COUNTA(Synthèse!$10:$10)-6),"="&amp;$E$1)</f>
        <v>0</v>
      </c>
      <c r="F138" s="232">
        <f ca="1">COUNTIF(OFFSET(Synthèse!$G147,0,0,1,COUNTA(Synthèse!$10:$10)-6),"="&amp;$F$1)</f>
        <v>0</v>
      </c>
      <c r="G138" s="232">
        <f ca="1">COUNTIF(OFFSET(Synthèse!$G147,0,0,1,COUNTA(Synthèse!$10:$10)-6),"="&amp;$G$1)</f>
        <v>0</v>
      </c>
      <c r="H138" s="232">
        <f ca="1">COUNTIF(OFFSET(Synthèse!$G147,0,0,1,COUNTA(Synthèse!$10:$10)-6),"="&amp;$H$1)</f>
        <v>0</v>
      </c>
      <c r="I138" s="18">
        <f t="shared" ca="1" si="20"/>
        <v>0</v>
      </c>
      <c r="K138" s="123" t="s">
        <v>853</v>
      </c>
      <c r="L138" s="235" t="s">
        <v>24</v>
      </c>
      <c r="M138" s="235"/>
      <c r="N138" s="235" t="s">
        <v>620</v>
      </c>
      <c r="O138" s="236">
        <f ca="1">IF(SUM(E$255:E$255)&gt;=1,0,1)</f>
        <v>1</v>
      </c>
      <c r="P138" s="236">
        <f ca="1">IF(SUM(E$255)&gt;=1,1,IF(SUM(G$255)&gt;=1,1,IF(SUM(F$255)&gt;=1,0,1)))</f>
        <v>1</v>
      </c>
      <c r="Q138" s="236">
        <f ca="1">IF(SUM(E$255)&gt;=1,1,IF(SUM(G$255)&gt;=1,0,1))</f>
        <v>1</v>
      </c>
      <c r="R138" s="236">
        <f ca="1">IF(SUM(E$255)&gt;=1,1,IF(SUM(G$255)&gt;=1,1,IF(SUM(F$255)&gt;=1,1,IF(SUM(H$255)&gt;=1,0,1))))</f>
        <v>1</v>
      </c>
    </row>
    <row r="139" spans="2:18" x14ac:dyDescent="0.35">
      <c r="B139" s="101" t="str">
        <f>Modèle!B141</f>
        <v>Éléments Obligatoires</v>
      </c>
      <c r="C139" s="107" t="str">
        <f>Modèle!D141</f>
        <v>8.5.1</v>
      </c>
      <c r="D139" s="108" t="str">
        <f>Modèle!E141</f>
        <v>A</v>
      </c>
      <c r="E139" s="231">
        <f ca="1">COUNTIF(OFFSET(Synthèse!$G148,0,0,1,COUNTA(Synthèse!$10:$10)-6),"="&amp;$E$1)</f>
        <v>0</v>
      </c>
      <c r="F139" s="231">
        <f ca="1">COUNTIF(OFFSET(Synthèse!$G148,0,0,1,COUNTA(Synthèse!$10:$10)-6),"="&amp;$F$1)</f>
        <v>0</v>
      </c>
      <c r="G139" s="231">
        <f ca="1">COUNTIF(OFFSET(Synthèse!$G148,0,0,1,COUNTA(Synthèse!$10:$10)-6),"="&amp;$G$1)</f>
        <v>0</v>
      </c>
      <c r="H139" s="231">
        <f ca="1">COUNTIF(OFFSET(Synthèse!$G148,0,0,1,COUNTA(Synthèse!$10:$10)-6),"="&amp;$H$1)</f>
        <v>0</v>
      </c>
      <c r="I139" s="18">
        <f t="shared" ca="1" si="20"/>
        <v>0</v>
      </c>
      <c r="K139" s="123" t="s">
        <v>854</v>
      </c>
      <c r="L139" s="235" t="s">
        <v>24</v>
      </c>
      <c r="M139" s="235"/>
      <c r="N139" s="235" t="s">
        <v>621</v>
      </c>
      <c r="O139" s="236">
        <f ca="1">IF(SUM(E$256:E$258)&gt;=1,0,1)</f>
        <v>1</v>
      </c>
      <c r="P139" s="236">
        <f ca="1">IF(SUM(E$256:E$258)&gt;=1,1,IF(SUM(G$256:G$258)&gt;=1,1,IF(SUM(F$256:F$258)&gt;=1,0,1)))</f>
        <v>1</v>
      </c>
      <c r="Q139" s="236">
        <f ca="1">IF(SUM(E$256:E$258)&gt;=1,1,IF(SUM(G$256:G$258)&gt;=1,0,1))</f>
        <v>1</v>
      </c>
      <c r="R139" s="236">
        <f ca="1">IF(SUM(E$256:E$258)&gt;=1,1,IF(SUM(G$256:G$258)&gt;=1,1,IF(SUM(F$256:F$258)&gt;=1,1,IF(SUM(H$256:H$258)&gt;=1,0,1))))</f>
        <v>1</v>
      </c>
    </row>
    <row r="140" spans="2:18" x14ac:dyDescent="0.35">
      <c r="B140" s="102" t="str">
        <f>Modèle!B142</f>
        <v>Éléments Obligatoires</v>
      </c>
      <c r="C140" s="109" t="str">
        <f>Modèle!D142</f>
        <v>8.6.1</v>
      </c>
      <c r="D140" s="110" t="str">
        <f>Modèle!E142</f>
        <v>A</v>
      </c>
      <c r="E140" s="232">
        <f ca="1">COUNTIF(OFFSET(Synthèse!$G149,0,0,1,COUNTA(Synthèse!$10:$10)-6),"="&amp;$E$1)</f>
        <v>0</v>
      </c>
      <c r="F140" s="232">
        <f ca="1">COUNTIF(OFFSET(Synthèse!$G149,0,0,1,COUNTA(Synthèse!$10:$10)-6),"="&amp;$F$1)</f>
        <v>0</v>
      </c>
      <c r="G140" s="232">
        <f ca="1">COUNTIF(OFFSET(Synthèse!$G149,0,0,1,COUNTA(Synthèse!$10:$10)-6),"="&amp;$G$1)</f>
        <v>0</v>
      </c>
      <c r="H140" s="232">
        <f ca="1">COUNTIF(OFFSET(Synthèse!$G149,0,0,1,COUNTA(Synthèse!$10:$10)-6),"="&amp;$H$1)</f>
        <v>0</v>
      </c>
      <c r="I140" s="18">
        <f t="shared" ca="1" si="20"/>
        <v>0</v>
      </c>
      <c r="N140" s="239" t="s">
        <v>622</v>
      </c>
      <c r="O140" s="239">
        <f ca="1">COUNTIFS(O$34:O$139,"=0")</f>
        <v>0</v>
      </c>
      <c r="P140" s="239">
        <f ca="1">106-SUM(P34:P139)</f>
        <v>0</v>
      </c>
      <c r="Q140" s="239">
        <f ca="1">106-SUM(Q34:Q139)</f>
        <v>0</v>
      </c>
      <c r="R140" s="239">
        <f ca="1">106-SUM(R34:R139)</f>
        <v>0</v>
      </c>
    </row>
    <row r="141" spans="2:18" x14ac:dyDescent="0.35">
      <c r="B141" s="101" t="str">
        <f>Modèle!B143</f>
        <v>Éléments Obligatoires</v>
      </c>
      <c r="C141" s="107" t="str">
        <f>Modèle!D143</f>
        <v>8.7.1</v>
      </c>
      <c r="D141" s="108" t="str">
        <f>Modèle!E143</f>
        <v>AA</v>
      </c>
      <c r="E141" s="231">
        <f ca="1">COUNTIF(OFFSET(Synthèse!$G150,0,0,1,COUNTA(Synthèse!$10:$10)-6),"="&amp;$E$1)</f>
        <v>0</v>
      </c>
      <c r="F141" s="231">
        <f ca="1">COUNTIF(OFFSET(Synthèse!$G150,0,0,1,COUNTA(Synthèse!$10:$10)-6),"="&amp;$F$1)</f>
        <v>0</v>
      </c>
      <c r="G141" s="231">
        <f ca="1">COUNTIF(OFFSET(Synthèse!$G150,0,0,1,COUNTA(Synthèse!$10:$10)-6),"="&amp;$G$1)</f>
        <v>0</v>
      </c>
      <c r="H141" s="231">
        <f ca="1">COUNTIF(OFFSET(Synthèse!$G150,0,0,1,COUNTA(Synthèse!$10:$10)-6),"="&amp;$H$1)</f>
        <v>0</v>
      </c>
      <c r="I141" s="18">
        <f t="shared" ca="1" si="20"/>
        <v>0</v>
      </c>
      <c r="N141" s="239" t="s">
        <v>504</v>
      </c>
      <c r="O141" s="239" t="e">
        <f ca="1">P140/(P140+O140)*100</f>
        <v>#DIV/0!</v>
      </c>
      <c r="P141" s="239" t="e">
        <f ca="1">O140/(P140+O140)*100</f>
        <v>#DIV/0!</v>
      </c>
      <c r="Q141" s="12"/>
      <c r="R141" s="12"/>
    </row>
    <row r="142" spans="2:18" x14ac:dyDescent="0.35">
      <c r="B142" s="102" t="str">
        <f>Modèle!B144</f>
        <v>Éléments Obligatoires</v>
      </c>
      <c r="C142" s="109" t="str">
        <f>Modèle!D144</f>
        <v>8.8.1</v>
      </c>
      <c r="D142" s="110" t="str">
        <f>Modèle!E144</f>
        <v>AA</v>
      </c>
      <c r="E142" s="232">
        <f ca="1">COUNTIF(OFFSET(Synthèse!$G151,0,0,1,COUNTA(Synthèse!$10:$10)-6),"="&amp;$E$1)</f>
        <v>0</v>
      </c>
      <c r="F142" s="232">
        <f ca="1">COUNTIF(OFFSET(Synthèse!$G151,0,0,1,COUNTA(Synthèse!$10:$10)-6),"="&amp;$F$1)</f>
        <v>0</v>
      </c>
      <c r="G142" s="232">
        <f ca="1">COUNTIF(OFFSET(Synthèse!$G151,0,0,1,COUNTA(Synthèse!$10:$10)-6),"="&amp;$G$1)</f>
        <v>0</v>
      </c>
      <c r="H142" s="232">
        <f ca="1">COUNTIF(OFFSET(Synthèse!$G151,0,0,1,COUNTA(Synthèse!$10:$10)-6),"="&amp;$H$1)</f>
        <v>0</v>
      </c>
      <c r="I142" s="18">
        <f t="shared" ca="1" si="20"/>
        <v>0</v>
      </c>
      <c r="L142" s="19" t="s">
        <v>512</v>
      </c>
      <c r="M142" s="19">
        <f>COUNTIF(M34:M139,"Niv1")</f>
        <v>0</v>
      </c>
      <c r="N142" s="100" t="s">
        <v>512</v>
      </c>
      <c r="O142" s="100">
        <f ca="1">COUNTIFS(O$34:O$139,"=0",$M$34:$M$139,"Niv1")</f>
        <v>0</v>
      </c>
      <c r="P142" s="100">
        <f ca="1">COUNTIFS(P$34:P$139,"=0",$M$34:$M$139,"Niv1")</f>
        <v>0</v>
      </c>
      <c r="Q142" s="100">
        <f ca="1">COUNTIFS(R$34:R$139,"=0",$M$34:$M$139,"Niv1")</f>
        <v>0</v>
      </c>
      <c r="R142" s="100"/>
    </row>
    <row r="143" spans="2:18" x14ac:dyDescent="0.35">
      <c r="B143" s="101" t="str">
        <f>Modèle!B145</f>
        <v>Éléments Obligatoires</v>
      </c>
      <c r="C143" s="107" t="str">
        <f>Modèle!D145</f>
        <v>8.9.1</v>
      </c>
      <c r="D143" s="108" t="str">
        <f>Modèle!E145</f>
        <v>A</v>
      </c>
      <c r="E143" s="231">
        <f ca="1">COUNTIF(OFFSET(Synthèse!$G152,0,0,1,COUNTA(Synthèse!$10:$10)-6),"="&amp;$E$1)</f>
        <v>0</v>
      </c>
      <c r="F143" s="231">
        <f ca="1">COUNTIF(OFFSET(Synthèse!$G152,0,0,1,COUNTA(Synthèse!$10:$10)-6),"="&amp;$F$1)</f>
        <v>0</v>
      </c>
      <c r="G143" s="231">
        <f ca="1">COUNTIF(OFFSET(Synthèse!$G152,0,0,1,COUNTA(Synthèse!$10:$10)-6),"="&amp;$G$1)</f>
        <v>0</v>
      </c>
      <c r="H143" s="231">
        <f ca="1">COUNTIF(OFFSET(Synthèse!$G152,0,0,1,COUNTA(Synthèse!$10:$10)-6),"="&amp;$H$1)</f>
        <v>0</v>
      </c>
      <c r="I143" s="18">
        <f t="shared" ca="1" si="20"/>
        <v>0</v>
      </c>
      <c r="L143" s="19" t="s">
        <v>514</v>
      </c>
      <c r="M143" s="19">
        <f>COUNTIF(M$34:M$139,"Niv2")</f>
        <v>0</v>
      </c>
      <c r="N143" s="100" t="s">
        <v>514</v>
      </c>
      <c r="O143" s="100">
        <f ca="1">COUNTIFS(O$34:O$139,"=0",$M$34:$M$139,"Niv2")</f>
        <v>0</v>
      </c>
      <c r="P143" s="100">
        <f ca="1">COUNTIFS(P$34:P$139,"=0",$M$34:$M$139,"Niv2")</f>
        <v>0</v>
      </c>
      <c r="Q143" s="100">
        <f ca="1">COUNTIFS(R$34:R$139,"=0",$M$34:$M$139,"Niv2")</f>
        <v>0</v>
      </c>
      <c r="R143" s="100"/>
    </row>
    <row r="144" spans="2:18" x14ac:dyDescent="0.35">
      <c r="B144" s="102" t="str">
        <f>Modèle!B146</f>
        <v>Éléments Obligatoires</v>
      </c>
      <c r="C144" s="109" t="str">
        <f>Modèle!D146</f>
        <v>8.10.1</v>
      </c>
      <c r="D144" s="110" t="str">
        <f>Modèle!E146</f>
        <v>A</v>
      </c>
      <c r="E144" s="232">
        <f ca="1">COUNTIF(OFFSET(Synthèse!$G153,0,0,1,COUNTA(Synthèse!$10:$10)-6),"="&amp;$E$1)</f>
        <v>0</v>
      </c>
      <c r="F144" s="232">
        <f ca="1">COUNTIF(OFFSET(Synthèse!$G153,0,0,1,COUNTA(Synthèse!$10:$10)-6),"="&amp;$F$1)</f>
        <v>0</v>
      </c>
      <c r="G144" s="232">
        <f ca="1">COUNTIF(OFFSET(Synthèse!$G153,0,0,1,COUNTA(Synthèse!$10:$10)-6),"="&amp;$G$1)</f>
        <v>0</v>
      </c>
      <c r="H144" s="232">
        <f ca="1">COUNTIF(OFFSET(Synthèse!$G153,0,0,1,COUNTA(Synthèse!$10:$10)-6),"="&amp;$H$1)</f>
        <v>0</v>
      </c>
      <c r="I144" s="18">
        <f t="shared" ca="1" si="20"/>
        <v>0</v>
      </c>
      <c r="L144" s="19" t="s">
        <v>521</v>
      </c>
      <c r="M144" s="19">
        <f>COUNTIF(M$34:M$139,"Niv3")</f>
        <v>0</v>
      </c>
      <c r="N144" s="100" t="s">
        <v>521</v>
      </c>
      <c r="O144" s="100">
        <f ca="1">COUNTIFS(O$34:O$139,"=0",$M$34:$M$139,"Niv3")</f>
        <v>0</v>
      </c>
      <c r="P144" s="100">
        <f ca="1">COUNTIFS(P$34:P$139,"=0",$M$34:$M$139,"Niv3")</f>
        <v>0</v>
      </c>
      <c r="Q144" s="100">
        <f ca="1">COUNTIFS(R$34:R$139,"=0",$M$34:$M$139,"Niv3")</f>
        <v>0</v>
      </c>
      <c r="R144" s="100"/>
    </row>
    <row r="145" spans="2:18" x14ac:dyDescent="0.35">
      <c r="B145" s="102" t="str">
        <f>Modèle!B147</f>
        <v>Éléments Obligatoires</v>
      </c>
      <c r="C145" s="109" t="str">
        <f>Modèle!D147</f>
        <v>8.10.2</v>
      </c>
      <c r="D145" s="110" t="str">
        <f>Modèle!E147</f>
        <v>A</v>
      </c>
      <c r="E145" s="232">
        <f ca="1">COUNTIF(OFFSET(Synthèse!$G154,0,0,1,COUNTA(Synthèse!$10:$10)-6),"="&amp;$E$1)</f>
        <v>0</v>
      </c>
      <c r="F145" s="232">
        <f ca="1">COUNTIF(OFFSET(Synthèse!$G154,0,0,1,COUNTA(Synthèse!$10:$10)-6),"="&amp;$F$1)</f>
        <v>0</v>
      </c>
      <c r="G145" s="232">
        <f ca="1">COUNTIF(OFFSET(Synthèse!$G154,0,0,1,COUNTA(Synthèse!$10:$10)-6),"="&amp;$G$1)</f>
        <v>0</v>
      </c>
      <c r="H145" s="232">
        <f ca="1">COUNTIF(OFFSET(Synthèse!$G154,0,0,1,COUNTA(Synthèse!$10:$10)-6),"="&amp;$H$1)</f>
        <v>0</v>
      </c>
      <c r="I145" s="18">
        <f t="shared" ca="1" si="20"/>
        <v>0</v>
      </c>
      <c r="L145" s="19" t="s">
        <v>523</v>
      </c>
      <c r="M145" s="19">
        <f>COUNTIF(M$34:M$139,"Niv5")</f>
        <v>0</v>
      </c>
      <c r="N145" s="100" t="s">
        <v>523</v>
      </c>
      <c r="O145" s="100">
        <f ca="1">COUNTIFS(O$34:O$139,"=0",$M$34:$M$139,"Niv5")</f>
        <v>0</v>
      </c>
      <c r="P145" s="100">
        <f ca="1">COUNTIFS(P$34:P$139,"=0",$M$34:$M$139,"Niv5")</f>
        <v>0</v>
      </c>
      <c r="Q145" s="100">
        <f ca="1">COUNTIFS(R$34:R$139,"=0",$M$34:$M$139,"Niv5")</f>
        <v>0</v>
      </c>
      <c r="R145" s="100"/>
    </row>
    <row r="146" spans="2:18" x14ac:dyDescent="0.35">
      <c r="B146" s="101" t="str">
        <f>Modèle!B148</f>
        <v>Structuration de l'information</v>
      </c>
      <c r="C146" s="107" t="str">
        <f>Modèle!D148</f>
        <v>9.1.1</v>
      </c>
      <c r="D146" s="108" t="str">
        <f>Modèle!E148</f>
        <v>A</v>
      </c>
      <c r="E146" s="231">
        <f ca="1">COUNTIF(OFFSET(Synthèse!$G155,0,0,1,COUNTA(Synthèse!$10:$10)-6),"="&amp;$E$1)</f>
        <v>0</v>
      </c>
      <c r="F146" s="231">
        <f ca="1">COUNTIF(OFFSET(Synthèse!$G155,0,0,1,COUNTA(Synthèse!$10:$10)-6),"="&amp;$F$1)</f>
        <v>0</v>
      </c>
      <c r="G146" s="231">
        <f ca="1">COUNTIF(OFFSET(Synthèse!$G155,0,0,1,COUNTA(Synthèse!$10:$10)-6),"="&amp;$G$1)</f>
        <v>0</v>
      </c>
      <c r="H146" s="231">
        <f ca="1">COUNTIF(OFFSET(Synthèse!$G155,0,0,1,COUNTA(Synthèse!$10:$10)-6),"="&amp;$H$1)</f>
        <v>0</v>
      </c>
      <c r="I146" s="18">
        <f t="shared" ca="1" si="20"/>
        <v>0</v>
      </c>
      <c r="L146" s="12" t="s">
        <v>38</v>
      </c>
      <c r="M146" s="12">
        <f>SUM(M142:M145)</f>
        <v>0</v>
      </c>
      <c r="Q146" s="12"/>
      <c r="R146" s="12"/>
    </row>
    <row r="147" spans="2:18" x14ac:dyDescent="0.35">
      <c r="B147" s="101" t="str">
        <f>Modèle!B149</f>
        <v>Structuration de l'information</v>
      </c>
      <c r="C147" s="107" t="str">
        <f>Modèle!D149</f>
        <v>9.1.2</v>
      </c>
      <c r="D147" s="108" t="str">
        <f>Modèle!E149</f>
        <v>A</v>
      </c>
      <c r="E147" s="231">
        <f ca="1">COUNTIF(OFFSET(Synthèse!$G156,0,0,1,COUNTA(Synthèse!$10:$10)-6),"="&amp;$E$1)</f>
        <v>0</v>
      </c>
      <c r="F147" s="231">
        <f ca="1">COUNTIF(OFFSET(Synthèse!$G156,0,0,1,COUNTA(Synthèse!$10:$10)-6),"="&amp;$F$1)</f>
        <v>0</v>
      </c>
      <c r="G147" s="231">
        <f ca="1">COUNTIF(OFFSET(Synthèse!$G156,0,0,1,COUNTA(Synthèse!$10:$10)-6),"="&amp;$G$1)</f>
        <v>0</v>
      </c>
      <c r="H147" s="231">
        <f ca="1">COUNTIF(OFFSET(Synthèse!$G156,0,0,1,COUNTA(Synthèse!$10:$10)-6),"="&amp;$H$1)</f>
        <v>0</v>
      </c>
      <c r="I147" s="18">
        <f t="shared" ca="1" si="20"/>
        <v>0</v>
      </c>
      <c r="Q147" s="12"/>
      <c r="R147" s="12"/>
    </row>
    <row r="148" spans="2:18" x14ac:dyDescent="0.35">
      <c r="B148" s="101" t="str">
        <f>Modèle!B150</f>
        <v>Structuration de l'information</v>
      </c>
      <c r="C148" s="107" t="str">
        <f>Modèle!D150</f>
        <v>9.1.3</v>
      </c>
      <c r="D148" s="108" t="str">
        <f>Modèle!E150</f>
        <v>A</v>
      </c>
      <c r="E148" s="231">
        <f ca="1">COUNTIF(OFFSET(Synthèse!$G157,0,0,1,COUNTA(Synthèse!$10:$10)-6),"="&amp;$E$1)</f>
        <v>0</v>
      </c>
      <c r="F148" s="231">
        <f ca="1">COUNTIF(OFFSET(Synthèse!$G157,0,0,1,COUNTA(Synthèse!$10:$10)-6),"="&amp;$F$1)</f>
        <v>0</v>
      </c>
      <c r="G148" s="231">
        <f ca="1">COUNTIF(OFFSET(Synthèse!$G157,0,0,1,COUNTA(Synthèse!$10:$10)-6),"="&amp;$G$1)</f>
        <v>0</v>
      </c>
      <c r="H148" s="231">
        <f ca="1">COUNTIF(OFFSET(Synthèse!$G157,0,0,1,COUNTA(Synthèse!$10:$10)-6),"="&amp;$H$1)</f>
        <v>0</v>
      </c>
      <c r="I148" s="18">
        <f t="shared" ca="1" si="20"/>
        <v>0</v>
      </c>
      <c r="L148" s="12" t="s">
        <v>24</v>
      </c>
      <c r="M148" s="12">
        <f>COUNTIF(L$34:L$139,"A")</f>
        <v>82</v>
      </c>
      <c r="N148" s="268" t="s">
        <v>861</v>
      </c>
      <c r="O148" s="100" t="s">
        <v>512</v>
      </c>
      <c r="P148" s="100" t="e">
        <f ca="1">P142/(O142+P142)*100</f>
        <v>#DIV/0!</v>
      </c>
      <c r="Q148" s="12"/>
      <c r="R148" s="12"/>
    </row>
    <row r="149" spans="2:18" x14ac:dyDescent="0.35">
      <c r="B149" s="102" t="str">
        <f>Modèle!B151</f>
        <v>Structuration de l'information</v>
      </c>
      <c r="C149" s="109" t="str">
        <f>Modèle!D151</f>
        <v>9.2.1</v>
      </c>
      <c r="D149" s="110" t="str">
        <f>Modèle!E151</f>
        <v>A</v>
      </c>
      <c r="E149" s="232">
        <f ca="1">COUNTIF(OFFSET(Synthèse!$G158,0,0,1,COUNTA(Synthèse!$10:$10)-6),"="&amp;$E$1)</f>
        <v>0</v>
      </c>
      <c r="F149" s="232">
        <f ca="1">COUNTIF(OFFSET(Synthèse!$G158,0,0,1,COUNTA(Synthèse!$10:$10)-6),"="&amp;$F$1)</f>
        <v>0</v>
      </c>
      <c r="G149" s="232">
        <f ca="1">COUNTIF(OFFSET(Synthèse!$G158,0,0,1,COUNTA(Synthèse!$10:$10)-6),"="&amp;$G$1)</f>
        <v>0</v>
      </c>
      <c r="H149" s="232">
        <f ca="1">COUNTIF(OFFSET(Synthèse!$G158,0,0,1,COUNTA(Synthèse!$10:$10)-6),"="&amp;$H$1)</f>
        <v>0</v>
      </c>
      <c r="I149" s="18">
        <f t="shared" ca="1" si="20"/>
        <v>0</v>
      </c>
      <c r="L149" s="12" t="s">
        <v>25</v>
      </c>
      <c r="M149" s="12">
        <f>COUNTIF(L$34:L$139,"AA")</f>
        <v>24</v>
      </c>
      <c r="N149" s="268"/>
      <c r="O149" s="100" t="s">
        <v>514</v>
      </c>
      <c r="P149" s="100" t="e">
        <f ca="1">P143/(O143+P143)*100</f>
        <v>#DIV/0!</v>
      </c>
      <c r="Q149" s="12"/>
      <c r="R149" s="12"/>
    </row>
    <row r="150" spans="2:18" x14ac:dyDescent="0.35">
      <c r="B150" s="101" t="str">
        <f>Modèle!B152</f>
        <v>Structuration de l'information</v>
      </c>
      <c r="C150" s="107" t="str">
        <f>Modèle!D152</f>
        <v>9.3.1</v>
      </c>
      <c r="D150" s="108" t="str">
        <f>Modèle!E152</f>
        <v>A</v>
      </c>
      <c r="E150" s="231">
        <f ca="1">COUNTIF(OFFSET(Synthèse!$G159,0,0,1,COUNTA(Synthèse!$10:$10)-6),"="&amp;$E$1)</f>
        <v>0</v>
      </c>
      <c r="F150" s="231">
        <f ca="1">COUNTIF(OFFSET(Synthèse!$G159,0,0,1,COUNTA(Synthèse!$10:$10)-6),"="&amp;$F$1)</f>
        <v>0</v>
      </c>
      <c r="G150" s="231">
        <f ca="1">COUNTIF(OFFSET(Synthèse!$G159,0,0,1,COUNTA(Synthèse!$10:$10)-6),"="&amp;$G$1)</f>
        <v>0</v>
      </c>
      <c r="H150" s="231">
        <f ca="1">COUNTIF(OFFSET(Synthèse!$G159,0,0,1,COUNTA(Synthèse!$10:$10)-6),"="&amp;$H$1)</f>
        <v>0</v>
      </c>
      <c r="I150" s="18">
        <f t="shared" ca="1" si="20"/>
        <v>0</v>
      </c>
      <c r="L150" s="12" t="s">
        <v>26</v>
      </c>
      <c r="M150" s="12">
        <f>COUNTIF(L$34:L$139,"AAA")</f>
        <v>0</v>
      </c>
      <c r="N150" s="268"/>
      <c r="O150" s="100" t="s">
        <v>521</v>
      </c>
      <c r="P150" s="100" t="e">
        <f ca="1">_xlfn.IFS($P$144/($O$144+$P$144)*100&gt;=50,100,$P$144/($O$144+$P$144)*100&lt;50,$P$144/($O$144+$P$144)*100*2)</f>
        <v>#DIV/0!</v>
      </c>
      <c r="Q150" s="12"/>
      <c r="R150" s="12"/>
    </row>
    <row r="151" spans="2:18" x14ac:dyDescent="0.35">
      <c r="B151" s="101" t="str">
        <f>Modèle!B153</f>
        <v>Structuration de l'information</v>
      </c>
      <c r="C151" s="107" t="str">
        <f>Modèle!D153</f>
        <v>9.3.2</v>
      </c>
      <c r="D151" s="108" t="str">
        <f>Modèle!E153</f>
        <v>A</v>
      </c>
      <c r="E151" s="231">
        <f ca="1">COUNTIF(OFFSET(Synthèse!$G160,0,0,1,COUNTA(Synthèse!$10:$10)-6),"="&amp;$E$1)</f>
        <v>0</v>
      </c>
      <c r="F151" s="231">
        <f ca="1">COUNTIF(OFFSET(Synthèse!$G160,0,0,1,COUNTA(Synthèse!$10:$10)-6),"="&amp;$F$1)</f>
        <v>0</v>
      </c>
      <c r="G151" s="231">
        <f ca="1">COUNTIF(OFFSET(Synthèse!$G160,0,0,1,COUNTA(Synthèse!$10:$10)-6),"="&amp;$G$1)</f>
        <v>0</v>
      </c>
      <c r="H151" s="231">
        <f ca="1">COUNTIF(OFFSET(Synthèse!$G160,0,0,1,COUNTA(Synthèse!$10:$10)-6),"="&amp;$H$1)</f>
        <v>0</v>
      </c>
      <c r="I151" s="18">
        <f t="shared" ca="1" si="20"/>
        <v>0</v>
      </c>
      <c r="L151" s="12" t="s">
        <v>38</v>
      </c>
      <c r="M151" s="12">
        <f>SUM(M148:M150)</f>
        <v>106</v>
      </c>
      <c r="N151" s="268"/>
      <c r="O151" s="100" t="s">
        <v>623</v>
      </c>
      <c r="P151" s="100" t="e">
        <f ca="1">$P$144/($O$144+$P$144)*100</f>
        <v>#DIV/0!</v>
      </c>
      <c r="Q151" s="12"/>
      <c r="R151" s="12"/>
    </row>
    <row r="152" spans="2:18" x14ac:dyDescent="0.35">
      <c r="B152" s="101" t="str">
        <f>Modèle!B154</f>
        <v>Structuration de l'information</v>
      </c>
      <c r="C152" s="107" t="str">
        <f>Modèle!D154</f>
        <v>9.3.3</v>
      </c>
      <c r="D152" s="108" t="str">
        <f>Modèle!E154</f>
        <v>A</v>
      </c>
      <c r="E152" s="231">
        <f ca="1">COUNTIF(OFFSET(Synthèse!$G161,0,0,1,COUNTA(Synthèse!$10:$10)-6),"="&amp;$E$1)</f>
        <v>0</v>
      </c>
      <c r="F152" s="231">
        <f ca="1">COUNTIF(OFFSET(Synthèse!$G161,0,0,1,COUNTA(Synthèse!$10:$10)-6),"="&amp;$F$1)</f>
        <v>0</v>
      </c>
      <c r="G152" s="231">
        <f ca="1">COUNTIF(OFFSET(Synthèse!$G161,0,0,1,COUNTA(Synthèse!$10:$10)-6),"="&amp;$G$1)</f>
        <v>0</v>
      </c>
      <c r="H152" s="231">
        <f ca="1">COUNTIF(OFFSET(Synthèse!$G161,0,0,1,COUNTA(Synthèse!$10:$10)-6),"="&amp;$H$1)</f>
        <v>0</v>
      </c>
      <c r="I152" s="18">
        <f t="shared" ca="1" si="20"/>
        <v>0</v>
      </c>
      <c r="N152" s="268"/>
      <c r="O152" s="100" t="s">
        <v>523</v>
      </c>
      <c r="P152" s="100">
        <f ca="1">IF(SUM(O145+P145)&gt;=1,P145/(O145+P145)*100,0)</f>
        <v>0</v>
      </c>
      <c r="Q152" s="12"/>
      <c r="R152" s="12"/>
    </row>
    <row r="153" spans="2:18" x14ac:dyDescent="0.35">
      <c r="B153" s="102" t="str">
        <f>Modèle!B155</f>
        <v>Structuration de l'information</v>
      </c>
      <c r="C153" s="109" t="str">
        <f>Modèle!D155</f>
        <v>9.4.1</v>
      </c>
      <c r="D153" s="110" t="str">
        <f>Modèle!E155</f>
        <v>A</v>
      </c>
      <c r="E153" s="232">
        <f ca="1">COUNTIF(OFFSET(Synthèse!$G162,0,0,1,COUNTA(Synthèse!$10:$10)-6),"="&amp;$E$1)</f>
        <v>0</v>
      </c>
      <c r="F153" s="232">
        <f ca="1">COUNTIF(OFFSET(Synthèse!$G162,0,0,1,COUNTA(Synthèse!$10:$10)-6),"="&amp;$F$1)</f>
        <v>0</v>
      </c>
      <c r="G153" s="232">
        <f ca="1">COUNTIF(OFFSET(Synthèse!$G162,0,0,1,COUNTA(Synthèse!$10:$10)-6),"="&amp;$G$1)</f>
        <v>0</v>
      </c>
      <c r="H153" s="232">
        <f ca="1">COUNTIF(OFFSET(Synthèse!$G162,0,0,1,COUNTA(Synthèse!$10:$10)-6),"="&amp;$H$1)</f>
        <v>0</v>
      </c>
      <c r="I153" s="18">
        <f t="shared" ca="1" si="20"/>
        <v>0</v>
      </c>
      <c r="Q153" s="12"/>
      <c r="R153" s="12"/>
    </row>
    <row r="154" spans="2:18" x14ac:dyDescent="0.35">
      <c r="B154" s="102" t="str">
        <f>Modèle!B156</f>
        <v>Structuration de l'information</v>
      </c>
      <c r="C154" s="109" t="str">
        <f>Modèle!D156</f>
        <v>9.4.2</v>
      </c>
      <c r="D154" s="110" t="str">
        <f>Modèle!E156</f>
        <v>A</v>
      </c>
      <c r="E154" s="232">
        <f ca="1">COUNTIF(OFFSET(Synthèse!$G163,0,0,1,COUNTA(Synthèse!$10:$10)-6),"="&amp;$E$1)</f>
        <v>0</v>
      </c>
      <c r="F154" s="232">
        <f ca="1">COUNTIF(OFFSET(Synthèse!$G163,0,0,1,COUNTA(Synthèse!$10:$10)-6),"="&amp;$F$1)</f>
        <v>0</v>
      </c>
      <c r="G154" s="232">
        <f ca="1">COUNTIF(OFFSET(Synthèse!$G163,0,0,1,COUNTA(Synthèse!$10:$10)-6),"="&amp;$G$1)</f>
        <v>0</v>
      </c>
      <c r="H154" s="232">
        <f ca="1">COUNTIF(OFFSET(Synthèse!$G163,0,0,1,COUNTA(Synthèse!$10:$10)-6),"="&amp;$H$1)</f>
        <v>0</v>
      </c>
      <c r="I154" s="18">
        <f t="shared" ca="1" si="20"/>
        <v>0</v>
      </c>
      <c r="Q154" s="12"/>
      <c r="R154" s="12"/>
    </row>
    <row r="155" spans="2:18" x14ac:dyDescent="0.35">
      <c r="B155" s="101" t="str">
        <f>Modèle!B157</f>
        <v>Présentation de l'information</v>
      </c>
      <c r="C155" s="107" t="str">
        <f>Modèle!D157</f>
        <v>10.1.1</v>
      </c>
      <c r="D155" s="108" t="str">
        <f>Modèle!E157</f>
        <v>A</v>
      </c>
      <c r="E155" s="231">
        <f ca="1">COUNTIF(OFFSET(Synthèse!$G164,0,0,1,COUNTA(Synthèse!$10:$10)-6),"="&amp;$E$1)</f>
        <v>0</v>
      </c>
      <c r="F155" s="231">
        <f ca="1">COUNTIF(OFFSET(Synthèse!$G164,0,0,1,COUNTA(Synthèse!$10:$10)-6),"="&amp;$F$1)</f>
        <v>0</v>
      </c>
      <c r="G155" s="231">
        <f ca="1">COUNTIF(OFFSET(Synthèse!$G164,0,0,1,COUNTA(Synthèse!$10:$10)-6),"="&amp;$G$1)</f>
        <v>0</v>
      </c>
      <c r="H155" s="231">
        <f ca="1">COUNTIF(OFFSET(Synthèse!$G164,0,0,1,COUNTA(Synthèse!$10:$10)-6),"="&amp;$H$1)</f>
        <v>0</v>
      </c>
      <c r="I155" s="18">
        <f t="shared" ca="1" si="20"/>
        <v>0</v>
      </c>
      <c r="Q155" s="12"/>
      <c r="R155" s="12"/>
    </row>
    <row r="156" spans="2:18" x14ac:dyDescent="0.35">
      <c r="B156" s="101" t="str">
        <f>Modèle!B158</f>
        <v>Présentation de l'information</v>
      </c>
      <c r="C156" s="107" t="str">
        <f>Modèle!D158</f>
        <v>10.1.2</v>
      </c>
      <c r="D156" s="108" t="str">
        <f>Modèle!E158</f>
        <v>A</v>
      </c>
      <c r="E156" s="231">
        <f ca="1">COUNTIF(OFFSET(Synthèse!$G165,0,0,1,COUNTA(Synthèse!$10:$10)-6),"="&amp;$E$1)</f>
        <v>0</v>
      </c>
      <c r="F156" s="231">
        <f ca="1">COUNTIF(OFFSET(Synthèse!$G165,0,0,1,COUNTA(Synthèse!$10:$10)-6),"="&amp;$F$1)</f>
        <v>0</v>
      </c>
      <c r="G156" s="231">
        <f ca="1">COUNTIF(OFFSET(Synthèse!$G165,0,0,1,COUNTA(Synthèse!$10:$10)-6),"="&amp;$G$1)</f>
        <v>0</v>
      </c>
      <c r="H156" s="231">
        <f ca="1">COUNTIF(OFFSET(Synthèse!$G165,0,0,1,COUNTA(Synthèse!$10:$10)-6),"="&amp;$H$1)</f>
        <v>0</v>
      </c>
      <c r="I156" s="18">
        <f t="shared" ca="1" si="20"/>
        <v>0</v>
      </c>
      <c r="Q156" s="12"/>
      <c r="R156" s="12"/>
    </row>
    <row r="157" spans="2:18" x14ac:dyDescent="0.35">
      <c r="B157" s="101" t="str">
        <f>Modèle!B159</f>
        <v>Présentation de l'information</v>
      </c>
      <c r="C157" s="107" t="str">
        <f>Modèle!D159</f>
        <v>10.1.3</v>
      </c>
      <c r="D157" s="108" t="str">
        <f>Modèle!E159</f>
        <v>A</v>
      </c>
      <c r="E157" s="231">
        <f ca="1">COUNTIF(OFFSET(Synthèse!$G166,0,0,1,COUNTA(Synthèse!$10:$10)-6),"="&amp;$E$1)</f>
        <v>0</v>
      </c>
      <c r="F157" s="231">
        <f ca="1">COUNTIF(OFFSET(Synthèse!$G166,0,0,1,COUNTA(Synthèse!$10:$10)-6),"="&amp;$F$1)</f>
        <v>0</v>
      </c>
      <c r="G157" s="231">
        <f ca="1">COUNTIF(OFFSET(Synthèse!$G166,0,0,1,COUNTA(Synthèse!$10:$10)-6),"="&amp;$G$1)</f>
        <v>0</v>
      </c>
      <c r="H157" s="231">
        <f ca="1">COUNTIF(OFFSET(Synthèse!$G166,0,0,1,COUNTA(Synthèse!$10:$10)-6),"="&amp;$H$1)</f>
        <v>0</v>
      </c>
      <c r="I157" s="18">
        <f t="shared" ca="1" si="20"/>
        <v>0</v>
      </c>
      <c r="Q157" s="12"/>
      <c r="R157" s="12"/>
    </row>
    <row r="158" spans="2:18" x14ac:dyDescent="0.35">
      <c r="B158" s="102" t="str">
        <f>Modèle!B160</f>
        <v>Présentation de l'information</v>
      </c>
      <c r="C158" s="109" t="str">
        <f>Modèle!D160</f>
        <v>10.2.1</v>
      </c>
      <c r="D158" s="110" t="str">
        <f>Modèle!E160</f>
        <v>A</v>
      </c>
      <c r="E158" s="232">
        <f ca="1">COUNTIF(OFFSET(Synthèse!$G167,0,0,1,COUNTA(Synthèse!$10:$10)-6),"="&amp;$E$1)</f>
        <v>0</v>
      </c>
      <c r="F158" s="232">
        <f ca="1">COUNTIF(OFFSET(Synthèse!$G167,0,0,1,COUNTA(Synthèse!$10:$10)-6),"="&amp;$F$1)</f>
        <v>0</v>
      </c>
      <c r="G158" s="232">
        <f ca="1">COUNTIF(OFFSET(Synthèse!$G167,0,0,1,COUNTA(Synthèse!$10:$10)-6),"="&amp;$G$1)</f>
        <v>0</v>
      </c>
      <c r="H158" s="232">
        <f ca="1">COUNTIF(OFFSET(Synthèse!$G167,0,0,1,COUNTA(Synthèse!$10:$10)-6),"="&amp;$H$1)</f>
        <v>0</v>
      </c>
      <c r="I158" s="18">
        <f t="shared" ca="1" si="20"/>
        <v>0</v>
      </c>
      <c r="Q158" s="12"/>
      <c r="R158" s="12"/>
    </row>
    <row r="159" spans="2:18" x14ac:dyDescent="0.35">
      <c r="B159" s="101" t="str">
        <f>Modèle!B161</f>
        <v>Présentation de l'information</v>
      </c>
      <c r="C159" s="107" t="str">
        <f>Modèle!D161</f>
        <v>10.3.1</v>
      </c>
      <c r="D159" s="108" t="str">
        <f>Modèle!E161</f>
        <v>A</v>
      </c>
      <c r="E159" s="231">
        <f ca="1">COUNTIF(OFFSET(Synthèse!$G168,0,0,1,COUNTA(Synthèse!$10:$10)-6),"="&amp;$E$1)</f>
        <v>0</v>
      </c>
      <c r="F159" s="231">
        <f ca="1">COUNTIF(OFFSET(Synthèse!$G168,0,0,1,COUNTA(Synthèse!$10:$10)-6),"="&amp;$F$1)</f>
        <v>0</v>
      </c>
      <c r="G159" s="231">
        <f ca="1">COUNTIF(OFFSET(Synthèse!$G168,0,0,1,COUNTA(Synthèse!$10:$10)-6),"="&amp;$G$1)</f>
        <v>0</v>
      </c>
      <c r="H159" s="231">
        <f ca="1">COUNTIF(OFFSET(Synthèse!$G168,0,0,1,COUNTA(Synthèse!$10:$10)-6),"="&amp;$H$1)</f>
        <v>0</v>
      </c>
      <c r="I159" s="18">
        <f t="shared" ca="1" si="20"/>
        <v>0</v>
      </c>
      <c r="Q159" s="12"/>
      <c r="R159" s="12"/>
    </row>
    <row r="160" spans="2:18" x14ac:dyDescent="0.35">
      <c r="B160" s="102" t="str">
        <f>Modèle!B162</f>
        <v>Présentation de l'information</v>
      </c>
      <c r="C160" s="109" t="str">
        <f>Modèle!D162</f>
        <v>10.4.1</v>
      </c>
      <c r="D160" s="110" t="str">
        <f>Modèle!E162</f>
        <v>AA</v>
      </c>
      <c r="E160" s="232">
        <f ca="1">COUNTIF(OFFSET(Synthèse!$G169,0,0,1,COUNTA(Synthèse!$10:$10)-6),"="&amp;$E$1)</f>
        <v>0</v>
      </c>
      <c r="F160" s="232">
        <f ca="1">COUNTIF(OFFSET(Synthèse!$G169,0,0,1,COUNTA(Synthèse!$10:$10)-6),"="&amp;$F$1)</f>
        <v>0</v>
      </c>
      <c r="G160" s="232">
        <f ca="1">COUNTIF(OFFSET(Synthèse!$G169,0,0,1,COUNTA(Synthèse!$10:$10)-6),"="&amp;$G$1)</f>
        <v>0</v>
      </c>
      <c r="H160" s="232">
        <f ca="1">COUNTIF(OFFSET(Synthèse!$G169,0,0,1,COUNTA(Synthèse!$10:$10)-6),"="&amp;$H$1)</f>
        <v>0</v>
      </c>
      <c r="I160" s="18">
        <f t="shared" ca="1" si="20"/>
        <v>0</v>
      </c>
      <c r="Q160" s="12"/>
      <c r="R160" s="12"/>
    </row>
    <row r="161" spans="2:18" x14ac:dyDescent="0.35">
      <c r="B161" s="102" t="str">
        <f>Modèle!B163</f>
        <v>Présentation de l'information</v>
      </c>
      <c r="C161" s="109" t="str">
        <f>Modèle!D163</f>
        <v>10.4.2</v>
      </c>
      <c r="D161" s="110" t="str">
        <f>Modèle!E163</f>
        <v>AA</v>
      </c>
      <c r="E161" s="232">
        <f ca="1">COUNTIF(OFFSET(Synthèse!$G170,0,0,1,COUNTA(Synthèse!$10:$10)-6),"="&amp;$E$1)</f>
        <v>0</v>
      </c>
      <c r="F161" s="232">
        <f ca="1">COUNTIF(OFFSET(Synthèse!$G170,0,0,1,COUNTA(Synthèse!$10:$10)-6),"="&amp;$F$1)</f>
        <v>0</v>
      </c>
      <c r="G161" s="232">
        <f ca="1">COUNTIF(OFFSET(Synthèse!$G170,0,0,1,COUNTA(Synthèse!$10:$10)-6),"="&amp;$G$1)</f>
        <v>0</v>
      </c>
      <c r="H161" s="232">
        <f ca="1">COUNTIF(OFFSET(Synthèse!$G170,0,0,1,COUNTA(Synthèse!$10:$10)-6),"="&amp;$H$1)</f>
        <v>0</v>
      </c>
      <c r="I161" s="18">
        <f t="shared" ca="1" si="20"/>
        <v>0</v>
      </c>
      <c r="Q161" s="12"/>
      <c r="R161" s="12"/>
    </row>
    <row r="162" spans="2:18" x14ac:dyDescent="0.35">
      <c r="B162" s="102" t="str">
        <f>Modèle!B164</f>
        <v>Présentation de l'information</v>
      </c>
      <c r="C162" s="109" t="str">
        <f>Modèle!D164</f>
        <v>10.4.3</v>
      </c>
      <c r="D162" s="110" t="str">
        <f>Modèle!E164</f>
        <v>AA</v>
      </c>
      <c r="E162" s="232">
        <f ca="1">COUNTIF(OFFSET(Synthèse!$G171,0,0,1,COUNTA(Synthèse!$10:$10)-6),"="&amp;$E$1)</f>
        <v>0</v>
      </c>
      <c r="F162" s="232">
        <f ca="1">COUNTIF(OFFSET(Synthèse!$G171,0,0,1,COUNTA(Synthèse!$10:$10)-6),"="&amp;$F$1)</f>
        <v>0</v>
      </c>
      <c r="G162" s="232">
        <f ca="1">COUNTIF(OFFSET(Synthèse!$G171,0,0,1,COUNTA(Synthèse!$10:$10)-6),"="&amp;$G$1)</f>
        <v>0</v>
      </c>
      <c r="H162" s="232">
        <f ca="1">COUNTIF(OFFSET(Synthèse!$G171,0,0,1,COUNTA(Synthèse!$10:$10)-6),"="&amp;$H$1)</f>
        <v>0</v>
      </c>
      <c r="I162" s="18">
        <f t="shared" ca="1" si="20"/>
        <v>0</v>
      </c>
      <c r="Q162" s="12"/>
      <c r="R162" s="12"/>
    </row>
    <row r="163" spans="2:18" x14ac:dyDescent="0.35">
      <c r="B163" s="101" t="str">
        <f>Modèle!B165</f>
        <v>Présentation de l'information</v>
      </c>
      <c r="C163" s="107" t="str">
        <f>Modèle!D165</f>
        <v>10.5.1</v>
      </c>
      <c r="D163" s="108" t="str">
        <f>Modèle!E165</f>
        <v>AA</v>
      </c>
      <c r="E163" s="231">
        <f ca="1">COUNTIF(OFFSET(Synthèse!$G172,0,0,1,COUNTA(Synthèse!$10:$10)-6),"="&amp;$E$1)</f>
        <v>0</v>
      </c>
      <c r="F163" s="231">
        <f ca="1">COUNTIF(OFFSET(Synthèse!$G172,0,0,1,COUNTA(Synthèse!$10:$10)-6),"="&amp;$F$1)</f>
        <v>0</v>
      </c>
      <c r="G163" s="231">
        <f ca="1">COUNTIF(OFFSET(Synthèse!$G172,0,0,1,COUNTA(Synthèse!$10:$10)-6),"="&amp;$G$1)</f>
        <v>0</v>
      </c>
      <c r="H163" s="231">
        <f ca="1">COUNTIF(OFFSET(Synthèse!$G172,0,0,1,COUNTA(Synthèse!$10:$10)-6),"="&amp;$H$1)</f>
        <v>0</v>
      </c>
      <c r="I163" s="18">
        <f t="shared" ca="1" si="20"/>
        <v>0</v>
      </c>
      <c r="Q163" s="12"/>
      <c r="R163" s="12"/>
    </row>
    <row r="164" spans="2:18" x14ac:dyDescent="0.35">
      <c r="B164" s="101" t="str">
        <f>Modèle!B166</f>
        <v>Présentation de l'information</v>
      </c>
      <c r="C164" s="107" t="str">
        <f>Modèle!D166</f>
        <v>10.5.2</v>
      </c>
      <c r="D164" s="108" t="str">
        <f>Modèle!E166</f>
        <v>AA</v>
      </c>
      <c r="E164" s="231">
        <f ca="1">COUNTIF(OFFSET(Synthèse!$G173,0,0,1,COUNTA(Synthèse!$10:$10)-6),"="&amp;$E$1)</f>
        <v>0</v>
      </c>
      <c r="F164" s="231">
        <f ca="1">COUNTIF(OFFSET(Synthèse!$G173,0,0,1,COUNTA(Synthèse!$10:$10)-6),"="&amp;$F$1)</f>
        <v>0</v>
      </c>
      <c r="G164" s="231">
        <f ca="1">COUNTIF(OFFSET(Synthèse!$G173,0,0,1,COUNTA(Synthèse!$10:$10)-6),"="&amp;$G$1)</f>
        <v>0</v>
      </c>
      <c r="H164" s="231">
        <f ca="1">COUNTIF(OFFSET(Synthèse!$G173,0,0,1,COUNTA(Synthèse!$10:$10)-6),"="&amp;$H$1)</f>
        <v>0</v>
      </c>
      <c r="I164" s="18">
        <f t="shared" ca="1" si="20"/>
        <v>0</v>
      </c>
      <c r="Q164" s="12"/>
      <c r="R164" s="12"/>
    </row>
    <row r="165" spans="2:18" x14ac:dyDescent="0.35">
      <c r="B165" s="101" t="str">
        <f>Modèle!B167</f>
        <v>Présentation de l'information</v>
      </c>
      <c r="C165" s="107" t="str">
        <f>Modèle!D167</f>
        <v>10.5.3</v>
      </c>
      <c r="D165" s="108" t="str">
        <f>Modèle!E167</f>
        <v>AA</v>
      </c>
      <c r="E165" s="231">
        <f ca="1">COUNTIF(OFFSET(Synthèse!$G174,0,0,1,COUNTA(Synthèse!$10:$10)-6),"="&amp;$E$1)</f>
        <v>0</v>
      </c>
      <c r="F165" s="231">
        <f ca="1">COUNTIF(OFFSET(Synthèse!$G174,0,0,1,COUNTA(Synthèse!$10:$10)-6),"="&amp;$F$1)</f>
        <v>0</v>
      </c>
      <c r="G165" s="231">
        <f ca="1">COUNTIF(OFFSET(Synthèse!$G174,0,0,1,COUNTA(Synthèse!$10:$10)-6),"="&amp;$G$1)</f>
        <v>0</v>
      </c>
      <c r="H165" s="231">
        <f ca="1">COUNTIF(OFFSET(Synthèse!$G174,0,0,1,COUNTA(Synthèse!$10:$10)-6),"="&amp;$H$1)</f>
        <v>0</v>
      </c>
      <c r="I165" s="18">
        <f t="shared" ca="1" si="20"/>
        <v>0</v>
      </c>
      <c r="Q165" s="12"/>
      <c r="R165" s="12"/>
    </row>
    <row r="166" spans="2:18" x14ac:dyDescent="0.35">
      <c r="B166" s="102" t="str">
        <f>Modèle!B168</f>
        <v>Présentation de l'information</v>
      </c>
      <c r="C166" s="109" t="str">
        <f>Modèle!D168</f>
        <v>10.6.1</v>
      </c>
      <c r="D166" s="110" t="str">
        <f>Modèle!E168</f>
        <v>A</v>
      </c>
      <c r="E166" s="232">
        <f ca="1">COUNTIF(OFFSET(Synthèse!$G175,0,0,1,COUNTA(Synthèse!$10:$10)-6),"="&amp;$E$1)</f>
        <v>0</v>
      </c>
      <c r="F166" s="232">
        <f ca="1">COUNTIF(OFFSET(Synthèse!$G175,0,0,1,COUNTA(Synthèse!$10:$10)-6),"="&amp;$F$1)</f>
        <v>0</v>
      </c>
      <c r="G166" s="232">
        <f ca="1">COUNTIF(OFFSET(Synthèse!$G175,0,0,1,COUNTA(Synthèse!$10:$10)-6),"="&amp;$G$1)</f>
        <v>0</v>
      </c>
      <c r="H166" s="232">
        <f ca="1">COUNTIF(OFFSET(Synthèse!$G175,0,0,1,COUNTA(Synthèse!$10:$10)-6),"="&amp;$H$1)</f>
        <v>0</v>
      </c>
      <c r="I166" s="18">
        <f t="shared" ca="1" si="20"/>
        <v>0</v>
      </c>
      <c r="Q166" s="12"/>
      <c r="R166" s="12"/>
    </row>
    <row r="167" spans="2:18" x14ac:dyDescent="0.35">
      <c r="B167" s="101" t="str">
        <f>Modèle!B169</f>
        <v>Présentation de l'information</v>
      </c>
      <c r="C167" s="107" t="str">
        <f>Modèle!D169</f>
        <v>10.7.1</v>
      </c>
      <c r="D167" s="108" t="str">
        <f>Modèle!E169</f>
        <v>A</v>
      </c>
      <c r="E167" s="231">
        <f ca="1">COUNTIF(OFFSET(Synthèse!$G176,0,0,1,COUNTA(Synthèse!$10:$10)-6),"="&amp;$E$1)</f>
        <v>0</v>
      </c>
      <c r="F167" s="231">
        <f ca="1">COUNTIF(OFFSET(Synthèse!$G176,0,0,1,COUNTA(Synthèse!$10:$10)-6),"="&amp;$F$1)</f>
        <v>0</v>
      </c>
      <c r="G167" s="231">
        <f ca="1">COUNTIF(OFFSET(Synthèse!$G176,0,0,1,COUNTA(Synthèse!$10:$10)-6),"="&amp;$G$1)</f>
        <v>0</v>
      </c>
      <c r="H167" s="231">
        <f ca="1">COUNTIF(OFFSET(Synthèse!$G176,0,0,1,COUNTA(Synthèse!$10:$10)-6),"="&amp;$H$1)</f>
        <v>0</v>
      </c>
      <c r="I167" s="18">
        <f t="shared" ca="1" si="20"/>
        <v>0</v>
      </c>
      <c r="L167" s="20"/>
      <c r="N167" s="20"/>
      <c r="P167" s="20"/>
      <c r="Q167" s="12"/>
      <c r="R167" s="12"/>
    </row>
    <row r="168" spans="2:18" x14ac:dyDescent="0.35">
      <c r="B168" s="102" t="str">
        <f>Modèle!B170</f>
        <v>Présentation de l'information</v>
      </c>
      <c r="C168" s="109" t="str">
        <f>Modèle!D170</f>
        <v>10.8.1</v>
      </c>
      <c r="D168" s="110" t="str">
        <f>Modèle!E170</f>
        <v>A</v>
      </c>
      <c r="E168" s="232">
        <f ca="1">COUNTIF(OFFSET(Synthèse!$G177,0,0,1,COUNTA(Synthèse!$10:$10)-6),"="&amp;$E$1)</f>
        <v>0</v>
      </c>
      <c r="F168" s="232">
        <f ca="1">COUNTIF(OFFSET(Synthèse!$G177,0,0,1,COUNTA(Synthèse!$10:$10)-6),"="&amp;$F$1)</f>
        <v>0</v>
      </c>
      <c r="G168" s="232">
        <f ca="1">COUNTIF(OFFSET(Synthèse!$G177,0,0,1,COUNTA(Synthèse!$10:$10)-6),"="&amp;$G$1)</f>
        <v>0</v>
      </c>
      <c r="H168" s="232">
        <f ca="1">COUNTIF(OFFSET(Synthèse!$G177,0,0,1,COUNTA(Synthèse!$10:$10)-6),"="&amp;$H$1)</f>
        <v>0</v>
      </c>
      <c r="I168" s="18">
        <f t="shared" ca="1" si="20"/>
        <v>0</v>
      </c>
      <c r="Q168" s="12"/>
      <c r="R168" s="12"/>
    </row>
    <row r="169" spans="2:18" x14ac:dyDescent="0.35">
      <c r="B169" s="101" t="str">
        <f>Modèle!B171</f>
        <v>Présentation de l'information</v>
      </c>
      <c r="C169" s="107" t="str">
        <f>Modèle!D171</f>
        <v>10.9.1</v>
      </c>
      <c r="D169" s="108" t="str">
        <f>Modèle!E171</f>
        <v>A</v>
      </c>
      <c r="E169" s="231">
        <f ca="1">COUNTIF(OFFSET(Synthèse!$G178,0,0,1,COUNTA(Synthèse!$10:$10)-6),"="&amp;$E$1)</f>
        <v>0</v>
      </c>
      <c r="F169" s="231">
        <f ca="1">COUNTIF(OFFSET(Synthèse!$G178,0,0,1,COUNTA(Synthèse!$10:$10)-6),"="&amp;$F$1)</f>
        <v>0</v>
      </c>
      <c r="G169" s="231">
        <f ca="1">COUNTIF(OFFSET(Synthèse!$G178,0,0,1,COUNTA(Synthèse!$10:$10)-6),"="&amp;$G$1)</f>
        <v>0</v>
      </c>
      <c r="H169" s="231">
        <f ca="1">COUNTIF(OFFSET(Synthèse!$G178,0,0,1,COUNTA(Synthèse!$10:$10)-6),"="&amp;$H$1)</f>
        <v>0</v>
      </c>
      <c r="I169" s="18">
        <f t="shared" ca="1" si="20"/>
        <v>0</v>
      </c>
      <c r="Q169" s="12"/>
      <c r="R169" s="12"/>
    </row>
    <row r="170" spans="2:18" x14ac:dyDescent="0.35">
      <c r="B170" s="101" t="str">
        <f>Modèle!B172</f>
        <v>Présentation de l'information</v>
      </c>
      <c r="C170" s="107" t="str">
        <f>Modèle!D172</f>
        <v>10.9.2</v>
      </c>
      <c r="D170" s="108" t="str">
        <f>Modèle!E172</f>
        <v>A</v>
      </c>
      <c r="E170" s="231">
        <f ca="1">COUNTIF(OFFSET(Synthèse!$G179,0,0,1,COUNTA(Synthèse!$10:$10)-6),"="&amp;$E$1)</f>
        <v>0</v>
      </c>
      <c r="F170" s="231">
        <f ca="1">COUNTIF(OFFSET(Synthèse!$G179,0,0,1,COUNTA(Synthèse!$10:$10)-6),"="&amp;$F$1)</f>
        <v>0</v>
      </c>
      <c r="G170" s="231">
        <f ca="1">COUNTIF(OFFSET(Synthèse!$G179,0,0,1,COUNTA(Synthèse!$10:$10)-6),"="&amp;$G$1)</f>
        <v>0</v>
      </c>
      <c r="H170" s="231">
        <f ca="1">COUNTIF(OFFSET(Synthèse!$G179,0,0,1,COUNTA(Synthèse!$10:$10)-6),"="&amp;$H$1)</f>
        <v>0</v>
      </c>
      <c r="I170" s="18">
        <f t="shared" ca="1" si="20"/>
        <v>0</v>
      </c>
      <c r="Q170" s="12"/>
      <c r="R170" s="12"/>
    </row>
    <row r="171" spans="2:18" x14ac:dyDescent="0.35">
      <c r="B171" s="101" t="str">
        <f>Modèle!B173</f>
        <v>Présentation de l'information</v>
      </c>
      <c r="C171" s="107" t="str">
        <f>Modèle!D173</f>
        <v>10.9.3</v>
      </c>
      <c r="D171" s="108" t="str">
        <f>Modèle!E173</f>
        <v>A</v>
      </c>
      <c r="E171" s="231">
        <f ca="1">COUNTIF(OFFSET(Synthèse!$G180,0,0,1,COUNTA(Synthèse!$10:$10)-6),"="&amp;$E$1)</f>
        <v>0</v>
      </c>
      <c r="F171" s="231">
        <f ca="1">COUNTIF(OFFSET(Synthèse!$G180,0,0,1,COUNTA(Synthèse!$10:$10)-6),"="&amp;$F$1)</f>
        <v>0</v>
      </c>
      <c r="G171" s="231">
        <f ca="1">COUNTIF(OFFSET(Synthèse!$G180,0,0,1,COUNTA(Synthèse!$10:$10)-6),"="&amp;$G$1)</f>
        <v>0</v>
      </c>
      <c r="H171" s="231">
        <f ca="1">COUNTIF(OFFSET(Synthèse!$G180,0,0,1,COUNTA(Synthèse!$10:$10)-6),"="&amp;$H$1)</f>
        <v>0</v>
      </c>
      <c r="I171" s="18">
        <f t="shared" ca="1" si="20"/>
        <v>0</v>
      </c>
      <c r="Q171" s="12"/>
      <c r="R171" s="12"/>
    </row>
    <row r="172" spans="2:18" x14ac:dyDescent="0.35">
      <c r="B172" s="101" t="str">
        <f>Modèle!B174</f>
        <v>Présentation de l'information</v>
      </c>
      <c r="C172" s="107" t="str">
        <f>Modèle!D174</f>
        <v>10.9.4</v>
      </c>
      <c r="D172" s="108" t="str">
        <f>Modèle!E174</f>
        <v>A</v>
      </c>
      <c r="E172" s="231">
        <f ca="1">COUNTIF(OFFSET(Synthèse!$G181,0,0,1,COUNTA(Synthèse!$10:$10)-6),"="&amp;$E$1)</f>
        <v>0</v>
      </c>
      <c r="F172" s="231">
        <f ca="1">COUNTIF(OFFSET(Synthèse!$G181,0,0,1,COUNTA(Synthèse!$10:$10)-6),"="&amp;$F$1)</f>
        <v>0</v>
      </c>
      <c r="G172" s="231">
        <f ca="1">COUNTIF(OFFSET(Synthèse!$G181,0,0,1,COUNTA(Synthèse!$10:$10)-6),"="&amp;$G$1)</f>
        <v>0</v>
      </c>
      <c r="H172" s="231">
        <f ca="1">COUNTIF(OFFSET(Synthèse!$G181,0,0,1,COUNTA(Synthèse!$10:$10)-6),"="&amp;$H$1)</f>
        <v>0</v>
      </c>
      <c r="I172" s="18">
        <f t="shared" ca="1" si="20"/>
        <v>0</v>
      </c>
      <c r="Q172" s="12"/>
      <c r="R172" s="12"/>
    </row>
    <row r="173" spans="2:18" x14ac:dyDescent="0.35">
      <c r="B173" s="102" t="str">
        <f>Modèle!B175</f>
        <v>Présentation de l'information</v>
      </c>
      <c r="C173" s="109" t="str">
        <f>Modèle!D175</f>
        <v>10.10.1</v>
      </c>
      <c r="D173" s="110" t="str">
        <f>Modèle!E175</f>
        <v>A</v>
      </c>
      <c r="E173" s="232">
        <f ca="1">COUNTIF(OFFSET(Synthèse!$G182,0,0,1,COUNTA(Synthèse!$10:$10)-6),"="&amp;$E$1)</f>
        <v>0</v>
      </c>
      <c r="F173" s="232">
        <f ca="1">COUNTIF(OFFSET(Synthèse!$G182,0,0,1,COUNTA(Synthèse!$10:$10)-6),"="&amp;$F$1)</f>
        <v>0</v>
      </c>
      <c r="G173" s="232">
        <f ca="1">COUNTIF(OFFSET(Synthèse!$G182,0,0,1,COUNTA(Synthèse!$10:$10)-6),"="&amp;$G$1)</f>
        <v>0</v>
      </c>
      <c r="H173" s="232">
        <f ca="1">COUNTIF(OFFSET(Synthèse!$G182,0,0,1,COUNTA(Synthèse!$10:$10)-6),"="&amp;$H$1)</f>
        <v>0</v>
      </c>
      <c r="I173" s="18">
        <f t="shared" ca="1" si="20"/>
        <v>0</v>
      </c>
      <c r="Q173" s="12"/>
      <c r="R173" s="12"/>
    </row>
    <row r="174" spans="2:18" x14ac:dyDescent="0.35">
      <c r="B174" s="102" t="str">
        <f>Modèle!B176</f>
        <v>Présentation de l'information</v>
      </c>
      <c r="C174" s="109" t="str">
        <f>Modèle!D176</f>
        <v>10.10.2</v>
      </c>
      <c r="D174" s="110" t="str">
        <f>Modèle!E176</f>
        <v>A</v>
      </c>
      <c r="E174" s="232">
        <f ca="1">COUNTIF(OFFSET(Synthèse!$G183,0,0,1,COUNTA(Synthèse!$10:$10)-6),"="&amp;$E$1)</f>
        <v>0</v>
      </c>
      <c r="F174" s="232">
        <f ca="1">COUNTIF(OFFSET(Synthèse!$G183,0,0,1,COUNTA(Synthèse!$10:$10)-6),"="&amp;$F$1)</f>
        <v>0</v>
      </c>
      <c r="G174" s="232">
        <f ca="1">COUNTIF(OFFSET(Synthèse!$G183,0,0,1,COUNTA(Synthèse!$10:$10)-6),"="&amp;$G$1)</f>
        <v>0</v>
      </c>
      <c r="H174" s="232">
        <f ca="1">COUNTIF(OFFSET(Synthèse!$G183,0,0,1,COUNTA(Synthèse!$10:$10)-6),"="&amp;$H$1)</f>
        <v>0</v>
      </c>
      <c r="I174" s="18">
        <f t="shared" ca="1" si="20"/>
        <v>0</v>
      </c>
      <c r="Q174" s="12"/>
      <c r="R174" s="12"/>
    </row>
    <row r="175" spans="2:18" x14ac:dyDescent="0.35">
      <c r="B175" s="102" t="str">
        <f>Modèle!B177</f>
        <v>Présentation de l'information</v>
      </c>
      <c r="C175" s="109" t="str">
        <f>Modèle!D177</f>
        <v>10.10.3</v>
      </c>
      <c r="D175" s="110" t="str">
        <f>Modèle!E177</f>
        <v>A</v>
      </c>
      <c r="E175" s="232">
        <f ca="1">COUNTIF(OFFSET(Synthèse!$G184,0,0,1,COUNTA(Synthèse!$10:$10)-6),"="&amp;$E$1)</f>
        <v>0</v>
      </c>
      <c r="F175" s="232">
        <f ca="1">COUNTIF(OFFSET(Synthèse!$G184,0,0,1,COUNTA(Synthèse!$10:$10)-6),"="&amp;$F$1)</f>
        <v>0</v>
      </c>
      <c r="G175" s="232">
        <f ca="1">COUNTIF(OFFSET(Synthèse!$G184,0,0,1,COUNTA(Synthèse!$10:$10)-6),"="&amp;$G$1)</f>
        <v>0</v>
      </c>
      <c r="H175" s="232">
        <f ca="1">COUNTIF(OFFSET(Synthèse!$G184,0,0,1,COUNTA(Synthèse!$10:$10)-6),"="&amp;$H$1)</f>
        <v>0</v>
      </c>
      <c r="I175" s="18">
        <f t="shared" ca="1" si="20"/>
        <v>0</v>
      </c>
      <c r="Q175" s="12"/>
      <c r="R175" s="12"/>
    </row>
    <row r="176" spans="2:18" x14ac:dyDescent="0.35">
      <c r="B176" s="102" t="str">
        <f>Modèle!B178</f>
        <v>Présentation de l'information</v>
      </c>
      <c r="C176" s="109" t="str">
        <f>Modèle!D178</f>
        <v>10.10.4</v>
      </c>
      <c r="D176" s="110" t="str">
        <f>Modèle!E178</f>
        <v>A</v>
      </c>
      <c r="E176" s="232">
        <f ca="1">COUNTIF(OFFSET(Synthèse!$G185,0,0,1,COUNTA(Synthèse!$10:$10)-6),"="&amp;$E$1)</f>
        <v>0</v>
      </c>
      <c r="F176" s="232">
        <f ca="1">COUNTIF(OFFSET(Synthèse!$G185,0,0,1,COUNTA(Synthèse!$10:$10)-6),"="&amp;$F$1)</f>
        <v>0</v>
      </c>
      <c r="G176" s="232">
        <f ca="1">COUNTIF(OFFSET(Synthèse!$G185,0,0,1,COUNTA(Synthèse!$10:$10)-6),"="&amp;$G$1)</f>
        <v>0</v>
      </c>
      <c r="H176" s="232">
        <f ca="1">COUNTIF(OFFSET(Synthèse!$G185,0,0,1,COUNTA(Synthèse!$10:$10)-6),"="&amp;$H$1)</f>
        <v>0</v>
      </c>
      <c r="I176" s="18">
        <f t="shared" ca="1" si="20"/>
        <v>0</v>
      </c>
      <c r="Q176" s="12"/>
      <c r="R176" s="12"/>
    </row>
    <row r="177" spans="2:18" x14ac:dyDescent="0.35">
      <c r="B177" s="101" t="str">
        <f>Modèle!B179</f>
        <v>Présentation de l'information</v>
      </c>
      <c r="C177" s="107" t="str">
        <f>Modèle!D179</f>
        <v>10.11.1</v>
      </c>
      <c r="D177" s="108" t="str">
        <f>Modèle!E179</f>
        <v>AA</v>
      </c>
      <c r="E177" s="231">
        <f ca="1">COUNTIF(OFFSET(Synthèse!$G186,0,0,1,COUNTA(Synthèse!$10:$10)-6),"="&amp;$E$1)</f>
        <v>0</v>
      </c>
      <c r="F177" s="231">
        <f ca="1">COUNTIF(OFFSET(Synthèse!$G186,0,0,1,COUNTA(Synthèse!$10:$10)-6),"="&amp;$F$1)</f>
        <v>0</v>
      </c>
      <c r="G177" s="231">
        <f ca="1">COUNTIF(OFFSET(Synthèse!$G186,0,0,1,COUNTA(Synthèse!$10:$10)-6),"="&amp;$G$1)</f>
        <v>0</v>
      </c>
      <c r="H177" s="231">
        <f ca="1">COUNTIF(OFFSET(Synthèse!$G186,0,0,1,COUNTA(Synthèse!$10:$10)-6),"="&amp;$H$1)</f>
        <v>0</v>
      </c>
      <c r="I177" s="18">
        <f t="shared" ca="1" si="20"/>
        <v>0</v>
      </c>
      <c r="Q177" s="12"/>
      <c r="R177" s="12"/>
    </row>
    <row r="178" spans="2:18" ht="20" x14ac:dyDescent="0.35">
      <c r="B178" s="103" t="str">
        <f>Modèle!B180</f>
        <v>Présentation de l'information</v>
      </c>
      <c r="C178" s="111" t="str">
        <f>Modèle!D180</f>
        <v>10.11.2</v>
      </c>
      <c r="D178" s="112" t="str">
        <f>Modèle!E180</f>
        <v>AA</v>
      </c>
      <c r="E178" s="233">
        <f ca="1">COUNTIF(OFFSET(Synthèse!$G187,0,0,1,COUNTA(Synthèse!$10:$10)-6),"="&amp;$E$1)</f>
        <v>0</v>
      </c>
      <c r="F178" s="233">
        <f ca="1">COUNTIF(OFFSET(Synthèse!$G187,0,0,1,COUNTA(Synthèse!$10:$10)-6),"="&amp;$F$1)</f>
        <v>0</v>
      </c>
      <c r="G178" s="233">
        <f ca="1">COUNTIF(OFFSET(Synthèse!$G187,0,0,1,COUNTA(Synthèse!$10:$10)-6),"="&amp;$G$1)</f>
        <v>0</v>
      </c>
      <c r="H178" s="233">
        <f ca="1">COUNTIF(OFFSET(Synthèse!$G187,0,0,1,COUNTA(Synthèse!$10:$10)-6),"="&amp;$H$1)</f>
        <v>0</v>
      </c>
      <c r="I178" s="18">
        <f t="shared" ca="1" si="20"/>
        <v>0</v>
      </c>
      <c r="Q178" s="12"/>
      <c r="R178" s="12"/>
    </row>
    <row r="179" spans="2:18" ht="20" x14ac:dyDescent="0.35">
      <c r="B179" s="104" t="str">
        <f>Modèle!B181</f>
        <v>Présentation de l'information</v>
      </c>
      <c r="C179" s="113" t="str">
        <f>Modèle!D181</f>
        <v>10.12.1</v>
      </c>
      <c r="D179" s="114" t="str">
        <f>Modèle!E181</f>
        <v>AA</v>
      </c>
      <c r="E179" s="234">
        <f ca="1">COUNTIF(OFFSET(Synthèse!$G188,0,0,1,COUNTA(Synthèse!$10:$10)-6),"="&amp;$E$1)</f>
        <v>0</v>
      </c>
      <c r="F179" s="234">
        <f ca="1">COUNTIF(OFFSET(Synthèse!$G188,0,0,1,COUNTA(Synthèse!$10:$10)-6),"="&amp;$F$1)</f>
        <v>0</v>
      </c>
      <c r="G179" s="234">
        <f ca="1">COUNTIF(OFFSET(Synthèse!$G188,0,0,1,COUNTA(Synthèse!$10:$10)-6),"="&amp;$G$1)</f>
        <v>0</v>
      </c>
      <c r="H179" s="234">
        <f ca="1">COUNTIF(OFFSET(Synthèse!$G188,0,0,1,COUNTA(Synthèse!$10:$10)-6),"="&amp;$H$1)</f>
        <v>0</v>
      </c>
      <c r="I179" s="18">
        <f t="shared" ca="1" si="20"/>
        <v>0</v>
      </c>
      <c r="Q179" s="12"/>
      <c r="R179" s="12"/>
    </row>
    <row r="180" spans="2:18" ht="20" x14ac:dyDescent="0.35">
      <c r="B180" s="103" t="str">
        <f>Modèle!B182</f>
        <v>Présentation de l'information</v>
      </c>
      <c r="C180" s="111" t="str">
        <f>Modèle!D182</f>
        <v>10.13.1</v>
      </c>
      <c r="D180" s="112" t="str">
        <f>Modèle!E182</f>
        <v>AA</v>
      </c>
      <c r="E180" s="233">
        <f ca="1">COUNTIF(OFFSET(Synthèse!$G189,0,0,1,COUNTA(Synthèse!$10:$10)-6),"="&amp;$E$1)</f>
        <v>0</v>
      </c>
      <c r="F180" s="233">
        <f ca="1">COUNTIF(OFFSET(Synthèse!$G189,0,0,1,COUNTA(Synthèse!$10:$10)-6),"="&amp;$F$1)</f>
        <v>0</v>
      </c>
      <c r="G180" s="233">
        <f ca="1">COUNTIF(OFFSET(Synthèse!$G189,0,0,1,COUNTA(Synthèse!$10:$10)-6),"="&amp;$G$1)</f>
        <v>0</v>
      </c>
      <c r="H180" s="233">
        <f ca="1">COUNTIF(OFFSET(Synthèse!$G189,0,0,1,COUNTA(Synthèse!$10:$10)-6),"="&amp;$H$1)</f>
        <v>0</v>
      </c>
      <c r="I180" s="18">
        <f t="shared" ca="1" si="20"/>
        <v>0</v>
      </c>
      <c r="Q180" s="12"/>
      <c r="R180" s="12"/>
    </row>
    <row r="181" spans="2:18" ht="20" x14ac:dyDescent="0.35">
      <c r="B181" s="103" t="str">
        <f>Modèle!B183</f>
        <v>Présentation de l'information</v>
      </c>
      <c r="C181" s="111" t="str">
        <f>Modèle!D183</f>
        <v>10.13.2</v>
      </c>
      <c r="D181" s="112" t="str">
        <f>Modèle!E183</f>
        <v>AA</v>
      </c>
      <c r="E181" s="233">
        <f ca="1">COUNTIF(OFFSET(Synthèse!$G190,0,0,1,COUNTA(Synthèse!$10:$10)-6),"="&amp;$E$1)</f>
        <v>0</v>
      </c>
      <c r="F181" s="233">
        <f ca="1">COUNTIF(OFFSET(Synthèse!$G190,0,0,1,COUNTA(Synthèse!$10:$10)-6),"="&amp;$F$1)</f>
        <v>0</v>
      </c>
      <c r="G181" s="233">
        <f ca="1">COUNTIF(OFFSET(Synthèse!$G190,0,0,1,COUNTA(Synthèse!$10:$10)-6),"="&amp;$G$1)</f>
        <v>0</v>
      </c>
      <c r="H181" s="233">
        <f ca="1">COUNTIF(OFFSET(Synthèse!$G190,0,0,1,COUNTA(Synthèse!$10:$10)-6),"="&amp;$H$1)</f>
        <v>0</v>
      </c>
      <c r="I181" s="18">
        <f t="shared" ca="1" si="20"/>
        <v>0</v>
      </c>
      <c r="Q181" s="12"/>
      <c r="R181" s="12"/>
    </row>
    <row r="182" spans="2:18" ht="20" x14ac:dyDescent="0.35">
      <c r="B182" s="103" t="str">
        <f>Modèle!B184</f>
        <v>Présentation de l'information</v>
      </c>
      <c r="C182" s="111" t="str">
        <f>Modèle!D184</f>
        <v>10.13.3</v>
      </c>
      <c r="D182" s="112" t="str">
        <f>Modèle!E184</f>
        <v>AA</v>
      </c>
      <c r="E182" s="233">
        <f ca="1">COUNTIF(OFFSET(Synthèse!$G191,0,0,1,COUNTA(Synthèse!$10:$10)-6),"="&amp;$E$1)</f>
        <v>0</v>
      </c>
      <c r="F182" s="233">
        <f ca="1">COUNTIF(OFFSET(Synthèse!$G191,0,0,1,COUNTA(Synthèse!$10:$10)-6),"="&amp;$F$1)</f>
        <v>0</v>
      </c>
      <c r="G182" s="233">
        <f ca="1">COUNTIF(OFFSET(Synthèse!$G191,0,0,1,COUNTA(Synthèse!$10:$10)-6),"="&amp;$G$1)</f>
        <v>0</v>
      </c>
      <c r="H182" s="233">
        <f ca="1">COUNTIF(OFFSET(Synthèse!$G191,0,0,1,COUNTA(Synthèse!$10:$10)-6),"="&amp;$H$1)</f>
        <v>0</v>
      </c>
      <c r="I182" s="18">
        <f t="shared" ca="1" si="20"/>
        <v>0</v>
      </c>
      <c r="Q182" s="12"/>
      <c r="R182" s="12"/>
    </row>
    <row r="183" spans="2:18" ht="20" x14ac:dyDescent="0.35">
      <c r="B183" s="104" t="str">
        <f>Modèle!B185</f>
        <v>Présentation de l'information</v>
      </c>
      <c r="C183" s="113" t="str">
        <f>Modèle!D185</f>
        <v>10.14.1</v>
      </c>
      <c r="D183" s="114" t="str">
        <f>Modèle!E185</f>
        <v>A</v>
      </c>
      <c r="E183" s="234">
        <f ca="1">COUNTIF(OFFSET(Synthèse!$G192,0,0,1,COUNTA(Synthèse!$10:$10)-6),"="&amp;$E$1)</f>
        <v>0</v>
      </c>
      <c r="F183" s="234">
        <f ca="1">COUNTIF(OFFSET(Synthèse!$G192,0,0,1,COUNTA(Synthèse!$10:$10)-6),"="&amp;$F$1)</f>
        <v>0</v>
      </c>
      <c r="G183" s="234">
        <f ca="1">COUNTIF(OFFSET(Synthèse!$G192,0,0,1,COUNTA(Synthèse!$10:$10)-6),"="&amp;$G$1)</f>
        <v>0</v>
      </c>
      <c r="H183" s="234">
        <f ca="1">COUNTIF(OFFSET(Synthèse!$G192,0,0,1,COUNTA(Synthèse!$10:$10)-6),"="&amp;$H$1)</f>
        <v>0</v>
      </c>
      <c r="I183" s="18">
        <f t="shared" ca="1" si="20"/>
        <v>0</v>
      </c>
      <c r="Q183" s="12"/>
      <c r="R183" s="12"/>
    </row>
    <row r="184" spans="2:18" ht="20" x14ac:dyDescent="0.35">
      <c r="B184" s="104" t="str">
        <f>Modèle!B186</f>
        <v>Présentation de l'information</v>
      </c>
      <c r="C184" s="113" t="str">
        <f>Modèle!D186</f>
        <v>10.14.2</v>
      </c>
      <c r="D184" s="114" t="str">
        <f>Modèle!E186</f>
        <v>A</v>
      </c>
      <c r="E184" s="234">
        <f ca="1">COUNTIF(OFFSET(Synthèse!$G193,0,0,1,COUNTA(Synthèse!$10:$10)-6),"="&amp;$E$1)</f>
        <v>0</v>
      </c>
      <c r="F184" s="234">
        <f ca="1">COUNTIF(OFFSET(Synthèse!$G193,0,0,1,COUNTA(Synthèse!$10:$10)-6),"="&amp;$F$1)</f>
        <v>0</v>
      </c>
      <c r="G184" s="234">
        <f ca="1">COUNTIF(OFFSET(Synthèse!$G193,0,0,1,COUNTA(Synthèse!$10:$10)-6),"="&amp;$G$1)</f>
        <v>0</v>
      </c>
      <c r="H184" s="234">
        <f ca="1">COUNTIF(OFFSET(Synthèse!$G193,0,0,1,COUNTA(Synthèse!$10:$10)-6),"="&amp;$H$1)</f>
        <v>0</v>
      </c>
      <c r="I184" s="18">
        <f t="shared" ca="1" si="20"/>
        <v>0</v>
      </c>
      <c r="Q184" s="12"/>
      <c r="R184" s="12"/>
    </row>
    <row r="185" spans="2:18" x14ac:dyDescent="0.35">
      <c r="B185" s="103" t="str">
        <f>Modèle!B187</f>
        <v>Formulaires</v>
      </c>
      <c r="C185" s="111" t="str">
        <f>Modèle!D187</f>
        <v>11.1.1</v>
      </c>
      <c r="D185" s="112" t="str">
        <f>Modèle!E187</f>
        <v>A</v>
      </c>
      <c r="E185" s="233">
        <f ca="1">COUNTIF(OFFSET(Synthèse!$G194,0,0,1,COUNTA(Synthèse!$10:$10)-6),"="&amp;$E$1)</f>
        <v>0</v>
      </c>
      <c r="F185" s="233">
        <f ca="1">COUNTIF(OFFSET(Synthèse!$G194,0,0,1,COUNTA(Synthèse!$10:$10)-6),"="&amp;$F$1)</f>
        <v>0</v>
      </c>
      <c r="G185" s="233">
        <f ca="1">COUNTIF(OFFSET(Synthèse!$G194,0,0,1,COUNTA(Synthèse!$10:$10)-6),"="&amp;$G$1)</f>
        <v>0</v>
      </c>
      <c r="H185" s="233">
        <f ca="1">COUNTIF(OFFSET(Synthèse!$G194,0,0,1,COUNTA(Synthèse!$10:$10)-6),"="&amp;$H$1)</f>
        <v>0</v>
      </c>
      <c r="I185" s="18">
        <f t="shared" ca="1" si="20"/>
        <v>0</v>
      </c>
      <c r="Q185" s="12"/>
      <c r="R185" s="12"/>
    </row>
    <row r="186" spans="2:18" x14ac:dyDescent="0.35">
      <c r="B186" s="103" t="str">
        <f>Modèle!B188</f>
        <v>Formulaires</v>
      </c>
      <c r="C186" s="111" t="str">
        <f>Modèle!D188</f>
        <v>11.1.2</v>
      </c>
      <c r="D186" s="112" t="str">
        <f>Modèle!E188</f>
        <v>A</v>
      </c>
      <c r="E186" s="233">
        <f ca="1">COUNTIF(OFFSET(Synthèse!$G195,0,0,1,COUNTA(Synthèse!$10:$10)-6),"="&amp;$E$1)</f>
        <v>0</v>
      </c>
      <c r="F186" s="233">
        <f ca="1">COUNTIF(OFFSET(Synthèse!$G195,0,0,1,COUNTA(Synthèse!$10:$10)-6),"="&amp;$F$1)</f>
        <v>0</v>
      </c>
      <c r="G186" s="233">
        <f ca="1">COUNTIF(OFFSET(Synthèse!$G195,0,0,1,COUNTA(Synthèse!$10:$10)-6),"="&amp;$G$1)</f>
        <v>0</v>
      </c>
      <c r="H186" s="233">
        <f ca="1">COUNTIF(OFFSET(Synthèse!$G195,0,0,1,COUNTA(Synthèse!$10:$10)-6),"="&amp;$H$1)</f>
        <v>0</v>
      </c>
      <c r="I186" s="18">
        <f t="shared" ca="1" si="20"/>
        <v>0</v>
      </c>
      <c r="Q186" s="12"/>
      <c r="R186" s="12"/>
    </row>
    <row r="187" spans="2:18" x14ac:dyDescent="0.35">
      <c r="B187" s="105" t="str">
        <f>Modèle!B189</f>
        <v>Formulaires</v>
      </c>
      <c r="C187" s="115" t="str">
        <f>Modèle!D189</f>
        <v>11.1.3</v>
      </c>
      <c r="D187" s="112" t="str">
        <f>Modèle!E189</f>
        <v>A</v>
      </c>
      <c r="E187" s="233">
        <f ca="1">COUNTIF(OFFSET(Synthèse!$G196,0,0,1,COUNTA(Synthèse!$10:$10)-6),"="&amp;$E$1)</f>
        <v>0</v>
      </c>
      <c r="F187" s="233">
        <f ca="1">COUNTIF(OFFSET(Synthèse!$G196,0,0,1,COUNTA(Synthèse!$10:$10)-6),"="&amp;$F$1)</f>
        <v>0</v>
      </c>
      <c r="G187" s="233">
        <f ca="1">COUNTIF(OFFSET(Synthèse!$G196,0,0,1,COUNTA(Synthèse!$10:$10)-6),"="&amp;$G$1)</f>
        <v>0</v>
      </c>
      <c r="H187" s="233">
        <f ca="1">COUNTIF(OFFSET(Synthèse!$G196,0,0,1,COUNTA(Synthèse!$10:$10)-6),"="&amp;$H$1)</f>
        <v>0</v>
      </c>
      <c r="I187" s="18">
        <f t="shared" ca="1" si="20"/>
        <v>0</v>
      </c>
      <c r="Q187" s="12"/>
      <c r="R187" s="12"/>
    </row>
    <row r="188" spans="2:18" x14ac:dyDescent="0.35">
      <c r="B188" s="106" t="str">
        <f>Modèle!B190</f>
        <v>Formulaires</v>
      </c>
      <c r="C188" s="116" t="str">
        <f>Modèle!D190</f>
        <v>11.2.1</v>
      </c>
      <c r="D188" s="114" t="str">
        <f>Modèle!E190</f>
        <v>A</v>
      </c>
      <c r="E188" s="234">
        <f ca="1">COUNTIF(OFFSET(Synthèse!$G197,0,0,1,COUNTA(Synthèse!$10:$10)-6),"="&amp;$E$1)</f>
        <v>0</v>
      </c>
      <c r="F188" s="234">
        <f ca="1">COUNTIF(OFFSET(Synthèse!$G197,0,0,1,COUNTA(Synthèse!$10:$10)-6),"="&amp;$F$1)</f>
        <v>0</v>
      </c>
      <c r="G188" s="234">
        <f ca="1">COUNTIF(OFFSET(Synthèse!$G197,0,0,1,COUNTA(Synthèse!$10:$10)-6),"="&amp;$G$1)</f>
        <v>0</v>
      </c>
      <c r="H188" s="234">
        <f ca="1">COUNTIF(OFFSET(Synthèse!$G197,0,0,1,COUNTA(Synthèse!$10:$10)-6),"="&amp;$H$1)</f>
        <v>0</v>
      </c>
      <c r="I188" s="18">
        <f t="shared" ca="1" si="20"/>
        <v>0</v>
      </c>
      <c r="Q188" s="12"/>
      <c r="R188" s="12"/>
    </row>
    <row r="189" spans="2:18" x14ac:dyDescent="0.35">
      <c r="B189" s="106" t="str">
        <f>Modèle!B191</f>
        <v>Formulaires</v>
      </c>
      <c r="C189" s="116" t="str">
        <f>Modèle!D191</f>
        <v>11.2.2</v>
      </c>
      <c r="D189" s="114" t="str">
        <f>Modèle!E191</f>
        <v>A</v>
      </c>
      <c r="E189" s="234">
        <f ca="1">COUNTIF(OFFSET(Synthèse!$G198,0,0,1,COUNTA(Synthèse!$10:$10)-6),"="&amp;$E$1)</f>
        <v>0</v>
      </c>
      <c r="F189" s="234">
        <f ca="1">COUNTIF(OFFSET(Synthèse!$G198,0,0,1,COUNTA(Synthèse!$10:$10)-6),"="&amp;$F$1)</f>
        <v>0</v>
      </c>
      <c r="G189" s="234">
        <f ca="1">COUNTIF(OFFSET(Synthèse!$G198,0,0,1,COUNTA(Synthèse!$10:$10)-6),"="&amp;$G$1)</f>
        <v>0</v>
      </c>
      <c r="H189" s="234">
        <f ca="1">COUNTIF(OFFSET(Synthèse!$G198,0,0,1,COUNTA(Synthèse!$10:$10)-6),"="&amp;$H$1)</f>
        <v>0</v>
      </c>
      <c r="I189" s="18">
        <f t="shared" ca="1" si="20"/>
        <v>0</v>
      </c>
      <c r="Q189" s="12"/>
      <c r="R189" s="12"/>
    </row>
    <row r="190" spans="2:18" x14ac:dyDescent="0.35">
      <c r="B190" s="106" t="str">
        <f>Modèle!B192</f>
        <v>Formulaires</v>
      </c>
      <c r="C190" s="116" t="str">
        <f>Modèle!D192</f>
        <v>11.2.3</v>
      </c>
      <c r="D190" s="114" t="str">
        <f>Modèle!E192</f>
        <v>A</v>
      </c>
      <c r="E190" s="234">
        <f ca="1">COUNTIF(OFFSET(Synthèse!$G199,0,0,1,COUNTA(Synthèse!$10:$10)-6),"="&amp;$E$1)</f>
        <v>0</v>
      </c>
      <c r="F190" s="234">
        <f ca="1">COUNTIF(OFFSET(Synthèse!$G199,0,0,1,COUNTA(Synthèse!$10:$10)-6),"="&amp;$F$1)</f>
        <v>0</v>
      </c>
      <c r="G190" s="234">
        <f ca="1">COUNTIF(OFFSET(Synthèse!$G199,0,0,1,COUNTA(Synthèse!$10:$10)-6),"="&amp;$G$1)</f>
        <v>0</v>
      </c>
      <c r="H190" s="234">
        <f ca="1">COUNTIF(OFFSET(Synthèse!$G199,0,0,1,COUNTA(Synthèse!$10:$10)-6),"="&amp;$H$1)</f>
        <v>0</v>
      </c>
      <c r="I190" s="18">
        <f t="shared" ca="1" si="20"/>
        <v>0</v>
      </c>
      <c r="Q190" s="12"/>
      <c r="R190" s="12"/>
    </row>
    <row r="191" spans="2:18" x14ac:dyDescent="0.35">
      <c r="B191" s="106" t="str">
        <f>Modèle!B193</f>
        <v>Formulaires</v>
      </c>
      <c r="C191" s="116" t="str">
        <f>Modèle!D193</f>
        <v>11.2.4</v>
      </c>
      <c r="D191" s="114" t="str">
        <f>Modèle!E193</f>
        <v>A</v>
      </c>
      <c r="E191" s="234">
        <f ca="1">COUNTIF(OFFSET(Synthèse!$G200,0,0,1,COUNTA(Synthèse!$10:$10)-6),"="&amp;$E$1)</f>
        <v>0</v>
      </c>
      <c r="F191" s="234">
        <f ca="1">COUNTIF(OFFSET(Synthèse!$G200,0,0,1,COUNTA(Synthèse!$10:$10)-6),"="&amp;$F$1)</f>
        <v>0</v>
      </c>
      <c r="G191" s="234">
        <f ca="1">COUNTIF(OFFSET(Synthèse!$G200,0,0,1,COUNTA(Synthèse!$10:$10)-6),"="&amp;$G$1)</f>
        <v>0</v>
      </c>
      <c r="H191" s="234">
        <f ca="1">COUNTIF(OFFSET(Synthèse!$G200,0,0,1,COUNTA(Synthèse!$10:$10)-6),"="&amp;$H$1)</f>
        <v>0</v>
      </c>
      <c r="I191" s="18">
        <f t="shared" ca="1" si="20"/>
        <v>0</v>
      </c>
      <c r="Q191" s="12"/>
      <c r="R191" s="12"/>
    </row>
    <row r="192" spans="2:18" x14ac:dyDescent="0.35">
      <c r="B192" s="106" t="str">
        <f>Modèle!B194</f>
        <v>Formulaires</v>
      </c>
      <c r="C192" s="116" t="str">
        <f>Modèle!D194</f>
        <v>11.2.5</v>
      </c>
      <c r="D192" s="114" t="str">
        <f>Modèle!E194</f>
        <v>A</v>
      </c>
      <c r="E192" s="234">
        <f ca="1">COUNTIF(OFFSET(Synthèse!$G201,0,0,1,COUNTA(Synthèse!$10:$10)-6),"="&amp;$E$1)</f>
        <v>0</v>
      </c>
      <c r="F192" s="234">
        <f ca="1">COUNTIF(OFFSET(Synthèse!$G201,0,0,1,COUNTA(Synthèse!$10:$10)-6),"="&amp;$F$1)</f>
        <v>0</v>
      </c>
      <c r="G192" s="234">
        <f ca="1">COUNTIF(OFFSET(Synthèse!$G201,0,0,1,COUNTA(Synthèse!$10:$10)-6),"="&amp;$G$1)</f>
        <v>0</v>
      </c>
      <c r="H192" s="234">
        <f ca="1">COUNTIF(OFFSET(Synthèse!$G201,0,0,1,COUNTA(Synthèse!$10:$10)-6),"="&amp;$H$1)</f>
        <v>0</v>
      </c>
      <c r="I192" s="18">
        <f t="shared" ca="1" si="20"/>
        <v>0</v>
      </c>
      <c r="Q192" s="12"/>
      <c r="R192" s="12"/>
    </row>
    <row r="193" spans="2:47" x14ac:dyDescent="0.35">
      <c r="B193" s="106" t="str">
        <f>Modèle!B195</f>
        <v>Formulaires</v>
      </c>
      <c r="C193" s="116" t="str">
        <f>Modèle!D195</f>
        <v>11.2.6</v>
      </c>
      <c r="D193" s="114" t="str">
        <f>Modèle!E195</f>
        <v>A</v>
      </c>
      <c r="E193" s="234">
        <f ca="1">COUNTIF(OFFSET(Synthèse!$G202,0,0,1,COUNTA(Synthèse!$10:$10)-6),"="&amp;$E$1)</f>
        <v>0</v>
      </c>
      <c r="F193" s="234">
        <f ca="1">COUNTIF(OFFSET(Synthèse!$G202,0,0,1,COUNTA(Synthèse!$10:$10)-6),"="&amp;$F$1)</f>
        <v>0</v>
      </c>
      <c r="G193" s="234">
        <f ca="1">COUNTIF(OFFSET(Synthèse!$G202,0,0,1,COUNTA(Synthèse!$10:$10)-6),"="&amp;$G$1)</f>
        <v>0</v>
      </c>
      <c r="H193" s="234">
        <f ca="1">COUNTIF(OFFSET(Synthèse!$G202,0,0,1,COUNTA(Synthèse!$10:$10)-6),"="&amp;$H$1)</f>
        <v>0</v>
      </c>
      <c r="I193" s="18">
        <f t="shared" ca="1" si="20"/>
        <v>0</v>
      </c>
      <c r="Q193" s="12"/>
      <c r="R193" s="12"/>
      <c r="AT193" s="20">
        <v>25</v>
      </c>
      <c r="AU193" s="12">
        <v>26</v>
      </c>
    </row>
    <row r="194" spans="2:47" x14ac:dyDescent="0.35">
      <c r="B194" s="105" t="str">
        <f>Modèle!B196</f>
        <v>Formulaires</v>
      </c>
      <c r="C194" s="115" t="str">
        <f>Modèle!D196</f>
        <v>11.3.1</v>
      </c>
      <c r="D194" s="112" t="str">
        <f>Modèle!E196</f>
        <v>AA</v>
      </c>
      <c r="E194" s="233">
        <f ca="1">COUNTIF(OFFSET(Synthèse!$G203,0,0,1,COUNTA(Synthèse!$10:$10)-6),"="&amp;$E$1)</f>
        <v>0</v>
      </c>
      <c r="F194" s="233">
        <f ca="1">COUNTIF(OFFSET(Synthèse!$G203,0,0,1,COUNTA(Synthèse!$10:$10)-6),"="&amp;$F$1)</f>
        <v>0</v>
      </c>
      <c r="G194" s="233">
        <f ca="1">COUNTIF(OFFSET(Synthèse!$G203,0,0,1,COUNTA(Synthèse!$10:$10)-6),"="&amp;$G$1)</f>
        <v>0</v>
      </c>
      <c r="H194" s="233">
        <f ca="1">COUNTIF(OFFSET(Synthèse!$G203,0,0,1,COUNTA(Synthèse!$10:$10)-6),"="&amp;$H$1)</f>
        <v>0</v>
      </c>
      <c r="I194" s="18">
        <f t="shared" ca="1" si="20"/>
        <v>0</v>
      </c>
      <c r="Q194" s="12"/>
      <c r="R194" s="12"/>
      <c r="T194" s="20"/>
      <c r="V194" s="20"/>
      <c r="Z194" s="20"/>
      <c r="AB194" s="20"/>
      <c r="AF194" s="20"/>
    </row>
    <row r="195" spans="2:47" x14ac:dyDescent="0.35">
      <c r="B195" s="105" t="str">
        <f>Modèle!B197</f>
        <v>Formulaires</v>
      </c>
      <c r="C195" s="115" t="str">
        <f>Modèle!D197</f>
        <v>11.3.2</v>
      </c>
      <c r="D195" s="112" t="str">
        <f>Modèle!E197</f>
        <v>AA</v>
      </c>
      <c r="E195" s="233">
        <f ca="1">COUNTIF(OFFSET(Synthèse!$G204,0,0,1,COUNTA(Synthèse!$10:$10)-6),"="&amp;$E$1)</f>
        <v>0</v>
      </c>
      <c r="F195" s="233">
        <f ca="1">COUNTIF(OFFSET(Synthèse!$G204,0,0,1,COUNTA(Synthèse!$10:$10)-6),"="&amp;$F$1)</f>
        <v>0</v>
      </c>
      <c r="G195" s="233">
        <f ca="1">COUNTIF(OFFSET(Synthèse!$G204,0,0,1,COUNTA(Synthèse!$10:$10)-6),"="&amp;$G$1)</f>
        <v>0</v>
      </c>
      <c r="H195" s="233">
        <f ca="1">COUNTIF(OFFSET(Synthèse!$G204,0,0,1,COUNTA(Synthèse!$10:$10)-6),"="&amp;$H$1)</f>
        <v>0</v>
      </c>
      <c r="I195" s="18">
        <f t="shared" ca="1" si="20"/>
        <v>0</v>
      </c>
      <c r="Q195" s="12"/>
      <c r="R195" s="12"/>
    </row>
    <row r="196" spans="2:47" x14ac:dyDescent="0.35">
      <c r="B196" s="106" t="str">
        <f>Modèle!B198</f>
        <v>Formulaires</v>
      </c>
      <c r="C196" s="116" t="str">
        <f>Modèle!D198</f>
        <v>11.4.1</v>
      </c>
      <c r="D196" s="114" t="str">
        <f>Modèle!E198</f>
        <v>AA</v>
      </c>
      <c r="E196" s="234">
        <f ca="1">COUNTIF(OFFSET(Synthèse!$G205,0,0,1,COUNTA(Synthèse!$10:$10)-6),"="&amp;$E$1)</f>
        <v>0</v>
      </c>
      <c r="F196" s="234">
        <f ca="1">COUNTIF(OFFSET(Synthèse!$G205,0,0,1,COUNTA(Synthèse!$10:$10)-6),"="&amp;$F$1)</f>
        <v>0</v>
      </c>
      <c r="G196" s="234">
        <f ca="1">COUNTIF(OFFSET(Synthèse!$G205,0,0,1,COUNTA(Synthèse!$10:$10)-6),"="&amp;$G$1)</f>
        <v>0</v>
      </c>
      <c r="H196" s="234">
        <f ca="1">COUNTIF(OFFSET(Synthèse!$G205,0,0,1,COUNTA(Synthèse!$10:$10)-6),"="&amp;$H$1)</f>
        <v>0</v>
      </c>
      <c r="I196" s="18">
        <f t="shared" ca="1" si="20"/>
        <v>0</v>
      </c>
      <c r="Q196" s="12"/>
      <c r="R196" s="12"/>
    </row>
    <row r="197" spans="2:47" x14ac:dyDescent="0.35">
      <c r="B197" s="106" t="str">
        <f>Modèle!B199</f>
        <v>Formulaires</v>
      </c>
      <c r="C197" s="116" t="str">
        <f>Modèle!D199</f>
        <v>11.4.2</v>
      </c>
      <c r="D197" s="114" t="str">
        <f>Modèle!E199</f>
        <v>AA</v>
      </c>
      <c r="E197" s="234">
        <f ca="1">COUNTIF(OFFSET(Synthèse!$G206,0,0,1,COUNTA(Synthèse!$10:$10)-6),"="&amp;$E$1)</f>
        <v>0</v>
      </c>
      <c r="F197" s="234">
        <f ca="1">COUNTIF(OFFSET(Synthèse!$G206,0,0,1,COUNTA(Synthèse!$10:$10)-6),"="&amp;$F$1)</f>
        <v>0</v>
      </c>
      <c r="G197" s="234">
        <f ca="1">COUNTIF(OFFSET(Synthèse!$G206,0,0,1,COUNTA(Synthèse!$10:$10)-6),"="&amp;$G$1)</f>
        <v>0</v>
      </c>
      <c r="H197" s="234">
        <f ca="1">COUNTIF(OFFSET(Synthèse!$G206,0,0,1,COUNTA(Synthèse!$10:$10)-6),"="&amp;$H$1)</f>
        <v>0</v>
      </c>
      <c r="I197" s="18">
        <f t="shared" ca="1" si="20"/>
        <v>0</v>
      </c>
      <c r="Q197" s="12"/>
      <c r="R197" s="12"/>
    </row>
    <row r="198" spans="2:47" x14ac:dyDescent="0.35">
      <c r="B198" s="106" t="str">
        <f>Modèle!B200</f>
        <v>Formulaires</v>
      </c>
      <c r="C198" s="116" t="str">
        <f>Modèle!D200</f>
        <v>11.4.3</v>
      </c>
      <c r="D198" s="114" t="str">
        <f>Modèle!E200</f>
        <v>AA</v>
      </c>
      <c r="E198" s="234">
        <f ca="1">COUNTIF(OFFSET(Synthèse!$G207,0,0,1,COUNTA(Synthèse!$10:$10)-6),"="&amp;$E$1)</f>
        <v>0</v>
      </c>
      <c r="F198" s="234">
        <f ca="1">COUNTIF(OFFSET(Synthèse!$G207,0,0,1,COUNTA(Synthèse!$10:$10)-6),"="&amp;$F$1)</f>
        <v>0</v>
      </c>
      <c r="G198" s="234">
        <f ca="1">COUNTIF(OFFSET(Synthèse!$G207,0,0,1,COUNTA(Synthèse!$10:$10)-6),"="&amp;$G$1)</f>
        <v>0</v>
      </c>
      <c r="H198" s="234">
        <f ca="1">COUNTIF(OFFSET(Synthèse!$G207,0,0,1,COUNTA(Synthèse!$10:$10)-6),"="&amp;$H$1)</f>
        <v>0</v>
      </c>
      <c r="I198" s="18">
        <f t="shared" ref="I198:I258" ca="1" si="21">SUM(E198:H198)</f>
        <v>0</v>
      </c>
      <c r="Q198" s="12"/>
      <c r="R198" s="12"/>
    </row>
    <row r="199" spans="2:47" x14ac:dyDescent="0.35">
      <c r="B199" s="105" t="str">
        <f>Modèle!B201</f>
        <v>Formulaires</v>
      </c>
      <c r="C199" s="115" t="str">
        <f>Modèle!D201</f>
        <v>11.5.1</v>
      </c>
      <c r="D199" s="112" t="str">
        <f>Modèle!E201</f>
        <v>A</v>
      </c>
      <c r="E199" s="233">
        <f ca="1">COUNTIF(OFFSET(Synthèse!$G208,0,0,1,COUNTA(Synthèse!$10:$10)-6),"="&amp;$E$1)</f>
        <v>0</v>
      </c>
      <c r="F199" s="233">
        <f ca="1">COUNTIF(OFFSET(Synthèse!$G208,0,0,1,COUNTA(Synthèse!$10:$10)-6),"="&amp;$F$1)</f>
        <v>0</v>
      </c>
      <c r="G199" s="233">
        <f ca="1">COUNTIF(OFFSET(Synthèse!$G208,0,0,1,COUNTA(Synthèse!$10:$10)-6),"="&amp;$G$1)</f>
        <v>0</v>
      </c>
      <c r="H199" s="233">
        <f ca="1">COUNTIF(OFFSET(Synthèse!$G208,0,0,1,COUNTA(Synthèse!$10:$10)-6),"="&amp;$H$1)</f>
        <v>0</v>
      </c>
      <c r="I199" s="18">
        <f t="shared" ca="1" si="21"/>
        <v>0</v>
      </c>
      <c r="Q199" s="12"/>
      <c r="R199" s="12"/>
    </row>
    <row r="200" spans="2:47" x14ac:dyDescent="0.35">
      <c r="B200" s="106" t="str">
        <f>Modèle!B202</f>
        <v>Formulaires</v>
      </c>
      <c r="C200" s="116" t="str">
        <f>Modèle!D202</f>
        <v>11.6.1</v>
      </c>
      <c r="D200" s="114" t="str">
        <f>Modèle!E202</f>
        <v>A</v>
      </c>
      <c r="E200" s="234">
        <f ca="1">COUNTIF(OFFSET(Synthèse!$G209,0,0,1,COUNTA(Synthèse!$10:$10)-6),"="&amp;$E$1)</f>
        <v>0</v>
      </c>
      <c r="F200" s="234">
        <f ca="1">COUNTIF(OFFSET(Synthèse!$G209,0,0,1,COUNTA(Synthèse!$10:$10)-6),"="&amp;$F$1)</f>
        <v>0</v>
      </c>
      <c r="G200" s="234">
        <f ca="1">COUNTIF(OFFSET(Synthèse!$G209,0,0,1,COUNTA(Synthèse!$10:$10)-6),"="&amp;$G$1)</f>
        <v>0</v>
      </c>
      <c r="H200" s="234">
        <f ca="1">COUNTIF(OFFSET(Synthèse!$G209,0,0,1,COUNTA(Synthèse!$10:$10)-6),"="&amp;$H$1)</f>
        <v>0</v>
      </c>
      <c r="I200" s="18">
        <f t="shared" ca="1" si="21"/>
        <v>0</v>
      </c>
      <c r="Q200" s="12"/>
      <c r="R200" s="12"/>
    </row>
    <row r="201" spans="2:47" x14ac:dyDescent="0.35">
      <c r="B201" s="105" t="str">
        <f>Modèle!B203</f>
        <v>Formulaires</v>
      </c>
      <c r="C201" s="115" t="str">
        <f>Modèle!D203</f>
        <v>11.7.1</v>
      </c>
      <c r="D201" s="112" t="str">
        <f>Modèle!E203</f>
        <v>A</v>
      </c>
      <c r="E201" s="233">
        <f ca="1">COUNTIF(OFFSET(Synthèse!$G210,0,0,1,COUNTA(Synthèse!$10:$10)-6),"="&amp;$E$1)</f>
        <v>0</v>
      </c>
      <c r="F201" s="233">
        <f ca="1">COUNTIF(OFFSET(Synthèse!$G210,0,0,1,COUNTA(Synthèse!$10:$10)-6),"="&amp;$F$1)</f>
        <v>0</v>
      </c>
      <c r="G201" s="233">
        <f ca="1">COUNTIF(OFFSET(Synthèse!$G210,0,0,1,COUNTA(Synthèse!$10:$10)-6),"="&amp;$G$1)</f>
        <v>0</v>
      </c>
      <c r="H201" s="233">
        <f ca="1">COUNTIF(OFFSET(Synthèse!$G210,0,0,1,COUNTA(Synthèse!$10:$10)-6),"="&amp;$H$1)</f>
        <v>0</v>
      </c>
      <c r="I201" s="18">
        <f t="shared" ca="1" si="21"/>
        <v>0</v>
      </c>
      <c r="Q201" s="12"/>
      <c r="R201" s="12"/>
    </row>
    <row r="202" spans="2:47" x14ac:dyDescent="0.35">
      <c r="B202" s="106" t="str">
        <f>Modèle!B204</f>
        <v>Formulaires</v>
      </c>
      <c r="C202" s="116" t="str">
        <f>Modèle!D204</f>
        <v>11.8.1</v>
      </c>
      <c r="D202" s="114" t="str">
        <f>Modèle!E204</f>
        <v>A</v>
      </c>
      <c r="E202" s="234">
        <f ca="1">COUNTIF(OFFSET(Synthèse!$G211,0,0,1,COUNTA(Synthèse!$10:$10)-6),"="&amp;$E$1)</f>
        <v>0</v>
      </c>
      <c r="F202" s="234">
        <f ca="1">COUNTIF(OFFSET(Synthèse!$G211,0,0,1,COUNTA(Synthèse!$10:$10)-6),"="&amp;$F$1)</f>
        <v>0</v>
      </c>
      <c r="G202" s="234">
        <f ca="1">COUNTIF(OFFSET(Synthèse!$G211,0,0,1,COUNTA(Synthèse!$10:$10)-6),"="&amp;$G$1)</f>
        <v>0</v>
      </c>
      <c r="H202" s="234">
        <f ca="1">COUNTIF(OFFSET(Synthèse!$G211,0,0,1,COUNTA(Synthèse!$10:$10)-6),"="&amp;$H$1)</f>
        <v>0</v>
      </c>
      <c r="I202" s="18">
        <f t="shared" ca="1" si="21"/>
        <v>0</v>
      </c>
      <c r="Q202" s="12"/>
      <c r="R202" s="12"/>
    </row>
    <row r="203" spans="2:47" x14ac:dyDescent="0.35">
      <c r="B203" s="106" t="str">
        <f>Modèle!B205</f>
        <v>Formulaires</v>
      </c>
      <c r="C203" s="116" t="str">
        <f>Modèle!D205</f>
        <v>11.8.2</v>
      </c>
      <c r="D203" s="114" t="str">
        <f>Modèle!E205</f>
        <v>A</v>
      </c>
      <c r="E203" s="234">
        <f ca="1">COUNTIF(OFFSET(Synthèse!$G212,0,0,1,COUNTA(Synthèse!$10:$10)-6),"="&amp;$E$1)</f>
        <v>0</v>
      </c>
      <c r="F203" s="234">
        <f ca="1">COUNTIF(OFFSET(Synthèse!$G212,0,0,1,COUNTA(Synthèse!$10:$10)-6),"="&amp;$F$1)</f>
        <v>0</v>
      </c>
      <c r="G203" s="234">
        <f ca="1">COUNTIF(OFFSET(Synthèse!$G212,0,0,1,COUNTA(Synthèse!$10:$10)-6),"="&amp;$G$1)</f>
        <v>0</v>
      </c>
      <c r="H203" s="234">
        <f ca="1">COUNTIF(OFFSET(Synthèse!$G212,0,0,1,COUNTA(Synthèse!$10:$10)-6),"="&amp;$H$1)</f>
        <v>0</v>
      </c>
      <c r="I203" s="18">
        <f t="shared" ca="1" si="21"/>
        <v>0</v>
      </c>
      <c r="Q203" s="12"/>
      <c r="R203" s="12"/>
    </row>
    <row r="204" spans="2:47" x14ac:dyDescent="0.35">
      <c r="B204" s="106" t="str">
        <f>Modèle!B206</f>
        <v>Formulaires</v>
      </c>
      <c r="C204" s="116" t="str">
        <f>Modèle!D206</f>
        <v>11.8.3</v>
      </c>
      <c r="D204" s="114" t="str">
        <f>Modèle!E206</f>
        <v>A</v>
      </c>
      <c r="E204" s="234">
        <f ca="1">COUNTIF(OFFSET(Synthèse!$G213,0,0,1,COUNTA(Synthèse!$10:$10)-6),"="&amp;$E$1)</f>
        <v>0</v>
      </c>
      <c r="F204" s="234">
        <f ca="1">COUNTIF(OFFSET(Synthèse!$G213,0,0,1,COUNTA(Synthèse!$10:$10)-6),"="&amp;$F$1)</f>
        <v>0</v>
      </c>
      <c r="G204" s="234">
        <f ca="1">COUNTIF(OFFSET(Synthèse!$G213,0,0,1,COUNTA(Synthèse!$10:$10)-6),"="&amp;$G$1)</f>
        <v>0</v>
      </c>
      <c r="H204" s="234">
        <f ca="1">COUNTIF(OFFSET(Synthèse!$G213,0,0,1,COUNTA(Synthèse!$10:$10)-6),"="&amp;$H$1)</f>
        <v>0</v>
      </c>
      <c r="I204" s="18">
        <f t="shared" ca="1" si="21"/>
        <v>0</v>
      </c>
      <c r="Q204" s="12"/>
      <c r="R204" s="12"/>
    </row>
    <row r="205" spans="2:47" x14ac:dyDescent="0.35">
      <c r="B205" s="105" t="str">
        <f>Modèle!B207</f>
        <v>Formulaires</v>
      </c>
      <c r="C205" s="115" t="str">
        <f>Modèle!D207</f>
        <v>11.9.1</v>
      </c>
      <c r="D205" s="112" t="str">
        <f>Modèle!E207</f>
        <v>A</v>
      </c>
      <c r="E205" s="233">
        <f ca="1">COUNTIF(OFFSET(Synthèse!$G214,0,0,1,COUNTA(Synthèse!$10:$10)-6),"="&amp;$E$1)</f>
        <v>0</v>
      </c>
      <c r="F205" s="233">
        <f ca="1">COUNTIF(OFFSET(Synthèse!$G214,0,0,1,COUNTA(Synthèse!$10:$10)-6),"="&amp;$F$1)</f>
        <v>0</v>
      </c>
      <c r="G205" s="233">
        <f ca="1">COUNTIF(OFFSET(Synthèse!$G214,0,0,1,COUNTA(Synthèse!$10:$10)-6),"="&amp;$G$1)</f>
        <v>0</v>
      </c>
      <c r="H205" s="233">
        <f ca="1">COUNTIF(OFFSET(Synthèse!$G214,0,0,1,COUNTA(Synthèse!$10:$10)-6),"="&amp;$H$1)</f>
        <v>0</v>
      </c>
      <c r="I205" s="18">
        <f t="shared" ca="1" si="21"/>
        <v>0</v>
      </c>
      <c r="Q205" s="12"/>
      <c r="R205" s="12"/>
    </row>
    <row r="206" spans="2:47" x14ac:dyDescent="0.35">
      <c r="B206" s="105" t="str">
        <f>Modèle!B208</f>
        <v>Formulaires</v>
      </c>
      <c r="C206" s="115" t="str">
        <f>Modèle!D208</f>
        <v>11.9.2</v>
      </c>
      <c r="D206" s="112" t="str">
        <f>Modèle!E208</f>
        <v>A</v>
      </c>
      <c r="E206" s="233">
        <f ca="1">COUNTIF(OFFSET(Synthèse!$G215,0,0,1,COUNTA(Synthèse!$10:$10)-6),"="&amp;$E$1)</f>
        <v>0</v>
      </c>
      <c r="F206" s="233">
        <f ca="1">COUNTIF(OFFSET(Synthèse!$G215,0,0,1,COUNTA(Synthèse!$10:$10)-6),"="&amp;$F$1)</f>
        <v>0</v>
      </c>
      <c r="G206" s="233">
        <f ca="1">COUNTIF(OFFSET(Synthèse!$G215,0,0,1,COUNTA(Synthèse!$10:$10)-6),"="&amp;$G$1)</f>
        <v>0</v>
      </c>
      <c r="H206" s="233">
        <f ca="1">COUNTIF(OFFSET(Synthèse!$G215,0,0,1,COUNTA(Synthèse!$10:$10)-6),"="&amp;$H$1)</f>
        <v>0</v>
      </c>
      <c r="I206" s="18">
        <f t="shared" ca="1" si="21"/>
        <v>0</v>
      </c>
      <c r="Q206" s="12"/>
      <c r="R206" s="12"/>
    </row>
    <row r="207" spans="2:47" x14ac:dyDescent="0.35">
      <c r="B207" s="106" t="str">
        <f>Modèle!B209</f>
        <v>Formulaires</v>
      </c>
      <c r="C207" s="116" t="str">
        <f>Modèle!D209</f>
        <v>11.10.1</v>
      </c>
      <c r="D207" s="114" t="str">
        <f>Modèle!E209</f>
        <v>A</v>
      </c>
      <c r="E207" s="234">
        <f ca="1">COUNTIF(OFFSET(Synthèse!$G216,0,0,1,COUNTA(Synthèse!$10:$10)-6),"="&amp;$E$1)</f>
        <v>0</v>
      </c>
      <c r="F207" s="234">
        <f ca="1">COUNTIF(OFFSET(Synthèse!$G216,0,0,1,COUNTA(Synthèse!$10:$10)-6),"="&amp;$F$1)</f>
        <v>0</v>
      </c>
      <c r="G207" s="234">
        <f ca="1">COUNTIF(OFFSET(Synthèse!$G216,0,0,1,COUNTA(Synthèse!$10:$10)-6),"="&amp;$G$1)</f>
        <v>0</v>
      </c>
      <c r="H207" s="234">
        <f ca="1">COUNTIF(OFFSET(Synthèse!$G216,0,0,1,COUNTA(Synthèse!$10:$10)-6),"="&amp;$H$1)</f>
        <v>0</v>
      </c>
      <c r="I207" s="18">
        <f t="shared" ca="1" si="21"/>
        <v>0</v>
      </c>
      <c r="Q207" s="12"/>
      <c r="R207" s="12"/>
    </row>
    <row r="208" spans="2:47" x14ac:dyDescent="0.35">
      <c r="B208" s="106" t="str">
        <f>Modèle!B210</f>
        <v>Formulaires</v>
      </c>
      <c r="C208" s="116" t="str">
        <f>Modèle!D210</f>
        <v>11.10.2</v>
      </c>
      <c r="D208" s="114" t="str">
        <f>Modèle!E210</f>
        <v>A</v>
      </c>
      <c r="E208" s="234">
        <f ca="1">COUNTIF(OFFSET(Synthèse!$G217,0,0,1,COUNTA(Synthèse!$10:$10)-6),"="&amp;$E$1)</f>
        <v>0</v>
      </c>
      <c r="F208" s="234">
        <f ca="1">COUNTIF(OFFSET(Synthèse!$G217,0,0,1,COUNTA(Synthèse!$10:$10)-6),"="&amp;$F$1)</f>
        <v>0</v>
      </c>
      <c r="G208" s="234">
        <f ca="1">COUNTIF(OFFSET(Synthèse!$G217,0,0,1,COUNTA(Synthèse!$10:$10)-6),"="&amp;$G$1)</f>
        <v>0</v>
      </c>
      <c r="H208" s="234">
        <f ca="1">COUNTIF(OFFSET(Synthèse!$G217,0,0,1,COUNTA(Synthèse!$10:$10)-6),"="&amp;$H$1)</f>
        <v>0</v>
      </c>
      <c r="I208" s="18">
        <f t="shared" ca="1" si="21"/>
        <v>0</v>
      </c>
      <c r="Q208" s="12"/>
      <c r="R208" s="12"/>
    </row>
    <row r="209" spans="2:18" x14ac:dyDescent="0.35">
      <c r="B209" s="106" t="str">
        <f>Modèle!B211</f>
        <v>Formulaires</v>
      </c>
      <c r="C209" s="116" t="str">
        <f>Modèle!D211</f>
        <v>11.10.3</v>
      </c>
      <c r="D209" s="114" t="str">
        <f>Modèle!E211</f>
        <v>A</v>
      </c>
      <c r="E209" s="234">
        <f ca="1">COUNTIF(OFFSET(Synthèse!$G218,0,0,1,COUNTA(Synthèse!$10:$10)-6),"="&amp;$E$1)</f>
        <v>0</v>
      </c>
      <c r="F209" s="234">
        <f ca="1">COUNTIF(OFFSET(Synthèse!$G218,0,0,1,COUNTA(Synthèse!$10:$10)-6),"="&amp;$F$1)</f>
        <v>0</v>
      </c>
      <c r="G209" s="234">
        <f ca="1">COUNTIF(OFFSET(Synthèse!$G218,0,0,1,COUNTA(Synthèse!$10:$10)-6),"="&amp;$G$1)</f>
        <v>0</v>
      </c>
      <c r="H209" s="234">
        <f ca="1">COUNTIF(OFFSET(Synthèse!$G218,0,0,1,COUNTA(Synthèse!$10:$10)-6),"="&amp;$H$1)</f>
        <v>0</v>
      </c>
      <c r="I209" s="18">
        <f t="shared" ca="1" si="21"/>
        <v>0</v>
      </c>
      <c r="Q209" s="12"/>
      <c r="R209" s="12"/>
    </row>
    <row r="210" spans="2:18" x14ac:dyDescent="0.35">
      <c r="B210" s="106" t="str">
        <f>Modèle!B212</f>
        <v>Formulaires</v>
      </c>
      <c r="C210" s="116" t="str">
        <f>Modèle!D212</f>
        <v>11.10.4</v>
      </c>
      <c r="D210" s="114" t="str">
        <f>Modèle!E212</f>
        <v>A</v>
      </c>
      <c r="E210" s="234">
        <f ca="1">COUNTIF(OFFSET(Synthèse!$G219,0,0,1,COUNTA(Synthèse!$10:$10)-6),"="&amp;$E$1)</f>
        <v>0</v>
      </c>
      <c r="F210" s="234">
        <f ca="1">COUNTIF(OFFSET(Synthèse!$G219,0,0,1,COUNTA(Synthèse!$10:$10)-6),"="&amp;$F$1)</f>
        <v>0</v>
      </c>
      <c r="G210" s="234">
        <f ca="1">COUNTIF(OFFSET(Synthèse!$G219,0,0,1,COUNTA(Synthèse!$10:$10)-6),"="&amp;$G$1)</f>
        <v>0</v>
      </c>
      <c r="H210" s="234">
        <f ca="1">COUNTIF(OFFSET(Synthèse!$G219,0,0,1,COUNTA(Synthèse!$10:$10)-6),"="&amp;$H$1)</f>
        <v>0</v>
      </c>
      <c r="I210" s="18">
        <f t="shared" ca="1" si="21"/>
        <v>0</v>
      </c>
      <c r="Q210" s="12"/>
      <c r="R210" s="12"/>
    </row>
    <row r="211" spans="2:18" x14ac:dyDescent="0.35">
      <c r="B211" s="106" t="str">
        <f>Modèle!B213</f>
        <v>Formulaires</v>
      </c>
      <c r="C211" s="116" t="str">
        <f>Modèle!D213</f>
        <v>11.10.5</v>
      </c>
      <c r="D211" s="114" t="str">
        <f>Modèle!E213</f>
        <v>A</v>
      </c>
      <c r="E211" s="234">
        <f ca="1">COUNTIF(OFFSET(Synthèse!$G220,0,0,1,COUNTA(Synthèse!$10:$10)-6),"="&amp;$E$1)</f>
        <v>0</v>
      </c>
      <c r="F211" s="234">
        <f ca="1">COUNTIF(OFFSET(Synthèse!$G220,0,0,1,COUNTA(Synthèse!$10:$10)-6),"="&amp;$F$1)</f>
        <v>0</v>
      </c>
      <c r="G211" s="234">
        <f ca="1">COUNTIF(OFFSET(Synthèse!$G220,0,0,1,COUNTA(Synthèse!$10:$10)-6),"="&amp;$G$1)</f>
        <v>0</v>
      </c>
      <c r="H211" s="234">
        <f ca="1">COUNTIF(OFFSET(Synthèse!$G220,0,0,1,COUNTA(Synthèse!$10:$10)-6),"="&amp;$H$1)</f>
        <v>0</v>
      </c>
      <c r="I211" s="18">
        <f t="shared" ca="1" si="21"/>
        <v>0</v>
      </c>
      <c r="Q211" s="12"/>
      <c r="R211" s="12"/>
    </row>
    <row r="212" spans="2:18" x14ac:dyDescent="0.35">
      <c r="B212" s="106" t="str">
        <f>Modèle!B214</f>
        <v>Formulaires</v>
      </c>
      <c r="C212" s="116" t="str">
        <f>Modèle!D214</f>
        <v>11.10.6</v>
      </c>
      <c r="D212" s="114" t="str">
        <f>Modèle!E214</f>
        <v>A</v>
      </c>
      <c r="E212" s="234">
        <f ca="1">COUNTIF(OFFSET(Synthèse!$G221,0,0,1,COUNTA(Synthèse!$10:$10)-6),"="&amp;$E$1)</f>
        <v>0</v>
      </c>
      <c r="F212" s="234">
        <f ca="1">COUNTIF(OFFSET(Synthèse!$G221,0,0,1,COUNTA(Synthèse!$10:$10)-6),"="&amp;$F$1)</f>
        <v>0</v>
      </c>
      <c r="G212" s="234">
        <f ca="1">COUNTIF(OFFSET(Synthèse!$G221,0,0,1,COUNTA(Synthèse!$10:$10)-6),"="&amp;$G$1)</f>
        <v>0</v>
      </c>
      <c r="H212" s="234">
        <f ca="1">COUNTIF(OFFSET(Synthèse!$G221,0,0,1,COUNTA(Synthèse!$10:$10)-6),"="&amp;$H$1)</f>
        <v>0</v>
      </c>
      <c r="I212" s="18">
        <f t="shared" ca="1" si="21"/>
        <v>0</v>
      </c>
      <c r="Q212" s="12"/>
      <c r="R212" s="12"/>
    </row>
    <row r="213" spans="2:18" x14ac:dyDescent="0.35">
      <c r="B213" s="106" t="str">
        <f>Modèle!B215</f>
        <v>Formulaires</v>
      </c>
      <c r="C213" s="116" t="str">
        <f>Modèle!D215</f>
        <v>11.10.7</v>
      </c>
      <c r="D213" s="114" t="str">
        <f>Modèle!E215</f>
        <v>A</v>
      </c>
      <c r="E213" s="234">
        <f ca="1">COUNTIF(OFFSET(Synthèse!$G222,0,0,1,COUNTA(Synthèse!$10:$10)-6),"="&amp;$E$1)</f>
        <v>0</v>
      </c>
      <c r="F213" s="234">
        <f ca="1">COUNTIF(OFFSET(Synthèse!$G222,0,0,1,COUNTA(Synthèse!$10:$10)-6),"="&amp;$F$1)</f>
        <v>0</v>
      </c>
      <c r="G213" s="234">
        <f ca="1">COUNTIF(OFFSET(Synthèse!$G222,0,0,1,COUNTA(Synthèse!$10:$10)-6),"="&amp;$G$1)</f>
        <v>0</v>
      </c>
      <c r="H213" s="234">
        <f ca="1">COUNTIF(OFFSET(Synthèse!$G222,0,0,1,COUNTA(Synthèse!$10:$10)-6),"="&amp;$H$1)</f>
        <v>0</v>
      </c>
      <c r="I213" s="18">
        <f t="shared" ca="1" si="21"/>
        <v>0</v>
      </c>
      <c r="Q213" s="12"/>
      <c r="R213" s="12"/>
    </row>
    <row r="214" spans="2:18" x14ac:dyDescent="0.35">
      <c r="B214" s="105" t="str">
        <f>Modèle!B216</f>
        <v>Formulaires</v>
      </c>
      <c r="C214" s="115" t="str">
        <f>Modèle!D216</f>
        <v>11.11.1</v>
      </c>
      <c r="D214" s="112" t="str">
        <f>Modèle!E216</f>
        <v>AA</v>
      </c>
      <c r="E214" s="233">
        <f ca="1">COUNTIF(OFFSET(Synthèse!$G223,0,0,1,COUNTA(Synthèse!$10:$10)-6),"="&amp;$E$1)</f>
        <v>0</v>
      </c>
      <c r="F214" s="233">
        <f ca="1">COUNTIF(OFFSET(Synthèse!$G223,0,0,1,COUNTA(Synthèse!$10:$10)-6),"="&amp;$F$1)</f>
        <v>0</v>
      </c>
      <c r="G214" s="233">
        <f ca="1">COUNTIF(OFFSET(Synthèse!$G223,0,0,1,COUNTA(Synthèse!$10:$10)-6),"="&amp;$G$1)</f>
        <v>0</v>
      </c>
      <c r="H214" s="233">
        <f ca="1">COUNTIF(OFFSET(Synthèse!$G223,0,0,1,COUNTA(Synthèse!$10:$10)-6),"="&amp;$H$1)</f>
        <v>0</v>
      </c>
      <c r="I214" s="18">
        <f t="shared" ca="1" si="21"/>
        <v>0</v>
      </c>
      <c r="Q214" s="12"/>
      <c r="R214" s="12"/>
    </row>
    <row r="215" spans="2:18" x14ac:dyDescent="0.35">
      <c r="B215" s="105" t="str">
        <f>Modèle!B217</f>
        <v>Formulaires</v>
      </c>
      <c r="C215" s="115" t="str">
        <f>Modèle!D217</f>
        <v>11.11.2</v>
      </c>
      <c r="D215" s="112" t="str">
        <f>Modèle!E217</f>
        <v>AA</v>
      </c>
      <c r="E215" s="233">
        <f ca="1">COUNTIF(OFFSET(Synthèse!$G224,0,0,1,COUNTA(Synthèse!$10:$10)-6),"="&amp;$E$1)</f>
        <v>0</v>
      </c>
      <c r="F215" s="233">
        <f ca="1">COUNTIF(OFFSET(Synthèse!$G224,0,0,1,COUNTA(Synthèse!$10:$10)-6),"="&amp;$F$1)</f>
        <v>0</v>
      </c>
      <c r="G215" s="233">
        <f ca="1">COUNTIF(OFFSET(Synthèse!$G224,0,0,1,COUNTA(Synthèse!$10:$10)-6),"="&amp;$G$1)</f>
        <v>0</v>
      </c>
      <c r="H215" s="233">
        <f ca="1">COUNTIF(OFFSET(Synthèse!$G224,0,0,1,COUNTA(Synthèse!$10:$10)-6),"="&amp;$H$1)</f>
        <v>0</v>
      </c>
      <c r="I215" s="18">
        <f t="shared" ca="1" si="21"/>
        <v>0</v>
      </c>
      <c r="Q215" s="12"/>
      <c r="R215" s="12"/>
    </row>
    <row r="216" spans="2:18" x14ac:dyDescent="0.35">
      <c r="B216" s="106" t="str">
        <f>Modèle!B218</f>
        <v>Formulaires</v>
      </c>
      <c r="C216" s="116" t="str">
        <f>Modèle!D218</f>
        <v>11.12.1</v>
      </c>
      <c r="D216" s="114" t="str">
        <f>Modèle!E218</f>
        <v>AA</v>
      </c>
      <c r="E216" s="234">
        <f ca="1">COUNTIF(OFFSET(Synthèse!$G225,0,0,1,COUNTA(Synthèse!$10:$10)-6),"="&amp;$E$1)</f>
        <v>0</v>
      </c>
      <c r="F216" s="234">
        <f ca="1">COUNTIF(OFFSET(Synthèse!$G225,0,0,1,COUNTA(Synthèse!$10:$10)-6),"="&amp;$F$1)</f>
        <v>0</v>
      </c>
      <c r="G216" s="234">
        <f ca="1">COUNTIF(OFFSET(Synthèse!$G225,0,0,1,COUNTA(Synthèse!$10:$10)-6),"="&amp;$G$1)</f>
        <v>0</v>
      </c>
      <c r="H216" s="234">
        <f ca="1">COUNTIF(OFFSET(Synthèse!$G225,0,0,1,COUNTA(Synthèse!$10:$10)-6),"="&amp;$H$1)</f>
        <v>0</v>
      </c>
      <c r="I216" s="18">
        <f t="shared" ca="1" si="21"/>
        <v>0</v>
      </c>
      <c r="Q216" s="12"/>
      <c r="R216" s="12"/>
    </row>
    <row r="217" spans="2:18" x14ac:dyDescent="0.35">
      <c r="B217" s="106" t="str">
        <f>Modèle!B219</f>
        <v>Formulaires</v>
      </c>
      <c r="C217" s="116" t="str">
        <f>Modèle!D219</f>
        <v>11.12.2</v>
      </c>
      <c r="D217" s="114" t="str">
        <f>Modèle!E219</f>
        <v>AA</v>
      </c>
      <c r="E217" s="234">
        <f ca="1">COUNTIF(OFFSET(Synthèse!$G226,0,0,1,COUNTA(Synthèse!$10:$10)-6),"="&amp;$E$1)</f>
        <v>0</v>
      </c>
      <c r="F217" s="234">
        <f ca="1">COUNTIF(OFFSET(Synthèse!$G226,0,0,1,COUNTA(Synthèse!$10:$10)-6),"="&amp;$F$1)</f>
        <v>0</v>
      </c>
      <c r="G217" s="234">
        <f ca="1">COUNTIF(OFFSET(Synthèse!$G226,0,0,1,COUNTA(Synthèse!$10:$10)-6),"="&amp;$G$1)</f>
        <v>0</v>
      </c>
      <c r="H217" s="234">
        <f ca="1">COUNTIF(OFFSET(Synthèse!$G226,0,0,1,COUNTA(Synthèse!$10:$10)-6),"="&amp;$H$1)</f>
        <v>0</v>
      </c>
      <c r="I217" s="18">
        <f t="shared" ca="1" si="21"/>
        <v>0</v>
      </c>
      <c r="Q217" s="12"/>
      <c r="R217" s="12"/>
    </row>
    <row r="218" spans="2:18" x14ac:dyDescent="0.35">
      <c r="B218" s="105" t="str">
        <f>Modèle!B220</f>
        <v>Formulaires</v>
      </c>
      <c r="C218" s="115" t="str">
        <f>Modèle!D220</f>
        <v>11.13.1</v>
      </c>
      <c r="D218" s="112" t="str">
        <f>Modèle!E220</f>
        <v>AA</v>
      </c>
      <c r="E218" s="233">
        <f ca="1">COUNTIF(OFFSET(Synthèse!$G227,0,0,1,COUNTA(Synthèse!$10:$10)-6),"="&amp;$E$1)</f>
        <v>0</v>
      </c>
      <c r="F218" s="233">
        <f ca="1">COUNTIF(OFFSET(Synthèse!$G227,0,0,1,COUNTA(Synthèse!$10:$10)-6),"="&amp;$F$1)</f>
        <v>0</v>
      </c>
      <c r="G218" s="233">
        <f ca="1">COUNTIF(OFFSET(Synthèse!$G227,0,0,1,COUNTA(Synthèse!$10:$10)-6),"="&amp;$G$1)</f>
        <v>0</v>
      </c>
      <c r="H218" s="233">
        <f ca="1">COUNTIF(OFFSET(Synthèse!$G227,0,0,1,COUNTA(Synthèse!$10:$10)-6),"="&amp;$H$1)</f>
        <v>0</v>
      </c>
      <c r="I218" s="18">
        <f t="shared" ca="1" si="21"/>
        <v>0</v>
      </c>
      <c r="Q218" s="12"/>
      <c r="R218" s="12"/>
    </row>
    <row r="219" spans="2:18" x14ac:dyDescent="0.35">
      <c r="B219" s="106" t="str">
        <f>Modèle!B221</f>
        <v>Navigation</v>
      </c>
      <c r="C219" s="116" t="str">
        <f>Modèle!D221</f>
        <v>12.1.1</v>
      </c>
      <c r="D219" s="114" t="str">
        <f>Modèle!E221</f>
        <v>AA</v>
      </c>
      <c r="E219" s="234">
        <f ca="1">COUNTIF(OFFSET(Synthèse!$G228,0,0,1,COUNTA(Synthèse!$10:$10)-6),"="&amp;$E$1)</f>
        <v>0</v>
      </c>
      <c r="F219" s="234">
        <f ca="1">COUNTIF(OFFSET(Synthèse!$G228,0,0,1,COUNTA(Synthèse!$10:$10)-6),"="&amp;$F$1)</f>
        <v>0</v>
      </c>
      <c r="G219" s="234">
        <f ca="1">COUNTIF(OFFSET(Synthèse!$G228,0,0,1,COUNTA(Synthèse!$10:$10)-6),"="&amp;$G$1)</f>
        <v>0</v>
      </c>
      <c r="H219" s="234">
        <f ca="1">COUNTIF(OFFSET(Synthèse!$G228,0,0,1,COUNTA(Synthèse!$10:$10)-6),"="&amp;$H$1)</f>
        <v>0</v>
      </c>
      <c r="I219" s="18">
        <f t="shared" ca="1" si="21"/>
        <v>0</v>
      </c>
      <c r="Q219" s="12"/>
      <c r="R219" s="12"/>
    </row>
    <row r="220" spans="2:18" x14ac:dyDescent="0.35">
      <c r="B220" s="105" t="str">
        <f>Modèle!B222</f>
        <v>Navigation</v>
      </c>
      <c r="C220" s="115" t="str">
        <f>Modèle!D222</f>
        <v>12.2.1</v>
      </c>
      <c r="D220" s="112" t="str">
        <f>Modèle!E222</f>
        <v>AA</v>
      </c>
      <c r="E220" s="233">
        <f ca="1">COUNTIF(OFFSET(Synthèse!$G229,0,0,1,COUNTA(Synthèse!$10:$10)-6),"="&amp;$E$1)</f>
        <v>0</v>
      </c>
      <c r="F220" s="233">
        <f ca="1">COUNTIF(OFFSET(Synthèse!$G229,0,0,1,COUNTA(Synthèse!$10:$10)-6),"="&amp;$F$1)</f>
        <v>0</v>
      </c>
      <c r="G220" s="233">
        <f ca="1">COUNTIF(OFFSET(Synthèse!$G229,0,0,1,COUNTA(Synthèse!$10:$10)-6),"="&amp;$G$1)</f>
        <v>0</v>
      </c>
      <c r="H220" s="233">
        <f ca="1">COUNTIF(OFFSET(Synthèse!$G229,0,0,1,COUNTA(Synthèse!$10:$10)-6),"="&amp;$H$1)</f>
        <v>0</v>
      </c>
      <c r="I220" s="18">
        <f t="shared" ca="1" si="21"/>
        <v>0</v>
      </c>
      <c r="Q220" s="12"/>
      <c r="R220" s="12"/>
    </row>
    <row r="221" spans="2:18" x14ac:dyDescent="0.35">
      <c r="B221" s="106" t="str">
        <f>Modèle!B223</f>
        <v>Navigation</v>
      </c>
      <c r="C221" s="116" t="str">
        <f>Modèle!D223</f>
        <v>12.3.1</v>
      </c>
      <c r="D221" s="114" t="str">
        <f>Modèle!E223</f>
        <v>AA</v>
      </c>
      <c r="E221" s="234">
        <f ca="1">COUNTIF(OFFSET(Synthèse!$G230,0,0,1,COUNTA(Synthèse!$10:$10)-6),"="&amp;$E$1)</f>
        <v>0</v>
      </c>
      <c r="F221" s="234">
        <f ca="1">COUNTIF(OFFSET(Synthèse!$G230,0,0,1,COUNTA(Synthèse!$10:$10)-6),"="&amp;$F$1)</f>
        <v>0</v>
      </c>
      <c r="G221" s="234">
        <f ca="1">COUNTIF(OFFSET(Synthèse!$G230,0,0,1,COUNTA(Synthèse!$10:$10)-6),"="&amp;$G$1)</f>
        <v>0</v>
      </c>
      <c r="H221" s="234">
        <f ca="1">COUNTIF(OFFSET(Synthèse!$G230,0,0,1,COUNTA(Synthèse!$10:$10)-6),"="&amp;$H$1)</f>
        <v>0</v>
      </c>
      <c r="I221" s="18">
        <f t="shared" ca="1" si="21"/>
        <v>0</v>
      </c>
      <c r="Q221" s="12"/>
      <c r="R221" s="12"/>
    </row>
    <row r="222" spans="2:18" x14ac:dyDescent="0.35">
      <c r="B222" s="106" t="str">
        <f>Modèle!B224</f>
        <v>Navigation</v>
      </c>
      <c r="C222" s="116" t="str">
        <f>Modèle!D224</f>
        <v>12.3.2</v>
      </c>
      <c r="D222" s="114" t="str">
        <f>Modèle!E224</f>
        <v>AA</v>
      </c>
      <c r="E222" s="234">
        <f ca="1">COUNTIF(OFFSET(Synthèse!$G231,0,0,1,COUNTA(Synthèse!$10:$10)-6),"="&amp;$E$1)</f>
        <v>0</v>
      </c>
      <c r="F222" s="234">
        <f ca="1">COUNTIF(OFFSET(Synthèse!$G231,0,0,1,COUNTA(Synthèse!$10:$10)-6),"="&amp;$F$1)</f>
        <v>0</v>
      </c>
      <c r="G222" s="234">
        <f ca="1">COUNTIF(OFFSET(Synthèse!$G231,0,0,1,COUNTA(Synthèse!$10:$10)-6),"="&amp;$G$1)</f>
        <v>0</v>
      </c>
      <c r="H222" s="234">
        <f ca="1">COUNTIF(OFFSET(Synthèse!$G231,0,0,1,COUNTA(Synthèse!$10:$10)-6),"="&amp;$H$1)</f>
        <v>0</v>
      </c>
      <c r="I222" s="18">
        <f t="shared" ca="1" si="21"/>
        <v>0</v>
      </c>
      <c r="Q222" s="12"/>
      <c r="R222" s="12"/>
    </row>
    <row r="223" spans="2:18" x14ac:dyDescent="0.35">
      <c r="B223" s="106" t="str">
        <f>Modèle!B225</f>
        <v>Navigation</v>
      </c>
      <c r="C223" s="116" t="str">
        <f>Modèle!D225</f>
        <v>12.3.3</v>
      </c>
      <c r="D223" s="114" t="str">
        <f>Modèle!E225</f>
        <v>AA</v>
      </c>
      <c r="E223" s="234">
        <f ca="1">COUNTIF(OFFSET(Synthèse!$G232,0,0,1,COUNTA(Synthèse!$10:$10)-6),"="&amp;$E$1)</f>
        <v>0</v>
      </c>
      <c r="F223" s="234">
        <f ca="1">COUNTIF(OFFSET(Synthèse!$G232,0,0,1,COUNTA(Synthèse!$10:$10)-6),"="&amp;$F$1)</f>
        <v>0</v>
      </c>
      <c r="G223" s="234">
        <f ca="1">COUNTIF(OFFSET(Synthèse!$G232,0,0,1,COUNTA(Synthèse!$10:$10)-6),"="&amp;$G$1)</f>
        <v>0</v>
      </c>
      <c r="H223" s="234">
        <f ca="1">COUNTIF(OFFSET(Synthèse!$G232,0,0,1,COUNTA(Synthèse!$10:$10)-6),"="&amp;$H$1)</f>
        <v>0</v>
      </c>
      <c r="I223" s="18">
        <f t="shared" ca="1" si="21"/>
        <v>0</v>
      </c>
      <c r="Q223" s="12"/>
      <c r="R223" s="12"/>
    </row>
    <row r="224" spans="2:18" x14ac:dyDescent="0.35">
      <c r="B224" s="105" t="str">
        <f>Modèle!B226</f>
        <v>Navigation</v>
      </c>
      <c r="C224" s="115" t="str">
        <f>Modèle!D226</f>
        <v>12.4.1</v>
      </c>
      <c r="D224" s="112" t="str">
        <f>Modèle!E226</f>
        <v>AA</v>
      </c>
      <c r="E224" s="233">
        <f ca="1">COUNTIF(OFFSET(Synthèse!$G233,0,0,1,COUNTA(Synthèse!$10:$10)-6),"="&amp;$E$1)</f>
        <v>0</v>
      </c>
      <c r="F224" s="233">
        <f ca="1">COUNTIF(OFFSET(Synthèse!$G233,0,0,1,COUNTA(Synthèse!$10:$10)-6),"="&amp;$F$1)</f>
        <v>0</v>
      </c>
      <c r="G224" s="233">
        <f ca="1">COUNTIF(OFFSET(Synthèse!$G233,0,0,1,COUNTA(Synthèse!$10:$10)-6),"="&amp;$G$1)</f>
        <v>0</v>
      </c>
      <c r="H224" s="233">
        <f ca="1">COUNTIF(OFFSET(Synthèse!$G233,0,0,1,COUNTA(Synthèse!$10:$10)-6),"="&amp;$H$1)</f>
        <v>0</v>
      </c>
      <c r="I224" s="18">
        <f t="shared" ca="1" si="21"/>
        <v>0</v>
      </c>
      <c r="Q224" s="12"/>
      <c r="R224" s="12"/>
    </row>
    <row r="225" spans="2:18" x14ac:dyDescent="0.35">
      <c r="B225" s="105" t="str">
        <f>Modèle!B227</f>
        <v>Navigation</v>
      </c>
      <c r="C225" s="115" t="str">
        <f>Modèle!D227</f>
        <v>12.4.2</v>
      </c>
      <c r="D225" s="112" t="str">
        <f>Modèle!E227</f>
        <v>AA</v>
      </c>
      <c r="E225" s="233">
        <f ca="1">COUNTIF(OFFSET(Synthèse!$G234,0,0,1,COUNTA(Synthèse!$10:$10)-6),"="&amp;$E$1)</f>
        <v>0</v>
      </c>
      <c r="F225" s="233">
        <f ca="1">COUNTIF(OFFSET(Synthèse!$G234,0,0,1,COUNTA(Synthèse!$10:$10)-6),"="&amp;$F$1)</f>
        <v>0</v>
      </c>
      <c r="G225" s="233">
        <f ca="1">COUNTIF(OFFSET(Synthèse!$G234,0,0,1,COUNTA(Synthèse!$10:$10)-6),"="&amp;$G$1)</f>
        <v>0</v>
      </c>
      <c r="H225" s="233">
        <f ca="1">COUNTIF(OFFSET(Synthèse!$G234,0,0,1,COUNTA(Synthèse!$10:$10)-6),"="&amp;$H$1)</f>
        <v>0</v>
      </c>
      <c r="I225" s="18">
        <f t="shared" ca="1" si="21"/>
        <v>0</v>
      </c>
      <c r="Q225" s="12"/>
      <c r="R225" s="12"/>
    </row>
    <row r="226" spans="2:18" x14ac:dyDescent="0.35">
      <c r="B226" s="105" t="str">
        <f>Modèle!B228</f>
        <v>Navigation</v>
      </c>
      <c r="C226" s="115" t="str">
        <f>Modèle!D228</f>
        <v>12.4.3</v>
      </c>
      <c r="D226" s="112" t="str">
        <f>Modèle!E228</f>
        <v>AA</v>
      </c>
      <c r="E226" s="233">
        <f ca="1">COUNTIF(OFFSET(Synthèse!$G235,0,0,1,COUNTA(Synthèse!$10:$10)-6),"="&amp;$E$1)</f>
        <v>0</v>
      </c>
      <c r="F226" s="233">
        <f ca="1">COUNTIF(OFFSET(Synthèse!$G235,0,0,1,COUNTA(Synthèse!$10:$10)-6),"="&amp;$F$1)</f>
        <v>0</v>
      </c>
      <c r="G226" s="233">
        <f ca="1">COUNTIF(OFFSET(Synthèse!$G235,0,0,1,COUNTA(Synthèse!$10:$10)-6),"="&amp;$G$1)</f>
        <v>0</v>
      </c>
      <c r="H226" s="233">
        <f ca="1">COUNTIF(OFFSET(Synthèse!$G235,0,0,1,COUNTA(Synthèse!$10:$10)-6),"="&amp;$H$1)</f>
        <v>0</v>
      </c>
      <c r="I226" s="18">
        <f t="shared" ca="1" si="21"/>
        <v>0</v>
      </c>
      <c r="Q226" s="12"/>
      <c r="R226" s="12"/>
    </row>
    <row r="227" spans="2:18" x14ac:dyDescent="0.35">
      <c r="B227" s="106" t="str">
        <f>Modèle!B229</f>
        <v>Navigation</v>
      </c>
      <c r="C227" s="116" t="str">
        <f>Modèle!D229</f>
        <v>12.5.1</v>
      </c>
      <c r="D227" s="114" t="str">
        <f>Modèle!E229</f>
        <v>AA</v>
      </c>
      <c r="E227" s="234">
        <f ca="1">COUNTIF(OFFSET(Synthèse!$G236,0,0,1,COUNTA(Synthèse!$10:$10)-6),"="&amp;$E$1)</f>
        <v>0</v>
      </c>
      <c r="F227" s="234">
        <f ca="1">COUNTIF(OFFSET(Synthèse!$G236,0,0,1,COUNTA(Synthèse!$10:$10)-6),"="&amp;$F$1)</f>
        <v>0</v>
      </c>
      <c r="G227" s="234">
        <f ca="1">COUNTIF(OFFSET(Synthèse!$G236,0,0,1,COUNTA(Synthèse!$10:$10)-6),"="&amp;$G$1)</f>
        <v>0</v>
      </c>
      <c r="H227" s="234">
        <f ca="1">COUNTIF(OFFSET(Synthèse!$G236,0,0,1,COUNTA(Synthèse!$10:$10)-6),"="&amp;$H$1)</f>
        <v>0</v>
      </c>
      <c r="I227" s="18">
        <f t="shared" ca="1" si="21"/>
        <v>0</v>
      </c>
      <c r="Q227" s="12"/>
      <c r="R227" s="12"/>
    </row>
    <row r="228" spans="2:18" x14ac:dyDescent="0.35">
      <c r="B228" s="106" t="str">
        <f>Modèle!B230</f>
        <v>Navigation</v>
      </c>
      <c r="C228" s="116" t="str">
        <f>Modèle!D230</f>
        <v>12.5.2</v>
      </c>
      <c r="D228" s="114" t="str">
        <f>Modèle!E230</f>
        <v>AA</v>
      </c>
      <c r="E228" s="234">
        <f ca="1">COUNTIF(OFFSET(Synthèse!$G237,0,0,1,COUNTA(Synthèse!$10:$10)-6),"="&amp;$E$1)</f>
        <v>0</v>
      </c>
      <c r="F228" s="234">
        <f ca="1">COUNTIF(OFFSET(Synthèse!$G237,0,0,1,COUNTA(Synthèse!$10:$10)-6),"="&amp;$F$1)</f>
        <v>0</v>
      </c>
      <c r="G228" s="234">
        <f ca="1">COUNTIF(OFFSET(Synthèse!$G237,0,0,1,COUNTA(Synthèse!$10:$10)-6),"="&amp;$G$1)</f>
        <v>0</v>
      </c>
      <c r="H228" s="234">
        <f ca="1">COUNTIF(OFFSET(Synthèse!$G237,0,0,1,COUNTA(Synthèse!$10:$10)-6),"="&amp;$H$1)</f>
        <v>0</v>
      </c>
      <c r="I228" s="18">
        <f t="shared" ca="1" si="21"/>
        <v>0</v>
      </c>
      <c r="Q228" s="12"/>
      <c r="R228" s="12"/>
    </row>
    <row r="229" spans="2:18" x14ac:dyDescent="0.35">
      <c r="B229" s="106" t="str">
        <f>Modèle!B231</f>
        <v>Navigation</v>
      </c>
      <c r="C229" s="116" t="str">
        <f>Modèle!D231</f>
        <v>12.5.3</v>
      </c>
      <c r="D229" s="114" t="str">
        <f>Modèle!E231</f>
        <v>AA</v>
      </c>
      <c r="E229" s="234">
        <f ca="1">COUNTIF(OFFSET(Synthèse!$G238,0,0,1,COUNTA(Synthèse!$10:$10)-6),"="&amp;$E$1)</f>
        <v>0</v>
      </c>
      <c r="F229" s="234">
        <f ca="1">COUNTIF(OFFSET(Synthèse!$G238,0,0,1,COUNTA(Synthèse!$10:$10)-6),"="&amp;$F$1)</f>
        <v>0</v>
      </c>
      <c r="G229" s="234">
        <f ca="1">COUNTIF(OFFSET(Synthèse!$G238,0,0,1,COUNTA(Synthèse!$10:$10)-6),"="&amp;$G$1)</f>
        <v>0</v>
      </c>
      <c r="H229" s="234">
        <f ca="1">COUNTIF(OFFSET(Synthèse!$G238,0,0,1,COUNTA(Synthèse!$10:$10)-6),"="&amp;$H$1)</f>
        <v>0</v>
      </c>
      <c r="I229" s="18">
        <f t="shared" ca="1" si="21"/>
        <v>0</v>
      </c>
      <c r="Q229" s="12"/>
      <c r="R229" s="12"/>
    </row>
    <row r="230" spans="2:18" x14ac:dyDescent="0.35">
      <c r="B230" s="105" t="str">
        <f>Modèle!B232</f>
        <v>Navigation</v>
      </c>
      <c r="C230" s="115" t="str">
        <f>Modèle!D232</f>
        <v>12.6.1</v>
      </c>
      <c r="D230" s="112" t="str">
        <f>Modèle!E232</f>
        <v>A</v>
      </c>
      <c r="E230" s="233">
        <f ca="1">COUNTIF(OFFSET(Synthèse!$G239,0,0,1,COUNTA(Synthèse!$10:$10)-6),"="&amp;$E$1)</f>
        <v>0</v>
      </c>
      <c r="F230" s="233">
        <f ca="1">COUNTIF(OFFSET(Synthèse!$G239,0,0,1,COUNTA(Synthèse!$10:$10)-6),"="&amp;$F$1)</f>
        <v>0</v>
      </c>
      <c r="G230" s="233">
        <f ca="1">COUNTIF(OFFSET(Synthèse!$G239,0,0,1,COUNTA(Synthèse!$10:$10)-6),"="&amp;$G$1)</f>
        <v>0</v>
      </c>
      <c r="H230" s="233">
        <f ca="1">COUNTIF(OFFSET(Synthèse!$G239,0,0,1,COUNTA(Synthèse!$10:$10)-6),"="&amp;$H$1)</f>
        <v>0</v>
      </c>
      <c r="I230" s="18">
        <f t="shared" ca="1" si="21"/>
        <v>0</v>
      </c>
      <c r="Q230" s="12"/>
      <c r="R230" s="12"/>
    </row>
    <row r="231" spans="2:18" x14ac:dyDescent="0.35">
      <c r="B231" s="106" t="str">
        <f>Modèle!B233</f>
        <v>Navigation</v>
      </c>
      <c r="C231" s="116" t="str">
        <f>Modèle!D233</f>
        <v>12.7.1</v>
      </c>
      <c r="D231" s="114" t="str">
        <f>Modèle!E233</f>
        <v>A</v>
      </c>
      <c r="E231" s="234">
        <f ca="1">COUNTIF(OFFSET(Synthèse!$G240,0,0,1,COUNTA(Synthèse!$10:$10)-6),"="&amp;$E$1)</f>
        <v>0</v>
      </c>
      <c r="F231" s="234">
        <f ca="1">COUNTIF(OFFSET(Synthèse!$G240,0,0,1,COUNTA(Synthèse!$10:$10)-6),"="&amp;$F$1)</f>
        <v>0</v>
      </c>
      <c r="G231" s="234">
        <f ca="1">COUNTIF(OFFSET(Synthèse!$G240,0,0,1,COUNTA(Synthèse!$10:$10)-6),"="&amp;$G$1)</f>
        <v>0</v>
      </c>
      <c r="H231" s="234">
        <f ca="1">COUNTIF(OFFSET(Synthèse!$G240,0,0,1,COUNTA(Synthèse!$10:$10)-6),"="&amp;$H$1)</f>
        <v>0</v>
      </c>
      <c r="I231" s="18">
        <f t="shared" ca="1" si="21"/>
        <v>0</v>
      </c>
      <c r="Q231" s="12"/>
      <c r="R231" s="12"/>
    </row>
    <row r="232" spans="2:18" x14ac:dyDescent="0.35">
      <c r="B232" s="106" t="str">
        <f>Modèle!B234</f>
        <v>Navigation</v>
      </c>
      <c r="C232" s="116" t="str">
        <f>Modèle!D234</f>
        <v>12.7.2</v>
      </c>
      <c r="D232" s="114" t="str">
        <f>Modèle!E234</f>
        <v>A</v>
      </c>
      <c r="E232" s="234">
        <f ca="1">COUNTIF(OFFSET(Synthèse!$G241,0,0,1,COUNTA(Synthèse!$10:$10)-6),"="&amp;$E$1)</f>
        <v>0</v>
      </c>
      <c r="F232" s="234">
        <f ca="1">COUNTIF(OFFSET(Synthèse!$G241,0,0,1,COUNTA(Synthèse!$10:$10)-6),"="&amp;$F$1)</f>
        <v>0</v>
      </c>
      <c r="G232" s="234">
        <f ca="1">COUNTIF(OFFSET(Synthèse!$G241,0,0,1,COUNTA(Synthèse!$10:$10)-6),"="&amp;$G$1)</f>
        <v>0</v>
      </c>
      <c r="H232" s="234">
        <f ca="1">COUNTIF(OFFSET(Synthèse!$G241,0,0,1,COUNTA(Synthèse!$10:$10)-6),"="&amp;$H$1)</f>
        <v>0</v>
      </c>
      <c r="I232" s="18">
        <f t="shared" ca="1" si="21"/>
        <v>0</v>
      </c>
      <c r="Q232" s="12"/>
      <c r="R232" s="12"/>
    </row>
    <row r="233" spans="2:18" x14ac:dyDescent="0.35">
      <c r="B233" s="105" t="str">
        <f>Modèle!B235</f>
        <v>Navigation</v>
      </c>
      <c r="C233" s="115" t="str">
        <f>Modèle!D235</f>
        <v>12.8.1</v>
      </c>
      <c r="D233" s="112" t="str">
        <f>Modèle!E235</f>
        <v>A</v>
      </c>
      <c r="E233" s="233">
        <f ca="1">COUNTIF(OFFSET(Synthèse!$G242,0,0,1,COUNTA(Synthèse!$10:$10)-6),"="&amp;$E$1)</f>
        <v>0</v>
      </c>
      <c r="F233" s="233">
        <f ca="1">COUNTIF(OFFSET(Synthèse!$G242,0,0,1,COUNTA(Synthèse!$10:$10)-6),"="&amp;$F$1)</f>
        <v>0</v>
      </c>
      <c r="G233" s="233">
        <f ca="1">COUNTIF(OFFSET(Synthèse!$G242,0,0,1,COUNTA(Synthèse!$10:$10)-6),"="&amp;$G$1)</f>
        <v>0</v>
      </c>
      <c r="H233" s="233">
        <f ca="1">COUNTIF(OFFSET(Synthèse!$G242,0,0,1,COUNTA(Synthèse!$10:$10)-6),"="&amp;$H$1)</f>
        <v>0</v>
      </c>
      <c r="I233" s="18">
        <f t="shared" ca="1" si="21"/>
        <v>0</v>
      </c>
      <c r="Q233" s="12"/>
      <c r="R233" s="12"/>
    </row>
    <row r="234" spans="2:18" x14ac:dyDescent="0.35">
      <c r="B234" s="105" t="str">
        <f>Modèle!B236</f>
        <v>Navigation</v>
      </c>
      <c r="C234" s="115" t="str">
        <f>Modèle!D236</f>
        <v>12.8.2</v>
      </c>
      <c r="D234" s="112" t="str">
        <f>Modèle!E236</f>
        <v>A</v>
      </c>
      <c r="E234" s="233">
        <f ca="1">COUNTIF(OFFSET(Synthèse!$G243,0,0,1,COUNTA(Synthèse!$10:$10)-6),"="&amp;$E$1)</f>
        <v>0</v>
      </c>
      <c r="F234" s="233">
        <f ca="1">COUNTIF(OFFSET(Synthèse!$G243,0,0,1,COUNTA(Synthèse!$10:$10)-6),"="&amp;$F$1)</f>
        <v>0</v>
      </c>
      <c r="G234" s="233">
        <f ca="1">COUNTIF(OFFSET(Synthèse!$G243,0,0,1,COUNTA(Synthèse!$10:$10)-6),"="&amp;$G$1)</f>
        <v>0</v>
      </c>
      <c r="H234" s="233">
        <f ca="1">COUNTIF(OFFSET(Synthèse!$G243,0,0,1,COUNTA(Synthèse!$10:$10)-6),"="&amp;$H$1)</f>
        <v>0</v>
      </c>
      <c r="I234" s="18">
        <f t="shared" ca="1" si="21"/>
        <v>0</v>
      </c>
      <c r="Q234" s="12"/>
      <c r="R234" s="12"/>
    </row>
    <row r="235" spans="2:18" x14ac:dyDescent="0.35">
      <c r="B235" s="106" t="str">
        <f>Modèle!B237</f>
        <v>Navigation</v>
      </c>
      <c r="C235" s="116" t="str">
        <f>Modèle!D237</f>
        <v>12.9.1</v>
      </c>
      <c r="D235" s="114" t="str">
        <f>Modèle!E237</f>
        <v>A</v>
      </c>
      <c r="E235" s="234">
        <f ca="1">COUNTIF(OFFSET(Synthèse!$G244,0,0,1,COUNTA(Synthèse!$10:$10)-6),"="&amp;$E$1)</f>
        <v>0</v>
      </c>
      <c r="F235" s="234">
        <f ca="1">COUNTIF(OFFSET(Synthèse!$G244,0,0,1,COUNTA(Synthèse!$10:$10)-6),"="&amp;$F$1)</f>
        <v>0</v>
      </c>
      <c r="G235" s="234">
        <f ca="1">COUNTIF(OFFSET(Synthèse!$G244,0,0,1,COUNTA(Synthèse!$10:$10)-6),"="&amp;$G$1)</f>
        <v>0</v>
      </c>
      <c r="H235" s="234">
        <f ca="1">COUNTIF(OFFSET(Synthèse!$G244,0,0,1,COUNTA(Synthèse!$10:$10)-6),"="&amp;$H$1)</f>
        <v>0</v>
      </c>
      <c r="I235" s="18">
        <f t="shared" ca="1" si="21"/>
        <v>0</v>
      </c>
      <c r="Q235" s="12"/>
      <c r="R235" s="12"/>
    </row>
    <row r="236" spans="2:18" x14ac:dyDescent="0.35">
      <c r="B236" s="105" t="str">
        <f>Modèle!B238</f>
        <v>Navigation</v>
      </c>
      <c r="C236" s="115" t="str">
        <f>Modèle!D238</f>
        <v>12.10.1</v>
      </c>
      <c r="D236" s="112" t="str">
        <f>Modèle!E238</f>
        <v>A</v>
      </c>
      <c r="E236" s="233">
        <f ca="1">COUNTIF(OFFSET(Synthèse!$G245,0,0,1,COUNTA(Synthèse!$10:$10)-6),"="&amp;$E$1)</f>
        <v>0</v>
      </c>
      <c r="F236" s="233">
        <f ca="1">COUNTIF(OFFSET(Synthèse!$G245,0,0,1,COUNTA(Synthèse!$10:$10)-6),"="&amp;$F$1)</f>
        <v>0</v>
      </c>
      <c r="G236" s="233">
        <f ca="1">COUNTIF(OFFSET(Synthèse!$G245,0,0,1,COUNTA(Synthèse!$10:$10)-6),"="&amp;$G$1)</f>
        <v>0</v>
      </c>
      <c r="H236" s="233">
        <f ca="1">COUNTIF(OFFSET(Synthèse!$G245,0,0,1,COUNTA(Synthèse!$10:$10)-6),"="&amp;$H$1)</f>
        <v>0</v>
      </c>
      <c r="I236" s="18">
        <f t="shared" ca="1" si="21"/>
        <v>0</v>
      </c>
      <c r="Q236" s="12"/>
      <c r="R236" s="12"/>
    </row>
    <row r="237" spans="2:18" x14ac:dyDescent="0.35">
      <c r="B237" s="106" t="str">
        <f>Modèle!B239</f>
        <v>Navigation</v>
      </c>
      <c r="C237" s="116" t="str">
        <f>Modèle!D239</f>
        <v>12.11.1</v>
      </c>
      <c r="D237" s="114" t="str">
        <f>Modèle!E239</f>
        <v>A</v>
      </c>
      <c r="E237" s="234">
        <f ca="1">COUNTIF(OFFSET(Synthèse!$G246,0,0,1,COUNTA(Synthèse!$10:$10)-6),"="&amp;$E$1)</f>
        <v>0</v>
      </c>
      <c r="F237" s="234">
        <f ca="1">COUNTIF(OFFSET(Synthèse!$G246,0,0,1,COUNTA(Synthèse!$10:$10)-6),"="&amp;$F$1)</f>
        <v>0</v>
      </c>
      <c r="G237" s="234">
        <f ca="1">COUNTIF(OFFSET(Synthèse!$G246,0,0,1,COUNTA(Synthèse!$10:$10)-6),"="&amp;$G$1)</f>
        <v>0</v>
      </c>
      <c r="H237" s="234">
        <f ca="1">COUNTIF(OFFSET(Synthèse!$G246,0,0,1,COUNTA(Synthèse!$10:$10)-6),"="&amp;$H$1)</f>
        <v>0</v>
      </c>
      <c r="I237" s="18">
        <f t="shared" ca="1" si="21"/>
        <v>0</v>
      </c>
      <c r="Q237" s="12"/>
      <c r="R237" s="12"/>
    </row>
    <row r="238" spans="2:18" x14ac:dyDescent="0.35">
      <c r="B238" s="105" t="str">
        <f>Modèle!B240</f>
        <v>Consultation</v>
      </c>
      <c r="C238" s="115" t="str">
        <f>Modèle!D240</f>
        <v>13.1.1</v>
      </c>
      <c r="D238" s="112" t="str">
        <f>Modèle!E240</f>
        <v>A</v>
      </c>
      <c r="E238" s="233">
        <f ca="1">COUNTIF(OFFSET(Synthèse!$G247,0,0,1,COUNTA(Synthèse!$10:$10)-6),"="&amp;$E$1)</f>
        <v>0</v>
      </c>
      <c r="F238" s="233">
        <f ca="1">COUNTIF(OFFSET(Synthèse!$G247,0,0,1,COUNTA(Synthèse!$10:$10)-6),"="&amp;$F$1)</f>
        <v>0</v>
      </c>
      <c r="G238" s="233">
        <f ca="1">COUNTIF(OFFSET(Synthèse!$G247,0,0,1,COUNTA(Synthèse!$10:$10)-6),"="&amp;$G$1)</f>
        <v>0</v>
      </c>
      <c r="H238" s="233">
        <f ca="1">COUNTIF(OFFSET(Synthèse!$G247,0,0,1,COUNTA(Synthèse!$10:$10)-6),"="&amp;$H$1)</f>
        <v>0</v>
      </c>
      <c r="I238" s="18">
        <f t="shared" ca="1" si="21"/>
        <v>0</v>
      </c>
      <c r="Q238" s="12"/>
      <c r="R238" s="12"/>
    </row>
    <row r="239" spans="2:18" x14ac:dyDescent="0.35">
      <c r="B239" s="105" t="str">
        <f>Modèle!B241</f>
        <v>Consultation</v>
      </c>
      <c r="C239" s="115" t="str">
        <f>Modèle!D241</f>
        <v>13.1.2</v>
      </c>
      <c r="D239" s="112" t="str">
        <f>Modèle!E241</f>
        <v>A</v>
      </c>
      <c r="E239" s="233">
        <f ca="1">COUNTIF(OFFSET(Synthèse!$G248,0,0,1,COUNTA(Synthèse!$10:$10)-6),"="&amp;$E$1)</f>
        <v>0</v>
      </c>
      <c r="F239" s="233">
        <f ca="1">COUNTIF(OFFSET(Synthèse!$G248,0,0,1,COUNTA(Synthèse!$10:$10)-6),"="&amp;$F$1)</f>
        <v>0</v>
      </c>
      <c r="G239" s="233">
        <f ca="1">COUNTIF(OFFSET(Synthèse!$G248,0,0,1,COUNTA(Synthèse!$10:$10)-6),"="&amp;$G$1)</f>
        <v>0</v>
      </c>
      <c r="H239" s="233">
        <f ca="1">COUNTIF(OFFSET(Synthèse!$G248,0,0,1,COUNTA(Synthèse!$10:$10)-6),"="&amp;$H$1)</f>
        <v>0</v>
      </c>
      <c r="I239" s="18">
        <f t="shared" ca="1" si="21"/>
        <v>0</v>
      </c>
      <c r="Q239" s="12"/>
      <c r="R239" s="12"/>
    </row>
    <row r="240" spans="2:18" x14ac:dyDescent="0.35">
      <c r="B240" s="105" t="str">
        <f>Modèle!B242</f>
        <v>Consultation</v>
      </c>
      <c r="C240" s="115" t="str">
        <f>Modèle!D242</f>
        <v>13.1.3</v>
      </c>
      <c r="D240" s="112" t="str">
        <f>Modèle!E242</f>
        <v>A</v>
      </c>
      <c r="E240" s="233">
        <f ca="1">COUNTIF(OFFSET(Synthèse!$G249,0,0,1,COUNTA(Synthèse!$10:$10)-6),"="&amp;$E$1)</f>
        <v>0</v>
      </c>
      <c r="F240" s="233">
        <f ca="1">COUNTIF(OFFSET(Synthèse!$G249,0,0,1,COUNTA(Synthèse!$10:$10)-6),"="&amp;$F$1)</f>
        <v>0</v>
      </c>
      <c r="G240" s="233">
        <f ca="1">COUNTIF(OFFSET(Synthèse!$G249,0,0,1,COUNTA(Synthèse!$10:$10)-6),"="&amp;$G$1)</f>
        <v>0</v>
      </c>
      <c r="H240" s="233">
        <f ca="1">COUNTIF(OFFSET(Synthèse!$G249,0,0,1,COUNTA(Synthèse!$10:$10)-6),"="&amp;$H$1)</f>
        <v>0</v>
      </c>
      <c r="I240" s="18">
        <f t="shared" ca="1" si="21"/>
        <v>0</v>
      </c>
      <c r="Q240" s="12"/>
      <c r="R240" s="12"/>
    </row>
    <row r="241" spans="2:18" x14ac:dyDescent="0.35">
      <c r="B241" s="105" t="str">
        <f>Modèle!B243</f>
        <v>Consultation</v>
      </c>
      <c r="C241" s="115" t="str">
        <f>Modèle!D243</f>
        <v>13.1.4</v>
      </c>
      <c r="D241" s="112" t="str">
        <f>Modèle!E243</f>
        <v>A</v>
      </c>
      <c r="E241" s="233">
        <f ca="1">COUNTIF(OFFSET(Synthèse!$G250,0,0,1,COUNTA(Synthèse!$10:$10)-6),"="&amp;$E$1)</f>
        <v>0</v>
      </c>
      <c r="F241" s="233">
        <f ca="1">COUNTIF(OFFSET(Synthèse!$G250,0,0,1,COUNTA(Synthèse!$10:$10)-6),"="&amp;$F$1)</f>
        <v>0</v>
      </c>
      <c r="G241" s="233">
        <f ca="1">COUNTIF(OFFSET(Synthèse!$G250,0,0,1,COUNTA(Synthèse!$10:$10)-6),"="&amp;$G$1)</f>
        <v>0</v>
      </c>
      <c r="H241" s="233">
        <f ca="1">COUNTIF(OFFSET(Synthèse!$G250,0,0,1,COUNTA(Synthèse!$10:$10)-6),"="&amp;$H$1)</f>
        <v>0</v>
      </c>
      <c r="I241" s="18">
        <f t="shared" ca="1" si="21"/>
        <v>0</v>
      </c>
      <c r="Q241" s="12"/>
      <c r="R241" s="12"/>
    </row>
    <row r="242" spans="2:18" x14ac:dyDescent="0.35">
      <c r="B242" s="106" t="str">
        <f>Modèle!B244</f>
        <v>Consultation</v>
      </c>
      <c r="C242" s="116" t="str">
        <f>Modèle!D244</f>
        <v>13.2.1</v>
      </c>
      <c r="D242" s="114" t="str">
        <f>Modèle!E244</f>
        <v>A</v>
      </c>
      <c r="E242" s="234">
        <f ca="1">COUNTIF(OFFSET(Synthèse!$G251,0,0,1,COUNTA(Synthèse!$10:$10)-6),"="&amp;$E$1)</f>
        <v>0</v>
      </c>
      <c r="F242" s="234">
        <f ca="1">COUNTIF(OFFSET(Synthèse!$G251,0,0,1,COUNTA(Synthèse!$10:$10)-6),"="&amp;$F$1)</f>
        <v>0</v>
      </c>
      <c r="G242" s="234">
        <f ca="1">COUNTIF(OFFSET(Synthèse!$G251,0,0,1,COUNTA(Synthèse!$10:$10)-6),"="&amp;$G$1)</f>
        <v>0</v>
      </c>
      <c r="H242" s="234">
        <f ca="1">COUNTIF(OFFSET(Synthèse!$G251,0,0,1,COUNTA(Synthèse!$10:$10)-6),"="&amp;$H$1)</f>
        <v>0</v>
      </c>
      <c r="I242" s="18">
        <f t="shared" ca="1" si="21"/>
        <v>0</v>
      </c>
      <c r="Q242" s="12"/>
      <c r="R242" s="12"/>
    </row>
    <row r="243" spans="2:18" x14ac:dyDescent="0.35">
      <c r="B243" s="105" t="str">
        <f>Modèle!B245</f>
        <v>Consultation</v>
      </c>
      <c r="C243" s="115" t="str">
        <f>Modèle!D245</f>
        <v>13.3.1</v>
      </c>
      <c r="D243" s="112" t="str">
        <f>Modèle!E245</f>
        <v>A</v>
      </c>
      <c r="E243" s="233">
        <f ca="1">COUNTIF(OFFSET(Synthèse!$G252,0,0,1,COUNTA(Synthèse!$10:$10)-6),"="&amp;$E$1)</f>
        <v>0</v>
      </c>
      <c r="F243" s="233">
        <f ca="1">COUNTIF(OFFSET(Synthèse!$G252,0,0,1,COUNTA(Synthèse!$10:$10)-6),"="&amp;$F$1)</f>
        <v>0</v>
      </c>
      <c r="G243" s="233">
        <f ca="1">COUNTIF(OFFSET(Synthèse!$G252,0,0,1,COUNTA(Synthèse!$10:$10)-6),"="&amp;$G$1)</f>
        <v>0</v>
      </c>
      <c r="H243" s="233">
        <f ca="1">COUNTIF(OFFSET(Synthèse!$G252,0,0,1,COUNTA(Synthèse!$10:$10)-6),"="&amp;$H$1)</f>
        <v>0</v>
      </c>
      <c r="I243" s="18">
        <f t="shared" ca="1" si="21"/>
        <v>0</v>
      </c>
      <c r="Q243" s="12"/>
      <c r="R243" s="12"/>
    </row>
    <row r="244" spans="2:18" x14ac:dyDescent="0.35">
      <c r="B244" s="106" t="str">
        <f>Modèle!B246</f>
        <v>Consultation</v>
      </c>
      <c r="C244" s="116" t="str">
        <f>Modèle!D246</f>
        <v>13.4.1</v>
      </c>
      <c r="D244" s="114" t="str">
        <f>Modèle!E246</f>
        <v>A</v>
      </c>
      <c r="E244" s="234">
        <f ca="1">COUNTIF(OFFSET(Synthèse!$G253,0,0,1,COUNTA(Synthèse!$10:$10)-6),"="&amp;$E$1)</f>
        <v>0</v>
      </c>
      <c r="F244" s="234">
        <f ca="1">COUNTIF(OFFSET(Synthèse!$G253,0,0,1,COUNTA(Synthèse!$10:$10)-6),"="&amp;$F$1)</f>
        <v>0</v>
      </c>
      <c r="G244" s="234">
        <f ca="1">COUNTIF(OFFSET(Synthèse!$G253,0,0,1,COUNTA(Synthèse!$10:$10)-6),"="&amp;$G$1)</f>
        <v>0</v>
      </c>
      <c r="H244" s="234">
        <f ca="1">COUNTIF(OFFSET(Synthèse!$G253,0,0,1,COUNTA(Synthèse!$10:$10)-6),"="&amp;$H$1)</f>
        <v>0</v>
      </c>
      <c r="I244" s="18">
        <f t="shared" ca="1" si="21"/>
        <v>0</v>
      </c>
      <c r="Q244" s="12"/>
      <c r="R244" s="12"/>
    </row>
    <row r="245" spans="2:18" x14ac:dyDescent="0.35">
      <c r="B245" s="105" t="str">
        <f>Modèle!B247</f>
        <v>Consultation</v>
      </c>
      <c r="C245" s="115" t="str">
        <f>Modèle!D247</f>
        <v>13.5.1</v>
      </c>
      <c r="D245" s="112" t="str">
        <f>Modèle!E247</f>
        <v>A</v>
      </c>
      <c r="E245" s="233">
        <f ca="1">COUNTIF(OFFSET(Synthèse!$G254,0,0,1,COUNTA(Synthèse!$10:$10)-6),"="&amp;$E$1)</f>
        <v>0</v>
      </c>
      <c r="F245" s="233">
        <f ca="1">COUNTIF(OFFSET(Synthèse!$G254,0,0,1,COUNTA(Synthèse!$10:$10)-6),"="&amp;$F$1)</f>
        <v>0</v>
      </c>
      <c r="G245" s="233">
        <f ca="1">COUNTIF(OFFSET(Synthèse!$G254,0,0,1,COUNTA(Synthèse!$10:$10)-6),"="&amp;$G$1)</f>
        <v>0</v>
      </c>
      <c r="H245" s="233">
        <f ca="1">COUNTIF(OFFSET(Synthèse!$G254,0,0,1,COUNTA(Synthèse!$10:$10)-6),"="&amp;$H$1)</f>
        <v>0</v>
      </c>
      <c r="I245" s="18">
        <f t="shared" ca="1" si="21"/>
        <v>0</v>
      </c>
      <c r="Q245" s="12"/>
      <c r="R245" s="12"/>
    </row>
    <row r="246" spans="2:18" x14ac:dyDescent="0.35">
      <c r="B246" s="106" t="str">
        <f>Modèle!B248</f>
        <v>Consultation</v>
      </c>
      <c r="C246" s="116" t="str">
        <f>Modèle!D248</f>
        <v>13.6.1</v>
      </c>
      <c r="D246" s="114" t="str">
        <f>Modèle!E248</f>
        <v>A</v>
      </c>
      <c r="E246" s="234">
        <f ca="1">COUNTIF(OFFSET(Synthèse!$G255,0,0,1,COUNTA(Synthèse!$10:$10)-6),"="&amp;$E$1)</f>
        <v>0</v>
      </c>
      <c r="F246" s="234">
        <f ca="1">COUNTIF(OFFSET(Synthèse!$G255,0,0,1,COUNTA(Synthèse!$10:$10)-6),"="&amp;$F$1)</f>
        <v>0</v>
      </c>
      <c r="G246" s="234">
        <f ca="1">COUNTIF(OFFSET(Synthèse!$G255,0,0,1,COUNTA(Synthèse!$10:$10)-6),"="&amp;$G$1)</f>
        <v>0</v>
      </c>
      <c r="H246" s="234">
        <f ca="1">COUNTIF(OFFSET(Synthèse!$G255,0,0,1,COUNTA(Synthèse!$10:$10)-6),"="&amp;$H$1)</f>
        <v>0</v>
      </c>
      <c r="I246" s="18">
        <f t="shared" ca="1" si="21"/>
        <v>0</v>
      </c>
      <c r="Q246" s="12"/>
      <c r="R246" s="12"/>
    </row>
    <row r="247" spans="2:18" x14ac:dyDescent="0.35">
      <c r="B247" s="105" t="str">
        <f>Modèle!B249</f>
        <v>Consultation</v>
      </c>
      <c r="C247" s="115" t="str">
        <f>Modèle!D249</f>
        <v>13.7.1</v>
      </c>
      <c r="D247" s="112" t="str">
        <f>Modèle!E249</f>
        <v>A</v>
      </c>
      <c r="E247" s="233">
        <f ca="1">COUNTIF(OFFSET(Synthèse!$G256,0,0,1,COUNTA(Synthèse!$10:$10)-6),"="&amp;$E$1)</f>
        <v>0</v>
      </c>
      <c r="F247" s="233">
        <f ca="1">COUNTIF(OFFSET(Synthèse!$G256,0,0,1,COUNTA(Synthèse!$10:$10)-6),"="&amp;$F$1)</f>
        <v>0</v>
      </c>
      <c r="G247" s="233">
        <f ca="1">COUNTIF(OFFSET(Synthèse!$G256,0,0,1,COUNTA(Synthèse!$10:$10)-6),"="&amp;$G$1)</f>
        <v>0</v>
      </c>
      <c r="H247" s="233">
        <f ca="1">COUNTIF(OFFSET(Synthèse!$G256,0,0,1,COUNTA(Synthèse!$10:$10)-6),"="&amp;$H$1)</f>
        <v>0</v>
      </c>
      <c r="I247" s="18">
        <f t="shared" ca="1" si="21"/>
        <v>0</v>
      </c>
      <c r="Q247" s="12"/>
      <c r="R247" s="12"/>
    </row>
    <row r="248" spans="2:18" x14ac:dyDescent="0.35">
      <c r="B248" s="105" t="str">
        <f>Modèle!B250</f>
        <v>Consultation</v>
      </c>
      <c r="C248" s="115" t="str">
        <f>Modèle!D250</f>
        <v>13.7.2</v>
      </c>
      <c r="D248" s="112" t="str">
        <f>Modèle!E250</f>
        <v>A</v>
      </c>
      <c r="E248" s="233">
        <f ca="1">COUNTIF(OFFSET(Synthèse!$G257,0,0,1,COUNTA(Synthèse!$10:$10)-6),"="&amp;$E$1)</f>
        <v>0</v>
      </c>
      <c r="F248" s="233">
        <f ca="1">COUNTIF(OFFSET(Synthèse!$G257,0,0,1,COUNTA(Synthèse!$10:$10)-6),"="&amp;$F$1)</f>
        <v>0</v>
      </c>
      <c r="G248" s="233">
        <f ca="1">COUNTIF(OFFSET(Synthèse!$G257,0,0,1,COUNTA(Synthèse!$10:$10)-6),"="&amp;$G$1)</f>
        <v>0</v>
      </c>
      <c r="H248" s="233">
        <f ca="1">COUNTIF(OFFSET(Synthèse!$G257,0,0,1,COUNTA(Synthèse!$10:$10)-6),"="&amp;$H$1)</f>
        <v>0</v>
      </c>
      <c r="I248" s="18">
        <f t="shared" ca="1" si="21"/>
        <v>0</v>
      </c>
      <c r="Q248" s="12"/>
      <c r="R248" s="12"/>
    </row>
    <row r="249" spans="2:18" x14ac:dyDescent="0.35">
      <c r="B249" s="105" t="str">
        <f>Modèle!B251</f>
        <v>Consultation</v>
      </c>
      <c r="C249" s="115" t="str">
        <f>Modèle!D251</f>
        <v>13.7.3</v>
      </c>
      <c r="D249" s="112" t="str">
        <f>Modèle!E251</f>
        <v>A</v>
      </c>
      <c r="E249" s="233">
        <f ca="1">COUNTIF(OFFSET(Synthèse!$G258,0,0,1,COUNTA(Synthèse!$10:$10)-6),"="&amp;$E$1)</f>
        <v>0</v>
      </c>
      <c r="F249" s="233">
        <f ca="1">COUNTIF(OFFSET(Synthèse!$G258,0,0,1,COUNTA(Synthèse!$10:$10)-6),"="&amp;$F$1)</f>
        <v>0</v>
      </c>
      <c r="G249" s="233">
        <f ca="1">COUNTIF(OFFSET(Synthèse!$G258,0,0,1,COUNTA(Synthèse!$10:$10)-6),"="&amp;$G$1)</f>
        <v>0</v>
      </c>
      <c r="H249" s="233">
        <f ca="1">COUNTIF(OFFSET(Synthèse!$G258,0,0,1,COUNTA(Synthèse!$10:$10)-6),"="&amp;$H$1)</f>
        <v>0</v>
      </c>
      <c r="I249" s="18">
        <f t="shared" ca="1" si="21"/>
        <v>0</v>
      </c>
      <c r="Q249" s="12"/>
      <c r="R249" s="12"/>
    </row>
    <row r="250" spans="2:18" x14ac:dyDescent="0.35">
      <c r="B250" s="106" t="str">
        <f>Modèle!B252</f>
        <v>Consultation</v>
      </c>
      <c r="C250" s="116" t="str">
        <f>Modèle!D252</f>
        <v>13.8.1</v>
      </c>
      <c r="D250" s="114" t="str">
        <f>Modèle!E252</f>
        <v>A</v>
      </c>
      <c r="E250" s="234">
        <f ca="1">COUNTIF(OFFSET(Synthèse!$G259,0,0,1,COUNTA(Synthèse!$10:$10)-6),"="&amp;$E$1)</f>
        <v>0</v>
      </c>
      <c r="F250" s="234">
        <f ca="1">COUNTIF(OFFSET(Synthèse!$G259,0,0,1,COUNTA(Synthèse!$10:$10)-6),"="&amp;$F$1)</f>
        <v>0</v>
      </c>
      <c r="G250" s="234">
        <f ca="1">COUNTIF(OFFSET(Synthèse!$G259,0,0,1,COUNTA(Synthèse!$10:$10)-6),"="&amp;$G$1)</f>
        <v>0</v>
      </c>
      <c r="H250" s="234">
        <f ca="1">COUNTIF(OFFSET(Synthèse!$G259,0,0,1,COUNTA(Synthèse!$10:$10)-6),"="&amp;$H$1)</f>
        <v>0</v>
      </c>
      <c r="I250" s="18">
        <f t="shared" ca="1" si="21"/>
        <v>0</v>
      </c>
      <c r="Q250" s="12"/>
      <c r="R250" s="12"/>
    </row>
    <row r="251" spans="2:18" x14ac:dyDescent="0.35">
      <c r="B251" s="106" t="str">
        <f>Modèle!B253</f>
        <v>Consultation</v>
      </c>
      <c r="C251" s="116" t="str">
        <f>Modèle!D253</f>
        <v>13.8.2</v>
      </c>
      <c r="D251" s="114" t="str">
        <f>Modèle!E253</f>
        <v>A</v>
      </c>
      <c r="E251" s="234">
        <f ca="1">COUNTIF(OFFSET(Synthèse!$G260,0,0,1,COUNTA(Synthèse!$10:$10)-6),"="&amp;$E$1)</f>
        <v>0</v>
      </c>
      <c r="F251" s="234">
        <f ca="1">COUNTIF(OFFSET(Synthèse!$G260,0,0,1,COUNTA(Synthèse!$10:$10)-6),"="&amp;$F$1)</f>
        <v>0</v>
      </c>
      <c r="G251" s="234">
        <f ca="1">COUNTIF(OFFSET(Synthèse!$G260,0,0,1,COUNTA(Synthèse!$10:$10)-6),"="&amp;$G$1)</f>
        <v>0</v>
      </c>
      <c r="H251" s="234">
        <f ca="1">COUNTIF(OFFSET(Synthèse!$G260,0,0,1,COUNTA(Synthèse!$10:$10)-6),"="&amp;$H$1)</f>
        <v>0</v>
      </c>
      <c r="I251" s="18">
        <f t="shared" ca="1" si="21"/>
        <v>0</v>
      </c>
      <c r="Q251" s="12"/>
      <c r="R251" s="12"/>
    </row>
    <row r="252" spans="2:18" x14ac:dyDescent="0.35">
      <c r="B252" s="105" t="str">
        <f>Modèle!B254</f>
        <v>Consultation</v>
      </c>
      <c r="C252" s="115" t="str">
        <f>Modèle!D254</f>
        <v>13.9.1</v>
      </c>
      <c r="D252" s="112" t="str">
        <f>Modèle!E254</f>
        <v>AA</v>
      </c>
      <c r="E252" s="233">
        <f ca="1">COUNTIF(OFFSET(Synthèse!$G261,0,0,1,COUNTA(Synthèse!$10:$10)-6),"="&amp;$E$1)</f>
        <v>0</v>
      </c>
      <c r="F252" s="233">
        <f ca="1">COUNTIF(OFFSET(Synthèse!$G261,0,0,1,COUNTA(Synthèse!$10:$10)-6),"="&amp;$F$1)</f>
        <v>0</v>
      </c>
      <c r="G252" s="233">
        <f ca="1">COUNTIF(OFFSET(Synthèse!$G261,0,0,1,COUNTA(Synthèse!$10:$10)-6),"="&amp;$G$1)</f>
        <v>0</v>
      </c>
      <c r="H252" s="233">
        <f ca="1">COUNTIF(OFFSET(Synthèse!$G261,0,0,1,COUNTA(Synthèse!$10:$10)-6),"="&amp;$H$1)</f>
        <v>0</v>
      </c>
      <c r="I252" s="18">
        <f t="shared" ca="1" si="21"/>
        <v>0</v>
      </c>
      <c r="Q252" s="12"/>
      <c r="R252" s="12"/>
    </row>
    <row r="253" spans="2:18" x14ac:dyDescent="0.35">
      <c r="B253" s="106" t="str">
        <f>Modèle!B255</f>
        <v>Consultation</v>
      </c>
      <c r="C253" s="116" t="str">
        <f>Modèle!D255</f>
        <v>13.10.1</v>
      </c>
      <c r="D253" s="114" t="str">
        <f>Modèle!E255</f>
        <v>A</v>
      </c>
      <c r="E253" s="234">
        <f ca="1">COUNTIF(OFFSET(Synthèse!$G262,0,0,1,COUNTA(Synthèse!$10:$10)-6),"="&amp;$E$1)</f>
        <v>0</v>
      </c>
      <c r="F253" s="234">
        <f ca="1">COUNTIF(OFFSET(Synthèse!$G262,0,0,1,COUNTA(Synthèse!$10:$10)-6),"="&amp;$F$1)</f>
        <v>0</v>
      </c>
      <c r="G253" s="234">
        <f ca="1">COUNTIF(OFFSET(Synthèse!$G262,0,0,1,COUNTA(Synthèse!$10:$10)-6),"="&amp;$G$1)</f>
        <v>0</v>
      </c>
      <c r="H253" s="234">
        <f ca="1">COUNTIF(OFFSET(Synthèse!$G262,0,0,1,COUNTA(Synthèse!$10:$10)-6),"="&amp;$H$1)</f>
        <v>0</v>
      </c>
      <c r="I253" s="18">
        <f t="shared" ca="1" si="21"/>
        <v>0</v>
      </c>
      <c r="Q253" s="12"/>
      <c r="R253" s="12"/>
    </row>
    <row r="254" spans="2:18" x14ac:dyDescent="0.35">
      <c r="B254" s="106" t="str">
        <f>Modèle!B256</f>
        <v>Consultation</v>
      </c>
      <c r="C254" s="116" t="str">
        <f>Modèle!D256</f>
        <v>13.10.2</v>
      </c>
      <c r="D254" s="114" t="str">
        <f>Modèle!E256</f>
        <v>A</v>
      </c>
      <c r="E254" s="234">
        <f ca="1">COUNTIF(OFFSET(Synthèse!$G263,0,0,1,COUNTA(Synthèse!$10:$10)-6),"="&amp;$E$1)</f>
        <v>0</v>
      </c>
      <c r="F254" s="234">
        <f ca="1">COUNTIF(OFFSET(Synthèse!$G263,0,0,1,COUNTA(Synthèse!$10:$10)-6),"="&amp;$F$1)</f>
        <v>0</v>
      </c>
      <c r="G254" s="234">
        <f ca="1">COUNTIF(OFFSET(Synthèse!$G263,0,0,1,COUNTA(Synthèse!$10:$10)-6),"="&amp;$G$1)</f>
        <v>0</v>
      </c>
      <c r="H254" s="234">
        <f ca="1">COUNTIF(OFFSET(Synthèse!$G263,0,0,1,COUNTA(Synthèse!$10:$10)-6),"="&amp;$H$1)</f>
        <v>0</v>
      </c>
      <c r="I254" s="18">
        <f t="shared" ca="1" si="21"/>
        <v>0</v>
      </c>
      <c r="Q254" s="12"/>
      <c r="R254" s="12"/>
    </row>
    <row r="255" spans="2:18" x14ac:dyDescent="0.35">
      <c r="B255" s="105" t="str">
        <f>Modèle!B257</f>
        <v>Consultation</v>
      </c>
      <c r="C255" s="115" t="str">
        <f>Modèle!D257</f>
        <v>13.11.1</v>
      </c>
      <c r="D255" s="112" t="str">
        <f>Modèle!E257</f>
        <v>A</v>
      </c>
      <c r="E255" s="233">
        <f ca="1">COUNTIF(OFFSET(Synthèse!$G264,0,0,1,COUNTA(Synthèse!$10:$10)-6),"="&amp;$E$1)</f>
        <v>0</v>
      </c>
      <c r="F255" s="233">
        <f ca="1">COUNTIF(OFFSET(Synthèse!$G264,0,0,1,COUNTA(Synthèse!$10:$10)-6),"="&amp;$F$1)</f>
        <v>0</v>
      </c>
      <c r="G255" s="233">
        <f ca="1">COUNTIF(OFFSET(Synthèse!$G264,0,0,1,COUNTA(Synthèse!$10:$10)-6),"="&amp;$G$1)</f>
        <v>0</v>
      </c>
      <c r="H255" s="233">
        <f ca="1">COUNTIF(OFFSET(Synthèse!$G264,0,0,1,COUNTA(Synthèse!$10:$10)-6),"="&amp;$H$1)</f>
        <v>0</v>
      </c>
      <c r="I255" s="18">
        <f t="shared" ca="1" si="21"/>
        <v>0</v>
      </c>
      <c r="Q255" s="12"/>
      <c r="R255" s="12"/>
    </row>
    <row r="256" spans="2:18" x14ac:dyDescent="0.35">
      <c r="B256" s="106" t="str">
        <f>Modèle!B258</f>
        <v>Consultation</v>
      </c>
      <c r="C256" s="116" t="str">
        <f>Modèle!D258</f>
        <v>13.12.1</v>
      </c>
      <c r="D256" s="114" t="str">
        <f>Modèle!E258</f>
        <v>A</v>
      </c>
      <c r="E256" s="234">
        <f ca="1">COUNTIF(OFFSET(Synthèse!$G265,0,0,1,COUNTA(Synthèse!$10:$10)-6),"="&amp;$E$1)</f>
        <v>0</v>
      </c>
      <c r="F256" s="234">
        <f ca="1">COUNTIF(OFFSET(Synthèse!$G265,0,0,1,COUNTA(Synthèse!$10:$10)-6),"="&amp;$F$1)</f>
        <v>0</v>
      </c>
      <c r="G256" s="234">
        <f ca="1">COUNTIF(OFFSET(Synthèse!$G265,0,0,1,COUNTA(Synthèse!$10:$10)-6),"="&amp;$G$1)</f>
        <v>0</v>
      </c>
      <c r="H256" s="234">
        <f ca="1">COUNTIF(OFFSET(Synthèse!$G265,0,0,1,COUNTA(Synthèse!$10:$10)-6),"="&amp;$H$1)</f>
        <v>0</v>
      </c>
      <c r="I256" s="18">
        <f t="shared" ca="1" si="21"/>
        <v>0</v>
      </c>
      <c r="Q256" s="12"/>
      <c r="R256" s="12"/>
    </row>
    <row r="257" spans="2:18" x14ac:dyDescent="0.35">
      <c r="B257" s="106" t="str">
        <f>Modèle!B259</f>
        <v>Consultation</v>
      </c>
      <c r="C257" s="116" t="str">
        <f>Modèle!D259</f>
        <v>13.12.2</v>
      </c>
      <c r="D257" s="114" t="str">
        <f>Modèle!E259</f>
        <v>A</v>
      </c>
      <c r="E257" s="234">
        <f ca="1">COUNTIF(OFFSET(Synthèse!$G266,0,0,1,COUNTA(Synthèse!$10:$10)-6),"="&amp;$E$1)</f>
        <v>0</v>
      </c>
      <c r="F257" s="234">
        <f ca="1">COUNTIF(OFFSET(Synthèse!$G266,0,0,1,COUNTA(Synthèse!$10:$10)-6),"="&amp;$F$1)</f>
        <v>0</v>
      </c>
      <c r="G257" s="234">
        <f ca="1">COUNTIF(OFFSET(Synthèse!$G266,0,0,1,COUNTA(Synthèse!$10:$10)-6),"="&amp;$G$1)</f>
        <v>0</v>
      </c>
      <c r="H257" s="234">
        <f ca="1">COUNTIF(OFFSET(Synthèse!$G266,0,0,1,COUNTA(Synthèse!$10:$10)-6),"="&amp;$H$1)</f>
        <v>0</v>
      </c>
      <c r="I257" s="18">
        <f t="shared" ca="1" si="21"/>
        <v>0</v>
      </c>
      <c r="Q257" s="12"/>
      <c r="R257" s="12"/>
    </row>
    <row r="258" spans="2:18" x14ac:dyDescent="0.35">
      <c r="B258" s="106" t="str">
        <f>Modèle!B260</f>
        <v>Consultation</v>
      </c>
      <c r="C258" s="116" t="str">
        <f>Modèle!D260</f>
        <v>13.12.3</v>
      </c>
      <c r="D258" s="114" t="str">
        <f>Modèle!E260</f>
        <v>A</v>
      </c>
      <c r="E258" s="234">
        <f ca="1">COUNTIF(OFFSET(Synthèse!$G267,0,0,1,COUNTA(Synthèse!$10:$10)-6),"="&amp;$E$1)</f>
        <v>0</v>
      </c>
      <c r="F258" s="234">
        <f ca="1">COUNTIF(OFFSET(Synthèse!$G267,0,0,1,COUNTA(Synthèse!$10:$10)-6),"="&amp;$F$1)</f>
        <v>0</v>
      </c>
      <c r="G258" s="234">
        <f ca="1">COUNTIF(OFFSET(Synthèse!$G267,0,0,1,COUNTA(Synthèse!$10:$10)-6),"="&amp;$G$1)</f>
        <v>0</v>
      </c>
      <c r="H258" s="234">
        <f ca="1">COUNTIF(OFFSET(Synthèse!$G267,0,0,1,COUNTA(Synthèse!$10:$10)-6),"="&amp;$H$1)</f>
        <v>0</v>
      </c>
      <c r="I258" s="18">
        <f t="shared" ca="1" si="21"/>
        <v>0</v>
      </c>
      <c r="Q258" s="12"/>
      <c r="R258" s="12"/>
    </row>
    <row r="259" spans="2:18" x14ac:dyDescent="0.35">
      <c r="D259" s="37" t="s">
        <v>42</v>
      </c>
      <c r="E259" s="37">
        <f ca="1">SUM($E$2:$E$258)</f>
        <v>0</v>
      </c>
      <c r="F259" s="37">
        <f ca="1">SUM($F$2:$F$258)</f>
        <v>0</v>
      </c>
      <c r="G259" s="37">
        <f ca="1">SUM($G$2:$G$258)</f>
        <v>0</v>
      </c>
      <c r="H259" s="37">
        <f ca="1">SUM($H$2:$H$258)</f>
        <v>0</v>
      </c>
      <c r="Q259" s="12"/>
      <c r="R259" s="12"/>
    </row>
    <row r="260" spans="2:18" x14ac:dyDescent="0.35">
      <c r="Q260" s="12"/>
      <c r="R260" s="12"/>
    </row>
    <row r="261" spans="2:18" x14ac:dyDescent="0.35">
      <c r="Q261" s="12"/>
      <c r="R261" s="12"/>
    </row>
    <row r="262" spans="2:18" x14ac:dyDescent="0.35">
      <c r="Q262" s="12"/>
      <c r="R262" s="12"/>
    </row>
    <row r="263" spans="2:18" x14ac:dyDescent="0.35">
      <c r="Q263" s="12"/>
      <c r="R263" s="12"/>
    </row>
    <row r="264" spans="2:18" x14ac:dyDescent="0.35">
      <c r="Q264" s="12"/>
      <c r="R264" s="12"/>
    </row>
    <row r="265" spans="2:18" x14ac:dyDescent="0.35">
      <c r="Q265" s="12"/>
      <c r="R265" s="12"/>
    </row>
    <row r="266" spans="2:18" x14ac:dyDescent="0.35">
      <c r="Q266" s="12"/>
      <c r="R266" s="12"/>
    </row>
    <row r="267" spans="2:18" x14ac:dyDescent="0.35">
      <c r="Q267" s="12"/>
      <c r="R267" s="12"/>
    </row>
    <row r="268" spans="2:18" x14ac:dyDescent="0.35">
      <c r="Q268" s="12"/>
      <c r="R268" s="12"/>
    </row>
    <row r="269" spans="2:18" x14ac:dyDescent="0.35">
      <c r="Q269" s="12"/>
      <c r="R269" s="12"/>
    </row>
    <row r="270" spans="2:18" x14ac:dyDescent="0.35">
      <c r="Q270" s="12"/>
      <c r="R270" s="12"/>
    </row>
    <row r="271" spans="2:18" x14ac:dyDescent="0.35">
      <c r="Q271" s="12"/>
      <c r="R271" s="12"/>
    </row>
    <row r="272" spans="2:18" x14ac:dyDescent="0.35">
      <c r="Q272" s="12"/>
      <c r="R272" s="12"/>
    </row>
    <row r="273" spans="17:18" x14ac:dyDescent="0.35">
      <c r="Q273" s="12"/>
      <c r="R273" s="12"/>
    </row>
    <row r="274" spans="17:18" x14ac:dyDescent="0.35">
      <c r="Q274" s="12"/>
      <c r="R274" s="12"/>
    </row>
    <row r="275" spans="17:18" x14ac:dyDescent="0.35">
      <c r="Q275" s="12"/>
      <c r="R275" s="12"/>
    </row>
    <row r="276" spans="17:18" x14ac:dyDescent="0.35">
      <c r="Q276" s="12"/>
      <c r="R276" s="12"/>
    </row>
    <row r="277" spans="17:18" x14ac:dyDescent="0.35">
      <c r="Q277" s="12"/>
      <c r="R277" s="12"/>
    </row>
    <row r="278" spans="17:18" x14ac:dyDescent="0.35">
      <c r="Q278" s="12"/>
      <c r="R278" s="12"/>
    </row>
    <row r="279" spans="17:18" x14ac:dyDescent="0.35">
      <c r="Q279" s="12"/>
      <c r="R279" s="12"/>
    </row>
    <row r="280" spans="17:18" x14ac:dyDescent="0.35">
      <c r="Q280" s="12"/>
      <c r="R280" s="12"/>
    </row>
    <row r="281" spans="17:18" x14ac:dyDescent="0.35">
      <c r="Q281" s="12"/>
      <c r="R281" s="12"/>
    </row>
    <row r="282" spans="17:18" x14ac:dyDescent="0.35">
      <c r="Q282" s="12"/>
      <c r="R282" s="12"/>
    </row>
    <row r="283" spans="17:18" x14ac:dyDescent="0.35">
      <c r="Q283" s="12"/>
      <c r="R283" s="12"/>
    </row>
    <row r="284" spans="17:18" x14ac:dyDescent="0.35">
      <c r="Q284" s="12"/>
      <c r="R284" s="12"/>
    </row>
    <row r="285" spans="17:18" x14ac:dyDescent="0.35">
      <c r="Q285" s="12"/>
      <c r="R285" s="12"/>
    </row>
    <row r="286" spans="17:18" x14ac:dyDescent="0.35">
      <c r="Q286" s="12"/>
      <c r="R286" s="12"/>
    </row>
    <row r="287" spans="17:18" x14ac:dyDescent="0.35">
      <c r="Q287" s="12"/>
      <c r="R287" s="12"/>
    </row>
    <row r="288" spans="17:18" x14ac:dyDescent="0.35">
      <c r="Q288" s="12"/>
      <c r="R288" s="12"/>
    </row>
    <row r="289" spans="17:18" x14ac:dyDescent="0.35">
      <c r="Q289" s="12"/>
      <c r="R289" s="12"/>
    </row>
    <row r="290" spans="17:18" x14ac:dyDescent="0.35">
      <c r="Q290" s="12"/>
      <c r="R290" s="12"/>
    </row>
    <row r="291" spans="17:18" x14ac:dyDescent="0.35">
      <c r="Q291" s="12"/>
      <c r="R291" s="12"/>
    </row>
    <row r="292" spans="17:18" x14ac:dyDescent="0.35">
      <c r="Q292" s="12"/>
      <c r="R292" s="12"/>
    </row>
    <row r="293" spans="17:18" x14ac:dyDescent="0.35">
      <c r="Q293" s="12"/>
      <c r="R293" s="12"/>
    </row>
    <row r="294" spans="17:18" x14ac:dyDescent="0.35">
      <c r="Q294" s="12"/>
      <c r="R294" s="12"/>
    </row>
    <row r="295" spans="17:18" x14ac:dyDescent="0.35">
      <c r="Q295" s="12"/>
      <c r="R295" s="12"/>
    </row>
    <row r="296" spans="17:18" x14ac:dyDescent="0.35">
      <c r="Q296" s="12"/>
      <c r="R296" s="12"/>
    </row>
    <row r="297" spans="17:18" x14ac:dyDescent="0.35">
      <c r="Q297" s="12"/>
      <c r="R297" s="12"/>
    </row>
    <row r="298" spans="17:18" x14ac:dyDescent="0.35">
      <c r="Q298" s="12"/>
      <c r="R298" s="12"/>
    </row>
    <row r="299" spans="17:18" x14ac:dyDescent="0.35">
      <c r="Q299" s="12"/>
      <c r="R299" s="12"/>
    </row>
    <row r="300" spans="17:18" x14ac:dyDescent="0.35">
      <c r="Q300" s="12"/>
      <c r="R300" s="12"/>
    </row>
    <row r="301" spans="17:18" x14ac:dyDescent="0.35">
      <c r="Q301" s="12"/>
      <c r="R301" s="12"/>
    </row>
    <row r="302" spans="17:18" x14ac:dyDescent="0.35">
      <c r="Q302" s="12"/>
      <c r="R302" s="12"/>
    </row>
    <row r="303" spans="17:18" x14ac:dyDescent="0.35">
      <c r="Q303" s="12"/>
      <c r="R303" s="12"/>
    </row>
    <row r="304" spans="17:18" x14ac:dyDescent="0.35">
      <c r="Q304" s="12"/>
      <c r="R304" s="12"/>
    </row>
    <row r="305" spans="17:18" x14ac:dyDescent="0.35">
      <c r="Q305" s="12"/>
      <c r="R305" s="12"/>
    </row>
    <row r="306" spans="17:18" x14ac:dyDescent="0.35">
      <c r="Q306" s="12"/>
      <c r="R306" s="12"/>
    </row>
    <row r="307" spans="17:18" x14ac:dyDescent="0.35">
      <c r="Q307" s="12"/>
      <c r="R307" s="12"/>
    </row>
    <row r="308" spans="17:18" x14ac:dyDescent="0.35">
      <c r="Q308" s="12"/>
      <c r="R308" s="12"/>
    </row>
    <row r="309" spans="17:18" x14ac:dyDescent="0.35">
      <c r="Q309" s="12"/>
      <c r="R309" s="12"/>
    </row>
    <row r="310" spans="17:18" x14ac:dyDescent="0.35">
      <c r="Q310" s="12"/>
      <c r="R310" s="12"/>
    </row>
    <row r="311" spans="17:18" x14ac:dyDescent="0.35">
      <c r="Q311" s="12"/>
      <c r="R311" s="12"/>
    </row>
    <row r="312" spans="17:18" x14ac:dyDescent="0.35">
      <c r="Q312" s="12"/>
      <c r="R312" s="12"/>
    </row>
    <row r="313" spans="17:18" x14ac:dyDescent="0.35">
      <c r="Q313" s="12"/>
      <c r="R313" s="12"/>
    </row>
    <row r="314" spans="17:18" x14ac:dyDescent="0.35">
      <c r="Q314" s="12"/>
      <c r="R314" s="12"/>
    </row>
    <row r="315" spans="17:18" x14ac:dyDescent="0.35">
      <c r="Q315" s="12"/>
      <c r="R315" s="12"/>
    </row>
    <row r="316" spans="17:18" x14ac:dyDescent="0.35">
      <c r="Q316" s="12"/>
      <c r="R316" s="12"/>
    </row>
    <row r="317" spans="17:18" x14ac:dyDescent="0.35">
      <c r="Q317" s="12"/>
      <c r="R317" s="12"/>
    </row>
    <row r="318" spans="17:18" x14ac:dyDescent="0.35">
      <c r="Q318" s="12"/>
      <c r="R318" s="12"/>
    </row>
    <row r="319" spans="17:18" x14ac:dyDescent="0.35">
      <c r="Q319" s="12"/>
      <c r="R319" s="12"/>
    </row>
    <row r="320" spans="17:18" x14ac:dyDescent="0.35">
      <c r="Q320" s="12"/>
      <c r="R320" s="12"/>
    </row>
    <row r="321" spans="17:18" x14ac:dyDescent="0.35">
      <c r="Q321" s="12"/>
      <c r="R321" s="12"/>
    </row>
    <row r="322" spans="17:18" x14ac:dyDescent="0.35">
      <c r="Q322" s="12"/>
      <c r="R322" s="12"/>
    </row>
    <row r="323" spans="17:18" x14ac:dyDescent="0.35">
      <c r="Q323" s="12"/>
      <c r="R323" s="12"/>
    </row>
    <row r="324" spans="17:18" x14ac:dyDescent="0.35">
      <c r="Q324" s="12"/>
      <c r="R324" s="12"/>
    </row>
    <row r="325" spans="17:18" x14ac:dyDescent="0.35">
      <c r="Q325" s="12"/>
      <c r="R325" s="12"/>
    </row>
    <row r="326" spans="17:18" x14ac:dyDescent="0.35">
      <c r="Q326" s="12"/>
      <c r="R326" s="12"/>
    </row>
    <row r="327" spans="17:18" x14ac:dyDescent="0.35">
      <c r="Q327" s="12"/>
      <c r="R327" s="12"/>
    </row>
    <row r="328" spans="17:18" x14ac:dyDescent="0.35">
      <c r="Q328" s="12"/>
      <c r="R328" s="12"/>
    </row>
    <row r="329" spans="17:18" x14ac:dyDescent="0.35">
      <c r="Q329" s="12"/>
      <c r="R329" s="12"/>
    </row>
    <row r="330" spans="17:18" x14ac:dyDescent="0.35">
      <c r="Q330" s="12"/>
      <c r="R330" s="12"/>
    </row>
    <row r="331" spans="17:18" x14ac:dyDescent="0.35">
      <c r="Q331" s="12"/>
      <c r="R331" s="12"/>
    </row>
    <row r="332" spans="17:18" x14ac:dyDescent="0.35">
      <c r="Q332" s="12"/>
      <c r="R332" s="12"/>
    </row>
    <row r="333" spans="17:18" x14ac:dyDescent="0.35">
      <c r="Q333" s="12"/>
      <c r="R333" s="12"/>
    </row>
    <row r="334" spans="17:18" x14ac:dyDescent="0.35">
      <c r="Q334" s="12"/>
      <c r="R334" s="12"/>
    </row>
    <row r="335" spans="17:18" x14ac:dyDescent="0.35">
      <c r="Q335" s="12"/>
      <c r="R335" s="12"/>
    </row>
    <row r="336" spans="17:18" x14ac:dyDescent="0.35">
      <c r="Q336" s="12"/>
      <c r="R336" s="12"/>
    </row>
    <row r="337" spans="17:18" x14ac:dyDescent="0.35">
      <c r="Q337" s="12"/>
      <c r="R337" s="12"/>
    </row>
    <row r="338" spans="17:18" x14ac:dyDescent="0.35">
      <c r="Q338" s="12"/>
      <c r="R338" s="12"/>
    </row>
    <row r="339" spans="17:18" x14ac:dyDescent="0.35">
      <c r="Q339" s="12"/>
      <c r="R339" s="12"/>
    </row>
    <row r="340" spans="17:18" x14ac:dyDescent="0.35">
      <c r="Q340" s="12"/>
      <c r="R340" s="12"/>
    </row>
    <row r="341" spans="17:18" x14ac:dyDescent="0.35">
      <c r="Q341" s="12"/>
      <c r="R341" s="12"/>
    </row>
    <row r="342" spans="17:18" x14ac:dyDescent="0.35">
      <c r="Q342" s="12"/>
      <c r="R342" s="12"/>
    </row>
    <row r="343" spans="17:18" x14ac:dyDescent="0.35">
      <c r="Q343" s="12"/>
      <c r="R343" s="12"/>
    </row>
    <row r="344" spans="17:18" x14ac:dyDescent="0.35">
      <c r="Q344" s="12"/>
      <c r="R344" s="12"/>
    </row>
    <row r="345" spans="17:18" x14ac:dyDescent="0.35">
      <c r="Q345" s="12"/>
      <c r="R345" s="12"/>
    </row>
    <row r="346" spans="17:18" x14ac:dyDescent="0.35">
      <c r="Q346" s="12"/>
      <c r="R346" s="12"/>
    </row>
    <row r="347" spans="17:18" x14ac:dyDescent="0.35">
      <c r="Q347" s="12"/>
      <c r="R347" s="12"/>
    </row>
    <row r="348" spans="17:18" x14ac:dyDescent="0.35">
      <c r="Q348" s="12"/>
      <c r="R348" s="12"/>
    </row>
    <row r="349" spans="17:18" x14ac:dyDescent="0.35">
      <c r="Q349" s="12"/>
      <c r="R349" s="12"/>
    </row>
    <row r="350" spans="17:18" x14ac:dyDescent="0.35">
      <c r="Q350" s="12"/>
      <c r="R350" s="12"/>
    </row>
    <row r="351" spans="17:18" x14ac:dyDescent="0.35">
      <c r="Q351" s="12"/>
      <c r="R351" s="12"/>
    </row>
    <row r="352" spans="17: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sheetData>
  <mergeCells count="5">
    <mergeCell ref="L1:P1"/>
    <mergeCell ref="L20:N20"/>
    <mergeCell ref="L26:Q26"/>
    <mergeCell ref="L32:R32"/>
    <mergeCell ref="N148:N15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 Monique Meschers</dc:creator>
  <cp:lastModifiedBy>Julie MOYNAT</cp:lastModifiedBy>
  <cp:lastPrinted>2013-06-03T14:54:24Z</cp:lastPrinted>
  <dcterms:created xsi:type="dcterms:W3CDTF">2013-05-22T15:37:01Z</dcterms:created>
  <dcterms:modified xsi:type="dcterms:W3CDTF">2020-01-30T13:34:49Z</dcterms:modified>
</cp:coreProperties>
</file>