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jmoynat\Oceane Consulting\Fr�d�ric HALNA - Documents_r�f�rences\Grille d'audit\Français\"/>
    </mc:Choice>
  </mc:AlternateContent>
  <xr:revisionPtr revIDLastSave="6" documentId="13_ncr:1_{5E639AED-DAB5-4774-A783-4DBA4B673E13}" xr6:coauthVersionLast="45" xr6:coauthVersionMax="45" xr10:uidLastSave="{753DAED0-39B7-4601-BBF4-A1BAC8F4C8A2}"/>
  <bookViews>
    <workbookView xWindow="28680" yWindow="-120" windowWidth="29040" windowHeight="15840" tabRatio="576"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Récapitulatif!$A$1:$K$1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L40" i="8" s="1"/>
  <c r="C40" i="8"/>
  <c r="B40" i="8"/>
  <c r="H39" i="8"/>
  <c r="G39" i="8"/>
  <c r="F39" i="8"/>
  <c r="E39" i="8"/>
  <c r="D39" i="8"/>
  <c r="L39" i="8" s="1"/>
  <c r="C39" i="8"/>
  <c r="B39" i="8"/>
  <c r="H38" i="8"/>
  <c r="G38" i="8"/>
  <c r="F38" i="8"/>
  <c r="E38" i="8"/>
  <c r="D38" i="8"/>
  <c r="L38" i="8" s="1"/>
  <c r="C38" i="8"/>
  <c r="B38" i="8"/>
  <c r="H37" i="8"/>
  <c r="G37" i="8"/>
  <c r="F37" i="8"/>
  <c r="E37" i="8"/>
  <c r="D37" i="8"/>
  <c r="L37" i="8" s="1"/>
  <c r="C37" i="8"/>
  <c r="B37" i="8"/>
  <c r="H36" i="8"/>
  <c r="G36" i="8"/>
  <c r="F36" i="8"/>
  <c r="E36" i="8"/>
  <c r="D36" i="8"/>
  <c r="L36" i="8" s="1"/>
  <c r="C36" i="8"/>
  <c r="B36" i="8"/>
  <c r="H35" i="8"/>
  <c r="G35" i="8"/>
  <c r="F35" i="8"/>
  <c r="E35" i="8"/>
  <c r="D35" i="8"/>
  <c r="L35" i="8" s="1"/>
  <c r="C35" i="8"/>
  <c r="B35" i="8"/>
  <c r="H34" i="8"/>
  <c r="G34" i="8"/>
  <c r="F34" i="8"/>
  <c r="E34" i="8"/>
  <c r="D34" i="8"/>
  <c r="L34" i="8" s="1"/>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M148" i="8" l="1"/>
  <c r="M149" i="8"/>
  <c r="R139" i="8"/>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P2" i="8"/>
  <c r="AP16" i="8" s="1"/>
  <c r="AO2" i="8"/>
  <c r="AN2" i="8"/>
  <c r="AN10" i="8" s="1"/>
  <c r="AM2" i="8"/>
  <c r="AL2" i="8"/>
  <c r="AL10" i="8" s="1"/>
  <c r="AK2" i="8"/>
  <c r="AJ2" i="8"/>
  <c r="AJ16" i="8" s="1"/>
  <c r="AI2" i="8"/>
  <c r="AH2" i="8"/>
  <c r="AH16" i="8" s="1"/>
  <c r="AG2" i="8"/>
  <c r="AG10" i="8" l="1"/>
  <c r="AO10" i="8"/>
  <c r="AO13" i="8" s="1"/>
  <c r="AI16" i="8"/>
  <c r="AQ16" i="8"/>
  <c r="AF9" i="8"/>
  <c r="AM10" i="8"/>
  <c r="AM14" i="8" s="1"/>
  <c r="AF4" i="8"/>
  <c r="AF5" i="8"/>
  <c r="AF6" i="8"/>
  <c r="AF7" i="8"/>
  <c r="AF8" i="8"/>
  <c r="AK10" i="8"/>
  <c r="AK15" i="8" s="1"/>
  <c r="AF3" i="8"/>
  <c r="AL15" i="8"/>
  <c r="AL13" i="8"/>
  <c r="AL14" i="8"/>
  <c r="AN15" i="8"/>
  <c r="AN13" i="8"/>
  <c r="AN14" i="8"/>
  <c r="AG14" i="8"/>
  <c r="AG15" i="8"/>
  <c r="AG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O14" i="8" l="1"/>
  <c r="AO15" i="8"/>
  <c r="AM13" i="8"/>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0" i="8"/>
  <c r="M151" i="8" s="1"/>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<sst xmlns="http://schemas.openxmlformats.org/spreadsheetml/2006/main" count="5171" uniqueCount="1185">
  <si>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</si>
  <si>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</si>
  <si>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</si>
  <si>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</si>
  <si>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</si>
  <si>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</si>
  <si>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</si>
  <si>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</si>
  <si>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</si>
  <si>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</si>
  <si>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</si>
  <si>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</si>
  <si>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</si>
  <si>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</si>
  <si>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</si>
  <si>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</si>
  <si>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</si>
  <si>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</si>
  <si>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</si>
  <si>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</si>
  <si>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</si>
  <si>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</si>
  <si>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</si>
  <si>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</si>
  <si>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</si>
  <si>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</si>
  <si>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</si>
  <si>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</si>
  <si>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</si>
  <si>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</si>
  <si>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</si>
  <si>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</si>
  <si>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</si>
  <si>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</si>
  <si>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</si>
  <si>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</si>
  <si>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</si>
  <si>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</si>
  <si>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</si>
  <si>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</si>
  <si>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</si>
  <si>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</si>
  <si>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</si>
  <si>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</si>
  <si>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</si>
  <si>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</si>
  <si>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</si>
  <si>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</si>
  <si>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</si>
  <si>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</si>
  <si>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</si>
  <si>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</si>
  <si>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</si>
  <si>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</si>
  <si>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</si>
  <si>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</si>
  <si>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</si>
  <si>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</si>
  <si>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</si>
  <si>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</si>
  <si>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</si>
  <si>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</si>
  <si>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</si>
  <si>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</si>
  <si>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</si>
  <si>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</si>
  <si>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</si>
  <si>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</si>
  <si>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</si>
  <si>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</si>
  <si>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</si>
  <si>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</si>
  <si>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</si>
  <si>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</si>
  <si>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</si>
  <si>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</si>
  <si>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</si>
  <si>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</si>
  <si>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</si>
  <si>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</si>
  <si>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</si>
  <si>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</si>
  <si>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</si>
  <si>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</si>
  <si>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</si>
  <si>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</si>
  <si>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</si>
  <si>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</si>
  <si>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</si>
  <si>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</si>
  <si>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</si>
  <si>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</si>
  <si>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</si>
  <si>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</si>
  <si>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</si>
  <si>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</si>
  <si>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</si>
  <si>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</si>
  <si>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</si>
  <si>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</si>
  <si>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</si>
  <si>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</si>
  <si>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</si>
  <si>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</si>
  <si>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</si>
  <si>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</si>
  <si>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</si>
  <si>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</si>
  <si>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</si>
  <si>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</si>
  <si>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</si>
  <si>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</si>
  <si>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</si>
  <si>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</si>
  <si>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</si>
  <si>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</si>
  <si>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</si>
  <si>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</si>
  <si>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</si>
  <si>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</si>
  <si>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</si>
  <si>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</si>
  <si>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</si>
  <si>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</si>
  <si>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</si>
  <si>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</si>
  <si>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</si>
  <si>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</si>
  <si>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</si>
  <si>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</si>
  <si>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</si>
  <si>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</si>
  <si>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</si>
  <si>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</si>
  <si>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</si>
  <si>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</si>
  <si>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</si>
  <si>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</si>
  <si>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</si>
  <si>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</si>
  <si>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</si>
  <si>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</si>
  <si>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</si>
  <si>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</si>
  <si>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</si>
  <si>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</si>
  <si>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</si>
  <si>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</si>
  <si>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</si>
  <si>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</si>
  <si>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</si>
  <si>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</si>
  <si>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</si>
  <si>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</si>
  <si>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</si>
  <si>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</si>
  <si>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</si>
  <si>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</si>
  <si>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</si>
  <si>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</si>
  <si>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</si>
  <si>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</si>
  <si>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</si>
  <si>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</si>
  <si>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</si>
  <si>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</si>
  <si>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</si>
  <si>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</si>
  <si>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</si>
  <si>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</si>
  <si>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</si>
  <si>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</si>
  <si>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</si>
  <si>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</si>
  <si>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</si>
  <si>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</si>
  <si>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</si>
  <si>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</si>
  <si>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</si>
  <si>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</si>
  <si>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</si>
  <si>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</si>
  <si>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</si>
  <si>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</si>
  <si>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</si>
  <si>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</si>
  <si>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</si>
  <si>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</si>
  <si>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</si>
  <si>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</si>
  <si>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</si>
  <si>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</si>
  <si>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</si>
  <si>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</si>
  <si>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</si>
  <si>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</si>
  <si>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</si>
  <si>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</si>
  <si>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</si>
  <si>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</si>
  <si>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</si>
  <si>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</si>
  <si>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</si>
  <si>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</si>
  <si>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</si>
  <si>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</si>
  <si>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</si>
  <si>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</si>
  <si>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</si>
  <si>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</si>
  <si>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</si>
  <si>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</si>
  <si>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</si>
  <si>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</si>
  <si>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</si>
  <si>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</si>
  <si>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</si>
  <si>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</si>
  <si>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</si>
  <si>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</si>
  <si>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</si>
  <si>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</si>
  <si>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</si>
  <si>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</si>
  <si>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</si>
  <si>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</si>
  <si>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</si>
  <si>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</si>
  <si>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</si>
  <si>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</si>
  <si>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</si>
  <si>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</si>
  <si>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</si>
  <si>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</si>
  <si>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</si>
  <si>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</si>
  <si>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</si>
  <si>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</si>
  <si>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</si>
  <si>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</si>
  <si>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</si>
  <si>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</si>
  <si>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</si>
  <si>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</si>
  <si>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</si>
  <si>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</si>
  <si>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</si>
  <si>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</si>
  <si>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1.1.1</t>
  </si>
  <si>
    <t>1.1.2</t>
  </si>
  <si>
    <t>1.1.3</t>
  </si>
  <si>
    <t>1.1.4</t>
  </si>
  <si>
    <t>1.2.1</t>
  </si>
  <si>
    <t>1.2.2</t>
  </si>
  <si>
    <t>1.2.3</t>
  </si>
  <si>
    <t>1.2.4</t>
  </si>
  <si>
    <t>1.2.5</t>
  </si>
  <si>
    <t>1.3.5</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</si>
  <si>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</si>
  <si>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</si>
  <si>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</si>
  <si>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</si>
  <si>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</si>
  <si>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</si>
  <si>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</si>
  <si>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</si>
  <si>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</si>
  <si>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</si>
  <si>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</si>
  <si>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</si>
  <si>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</si>
  <si>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</si>
  <si>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</si>
  <si>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</si>
  <si>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</si>
  <si>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</si>
  <si>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</si>
  <si>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</si>
  <si>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t>1.6.1</t>
  </si>
  <si>
    <t>1.6.2</t>
  </si>
  <si>
    <t>1.6.3</t>
  </si>
  <si>
    <t>1.6.4</t>
  </si>
  <si>
    <t>1.6.5</t>
  </si>
  <si>
    <t>1.6.6</t>
  </si>
  <si>
    <t>1.6.7</t>
  </si>
  <si>
    <t>1.6.8</t>
  </si>
  <si>
    <t xml:space="preserve">Pour chaque image porteuse d'information ayant une description détaillée, cette description est-elle pertinente ? </t>
  </si>
  <si>
    <t>1.7.1</t>
  </si>
  <si>
    <t>1.7.2</t>
  </si>
  <si>
    <t>1.7.3</t>
  </si>
  <si>
    <t>1.7.4</t>
  </si>
  <si>
    <t>1.7.5</t>
  </si>
  <si>
    <t>1.7.6</t>
  </si>
  <si>
    <t xml:space="preserve">Chaque image texte, en l'absence d'un mécanisme de remplacement, doit si possible être remplacée par du texte stylé. Cette règle est-elle respectée (hors cas particuliers) ? </t>
  </si>
  <si>
    <t>1.8.1</t>
  </si>
  <si>
    <t>1.8.2</t>
  </si>
  <si>
    <t>1.8.3</t>
  </si>
  <si>
    <t>1.8.4</t>
  </si>
  <si>
    <t>1.8.5</t>
  </si>
  <si>
    <t xml:space="preserve">Chaque légende d'image est-elle, si nécessaire, correctement reliée à l'image correspondante ? </t>
  </si>
  <si>
    <t>1.9.1</t>
  </si>
  <si>
    <t>1.9.2</t>
  </si>
  <si>
    <t>1.9.3</t>
  </si>
  <si>
    <t>1.9.4</t>
  </si>
  <si>
    <t>1.9.5</t>
  </si>
  <si>
    <t>2.1.1</t>
  </si>
  <si>
    <t>2.2.1</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</si>
  <si>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</si>
  <si>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</si>
  <si>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</si>
  <si>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</si>
  <si>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</si>
  <si>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</si>
  <si>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</si>
  <si>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</si>
  <si>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</si>
  <si>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</si>
  <si>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</si>
  <si>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</si>
  <si>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</si>
  <si>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</si>
  <si>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</si>
  <si>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</si>
  <si>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</si>
  <si>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 xml:space="preserve">Dans chaque page Web, le contraste entre la couleur du texte et la couleur de son arrière-plan est-il suffisamment élevé (hors cas particuliers) ? </t>
  </si>
  <si>
    <t>3.3.1</t>
  </si>
  <si>
    <t>3.3.2</t>
  </si>
  <si>
    <t>3.3.3</t>
  </si>
  <si>
    <t>3.3.4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</si>
  <si>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</si>
  <si>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</si>
  <si>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</si>
  <si>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</si>
  <si>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</si>
  <si>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</si>
  <si>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</si>
  <si>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</si>
  <si>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</si>
  <si>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</si>
  <si>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</si>
  <si>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</si>
  <si>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</si>
  <si>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</si>
  <si>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</si>
  <si>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</si>
  <si>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4.5.1</t>
  </si>
  <si>
    <t>4.5.2</t>
  </si>
  <si>
    <t>4.6.1</t>
  </si>
  <si>
    <t>4.6.2</t>
  </si>
  <si>
    <t xml:space="preserve">Chaque média temporel pré-enregistré a-t-il, si nécessaire, une audio-description synchronisée (hors cas particuliers) ? </t>
  </si>
  <si>
    <t>4.7.1</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</si>
  <si>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</si>
  <si>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</si>
  <si>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</si>
  <si>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</si>
  <si>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</si>
  <si>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</si>
  <si>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4.9.1</t>
  </si>
  <si>
    <t>4.10.1</t>
  </si>
  <si>
    <t>4.11.1</t>
  </si>
  <si>
    <t>4.11.2</t>
  </si>
  <si>
    <t>4.12.1</t>
  </si>
  <si>
    <t>4.12.2</t>
  </si>
  <si>
    <t>4.13.1</t>
  </si>
  <si>
    <t>4.13.2</t>
  </si>
  <si>
    <t xml:space="preserve">Chaque média temporel est-il clairement identifiable (hors cas particuliers) ? </t>
  </si>
  <si>
    <t>Pour chaque média temporel seulement son, seulement vidéo ou synchronisé, le contenu textuel adjacent permet-il d'identifier clairement le média temporel (hors cas particuliers) ?</t>
  </si>
  <si>
    <t xml:space="preserve">Chaque média non temporel a-t-il, si nécessaire, une alternative (hors cas particuliers) ? </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</si>
  <si>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</si>
  <si>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Pour chaque média non temporel ayant une alternative, cette alternative est-elle pertinente ?</t>
  </si>
  <si>
    <t>Pour chaque média non temporel ayant une alternative, cette alternative permet-elle d'accéder au même contenu et à des fonctionnalités similaires ?</t>
  </si>
  <si>
    <t xml:space="preserve">Chaque son déclenché automatiquement est-il contrôlable par l'utilisateur ? </t>
  </si>
  <si>
    <t xml:space="preserve">La consultation de chaque média temporel est-elle contrôlable par le clavier et la souris ? </t>
  </si>
  <si>
    <t>Chaque média temporel a-t-il, si nécessaire, les fonctionnalités de contrôle de sa consultation ?</t>
  </si>
  <si>
    <t xml:space="preserve">La consultation de chaque média non temporel est-elle contrôlable par le clavier et la souris ? </t>
  </si>
  <si>
    <t xml:space="preserve">Chaque média temporel et non temporel est-il compatible avec les technologies d'assistance (hors cas particuliers) ? </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</si>
  <si>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</si>
  <si>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</si>
  <si>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</si>
  <si>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</si>
  <si>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</si>
  <si>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</si>
  <si>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</si>
  <si>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</si>
  <si>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</si>
  <si>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</si>
  <si>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</si>
  <si>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</si>
  <si>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</si>
  <si>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</si>
  <si>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</si>
  <si>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</si>
  <si>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</si>
  <si>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</si>
  <si>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</si>
  <si>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</si>
  <si>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</si>
  <si>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</si>
  <si>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</si>
  <si>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</si>
  <si>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</si>
  <si>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t>6.1.2</t>
  </si>
  <si>
    <t>6.1.3</t>
  </si>
  <si>
    <t>6.2.1</t>
  </si>
  <si>
    <t xml:space="preserve">Dans chaque page Web, chaque lien, à l'exception des ancres, a-t-il un intitulé ?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</si>
  <si>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</si>
  <si>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</si>
  <si>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</si>
  <si>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t>7.1.2</t>
  </si>
  <si>
    <t>7.1.3</t>
  </si>
  <si>
    <t xml:space="preserve">Pour chaque script ayant une alternative, cette alternative est-elle pertinente ? </t>
  </si>
  <si>
    <t>7.2.1</t>
  </si>
  <si>
    <t>7.2.2</t>
  </si>
  <si>
    <t>7.3.1</t>
  </si>
  <si>
    <t>Un script ne doit pas supprimer le focus d'un élément qui le reçoit. Cette règle est-elle respectée (hors cas particuliers) ?</t>
  </si>
  <si>
    <t>7.3.2</t>
  </si>
  <si>
    <t xml:space="preserve">Pour chaque script qui initie un changement de contexte, l'utilisateur est-il averti ou en a-t-il le contrôle ? </t>
  </si>
  <si>
    <t>7.4.1</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</si>
  <si>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</si>
  <si>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</si>
  <si>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</si>
  <si>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</si>
  <si>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</si>
  <si>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</si>
  <si>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</si>
  <si>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</si>
  <si>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</si>
  <si>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</si>
  <si>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</si>
  <si>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</si>
  <si>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</si>
  <si>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</si>
  <si>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</si>
  <si>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</si>
  <si>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</si>
  <si>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</si>
  <si>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</si>
  <si>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</si>
  <si>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</si>
  <si>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</si>
  <si>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</si>
  <si>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</si>
  <si>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t>8.8.1</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</si>
  <si>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</si>
  <si>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</si>
  <si>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</si>
  <si>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</si>
  <si>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</si>
  <si>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</si>
  <si>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</si>
  <si>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</si>
  <si>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9.1.2</t>
  </si>
  <si>
    <t>9.1.3</t>
  </si>
  <si>
    <t>9.2.1</t>
  </si>
  <si>
    <t>Dans chaque page Web, chaque liste est-elle correctement structurée ?</t>
  </si>
  <si>
    <t>9.3.1</t>
  </si>
  <si>
    <t>Dans chaque page Web, les informations regroupées sous forme de listes de définitions utilisent-elles les balises dl et dt/dd ?</t>
  </si>
  <si>
    <t>9.3.2</t>
  </si>
  <si>
    <t>9.3.3</t>
  </si>
  <si>
    <t>9.4.1</t>
  </si>
  <si>
    <t>Dans chaque page Web, chaque citation est-elle correctement indiquée ?</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</si>
  <si>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</si>
  <si>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</si>
  <si>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</si>
  <si>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</si>
  <si>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</si>
  <si>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</si>
  <si>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</si>
  <si>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</si>
  <si>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</si>
  <si>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</si>
  <si>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</si>
  <si>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</si>
  <si>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</si>
  <si>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</si>
  <si>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</si>
  <si>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</si>
  <si>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</si>
  <si>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</si>
  <si>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</si>
  <si>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</si>
  <si>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</si>
  <si>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</si>
  <si>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</si>
  <si>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</si>
  <si>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</si>
  <si>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</si>
  <si>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</si>
  <si>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</si>
  <si>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</si>
  <si>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10.8.1</t>
  </si>
  <si>
    <t>10.9.1</t>
  </si>
  <si>
    <t>10.10.1</t>
  </si>
  <si>
    <t>10.11.1</t>
  </si>
  <si>
    <t>10.12.1</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</si>
  <si>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</si>
  <si>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</si>
  <si>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</si>
  <si>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</si>
  <si>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</si>
  <si>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</si>
  <si>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</si>
  <si>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</si>
  <si>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</si>
  <si>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</si>
  <si>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</si>
  <si>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</si>
  <si>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</si>
  <si>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</si>
  <si>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</si>
  <si>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</si>
  <si>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</si>
  <si>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</si>
  <si>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</si>
  <si>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</si>
  <si>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</si>
  <si>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</si>
  <si>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</si>
  <si>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</si>
  <si>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</si>
  <si>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</si>
  <si>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</si>
  <si>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</si>
  <si>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</si>
  <si>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11.4.1</t>
  </si>
  <si>
    <t>11.5.1</t>
  </si>
  <si>
    <t>11.6.1</t>
  </si>
  <si>
    <t>11.7.1</t>
  </si>
  <si>
    <t>11.8.1</t>
  </si>
  <si>
    <t>11.8.2</t>
  </si>
  <si>
    <t>11.8.3</t>
  </si>
  <si>
    <t>Dans chaque formulaire, l'intitulé de chaque bouton est-il pertinent ?</t>
  </si>
  <si>
    <t>11.9.1</t>
  </si>
  <si>
    <t>11.9.2</t>
  </si>
  <si>
    <t>11.10.1</t>
  </si>
  <si>
    <t>11.10.2</t>
  </si>
  <si>
    <t>11.10.3</t>
  </si>
  <si>
    <t>11.10.4</t>
  </si>
  <si>
    <t>11.10.5</t>
  </si>
  <si>
    <t>11.10.6</t>
  </si>
  <si>
    <t>11.10.7</t>
  </si>
  <si>
    <t>Dans chaque formulaire, le contrôle de saisie est-il accompagné, si possible, de suggestions facilitant la correction des erreurs de saisie ?</t>
  </si>
  <si>
    <t>11.11.1</t>
  </si>
  <si>
    <t>11.12.1</t>
  </si>
  <si>
    <t>11.11.2</t>
  </si>
  <si>
    <t>11.12.2</t>
  </si>
  <si>
    <t>Pour chaque formulaire, pour chaque erreur de saisie, les types et les formats de données sont-ils suggérés, si nécessaire ?</t>
  </si>
  <si>
    <t>11.13.1</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</si>
  <si>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</si>
  <si>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</si>
  <si>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</si>
  <si>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</si>
  <si>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</si>
  <si>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La page "plan du site" est-elle pertinente ?</t>
  </si>
  <si>
    <t>12.3.1</t>
  </si>
  <si>
    <t>12.4.1</t>
  </si>
  <si>
    <t>12.3.2</t>
  </si>
  <si>
    <t>12.4.2</t>
  </si>
  <si>
    <t>12.4.3</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</si>
  <si>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</si>
  <si>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</si>
  <si>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</si>
  <si>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</si>
  <si>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</si>
  <si>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</si>
  <si>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</si>
  <si>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</si>
  <si>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</si>
  <si>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</si>
  <si>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</si>
  <si>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</si>
  <si>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</si>
  <si>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</si>
  <si>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</si>
  <si>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12.7.1</t>
  </si>
  <si>
    <t>12.8.1</t>
  </si>
  <si>
    <t>12.9.1</t>
  </si>
  <si>
    <t>12.10.1</t>
  </si>
  <si>
    <t>12.11.1</t>
  </si>
  <si>
    <t>Dans chaque page Web, l'ordre de tabulation est-il cohérent ?</t>
  </si>
  <si>
    <t>Dans chaque page Web, la navigation ne doit pas contenir de piège au clavier. Cette règle est-elle respectée ?</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</si>
  <si>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</si>
  <si>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</si>
  <si>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</si>
  <si>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</si>
  <si>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</si>
  <si>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</si>
  <si>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</si>
  <si>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</si>
  <si>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</si>
  <si>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</si>
  <si>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</si>
  <si>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</si>
  <si>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</si>
  <si>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</si>
  <si>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Dans chaque page Web, l'ouverture d'une nouvelle fenêtre ne doit pas être déclenchée sans action de l'utilisateur. Cette règle est-elle respectée ?</t>
  </si>
  <si>
    <t xml:space="preserve">Dans chaque page Web, l'ouverture d'une nouvelle fenêtre ne doit pas être déclenchée sans action de l'utilisateur. Cette règle est-elle respectée ? </t>
  </si>
  <si>
    <t>13.4.1</t>
  </si>
  <si>
    <t>13.5.1</t>
  </si>
  <si>
    <t>13.6.1</t>
  </si>
  <si>
    <t>Dans chaque page Web, chaque document bureautique en téléchargement possède-t-il, si nécessaire, une version accessible?</t>
  </si>
  <si>
    <t>Pour chaque document bureautique ayant une version accessible, cette version offre-t-elle la même information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</si>
  <si>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</si>
  <si>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</si>
  <si>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</si>
  <si>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</si>
  <si>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</si>
  <si>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t>Dans chaque page Web, chaque contenu cryptique (art ascii, émoticon, syntaxe cryptique) a-t-il une alternative ?</t>
  </si>
  <si>
    <t>13.10.1</t>
  </si>
  <si>
    <t>13.11.1</t>
  </si>
  <si>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</si>
  <si>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</si>
  <si>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13.12.1</t>
  </si>
  <si>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</si>
  <si>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</si>
  <si>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</si>
  <si>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</si>
  <si>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</si>
  <si>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</si>
  <si>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</si>
  <si>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</si>
  <si>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</si>
  <si>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t xml:space="preserve">Pour chaque image véhiculant une information, l'information ne doit pas être donnée uniquement par la couleur. Cette règle est-elle respectée ? </t>
  </si>
  <si>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</si>
  <si>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</si>
  <si>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</si>
  <si>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</si>
  <si>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</si>
  <si>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</si>
  <si>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</si>
  <si>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</si>
  <si>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</si>
  <si>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</si>
  <si>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</si>
  <si>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</si>
  <si>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</si>
  <si>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Pour chaque formulaire, pour chaque erreur de saisie, des exemples de valeurs attendues sont-ils suggérés, si nécessaire ? </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</si>
  <si>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</si>
  <si>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</si>
  <si>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</si>
  <si>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</si>
  <si>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</si>
  <si>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</si>
  <si>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</si>
  <si>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</si>
  <si>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</si>
  <si>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</si>
  <si>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</si>
  <si>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</si>
  <si>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</si>
  <si>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</si>
  <si>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</si>
  <si>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</si>
  <si>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</si>
  <si>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</si>
  <si>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</si>
  <si>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</si>
  <si>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</si>
  <si>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</si>
  <si>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</si>
  <si>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</si>
  <si>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</si>
  <si>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</si>
  <si>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</si>
  <si>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</si>
  <si>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</si>
  <si>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</si>
  <si>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</si>
  <si>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</si>
  <si>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</si>
  <si>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</si>
  <si>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</si>
  <si>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</si>
  <si>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</si>
  <si>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</si>
  <si>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</si>
  <si>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</si>
  <si>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</si>
  <si>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</si>
  <si>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</si>
  <si>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</si>
  <si>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</si>
  <si>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</si>
  <si>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</si>
  <si>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</si>
  <si>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</si>
  <si>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</si>
  <si>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</si>
  <si>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</si>
  <si>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</si>
  <si>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</si>
  <si>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</si>
  <si>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</si>
  <si>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</si>
  <si>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</si>
  <si>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</si>
  <si>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</si>
  <si>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</si>
  <si>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</si>
  <si>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</si>
  <si>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</si>
  <si>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</si>
  <si>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</si>
  <si>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</si>
  <si>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</si>
  <si>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</si>
  <si>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</si>
  <si>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</si>
  <si>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</si>
  <si>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</si>
  <si>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</si>
  <si>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</si>
  <si>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</si>
  <si>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</si>
  <si>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</si>
  <si>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</si>
  <si>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</si>
  <si>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</si>
  <si>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</si>
  <si>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</si>
  <si>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</si>
  <si>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</si>
  <si>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</si>
  <si>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</si>
  <si>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</si>
  <si>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</si>
  <si>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</si>
  <si>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</si>
  <si>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</si>
  <si>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</si>
  <si>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</si>
  <si>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</si>
  <si>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</si>
  <si>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</si>
  <si>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</si>
  <si>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</si>
  <si>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</si>
  <si>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</si>
  <si>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</si>
  <si>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</si>
  <si>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</si>
  <si>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</si>
  <si>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</si>
  <si>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</si>
  <si>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</si>
  <si>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</si>
  <si>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</si>
  <si>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</si>
  <si>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</si>
  <si>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</si>
  <si>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</si>
  <si>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</si>
  <si>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</si>
  <si>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</si>
  <si>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</si>
  <si>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</si>
  <si>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</si>
  <si>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</si>
  <si>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</si>
  <si>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</si>
  <si>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</si>
  <si>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</si>
  <si>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</si>
  <si>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</si>
  <si>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</si>
  <si>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</si>
  <si>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</si>
  <si>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</si>
  <si>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</si>
  <si>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</si>
  <si>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</si>
  <si>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</si>
  <si>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</si>
  <si>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</si>
  <si>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</si>
  <si>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</si>
  <si>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</si>
  <si>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</si>
  <si>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</si>
  <si>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</si>
  <si>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</si>
  <si>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</si>
  <si>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</si>
  <si>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</si>
  <si>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</si>
  <si>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</si>
  <si>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</si>
  <si>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</si>
  <si>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</si>
  <si>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</si>
  <si>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</si>
  <si>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</si>
  <si>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</si>
  <si>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</si>
  <si>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</si>
  <si>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</si>
  <si>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</si>
  <si>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</si>
  <si>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</si>
  <si>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</si>
  <si>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</si>
  <si>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</si>
  <si>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</si>
  <si>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</si>
  <si>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</si>
  <si>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</si>
  <si>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</si>
  <si>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</si>
  <si>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 xml:space="preserve"> - L'url du site ;</t>
  </si>
  <si>
    <t>Renseigner ensuite les pages que vous allez auditer en renseignant pour chacune les informations suivantes :</t>
  </si>
  <si>
    <t xml:space="preserve"> - Le numéro de la page ;</t>
  </si>
  <si>
    <t xml:space="preserve"> - Le nom de la page ;</t>
  </si>
  <si>
    <t xml:space="preserve"> - Les éléments significatifs</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</si>
  <si>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</si>
  <si>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</si>
  <si>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</si>
  <si>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</si>
  <si>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</si>
  <si>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</si>
  <si>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</si>
  <si>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</si>
  <si>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</si>
  <si>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</si>
  <si>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</si>
  <si>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</si>
  <si>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</si>
  <si>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</si>
  <si>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</si>
  <si>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</si>
  <si>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</si>
  <si>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</si>
  <si>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</si>
  <si>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</si>
  <si>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</si>
  <si>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</si>
  <si>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</si>
  <si>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</si>
  <si>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</si>
  <si>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</si>
  <si>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</si>
  <si>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</si>
  <si>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</si>
  <si>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</si>
  <si>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</si>
  <si>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</si>
  <si>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</si>
  <si>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</si>
  <si>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</si>
  <si>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</si>
  <si>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</si>
  <si>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</si>
  <si>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</si>
  <si>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bouton de type image (balise &lt;input&gt; avec l'attribut type="image") a-t-il une alternative textuelle ?</t>
  </si>
  <si>
    <t xml:space="preserve">Chaque zone cliquable d’une image réactive côté serveur est-t-elle doublée d’un lien dans la page ?
</t>
  </si>
  <si>
    <t>1.1.5</t>
  </si>
  <si>
    <r>
      <t xml:space="preserve">Chaque image vectorielle (balise &lt;svg&gt;) porteuse d'information, vérifie-t-elle ces conditions ?
</t>
    </r>
    <r>
      <rPr>
        <sz val="8"/>
        <rFont val="Arial"/>
        <family val="2"/>
      </rPr>
      <t xml:space="preserve"> • La balise &lt;svg&gt; possède un attribut WAI-ARIA role="img".
 • La balise &lt;svg&gt; possède une alternative textuelle.</t>
    </r>
  </si>
  <si>
    <t>1.1.6</t>
  </si>
  <si>
    <r>
      <t xml:space="preserve">Chaque image objet (balise &lt;object&gt; avec l'attribut type="image/…") porteuse d'information, vérifie-t-elle une de ces conditions ?
</t>
    </r>
    <r>
      <rPr>
        <sz val="8"/>
        <rFont val="Arial"/>
        <family val="2"/>
      </rPr>
      <t xml:space="preserve"> •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</si>
  <si>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t>1.1.7</t>
  </si>
  <si>
    <r>
      <t xml:space="preserve">Chaque image embarquée (balise &lt;embed&gt; avec l'attribut type="image/…") porteuse d'information, vérifie-t-elle une de ces conditions (hors cas particuliers) ?
</t>
    </r>
    <r>
      <rPr>
        <sz val="8"/>
        <rFont val="Arial"/>
        <family val="2"/>
      </rPr>
      <t xml:space="preserve"> •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</si>
  <si>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t>1.1.8</t>
  </si>
  <si>
    <r>
      <t xml:space="preserve">Chaque image bitmap (balise &lt;canvas&gt;) porteuse d'information, vérifie-t-elle une de ces conditions ?
</t>
    </r>
    <r>
      <rPr>
        <sz val="8"/>
        <rFont val="Arial"/>
        <family val="2"/>
      </rPr>
      <t>• La balise &lt;canvas&gt; possède une alternative textuelle</t>
    </r>
    <r>
      <rPr>
        <b/>
        <sz val="8"/>
        <rFont val="Arial"/>
        <family val="2"/>
      </rPr>
      <t xml:space="preserve">
</t>
    </r>
    <r>
      <rPr>
        <sz val="8"/>
        <rFont val="Arial"/>
        <family val="2"/>
      </rPr>
      <t>•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</si>
  <si>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</si>
  <si>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xml:space="preserve"> •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</si>
  <si>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xml:space="preserve"> • La balise &lt;area&gt; possède un attribut alt vide (alt="") et est dépourvue de tout autre attribut permettant de fournir une alternative textuelle.
 • La balise &lt;area&gt; possède un attribut WAI-ARIA aria-hidden="true" ou role="presentation".</t>
    </r>
  </si>
  <si>
    <r>
      <t xml:space="preserve">Test 1.2.3 : Chaque image objet (balise &lt;object&gt; avec l'attribut type="image/…") de décoration, sans légende, vérifie-t-elle ces conditions ?
</t>
    </r>
    <r>
      <rPr>
        <sz val="8"/>
        <rFont val="Arial"/>
        <family val="2"/>
      </rPr>
      <t xml:space="preserve"> •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</si>
  <si>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xml:space="preserve"> •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</si>
  <si>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xml:space="preserve"> •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</si>
  <si>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embed avec l'attribut type="image/…") de décoration, sans légende, vérifie-t-elle ces conditions ?
</t>
    </r>
    <r>
      <rPr>
        <sz val="8"/>
        <rFont val="Arial"/>
        <family val="2"/>
      </rPr>
      <t xml:space="preserve"> • La balise &lt;embed&gt; possède un attribut WAI-ARIA aria-hidden="true".
 • La balise &lt;embed&gt; et ses enfants sont dépourvus d’alternative textuelle.</t>
    </r>
  </si>
  <si>
    <r>
      <rPr>
        <b/>
        <sz val="8"/>
        <rFont val="Arial"/>
        <family val="2"/>
      </rPr>
      <t xml:space="preserve">Chaque image (balise &lt;img&gt; ou balise possédant l’attribut WAI-ARIA role="img") porteuse d'information, ayant une alternative textuelle, vérifie-t-elle ces conditions (hors cas particuliers)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</si>
  <si>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Chaque zone (balise &lt;area&gt;) d'une image réactive porteuse d'information, ayant une alternative textuelle, vérifie-t-elle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</si>
  <si>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Chaque bouton de type image (balise &lt;input&gt; avec l'attribut type="image"), ayant une alternative textuelle, vérifie-t-il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</si>
  <si>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object avec Chaque image objet (balise &lt;object&gt;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</si>
  <si>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t xml:space="preserve">Chaque image embarquée (balise &lt;embed&gt;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</si>
  <si>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vectorielle (balise &lt;svg&gt;) porteuse d'information, ayant une alternative textuelle,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</si>
  <si>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</si>
  <si>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r>
      <rPr>
        <b/>
        <sz val="8"/>
        <rFont val="Arial"/>
        <family val="2"/>
      </rPr>
      <t xml:space="preserve">Chaque image (balise &lt;img&gt;)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</si>
  <si>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zone (balise &lt;area&gt;) d'une image réactive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</si>
  <si>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bouton de type image (balise &lt;input&gt; avec l'attribut type="image") utilisée comme CAPTCHA ou comme image-test, ayant une alternative textuelle, vérifie-t-il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</si>
  <si>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&lt;object&gt; avec l'attribut type="image/…") utilisée comme CAPTCHA ou comme image-test,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</si>
  <si>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Chaque image embarquée (balise &lt;embed&gt; avec l'attribut type="image/…") utilisée comme CAPTCHA ou comme image-test, ayant une alternative textuelle ou un contenu alternatif,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</si>
  <si>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rPr>
        <b/>
        <sz val="8"/>
        <rFont val="Arial"/>
        <family val="2"/>
      </rPr>
      <t>Chaque image vectorielle (balise &lt;svg&gt;) utilisée comme CAPTCHA ou comme image-test, ayant une alternative textuelle,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</si>
  <si>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</si>
  <si>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xml:space="preserve"> • Il existe une autre forme de CAPTCHA non graphique, au moins.
 • Il existe une autre solution d'accès à la fonctionnalité qui est sécurisée par le CAPTCHA.</t>
    </r>
  </si>
  <si>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 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</si>
  <si>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</si>
  <si>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</si>
  <si>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Chaque bouton de type image (balise &lt;input&gt; avec l'attribut type="image") porteur d'information, qui nécessite une description détaillée, vérifie-t-il une de ces conditions ?</t>
    </r>
    <r>
      <rPr>
        <sz val="8"/>
        <rFont val="Arial"/>
        <family val="2"/>
      </rPr>
      <t xml:space="preserve">
 • Il existe une alternative textuelle contenant la référence à une description détaillée adjacente à l'image.
 • Il existe un lien ou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</si>
  <si>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</si>
  <si>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</si>
  <si>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passage de texte entre &lt;canvas&gt; et &lt;/canvas&gt; contenant une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</si>
  <si>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bitmap (balise &lt;canvas&gt;) porteuse d'information, qui implémente une référence à une description détaillée adjacente, cette référence est-elle correctement restituée par les technologies d'assistance ?</t>
  </si>
  <si>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</si>
  <si>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Chaque balise possédant un attribut WAI-ARIA role="img" porteuse d'information, qui nécessite une description détaillée, vérifie-t-elle une de ces conditions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lien ou un bouton adjacent permettant d'accéder à la description détaillée.</t>
    </r>
  </si>
  <si>
    <r>
      <rPr>
        <b/>
        <sz val="8"/>
        <rFont val="Arial"/>
        <family val="2"/>
      </rPr>
      <t xml:space="preserve">Chaque image (balise &lt;img&gt;) porteuse d'information, ayant une description détaillée, vérifie-t-elle ces conditions ?
</t>
    </r>
    <r>
      <rPr>
        <sz val="8"/>
        <rFont val="Arial"/>
        <family val="2"/>
      </rPr>
      <t xml:space="preserve"> •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</si>
  <si>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input avec l'attribut type="image") porteur d'information, ayant une description détaillée, vérifie-t-il ces conditions ?
</t>
    </r>
    <r>
      <rPr>
        <sz val="8"/>
        <rFont val="Arial"/>
        <family val="2"/>
      </rPr>
      <t xml:space="preserve"> •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</si>
  <si>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Chaque image objet (balise &lt;object &gt;avec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</si>
  <si>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Chaque image embarquée (balise &lt;embed&gt; 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</si>
  <si>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Chaque image vectorielle (balise &lt;svg&gt;) porteuse d'information, ayant une description détaillée, vérifie-t-elle ces conditions ?</t>
    </r>
    <r>
      <rPr>
        <sz val="8"/>
        <rFont val="Arial"/>
        <family val="2"/>
      </rPr>
      <t xml:space="preserve">
 • La description détaillée dans la page et signalée par l’alternative textuelle est pertinente.
 • La description détaillée dans la page et signalée par la balise &lt;desc&gt; ou &lt;title&gt; est pertinente.
 • La description détaillée contenue dans la balise &lt;desc&gt; est pertinente.
 • Le passage de texte associé via l'attribut WAI-ARIA aria-describedby est pertinent.
 • La description détaillée via un lien ou bouton adjacent est pertinente.</t>
    </r>
  </si>
  <si>
    <r>
      <t xml:space="preserve"> Chaque image bitmap (balise &lt;canvas&gt;) porteuse d'information, ayant une description détaillée, vérifie-t-elle ces conditions ?
</t>
    </r>
    <r>
      <rPr>
        <sz val="8"/>
        <rFont val="Arial"/>
        <family val="2"/>
      </rPr>
      <t xml:space="preserve"> • La description détaillée dans la page et signalée par l’alternative textuelle est pertinente.
 • La description détaillée dans la page et signalée par &lt;canvas&gt; et &lt;/canvas&gt; est pertinente.
 • La description détaillée contenue entre &lt;canvas&gt; et &lt;/canvas&gt; est pertinente.
 • La description détaillée via un lien ou bouton adjacent est pertinente.
 • La description détaillée adjacente à l’image bitmap est pertinente.
 • Le passage de texte associé via l’attribut WAI-ARIA aria-describedby est pertinent.</t>
    </r>
  </si>
  <si>
    <t>Chaque image texte (balise &lt;img&gt; ou possédant un attribut WAI-ARIA role="img") porteuse d'information, en l'absence d'un mécanisme de remplacement, doit si possible être remplacée par du texte stylé. Cette règle est-elle respectée (hors cas particuliers) ?</t>
  </si>
  <si>
    <t xml:space="preserve"> Chaque bouton « image texte » (balise &lt;input&gt; avec l'attribut type="image") porteur d'information, en l'absence d'un mécanisme de remplacement, doit si possible être remplacé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</si>
  <si>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</si>
  <si>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</si>
  <si>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</si>
  <si>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r>
      <t>Chaque image pourvue d’une légende (balise &lt;img&gt;, &lt;input&gt; avec l'attribut type="image" ou possédant un attribut WAI-ARIA role="img", associée à une légende adjacente), ayant une alternative textuelle, vérifie-t-elle, si nécessaire, ces conditions ?</t>
    </r>
    <r>
      <rPr>
        <sz val="8"/>
        <rFont val="Arial"/>
        <family val="2"/>
      </rPr>
      <t xml:space="preserve">
 •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</si>
  <si>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ayant une alternative textuelle, vérifie-t-elle, si nécessaire, ces conditions ?
</t>
    </r>
    <r>
      <rPr>
        <sz val="8"/>
        <rFont val="Arial"/>
        <family val="2"/>
      </rPr>
      <t xml:space="preserve"> •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</si>
  <si>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ayant une alternative textuelle, vérifie-t-elle, si nécessaire, ces conditions ?
</t>
    </r>
    <r>
      <rPr>
        <sz val="8"/>
        <rFont val="Arial"/>
        <family val="2"/>
      </rPr>
      <t xml:space="preserve"> •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</si>
  <si>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ayant une alternative textuelle, vérifie-t-elle, si nécessaire, ces conditions ?
</t>
    </r>
    <r>
      <rPr>
        <sz val="8"/>
        <rFont val="Arial"/>
        <family val="2"/>
      </rPr>
      <t xml:space="preserve"> •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</si>
  <si>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Chaque image bitmap pourvue d’une légende (balise &lt;canvas&gt; associée à une légende adjacente), ayant une alternative textuelle, vérifie-t-elle, si nécessaire, ces conditions ?</t>
    </r>
    <r>
      <rPr>
        <sz val="8"/>
        <rFont val="Arial"/>
        <family val="2"/>
      </rPr>
      <t xml:space="preserve">
 •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</si>
  <si>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</si>
  <si>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</si>
  <si>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</si>
  <si>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</si>
  <si>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</si>
  <si>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</si>
  <si>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le texte et le texte en image sans effet de graisse d’un taille restituée supérieure ou égale à 24px vérifient-ils une de ces conditions (hors cas particuliers) ?</t>
    </r>
    <r>
      <rPr>
        <sz val="8"/>
        <rFont val="Arial"/>
        <family val="2"/>
      </rPr>
      <t xml:space="preserve">
 •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</si>
  <si>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 taille restituée supérieure ou égale à 18,5px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</si>
  <si>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t>Dans le mécanisme qui permet d'afficher un rapport de contraste conforme, le rapport de contraste entre le texte et la couleur d’arrière-plan est-il suffisamment élevé ?</t>
  </si>
  <si>
    <t>Dans chaque page web, les couleurs utilisées dans les composants d’interface ou dans les éléments graphiques porteur d'informations sont-elles suffisamment contrastées (hors cas particulier)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</si>
  <si>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</si>
  <si>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</si>
  <si>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 Le rapport de contraste est de 3:1, au moins.
 • Un mécanisme permet un rapport de contraste de 3:1, au moins.</t>
    </r>
  </si>
  <si>
    <t>Dans le mécanisme qui permet d'afficher un rapport de contraste conforme, les couleurs du composant ou des éléments graphiques porteurs d’informations qui le composent, sont-elles suffisamment contrastées ?</t>
  </si>
  <si>
    <r>
      <rPr>
        <b/>
        <sz val="8"/>
        <rFont val="Arial"/>
        <family val="2"/>
      </rPr>
      <t xml:space="preserve">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</si>
  <si>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t>Pour chaque média temporel synchronisé pré-enregistré possédant des sous-titres synchronisés diffusés via une balise &lt;track&gt;, la balise &lt;track&gt; possède-t-elle un attribut kind="captions"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</si>
  <si>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</si>
  <si>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t>4.11.3</t>
  </si>
  <si>
    <t>Pour chaque tableau de données complexe un résumé est-il disponible ?</t>
  </si>
  <si>
    <t>Pour chaque tableau de mise en forme, le contenu linéarisé reste-t-il compréhensible (hors cas particuliers) ?</t>
  </si>
  <si>
    <r>
      <rPr>
        <b/>
        <sz val="8"/>
        <rFont val="Arial"/>
        <family val="2"/>
      </rPr>
      <t>Chaque tableau de mise en forme vérifie-t-il ces conditions (hors cas particuliers) ?</t>
    </r>
    <r>
      <rPr>
        <sz val="8"/>
        <rFont val="Arial"/>
        <family val="2"/>
      </rPr>
      <t xml:space="preserve">
 • le contenu linéarisé reste compréhensible
 • la balise table possède un attribut role="presentation"</t>
    </r>
  </si>
  <si>
    <t xml:space="preserve">Chaque passage de texte faisant office de titre de tableau de données est-il correctement associé au tableau de données ? </t>
  </si>
  <si>
    <t>Pour chaque passage de texte faisant office de titre de tableau de données, ce passage de texte est il correctement associé au tableau de données ?</t>
  </si>
  <si>
    <t>5.6.3</t>
  </si>
  <si>
    <t>Pour chaque tableau de données, chaque en-tête ne s'appliquant pas à la totalité de la ligne ou de la colonne est-il structurée au moyen d’une balise &lt;th&gt; ?</t>
  </si>
  <si>
    <r>
      <t xml:space="preserve">Pour chaque contenu de balise &lt;th&gt; s'appliquant à la totalité de la ligne ou de la colonne, la balise respecte-t-elle une de ces conditions ? (hors cas particulier)
</t>
    </r>
    <r>
      <rPr>
        <sz val="8"/>
        <rFont val="Arial"/>
        <family val="2"/>
      </rPr>
      <t xml:space="preserve"> • La balise &lt;th&gt; possède un attribut id unique
 • la balise &lt;th&gt; possède un un attribut scope
 • la balise &lt;th&gt; possède un attribut WAI-ARIA role="rowheader" ou "columnheader"</t>
    </r>
  </si>
  <si>
    <r>
      <t xml:space="preserve">Pour chaque contenu de balise &lt;th&gt; s'appliquant à la totalité de la ligne ou de la colonne et possédant un attribut scope, la balise &lt;th&gt; vérifie-t-elle une de ces conditions ?
</t>
    </r>
    <r>
      <rPr>
        <sz val="8"/>
        <rFont val="Arial"/>
        <family val="2"/>
      </rPr>
      <t xml:space="preserve"> •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</si>
  <si>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xml:space="preserve"> • La balise &lt;th&gt; ne possède pas d'attribut scope.
 • La balise &lt;th&gt; ne possède pas d’attribut WAI-ARIA role="rowheader" ou "columnheader"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</si>
  <si>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xml:space="preserve"> • La balise possède un attribut headers.
 • L'attribut headers possède la liste des valeurs d’attribut id des en-têtes associés.</t>
    </r>
  </si>
  <si>
    <t>5.7.5</t>
  </si>
  <si>
    <r>
      <t xml:space="preserve">Pour chaque balise pourvue d’un attribut WAI-ARIA role="rowheader" ou "columnheader" dont le contenu s'applique à la totalité de la ligne ou de la colonne, la balise vérifie-t-elle une de ces conditions ?
</t>
    </r>
    <r>
      <rPr>
        <sz val="8"/>
        <rFont val="Arial"/>
        <family val="2"/>
      </rPr>
      <t xml:space="preserve"> • La balise possède un attribut WAI-ARIA role="rowheader" pour les en-têtes de lignes
 • La balise possède un attribut WAI-ARIA role="columnheader" pour les en-têtes de colonnes</t>
    </r>
  </si>
  <si>
    <r>
      <t xml:space="preserve">Chaque lien texte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</si>
  <si>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image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</si>
  <si>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composite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</si>
  <si>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6.1.4</t>
  </si>
  <si>
    <r>
      <t xml:space="preserve">Chaque lien SVG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</si>
  <si>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6.1.5</t>
  </si>
  <si>
    <r>
      <t>Pour chaque lien ayant un intitulé visible, l'intitulé de lien reprend-t-il au moins l'intitulé visible (hors cas particuliers) ?</t>
    </r>
    <r>
      <rPr>
        <sz val="8"/>
        <rFont val="Arial"/>
        <family val="2"/>
      </rPr>
      <t>.</t>
    </r>
  </si>
  <si>
    <t>Dans chaque page web, chaque lien, à l'exception des ancres, a-t-il un intitulé entre &lt;a&gt; et &lt;/a&gt; ?</t>
  </si>
  <si>
    <r>
      <rPr>
        <b/>
        <sz val="8"/>
        <rFont val="Arial"/>
        <family val="2"/>
      </rPr>
      <t>Chaque script qui génère ou contrôle un composant d'interface vérifie-t-il ces conditions ?</t>
    </r>
    <r>
      <rPr>
        <sz val="8"/>
        <rFont val="Arial"/>
        <family val="2"/>
      </rPr>
      <t xml:space="preserve">
•Le composant possède un nom pertinent.
•Le nom accessible du composant contient au moins l'intitulé visible.
•Le composant possède un rôle pertinent.</t>
    </r>
  </si>
  <si>
    <t>Chaque script est-il contrôlable par le clavier et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</si>
  <si>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xml:space="preserve"> • L'élément est accessible par le clavier et tout dispositif de pointage.
 • Un élément accessible par le clavier et tout dispositif de pointage permettant de réaliser la même action est présent dans la page.</t>
    </r>
  </si>
  <si>
    <t xml:space="preserve">Dans chaque page web, les messages de statut sont-ils correctement restitués par les technologies d’assistance </t>
  </si>
  <si>
    <t>Un message de statut qui informe de la réussite, du résultat d’une action ou bien de l’état d’une application utilise-t-il le rôle WAI-ARIA status ?</t>
  </si>
  <si>
    <t>7.5.2</t>
  </si>
  <si>
    <t>un message de statut qui véhicule une suggestion, ou avertit de l’existence d’une erreur utilise-t-il l’attribut WAI-ARIA role="alert" ?</t>
  </si>
  <si>
    <t>7.5.3</t>
  </si>
  <si>
    <t>un message de statut qui indique la progression d’un processus utilise-t-il l’un des attributs WAI-ARIA role="log", role="progressbar" ou role="status" ?</t>
  </si>
  <si>
    <r>
      <t xml:space="preserve">Pour chaque déclaration de type de document, le code source de la page vérifie-t-il ces conditions (hors cas particuliers) ?
</t>
    </r>
    <r>
      <rPr>
        <sz val="8"/>
        <rFont val="Arial"/>
        <family val="2"/>
      </rPr>
      <t xml:space="preserve"> • Les balises, attributs et valeurs d’attributs respectent les règles d'écriture,
 • L 'imbrication des balises est conforme,
 • L'ouverture et la fermeture des balises sont conformes,
 • Les valeurs d’attribut id sont uniques dans la page,
 • Les attributs ne sont pas doublés sur un même élément.</t>
    </r>
  </si>
  <si>
    <r>
      <rPr>
        <b/>
        <sz val="8"/>
        <rFont val="Arial"/>
        <family val="2"/>
      </rPr>
      <t xml:space="preserve">Dans chaque page web, chaque texte écrit dans une langue différente de la langue par défaut vérifie-t-il une de ces conditions (hors cas particuliers) ?
</t>
    </r>
    <r>
      <rPr>
        <sz val="8"/>
        <rFont val="Arial"/>
        <family val="2"/>
      </rPr>
      <t xml:space="preserve"> • L'indication de langue est donnée sur l'élément contenant le texte (attribut lang et/ou xml:lang).
 • L'indication de langue est donnée sur un des éléments parents (attribut lang et/ou xml:lang).</t>
    </r>
  </si>
  <si>
    <t>Dans chaque page web, le code de langue de chaque changement de langue est-il valide et pertinent ?</t>
  </si>
  <si>
    <r>
      <t xml:space="preserve">Pour chaque page web, le code de langue de chaque changement de langue vérifie-t-il ces conditions ?
</t>
    </r>
    <r>
      <rPr>
        <sz val="8"/>
        <rFont val="Arial"/>
        <family val="2"/>
      </rPr>
      <t xml:space="preserve"> • Le code de langue est valide.
 • Le code de langue est pertinent.</t>
    </r>
  </si>
  <si>
    <r>
      <t>Dans chaque page Web, chaque changement du sens de lecture (attribut dir) vérifie-t-il ces conditions ?</t>
    </r>
    <r>
      <rPr>
        <sz val="8"/>
        <rFont val="Arial"/>
        <family val="2"/>
      </rPr>
      <t xml:space="preserve">
 • La valeur de l’attribut dir est conforme (rtl ou ltr).
 • La valeur de l’attribut dir est pertinente.</t>
    </r>
  </si>
  <si>
    <t>Dans chaque page web, la hiérarchie entre les titres (balise &lt;hx&gt; ou balise possédant un attribut WAI-ARIA role="heading" associé à un attribut WAI-ARIA aria-level) est-elle pertinente ?</t>
  </si>
  <si>
    <t>Dans chaque page web, le contenu de chaque titre (balise h ou balise possédant un attribut WAI-ARIA role="heading" associé à un attribut WAI-ARIA aria-level) est-il pertinent ?</t>
  </si>
  <si>
    <t>Dans chaque page web, chaque passage de texte constituant un titre est-il structuré à l'aide d'une balise &lt;hx&gt; ou d'une balise possédant un attribut WAI-ARIA role="heading" associé à un attribut WAI-ARIA aria-level ?</t>
  </si>
  <si>
    <t>Dans chaque page web, la structure du document est-elle cohérente (hors cas particulier) ?</t>
  </si>
  <si>
    <r>
      <t>Dans chaque page web, la structure du document vérifie-t-elle ces conditions (hors cas particulier) ?</t>
    </r>
    <r>
      <rPr>
        <sz val="8"/>
        <rFont val="Arial"/>
        <family val="2"/>
      </rPr>
      <t xml:space="preserve">
 •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</si>
  <si>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Dans chaque page web, les informations regroupées visuellement sous forme de liste non ordonnée vérifient-elles une de ces conditions ?
</t>
    </r>
    <r>
      <rPr>
        <sz val="8"/>
        <rFont val="Arial"/>
        <family val="2"/>
      </rPr>
      <t xml:space="preserve"> • La liste utilise les balises HTML &lt;ul&gt; et &lt;li&gt;.
 • La liste utilise les attributs WAI-ARIA role="list" et "listitem".</t>
    </r>
  </si>
  <si>
    <r>
      <t xml:space="preserve">Dans chaque page web, les informations regroupées visuellement sous forme de liste ordonnée vérifient-elles une de ces conditions ?
</t>
    </r>
    <r>
      <rPr>
        <sz val="8"/>
        <rFont val="Arial"/>
        <family val="2"/>
      </rPr>
      <t xml:space="preserve"> • La liste utilise les balises HTML &lt;ol&gt; et &lt;li&gt;.
 • La liste utilise les attributs WAI-ARIA role="list" et "listitem".</t>
    </r>
  </si>
  <si>
    <t>9.4.2</t>
  </si>
  <si>
    <t>Dans les feuilles de styles du site web, les unités non relatives (pt, pc, mm, cm, in) ne doivent pas être utilisées pour les types de média screen, tv, handheld, projection. Cette règle est-elle respectée (hors cas particuliers) ?</t>
  </si>
  <si>
    <r>
      <t xml:space="preserve">Dans chaque page web, l'augmentation de la taille des caractères jusqu'à 200%, au moins, ne doit pas provoquer de perte d'information.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</si>
  <si>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au moins, doit être possible pour l’ensemble du texte dans la page.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</si>
  <si>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Dans chaque page web, chaque lien texte signalé uniquement par la couleur, et dont la nature n'est pas évidente, vérifie-t-il ces conditions ?</t>
    </r>
    <r>
      <rPr>
        <sz val="8"/>
        <rFont val="Arial"/>
        <family val="2"/>
      </rPr>
      <t xml:space="preserve">
 •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</si>
  <si>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Pour chaque élément recevant le focus, la prise de focus vérifie-t-elle une de ces conditions ?</t>
    </r>
    <r>
      <rPr>
        <sz val="8"/>
        <rFont val="Arial"/>
        <family val="2"/>
      </rPr>
      <t xml:space="preserve">
 • Le style du focus natif du navigateur n’est pas supprimé ou dégradé
 • Un style du focus défini par l’auteur est visible</t>
    </r>
  </si>
  <si>
    <t>Pour chaque page web, les contenus cachés ont-ils vocation à être ignorés par les technologies d'assistance ?</t>
  </si>
  <si>
    <r>
      <rPr>
        <b/>
        <sz val="8"/>
        <rFont val="Arial"/>
        <family val="2"/>
      </rPr>
      <t xml:space="preserve">Dans chaque page web, chaque contenu caché vérifie-t-il une de ces conditions ?
</t>
    </r>
    <r>
      <rPr>
        <sz val="8"/>
        <rFont val="Arial"/>
        <family val="2"/>
      </rPr>
      <t xml:space="preserve"> • Le contenu caché a vocation à être ignoré par les technologies d'assistance.
 • Le contenu caché est rendu restituable par les technologies d’assistance suite à une action de l'utilisateur réalisable au clavier et tout dispositif de pointage.</t>
    </r>
  </si>
  <si>
    <t>10.9.2</t>
  </si>
  <si>
    <t>10.9.3</t>
  </si>
  <si>
    <t>10.9.4</t>
  </si>
  <si>
    <t>10.10.2</t>
  </si>
  <si>
    <t>10.10.3</t>
  </si>
  <si>
    <t>10.10.4</t>
  </si>
  <si>
    <t>Pour chaque page web, les contenus peuvent-ils être présentés sans avoir recours à la fois à un défilement vertical et horizontal (hors cas particulier) ?</t>
  </si>
  <si>
    <t xml:space="preserve">Pour chaque page web, lorsque le contenu dont le sens de lecture est horizontal est affiché dans une fenêtre réduite à une largeur de 320px, l’ensemble des informations et des fonctionnalités sont-elles disponibles sans aucun défilement horizontal (hors cas particulier) ?
</t>
  </si>
  <si>
    <t>10.11.2</t>
  </si>
  <si>
    <t xml:space="preserve">Pour chaque page web, lorsque le contenu dont le sens de lecture est vertical est affiché dans une fenêtre réduite à une hauteur de 256px, l’ensemble des informations et des fonctionnalités sont-elles disponibles sans aucun défilement vertical (hors cas particulier) ?
</t>
  </si>
  <si>
    <t>Dans chaque page web, les propriétés d’espacement du texte peuvent-elles être redéfinies par l’utilisateur sans perte de contenu ou de fonctionnalité ?</t>
  </si>
  <si>
    <r>
      <t xml:space="preserve">Dans chaque page web, le texte reste-t-il lisible lorsque l'affichage est modifié selon ces conditions ?
</t>
    </r>
    <r>
      <rPr>
        <sz val="8"/>
        <rFont val="Arial"/>
        <family val="2"/>
      </rPr>
      <t xml:space="preserve"> • L'espacement entre les lignes (line-height) est augmenté jusqu'à 1,5 fois la taille de la police;
 • L'espacement suivant les paragraphes est augmenté jusqu'à 2 fois la taille de la police;
 • L'espacement des lettres (letter-spacing) est augmenté jusqu'à 0,12 fois la taille de la police;
 • L'espacement des mots (word-spacing) est augmenté jusqu'à 0,16 fois la taille de la police;</t>
    </r>
  </si>
  <si>
    <t>Dans chaque page web, les contenus additionels apparaissant à la prise de focus ou au survol d’un composant d’interface sont-ils contrôlables par l’utilisateur (hors cas particulier) ?</t>
  </si>
  <si>
    <t>Chaque contenu additionnel devenant visible à la prise de focus ou au survol d’un composant d’interface peut-il être masqué par une action utilisateur sans déplacer le focus ou le pointeur de la souris (hors cas particulier) ?</t>
  </si>
  <si>
    <t>10.13.2</t>
  </si>
  <si>
    <t>Chaque contenu additionnel qui apparait au survol d’un composant d’interface peut-il être survolé par le pointeur de la souris sans disparaître (hors cas particulier) ?</t>
  </si>
  <si>
    <t>10.13.3</t>
  </si>
  <si>
    <r>
      <t xml:space="preserve">Chaque contenu additionnel qui apparaît à la prise de focus ou au survol d’un composant d’interface vérifie-t-il une de ces conditions (hors cas particulier) ?
</t>
    </r>
    <r>
      <rPr>
        <sz val="8"/>
        <rFont val="Arial"/>
        <family val="2"/>
      </rPr>
      <t xml:space="preserve"> • Le contenu additionnel reste visible jusqu’à ce que l’utilisateur retire le pointeur souris ou le focus du contenu additionnel et du composant d’interface ayant déclenché son apparition.
 • Le contenu additionnel reste visible jusqu’à ce l’utilisateur déclenche une action masquant ce contenu sans déplacer le focus ou le pointeur souris du composant d’interface ayant déclenché son apparition.
 • Le contenu additionnel reste visible jusqu’à ce qu’il ne soit plus valide.</t>
    </r>
  </si>
  <si>
    <t>Dans chaque page web, les contenus additionnels apparaissant via les styles CSS uniquement peuvent-ils être rendus visibles au clavier et par tout dispositif de pointage ?</t>
  </si>
  <si>
    <r>
      <t xml:space="preserve">Dans chaque page web, les contenus additionnels apparaissant au survol d'un composant d'interface via les styles CSS respectent-ils si nécessaire une de ces conditions ?
</t>
    </r>
    <r>
      <rPr>
        <sz val="8"/>
        <rFont val="Arial"/>
        <family val="2"/>
      </rPr>
      <t xml:space="preserve"> •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</si>
  <si>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</si>
  <si>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Chaque champ de formulaire vérifie-t-il une de ces conditions ?
</t>
    </r>
    <r>
      <rPr>
        <sz val="8"/>
        <rFont val="Arial"/>
        <family val="2"/>
      </rPr>
      <t xml:space="preserve"> • Le champ de formulaire possède un attribut aria-labelledby référençant un passage de texte identifié.
 • Le champ de formulaire possède un attribut aria-label.
 • Une balise &lt;label&gt; ayant un attribut for est associée au champ de formulaire.
 • Le champ de formulaire possède un attribut title.
 • Un bouton adjacent au champ de formulaire lui fournit une étiquette visible et un attribut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</si>
  <si>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xml:space="preserve"> •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</si>
  <si>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aria-labelledby), vérifie-t-il une de ses conditions ?
</t>
    </r>
    <r>
      <rPr>
        <sz val="8"/>
        <rFont val="Arial"/>
        <family val="2"/>
      </rPr>
      <t xml:space="preserve"> • le champ de formulaire possède un attribut title dont   le contenu permet de comprendre la nature de la saisie attendue,
 • le champ de formulaire est accompagné d'un passage de texte qui devient visible à la prise de focus permettant de comprendre la nature de la saisie attendue,
 • le champ de formulaire est accompagné d'un passage de texte visible accolé au champ permettant de comprendre la nature de la saisie attendue</t>
    </r>
  </si>
  <si>
    <t>Chaque balise &lt;label&gt; permet-elle de connaître la fonction exacte du champ de formulaire auquel elle est associée ?</t>
  </si>
  <si>
    <t>Chaque étiquette implémentée via l’attribut aria-label permet-elle de connaître la fonction exacte du champ de formulaire auquel elle est associée ?</t>
  </si>
  <si>
    <t>Chaque passage de texte associé via l’attribut aria-labelledby permet-il de connaître la fonction exacte du champ de formulaire auquel il est associée ?</t>
  </si>
  <si>
    <t>11.2.5</t>
  </si>
  <si>
    <r>
      <t>Chaque champ de formulaire ayant un intitulé visible vérifie-t-il ces conditions (hors cas particuliers) ?</t>
    </r>
    <r>
      <rPr>
        <sz val="8"/>
        <rFont val="Arial"/>
        <family val="2"/>
      </rPr>
      <t xml:space="preserve">
 • S'il est présent, le contenu de l’attribut aria-label du champ reprend au moins l'intitulé visible.
 • S'il est présent, le passage de texte lié au champ de formulaire via un attribut WAI-ARIA aria-labelledby reprend au moins l'intitulé visible.
 • S'il est présent, le contenu de l'attribut title du champ reprend au moins l'intitulé visible.
 • S'il est présent le contenu de la balise &lt;label&gt; associé au champ reprend au moins l'intitulé visible</t>
    </r>
  </si>
  <si>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</si>
  <si>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</si>
  <si>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</si>
  <si>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</si>
  <si>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r>
      <t xml:space="preserve">Chaque étiquette accolée à un champ (à l'exception des case à cocher, bouton radio ou balises ayant un attribut WAI-ARIA role="checkbox", role="radio" ou role="switch"), vérifie-t-elle ces conditions (hors cas particulier)? 
</t>
    </r>
    <r>
      <rPr>
        <sz val="8"/>
        <rFont val="Arial"/>
        <family val="2"/>
      </rPr>
      <t xml:space="preserve"> •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</si>
  <si>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11.4.3</t>
  </si>
  <si>
    <r>
      <t xml:space="preserve">Chaque étiquette accolée à un champ de type checkbox ou radio ou à une balise ayant un attributWAI-ARIA role="checkbox", role="radio" ou role="switch", vérifie-t-elle ces conditions (hors cas particulier) ?
</t>
    </r>
    <r>
      <rPr>
        <sz val="8"/>
        <rFont val="Arial"/>
        <family val="2"/>
      </rPr>
      <t xml:space="preserve"> •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</si>
  <si>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regroupées, si nécessaire ?</t>
  </si>
  <si>
    <r>
      <t xml:space="preserve">Dans chaque formulaire, les champs de même nature vérifient-ils l’une de ces conditions, si nécessaire ?
</t>
    </r>
    <r>
      <rPr>
        <sz val="8"/>
        <rFont val="Arial"/>
        <family val="2"/>
      </rPr>
      <t xml:space="preserve"> • Les champs de même nature sont regroupés dans une balise &lt;fieldset&gt;
 • Les champs de même nature sont regroupés dans une balise possédant un attribut WAI-ARIA role="group"
 • Les champs de même nature de type radio (input type="radio" ou balises possédant un attribut WAI-ARIA role="radio") sont regroupés dans une balise possédant un attribut WAI-ARIA role="radiogroup" ou "group"</t>
    </r>
  </si>
  <si>
    <t>Dans chaque formulaire, chaque regroupement de champs de même nature a-t-il une légende ?</t>
  </si>
  <si>
    <t>Chaque regroupement de champs de même nature possède-t-il une légende ?</t>
  </si>
  <si>
    <t>Dans chaque formulaire, chaque légende associée à un regroupement de champs de même nature est-elle pertinente ?</t>
  </si>
  <si>
    <t>Dans chaque formulaire, les items de même nature d’une liste de choix sont-ils regroupées de manière pertinente ?</t>
  </si>
  <si>
    <t>Dans chaque formulaire, pour chaque balise &lt;select&gt;, les items de même nature d’une liste de choix sont-ils regroupés avec une balise &lt;optgroup&gt;, si nécessaire ?</t>
  </si>
  <si>
    <t>Dans chaque balise &lt;select&gt;, chaque balise &lt;optgroup&gt; possède-t-elle un attribut label ?</t>
  </si>
  <si>
    <t>Pour chaque balise &lt;optgroup&gt; ayant un attribut label, le contenu de l'attribut label est-il pertinent ?</t>
  </si>
  <si>
    <r>
      <rPr>
        <b/>
        <sz val="8"/>
        <rFont val="Arial"/>
        <family val="2"/>
      </rPr>
      <t>Dans chaque formulaire, l'intitulé de chaque bouton vérifie-t-il ces conditions ?</t>
    </r>
    <r>
      <rPr>
        <sz val="8"/>
        <rFont val="Arial"/>
        <family val="2"/>
      </rPr>
      <t xml:space="preserve">
 • S'il est présent, le contenu de l’attribut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</si>
  <si>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Dans chaque formulaire, chaque bouton affichant un intitulé visible vérifie-t-il ces conditions (hors cas particuliers) ?</t>
    </r>
    <r>
      <rPr>
        <sz val="8"/>
        <rFont val="Arial"/>
        <family val="2"/>
      </rPr>
      <t xml:space="preserve">
 • S'il est présent, le contenu de l’attribut aria-label reprend au moins l'intitulé visible.
 • S'il est présent, le passage de texte lié au bouton via un attribut WAI-ARIA aria-labelledby reprend au moins l'intitulé visible.
 • S'il est présent, le contenu de l'attribut value d’une balise &lt;input&gt; de type submit, reset ou button reprend au moins l'intitulé visible.
 • S'il est présent, le contenu de la balise &lt;button&gt; reprend au moins l'intitulé visible.
 • S'il est présent, le contenu de l’attribut alt d’une balise &lt;input&gt; de type image reprend au moins l'intitulé visible.
 • S'il est présent, le contenu de l'attribut title reprend au moins l'intitulé visible.</t>
    </r>
  </si>
  <si>
    <t>Dans chaque formulaire, le contrôle de saisie est-il utilisé de manière pertinente (hors cas particulier) ?</t>
  </si>
  <si>
    <r>
      <rPr>
        <b/>
        <sz val="8"/>
        <rFont val="Arial"/>
        <family val="2"/>
      </rPr>
      <t xml:space="preserve">les indications du caractère obligatoire de la saisie des champs vérifient-elles une de ces conditions (hors cas particulier) ?
</t>
    </r>
    <r>
      <rPr>
        <sz val="8"/>
        <rFont val="Arial"/>
        <family val="2"/>
      </rPr>
      <t xml:space="preserve"> •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</si>
  <si>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vérifient-elles une de ces conditions ?
</t>
    </r>
    <r>
      <rPr>
        <sz val="8"/>
        <rFont val="Arial"/>
        <family val="2"/>
      </rPr>
      <t xml:space="preserve"> •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</si>
  <si>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xml:space="preserve"> •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</si>
  <si>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vérifient-elles une de ces conditions ?
</t>
    </r>
    <r>
      <rPr>
        <sz val="8"/>
        <rFont val="Arial"/>
        <family val="2"/>
      </rPr>
      <t xml:space="preserve"> • Une indication de champ obligatoire est visible et située dans l'étiquette associée au champ
 • Une indication de champ obligatoire est visible et située dans le passage de texte associé au champ.</t>
    </r>
  </si>
  <si>
    <r>
      <t xml:space="preserve">Les i nstructions et i ndications du type de données et/ou de format obligatoire s vérifient-elles une de ces conditions ?
</t>
    </r>
    <r>
      <rPr>
        <sz val="8"/>
        <rFont val="Arial"/>
        <family val="2"/>
      </rPr>
      <t xml:space="preserve"> • Une i nstruction ou une indication du type de données et/ou de format obligatoire est visible et permet d'identifier nommément le champ concerné préalablement à la validation du formulaire.
 • Une i nstruction ou une i ndication du type de données et/ou de format obligatoire est visible dans l'étiquette ou le passage de texte associé au champ préalablement à la validation du formulaire.</t>
    </r>
  </si>
  <si>
    <r>
      <rPr>
        <b/>
        <sz val="8"/>
        <rFont val="Arial"/>
        <family val="2"/>
      </rPr>
      <t xml:space="preserve">les messages d'erreurs indiquant le type de données et/ou de format obligatoire des champs vérifient-ils une de ces conditions ?
</t>
    </r>
    <r>
      <rPr>
        <sz val="8"/>
        <rFont val="Arial"/>
        <family val="2"/>
      </rPr>
      <t xml:space="preserve"> • Le message d'erreur indiquant le type de données et/ou de format obligatoires est visible et identifie le champ concerné
 • Le champ dispose de l'attribut aria-invalid="true"</t>
    </r>
  </si>
  <si>
    <r>
      <rPr>
        <b/>
        <sz val="8"/>
        <rFont val="Arial"/>
        <family val="2"/>
      </rPr>
      <t>les champs ayant l'attribut aria-invalid="true" dont la saisie requiert un type de données et/ou de format obligatoires vérifient-elles une de ces conditions ?</t>
    </r>
    <r>
      <rPr>
        <sz val="8"/>
        <rFont val="Arial"/>
        <family val="2"/>
      </rPr>
      <t xml:space="preserve">
 • Une indication du type de données et/ou de format obligatoire est visible et située dans la balise &lt;label&gt; associée au champ
 • Une indication du type de données et/ou de format obligatoire est visible et située dans le passage de texte associé au champ</t>
    </r>
  </si>
  <si>
    <t>Pour chaque formulaire dont la validation a des conséquences financières, juridiques, qui modifient ou suppriment des données ou transmettent des réponses à un test ou un examen, la saisie des données vérifie-t-elle une de ces conditions ?</t>
  </si>
  <si>
    <r>
      <rPr>
        <b/>
        <sz val="8"/>
        <rFont val="Arial"/>
        <family val="2"/>
      </rPr>
      <t xml:space="preserve">Pour chaque formulaire dont la validation a des conséquences financières, juridiques, qui modifie ou supprime des données ou transmette des réponses à un test ou un examen, la saisie des données vérifie-t-elle une de ces conditions ?
</t>
    </r>
    <r>
      <rPr>
        <sz val="8"/>
        <rFont val="Arial"/>
        <family val="2"/>
      </rPr>
      <t xml:space="preserve"> •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une étape supplémentaire, est présent.</t>
    </r>
  </si>
  <si>
    <r>
      <rPr>
        <b/>
        <sz val="8"/>
        <rFont val="Arial"/>
        <family val="2"/>
      </rPr>
      <t xml:space="preserve">Pour chaque formulaire dont la validation modifie ou supprime des données à caractère financier, juridique ou personnelle vérifie-t-elle une de ces conditions ?
</t>
    </r>
    <r>
      <rPr>
        <sz val="8"/>
        <rFont val="Arial"/>
        <family val="2"/>
      </rPr>
      <t xml:space="preserve"> •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</si>
  <si>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t>
  </si>
  <si>
    <r>
      <t xml:space="preserve">Chaque contrôle de formulaire dont l’objet se rapporte à une information concernant l’utilisateur vérifie-t-il ces conditions ?
</t>
    </r>
    <r>
      <rPr>
        <sz val="8"/>
        <rFont val="Arial"/>
        <family val="2"/>
      </rPr>
      <t xml:space="preserve"> • Le champ de formulaire possède un attribut autocomplete.
 • L’attribut autocomplete est pourvu d’une valeur présente dans la liste des valeurs possibles pour l’attribut autocomplete associés à un champ de formulaire.
 • La valeur indiquée est pertinente au regard du type d’information attendu.</t>
    </r>
  </si>
  <si>
    <r>
      <t xml:space="preserve">Dans chaque ensemble de pages, chaque page disposant d’un menu ou de barres de navigation vérifie-t-elle ces conditions (hors cas particuliers) ?
</t>
    </r>
    <r>
      <rPr>
        <sz val="8"/>
        <rFont val="Arial"/>
        <family val="2"/>
      </rPr>
      <t xml:space="preserve"> • Le menu et les barres de navigation sont toujours à la même place dans la présentation.
 • Le menu et les barres de navigation se présentent toujours dans le même ordre relatif dans le code source.</t>
    </r>
  </si>
  <si>
    <t>12.3.3</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</si>
  <si>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</si>
  <si>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xml:space="preserve"> • la zone possède un role WAI-ARIA de type landmark correspondant à sa nature
 • la zone possède un titre de hiérarchie dont le contenu permet de comprendre la nature du contenu de la zone
 • la zone peut être masquée par le biais d’un bouton précédent directement la zone dans l’ordre du code source
 • la zone peut être évitée pour la biais d’un lien d’évitement précédent directement la zone dans l’ordre du code source
 • la zone peut être atteinte par la biais d’un lien d’accès rapide visible à la prise de focus de tabulation au moins</t>
    </r>
  </si>
  <si>
    <t xml:space="preserve">Dans chaque page web, un lien d’évitement ou d’accès rapide à la zone de contenu principal est-il présent (hors cas particuliers) ?
</t>
  </si>
  <si>
    <t>Dans chaque page web, un lien permet-il d'éviter la zone de contenu principal ou d'y accéder (hors cas particuliers) ?</t>
  </si>
  <si>
    <t>12.7.2</t>
  </si>
  <si>
    <r>
      <t xml:space="preserve">Dans chaque ensemble de pages, le lien d'évitement ou d'accès rapide à la zone de contenu principal vérifient-il ces conditions (hors cas particuliers) ?
</t>
    </r>
    <r>
      <rPr>
        <sz val="8"/>
        <rFont val="Arial"/>
        <family val="2"/>
      </rPr>
      <t xml:space="preserve"> • Le lien est situé à la même place dans la présentation.
 • Le lien se présente toujours dans le même ordre relatif dans le code source.
 • Le lien est visible à la prise de focus au moins.</t>
    </r>
  </si>
  <si>
    <t>12.8.2</t>
  </si>
  <si>
    <t>Dans chaque page web, les raccourcis clavier n’utilisant qu’une seule touche (lettre minuscule ou majuscule, ponctuation, chiffre ou symbole) ont-ils une alternative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</si>
  <si>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xml:space="preserve"> •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</si>
  <si>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</si>
  <si>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r>
      <rPr>
        <b/>
        <sz val="8"/>
        <rFont val="Arial"/>
        <family val="2"/>
      </rPr>
      <t xml:space="preserve">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</si>
  <si>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r>
      <t xml:space="preserve">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</si>
  <si>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13.7.2</t>
  </si>
  <si>
    <t>13.7.3</t>
  </si>
  <si>
    <t>13.8.2</t>
  </si>
  <si>
    <t>Dans chaque page web, le contenu proposé est-il consultable quelle que soit l'orientation de l'écran (portait ou paysage) (hors cas particuliers) ?</t>
  </si>
  <si>
    <r>
      <t xml:space="preserve">Dans chaque page web, chaque contenu vérifie-t-il ces conditions (hors cas particuliers) ?
</t>
    </r>
    <r>
      <rPr>
        <sz val="8"/>
        <rFont val="Arial"/>
        <family val="2"/>
      </rPr>
      <t xml:space="preserve"> •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</si>
  <si>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 ?</t>
  </si>
  <si>
    <t xml:space="preserve">Dans chaque page web, chaque fonctionnalité utilisable ou disponible suite à un contact multipoint est-elle également utilisable ou disponible suite à un contact en un point unique de l’écran?
</t>
  </si>
  <si>
    <t>13.10.2</t>
  </si>
  <si>
    <t xml:space="preserve">Dans chaque page web, chaque fonctionnalité utilisable ou disponible suite à un geste basé sur le suivi d’une trajectoire sur l’écran est-elle également utilisable ou disponible suite à un contact en un point unique de l’écran
</t>
  </si>
  <si>
    <t>Dans chaque page web, les actions déclenchées au moyen d’un dispositif de pointage sur un point unique de l’écran peuvent-elles faire l’objet d’une annulation (hors cas particuliers) ?</t>
  </si>
  <si>
    <r>
      <t>Dans chaque page web, les actions déclenchées au moyen d’un dispositif de pointage sur un point unique de l’écran vérifient-elles l’une de ces conditions (hors cas particuliers) ?</t>
    </r>
    <r>
      <rPr>
        <sz val="8"/>
        <rFont val="Arial"/>
        <family val="2"/>
      </rPr>
      <t xml:space="preserve">
 •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 ;</t>
    </r>
  </si>
  <si>
    <t>Dans chaque page web, les fonctionnalités qui impliquent un mouvement de l’appareil ou vers l’appareil peuvent-elles être satisfaites de manière alternative (hors cas particulier).</t>
  </si>
  <si>
    <t>dans chaque page web, les fonctionnalités disponibles en bougeant l’appareil peuvent-elles être accomplies avec des composants d’interface utilisateur ‘(hors cas particulier) ?</t>
  </si>
  <si>
    <t>13.12.2</t>
  </si>
  <si>
    <t>dans chaque page web, les fonctionnalités disponibles en faisant un geste en direction de l’appareil peuvent-elles être accomplies avec des composants d’interface utilisateur (hors cas particulier) ?</t>
  </si>
  <si>
    <t>13.12.3</t>
  </si>
  <si>
    <t>l’utilisateur a-t-il la possibilité de désactiver la détection du mouvement pour éviter un déclenchement accidentel de la fonctionnalité (hors cas particulier) ?</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</si>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</sst>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74">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6" fillId="0" borderId="23" xfId="1" applyFont="1" applyBorder="1" applyAlignment="1">
      <alignment horizontal="left" vertical="top" wrapText="1"/>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6" fillId="0" borderId="27" xfId="1" applyFont="1" applyBorder="1" applyAlignment="1">
      <alignment horizontal="left" vertical="top" wrapText="1"/>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 fillId="0" borderId="23" xfId="1" applyFont="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6" fillId="3" borderId="3" xfId="1" applyFont="1" applyFill="1" applyBorder="1" applyAlignment="1">
      <alignment horizontal="left" vertical="top" wrapText="1"/>
    </xf>
    <xf numFmtId="0" fontId="3" fillId="7" borderId="3" xfId="1" applyFont="1" applyFill="1" applyBorder="1" applyAlignment="1">
      <alignment horizontal="left" vertical="top"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27" dataDxfId="225" headerRowBorderDxfId="226" tableBorderDxfId="224" headerRowCellStyle="Normal 2">
  <autoFilter ref="A10:GJ267"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19" dataDxfId="17" headerRowBorderDxfId="18" tableBorderDxfId="16" headerRowCellStyle="Normal 2">
  <autoFilter ref="B3:Q260"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tabSelected="1"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54" t="s">
        <v>1069</v>
      </c>
      <c r="B1" s="254"/>
      <c r="C1" s="254"/>
      <c r="D1" s="254"/>
    </row>
    <row r="2" spans="1:53" s="4" customFormat="1" ht="28.5" x14ac:dyDescent="0.65">
      <c r="A2" s="255" t="s">
        <v>1070</v>
      </c>
      <c r="B2" s="255"/>
      <c r="C2" s="255"/>
      <c r="D2" s="255"/>
      <c r="E2" s="6"/>
      <c r="F2" s="6"/>
      <c r="G2" s="6"/>
      <c r="H2" s="6"/>
      <c r="I2" s="6"/>
      <c r="J2" s="6"/>
      <c r="K2" s="6"/>
      <c r="L2" s="6"/>
      <c r="M2" s="6"/>
      <c r="N2" s="6"/>
      <c r="O2" s="6"/>
      <c r="P2" s="6"/>
      <c r="Q2" s="6"/>
      <c r="R2" s="6"/>
      <c r="S2" s="6"/>
      <c r="T2" s="6"/>
      <c r="U2" s="5"/>
      <c r="W2" s="6"/>
      <c r="AC2" s="6"/>
      <c r="AJ2" s="6"/>
      <c r="AR2" s="6"/>
      <c r="BA2" s="6"/>
    </row>
    <row r="3" spans="1:53" s="4" customFormat="1" ht="21" x14ac:dyDescent="0.5">
      <c r="A3" s="256"/>
      <c r="B3" s="256"/>
      <c r="C3" s="256"/>
      <c r="D3" s="256"/>
      <c r="E3" s="119"/>
      <c r="F3" s="119"/>
      <c r="G3" s="119"/>
      <c r="H3" s="119"/>
      <c r="I3" s="119"/>
      <c r="J3" s="119"/>
      <c r="K3" s="119"/>
      <c r="L3" s="119"/>
      <c r="M3" s="119"/>
      <c r="N3" s="119"/>
      <c r="O3" s="119"/>
      <c r="P3" s="119"/>
      <c r="Q3" s="119"/>
      <c r="R3" s="119"/>
      <c r="S3" s="119"/>
      <c r="T3" s="119"/>
      <c r="U3" s="118"/>
    </row>
    <row r="4" spans="1:53" s="13" customFormat="1" ht="21" x14ac:dyDescent="0.35">
      <c r="A4" s="256"/>
      <c r="B4" s="256"/>
      <c r="C4" s="256"/>
      <c r="D4" s="256"/>
      <c r="E4" s="151"/>
      <c r="F4" s="151"/>
      <c r="G4" s="151"/>
      <c r="H4" s="151"/>
      <c r="I4" s="151"/>
      <c r="J4" s="151"/>
      <c r="K4" s="151"/>
      <c r="L4" s="151"/>
      <c r="M4" s="151"/>
      <c r="N4" s="151"/>
      <c r="O4" s="151"/>
      <c r="P4" s="151"/>
      <c r="Q4" s="151"/>
      <c r="R4" s="151"/>
      <c r="S4" s="151"/>
      <c r="T4" s="151"/>
      <c r="U4" s="152"/>
    </row>
    <row r="5" spans="1:53" s="13" customFormat="1" ht="25" customHeight="1" x14ac:dyDescent="0.35">
      <c r="A5" s="256"/>
      <c r="B5" s="256"/>
      <c r="C5" s="256"/>
      <c r="D5" s="256"/>
    </row>
    <row r="6" spans="1:53" s="13" customFormat="1" x14ac:dyDescent="0.35">
      <c r="A6" s="256"/>
      <c r="B6" s="256"/>
      <c r="C6" s="256"/>
      <c r="D6" s="256"/>
    </row>
    <row r="7" spans="1:53" s="13" customFormat="1" ht="25" customHeight="1" x14ac:dyDescent="0.35">
      <c r="A7" s="252" t="s">
        <v>771</v>
      </c>
      <c r="B7" s="253"/>
      <c r="C7" s="253"/>
      <c r="D7" s="253"/>
    </row>
    <row r="8" spans="1:53" s="10" customFormat="1" ht="21" customHeight="1" x14ac:dyDescent="0.35">
      <c r="A8" s="20" t="s">
        <v>14</v>
      </c>
      <c r="B8" s="20" t="s">
        <v>15</v>
      </c>
      <c r="C8" s="20" t="s">
        <v>16</v>
      </c>
      <c r="D8" s="153" t="s">
        <v>17</v>
      </c>
    </row>
    <row r="9" spans="1:53" s="10" customFormat="1" ht="21" customHeight="1" x14ac:dyDescent="0.35">
      <c r="A9" s="167" t="s">
        <v>48</v>
      </c>
      <c r="B9" s="168" t="s">
        <v>842</v>
      </c>
      <c r="C9" s="174" t="s">
        <v>846</v>
      </c>
      <c r="D9" s="170"/>
    </row>
    <row r="10" spans="1:53" s="10" customFormat="1" ht="21" customHeight="1" x14ac:dyDescent="0.35">
      <c r="A10" s="167" t="s">
        <v>49</v>
      </c>
      <c r="B10" s="168" t="s">
        <v>847</v>
      </c>
      <c r="C10" s="173" t="s">
        <v>846</v>
      </c>
      <c r="D10" s="170"/>
    </row>
    <row r="11" spans="1:53" s="13" customFormat="1" ht="21" customHeight="1" x14ac:dyDescent="0.35">
      <c r="A11" s="167" t="s">
        <v>50</v>
      </c>
      <c r="B11" s="168" t="s">
        <v>848</v>
      </c>
      <c r="C11" s="169" t="s">
        <v>846</v>
      </c>
      <c r="D11" s="170"/>
    </row>
    <row r="12" spans="1:53" s="13" customFormat="1" x14ac:dyDescent="0.35">
      <c r="A12" s="12"/>
      <c r="B12" s="12"/>
      <c r="C12" s="12"/>
      <c r="D12" s="12"/>
    </row>
    <row r="13" spans="1:53" s="20" customFormat="1" x14ac:dyDescent="0.35">
      <c r="A13" s="12"/>
      <c r="B13" s="12"/>
      <c r="C13" s="12"/>
      <c r="D13" s="12"/>
      <c r="E13" s="133"/>
      <c r="F13" s="133"/>
      <c r="G13" s="133"/>
    </row>
    <row r="14" spans="1:53" s="12" customFormat="1" ht="15.75" customHeight="1" x14ac:dyDescent="0.35">
      <c r="E14" s="13"/>
      <c r="F14" s="13"/>
    </row>
    <row r="15" spans="1:53" s="12" customFormat="1" x14ac:dyDescent="0.35">
      <c r="E15" s="13"/>
      <c r="F15" s="13"/>
    </row>
    <row r="16" spans="1:53" s="12" customFormat="1" x14ac:dyDescent="0.35">
      <c r="C16" s="150" t="s">
        <v>841</v>
      </c>
      <c r="D16" s="150"/>
      <c r="E16" s="13"/>
      <c r="F16" s="13"/>
      <c r="G16" s="13"/>
      <c r="H16" s="13"/>
      <c r="I16" s="13"/>
      <c r="J16" s="13"/>
      <c r="K16" s="13"/>
      <c r="L16" s="13"/>
      <c r="N16" s="13"/>
      <c r="R16" s="13"/>
      <c r="W16" s="13"/>
      <c r="AC16" s="13"/>
      <c r="AJ16" s="13"/>
      <c r="AR16" s="13"/>
      <c r="BA16" s="13"/>
    </row>
    <row r="17" spans="3:53" s="12" customFormat="1" x14ac:dyDescent="0.35">
      <c r="C17" s="154" t="s">
        <v>15</v>
      </c>
      <c r="D17" s="155" t="s">
        <v>779</v>
      </c>
      <c r="E17" s="13"/>
      <c r="F17" s="13"/>
      <c r="G17" s="13"/>
      <c r="H17" s="13"/>
      <c r="I17" s="13"/>
      <c r="J17" s="13"/>
      <c r="K17" s="13"/>
      <c r="L17" s="13"/>
      <c r="N17" s="13"/>
      <c r="R17" s="13"/>
      <c r="W17" s="13"/>
      <c r="AC17" s="13"/>
      <c r="AJ17" s="13"/>
      <c r="AR17" s="13"/>
      <c r="BA17" s="13"/>
    </row>
    <row r="18" spans="3:53" s="12" customFormat="1" x14ac:dyDescent="0.35">
      <c r="C18" s="165"/>
      <c r="D18" s="165"/>
      <c r="E18" s="13"/>
      <c r="F18" s="13"/>
      <c r="G18" s="13"/>
      <c r="H18" s="13"/>
      <c r="I18" s="13"/>
      <c r="J18" s="13"/>
      <c r="K18" s="13"/>
      <c r="L18" s="13"/>
      <c r="N18" s="13"/>
      <c r="R18" s="13"/>
      <c r="W18" s="13"/>
      <c r="AC18" s="13"/>
      <c r="AJ18" s="13"/>
      <c r="AR18" s="13"/>
      <c r="BA18" s="13"/>
    </row>
    <row r="19" spans="3:53" s="12" customFormat="1" x14ac:dyDescent="0.35">
      <c r="C19" s="166"/>
      <c r="D19" s="166"/>
      <c r="E19" s="13"/>
      <c r="F19" s="13"/>
      <c r="G19" s="13"/>
      <c r="H19" s="13"/>
      <c r="I19" s="13"/>
      <c r="J19" s="13"/>
      <c r="K19" s="13"/>
      <c r="L19" s="13"/>
      <c r="N19" s="13"/>
      <c r="R19" s="13"/>
      <c r="W19" s="13"/>
      <c r="AC19" s="13"/>
      <c r="AJ19" s="13"/>
      <c r="AR19" s="13"/>
      <c r="BA19" s="13"/>
    </row>
    <row r="20" spans="3:53" s="12" customFormat="1" x14ac:dyDescent="0.35">
      <c r="C20" s="165"/>
      <c r="D20" s="165"/>
      <c r="E20" s="13"/>
      <c r="F20" s="13"/>
      <c r="G20" s="13"/>
      <c r="H20" s="13"/>
      <c r="I20" s="13"/>
      <c r="J20" s="13"/>
      <c r="K20" s="13"/>
      <c r="L20" s="13"/>
      <c r="N20" s="13"/>
      <c r="R20" s="13"/>
      <c r="W20" s="13"/>
      <c r="AC20" s="13"/>
      <c r="AJ20" s="13"/>
      <c r="AR20" s="13"/>
      <c r="BA20" s="13"/>
    </row>
    <row r="21" spans="3:53" s="12" customFormat="1" x14ac:dyDescent="0.35">
      <c r="C21" s="166"/>
      <c r="D21" s="166"/>
      <c r="E21" s="13"/>
      <c r="F21" s="13"/>
      <c r="G21" s="13"/>
      <c r="H21" s="13"/>
      <c r="I21" s="13"/>
      <c r="J21" s="13"/>
      <c r="K21" s="13"/>
      <c r="L21" s="13"/>
      <c r="N21" s="13"/>
      <c r="R21" s="13"/>
      <c r="W21" s="13"/>
      <c r="AC21" s="13"/>
      <c r="AJ21" s="13"/>
      <c r="AR21" s="13"/>
      <c r="BA21" s="13"/>
    </row>
    <row r="22" spans="3:53" s="12" customFormat="1" x14ac:dyDescent="0.35">
      <c r="C22" s="165"/>
      <c r="D22" s="165"/>
      <c r="E22" s="13"/>
      <c r="F22" s="13"/>
      <c r="G22" s="13"/>
      <c r="H22" s="13"/>
      <c r="I22" s="13"/>
      <c r="J22" s="13"/>
      <c r="K22" s="13"/>
      <c r="L22" s="13"/>
      <c r="N22" s="13"/>
      <c r="R22" s="13"/>
      <c r="W22" s="13"/>
      <c r="AC22" s="13"/>
      <c r="AJ22" s="13"/>
      <c r="AR22" s="13"/>
      <c r="BA22" s="13"/>
    </row>
    <row r="23" spans="3:53" s="12" customFormat="1" x14ac:dyDescent="0.35">
      <c r="C23" s="166"/>
      <c r="D23" s="166"/>
      <c r="E23" s="13"/>
      <c r="F23" s="13"/>
      <c r="G23" s="13"/>
      <c r="H23" s="13"/>
      <c r="I23" s="13"/>
      <c r="J23" s="13"/>
      <c r="K23" s="13"/>
      <c r="L23" s="13"/>
      <c r="N23" s="13"/>
      <c r="R23" s="13"/>
      <c r="W23" s="13"/>
      <c r="AC23" s="13"/>
      <c r="AJ23" s="13"/>
      <c r="AR23" s="13"/>
      <c r="BA23" s="13"/>
    </row>
    <row r="24" spans="3:53" s="12" customFormat="1" x14ac:dyDescent="0.35">
      <c r="C24" s="165"/>
      <c r="D24" s="165"/>
      <c r="E24" s="13"/>
      <c r="F24" s="13"/>
      <c r="G24" s="13"/>
      <c r="H24" s="13"/>
      <c r="I24" s="13"/>
      <c r="J24" s="13"/>
      <c r="K24" s="13"/>
      <c r="L24" s="13"/>
      <c r="N24" s="13"/>
      <c r="R24" s="13"/>
      <c r="W24" s="13"/>
      <c r="AC24" s="13"/>
      <c r="AJ24" s="13"/>
      <c r="AR24" s="13"/>
      <c r="BA24" s="13"/>
    </row>
    <row r="25" spans="3:53" s="12" customFormat="1" x14ac:dyDescent="0.35">
      <c r="C25" s="166"/>
      <c r="D25" s="166"/>
      <c r="E25" s="13"/>
      <c r="F25" s="13"/>
      <c r="G25" s="13"/>
      <c r="H25" s="13"/>
      <c r="I25" s="13"/>
      <c r="J25" s="13"/>
      <c r="K25" s="13"/>
      <c r="L25" s="13"/>
      <c r="N25" s="13"/>
      <c r="R25" s="13"/>
      <c r="W25" s="13"/>
      <c r="AC25" s="13"/>
      <c r="AJ25" s="13"/>
      <c r="AR25" s="13"/>
      <c r="BA25" s="13"/>
    </row>
    <row r="26" spans="3:53" s="12" customFormat="1" x14ac:dyDescent="0.35">
      <c r="C26" s="165"/>
      <c r="D26" s="165"/>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zoomScaleNormal="100" workbookViewId="0">
      <pane ySplit="3" topLeftCell="A4" activePane="bottomLeft" state="frozen"/>
      <selection pane="bottomLeft" activeCell="H4" sqref="H4"/>
    </sheetView>
  </sheetViews>
  <sheetFormatPr baseColWidth="10" defaultColWidth="11.54296875" defaultRowHeight="10.5" x14ac:dyDescent="0.35"/>
  <cols>
    <col min="1" max="1" width="3.26953125" style="76" customWidth="1"/>
    <col min="2" max="2" width="11.26953125" style="72" customWidth="1"/>
    <col min="3" max="3" width="32" style="72" customWidth="1"/>
    <col min="4" max="4" width="6.26953125" style="16" customWidth="1"/>
    <col min="5" max="5" width="5" style="76" customWidth="1"/>
    <col min="6" max="6" width="37.453125" style="72" customWidth="1"/>
    <col min="7" max="7" width="9" style="16" customWidth="1"/>
    <col min="8" max="8" width="9.453125" style="16" bestFit="1" customWidth="1"/>
    <col min="9" max="9" width="9.453125" style="16" customWidth="1"/>
    <col min="10" max="10" width="10.81640625" style="76" customWidth="1"/>
    <col min="11" max="11" width="36.26953125" style="76" customWidth="1"/>
    <col min="12" max="12" width="24.1796875" style="76" customWidth="1"/>
    <col min="13" max="13" width="36.26953125" style="76" customWidth="1"/>
    <col min="14" max="14" width="12.7265625" style="76" customWidth="1"/>
    <col min="15" max="15" width="11.54296875" style="76"/>
    <col min="16" max="16" width="14.1796875" style="76" customWidth="1"/>
    <col min="17" max="16384" width="11.54296875" style="76"/>
  </cols>
  <sheetData>
    <row r="1" spans="2:17" ht="21" x14ac:dyDescent="0.35">
      <c r="B1" s="59"/>
      <c r="C1" s="70"/>
      <c r="D1" s="55"/>
      <c r="E1" s="56"/>
      <c r="F1" s="56"/>
      <c r="G1" s="55"/>
      <c r="H1" s="56"/>
      <c r="I1" s="56"/>
      <c r="J1" s="56"/>
      <c r="K1" s="56"/>
      <c r="L1" s="56"/>
      <c r="M1" s="56"/>
      <c r="N1" s="56"/>
      <c r="O1" s="57" t="s">
        <v>20</v>
      </c>
      <c r="P1" s="58"/>
      <c r="Q1" s="58"/>
    </row>
    <row r="2" spans="2:17" x14ac:dyDescent="0.35">
      <c r="B2" s="76"/>
      <c r="C2" s="71"/>
      <c r="F2" s="76"/>
      <c r="H2" s="17"/>
      <c r="I2" s="17"/>
    </row>
    <row r="3" spans="2:17" s="15" customFormat="1" ht="21.5" thickBot="1" x14ac:dyDescent="0.4">
      <c r="B3" s="7" t="s">
        <v>0</v>
      </c>
      <c r="C3" s="7" t="s">
        <v>247</v>
      </c>
      <c r="D3" s="8" t="s">
        <v>1</v>
      </c>
      <c r="E3" s="9" t="s">
        <v>23</v>
      </c>
      <c r="F3" s="8" t="s">
        <v>2</v>
      </c>
      <c r="G3" s="8" t="s">
        <v>32</v>
      </c>
      <c r="H3" s="8" t="s">
        <v>21</v>
      </c>
      <c r="I3" s="89" t="s">
        <v>645</v>
      </c>
      <c r="J3" s="89" t="s">
        <v>22</v>
      </c>
      <c r="K3" s="8" t="s">
        <v>829</v>
      </c>
      <c r="L3" s="8" t="s">
        <v>827</v>
      </c>
      <c r="M3" s="8" t="s">
        <v>779</v>
      </c>
      <c r="N3" s="8" t="s">
        <v>828</v>
      </c>
      <c r="O3" s="8" t="s">
        <v>27</v>
      </c>
      <c r="P3" s="8" t="s">
        <v>28</v>
      </c>
      <c r="Q3" s="90" t="s">
        <v>646</v>
      </c>
    </row>
    <row r="4" spans="2:17" ht="32" thickTop="1" x14ac:dyDescent="0.35">
      <c r="B4" s="228" t="s">
        <v>5</v>
      </c>
      <c r="C4" s="189" t="s">
        <v>849</v>
      </c>
      <c r="D4" s="190" t="s">
        <v>248</v>
      </c>
      <c r="E4" s="191" t="s">
        <v>24</v>
      </c>
      <c r="F4" s="209" t="s">
        <v>850</v>
      </c>
      <c r="G4" s="79" t="s">
        <v>33</v>
      </c>
      <c r="H4" s="74" t="s">
        <v>43</v>
      </c>
      <c r="I4" s="80"/>
      <c r="J4" s="79"/>
      <c r="K4" s="77"/>
      <c r="L4" s="77"/>
      <c r="M4" s="77"/>
      <c r="N4" s="77"/>
      <c r="O4" s="79"/>
      <c r="P4" s="79"/>
      <c r="Q4" s="79"/>
    </row>
    <row r="5" spans="2:17" ht="31.5" x14ac:dyDescent="0.35">
      <c r="B5" s="228" t="s">
        <v>5</v>
      </c>
      <c r="C5" s="189"/>
      <c r="D5" s="190" t="s">
        <v>249</v>
      </c>
      <c r="E5" s="191" t="s">
        <v>24</v>
      </c>
      <c r="F5" s="209" t="s">
        <v>851</v>
      </c>
      <c r="G5" s="79" t="s">
        <v>33</v>
      </c>
      <c r="H5" s="74" t="s">
        <v>43</v>
      </c>
      <c r="I5" s="78"/>
      <c r="J5" s="79"/>
      <c r="K5" s="77"/>
      <c r="L5" s="77"/>
      <c r="M5" s="77"/>
      <c r="N5" s="77"/>
      <c r="O5" s="79"/>
      <c r="P5" s="79"/>
      <c r="Q5" s="79"/>
    </row>
    <row r="6" spans="2:17" ht="31.5" x14ac:dyDescent="0.35">
      <c r="B6" s="228" t="s">
        <v>5</v>
      </c>
      <c r="C6" s="189"/>
      <c r="D6" s="190" t="s">
        <v>250</v>
      </c>
      <c r="E6" s="191" t="s">
        <v>24</v>
      </c>
      <c r="F6" s="209" t="s">
        <v>852</v>
      </c>
      <c r="G6" s="79" t="s">
        <v>33</v>
      </c>
      <c r="H6" s="74" t="s">
        <v>43</v>
      </c>
      <c r="I6" s="78"/>
      <c r="J6" s="79"/>
      <c r="K6" s="77"/>
      <c r="L6" s="77"/>
      <c r="M6" s="77"/>
      <c r="N6" s="77"/>
      <c r="O6" s="79"/>
      <c r="P6" s="79"/>
      <c r="Q6" s="79"/>
    </row>
    <row r="7" spans="2:17" ht="31.5" x14ac:dyDescent="0.35">
      <c r="B7" s="228" t="s">
        <v>5</v>
      </c>
      <c r="C7" s="189"/>
      <c r="D7" s="190" t="s">
        <v>251</v>
      </c>
      <c r="E7" s="191" t="s">
        <v>24</v>
      </c>
      <c r="F7" s="210" t="s">
        <v>853</v>
      </c>
      <c r="G7" s="79" t="s">
        <v>33</v>
      </c>
      <c r="H7" s="74" t="s">
        <v>43</v>
      </c>
      <c r="I7" s="78"/>
      <c r="J7" s="79"/>
      <c r="K7" s="77"/>
      <c r="L7" s="77"/>
      <c r="M7" s="77"/>
      <c r="N7" s="77"/>
      <c r="O7" s="79"/>
      <c r="P7" s="79"/>
      <c r="Q7" s="79"/>
    </row>
    <row r="8" spans="2:17" ht="51" x14ac:dyDescent="0.35">
      <c r="B8" s="228" t="s">
        <v>5</v>
      </c>
      <c r="C8" s="189"/>
      <c r="D8" s="190" t="s">
        <v>854</v>
      </c>
      <c r="E8" s="191" t="s">
        <v>24</v>
      </c>
      <c r="F8" s="211" t="s">
        <v>855</v>
      </c>
      <c r="G8" s="79" t="s">
        <v>33</v>
      </c>
      <c r="H8" s="74" t="s">
        <v>43</v>
      </c>
      <c r="I8" s="78"/>
      <c r="J8" s="79"/>
      <c r="K8" s="77"/>
      <c r="L8" s="77"/>
      <c r="M8" s="77"/>
      <c r="N8" s="77"/>
      <c r="O8" s="79"/>
      <c r="P8" s="79"/>
      <c r="Q8" s="79"/>
    </row>
    <row r="9" spans="2:17" ht="91.5" x14ac:dyDescent="0.35">
      <c r="B9" s="228" t="s">
        <v>5</v>
      </c>
      <c r="C9" s="189"/>
      <c r="D9" s="190" t="s">
        <v>856</v>
      </c>
      <c r="E9" s="191" t="s">
        <v>24</v>
      </c>
      <c r="F9" s="211" t="s">
        <v>857</v>
      </c>
      <c r="G9" s="79" t="s">
        <v>33</v>
      </c>
      <c r="H9" s="74" t="s">
        <v>43</v>
      </c>
      <c r="I9" s="78"/>
      <c r="J9" s="79"/>
      <c r="K9" s="77"/>
      <c r="L9" s="77"/>
      <c r="M9" s="77"/>
      <c r="N9" s="77"/>
      <c r="O9" s="79"/>
      <c r="P9" s="79"/>
      <c r="Q9" s="79"/>
    </row>
    <row r="10" spans="2:17" ht="102" x14ac:dyDescent="0.35">
      <c r="B10" s="228" t="s">
        <v>5</v>
      </c>
      <c r="C10" s="189"/>
      <c r="D10" s="190" t="s">
        <v>858</v>
      </c>
      <c r="E10" s="191" t="s">
        <v>24</v>
      </c>
      <c r="F10" s="211" t="s">
        <v>859</v>
      </c>
      <c r="G10" s="79" t="s">
        <v>33</v>
      </c>
      <c r="H10" s="74" t="s">
        <v>43</v>
      </c>
      <c r="I10" s="78"/>
      <c r="J10" s="79"/>
      <c r="K10" s="77"/>
      <c r="L10" s="77"/>
      <c r="M10" s="77"/>
      <c r="N10" s="77"/>
      <c r="O10" s="79"/>
      <c r="P10" s="79"/>
      <c r="Q10" s="79"/>
    </row>
    <row r="11" spans="2:17" ht="101.5" x14ac:dyDescent="0.35">
      <c r="B11" s="228" t="s">
        <v>5</v>
      </c>
      <c r="C11" s="189"/>
      <c r="D11" s="190" t="s">
        <v>860</v>
      </c>
      <c r="E11" s="191" t="s">
        <v>24</v>
      </c>
      <c r="F11" s="211" t="s">
        <v>861</v>
      </c>
      <c r="G11" s="79" t="s">
        <v>33</v>
      </c>
      <c r="H11" s="74" t="s">
        <v>43</v>
      </c>
      <c r="I11" s="78"/>
      <c r="J11" s="79"/>
      <c r="K11" s="77"/>
      <c r="L11" s="77"/>
      <c r="M11" s="77"/>
      <c r="N11" s="77"/>
      <c r="O11" s="79"/>
      <c r="P11" s="79"/>
      <c r="Q11" s="79"/>
    </row>
    <row r="12" spans="2:17" ht="71" x14ac:dyDescent="0.35">
      <c r="B12" s="228" t="s">
        <v>5</v>
      </c>
      <c r="C12" s="193" t="s">
        <v>862</v>
      </c>
      <c r="D12" s="194" t="s">
        <v>252</v>
      </c>
      <c r="E12" s="195" t="s">
        <v>24</v>
      </c>
      <c r="F12" s="212" t="s">
        <v>863</v>
      </c>
      <c r="G12" s="83" t="s">
        <v>33</v>
      </c>
      <c r="H12" s="75" t="s">
        <v>43</v>
      </c>
      <c r="I12" s="82"/>
      <c r="J12" s="83"/>
      <c r="K12" s="81"/>
      <c r="L12" s="81"/>
      <c r="M12" s="81"/>
      <c r="N12" s="81"/>
      <c r="O12" s="83"/>
      <c r="P12" s="83"/>
      <c r="Q12" s="83"/>
    </row>
    <row r="13" spans="2:17" ht="81.5" x14ac:dyDescent="0.35">
      <c r="B13" s="228" t="s">
        <v>5</v>
      </c>
      <c r="C13" s="193"/>
      <c r="D13" s="194" t="s">
        <v>253</v>
      </c>
      <c r="E13" s="195" t="s">
        <v>24</v>
      </c>
      <c r="F13" s="212" t="s">
        <v>864</v>
      </c>
      <c r="G13" s="83" t="s">
        <v>33</v>
      </c>
      <c r="H13" s="75" t="s">
        <v>43</v>
      </c>
      <c r="I13" s="82"/>
      <c r="J13" s="83"/>
      <c r="K13" s="81"/>
      <c r="L13" s="81"/>
      <c r="M13" s="81"/>
      <c r="N13" s="81"/>
      <c r="O13" s="83"/>
      <c r="P13" s="83"/>
      <c r="Q13" s="83"/>
    </row>
    <row r="14" spans="2:17" ht="81.5" x14ac:dyDescent="0.35">
      <c r="B14" s="228" t="s">
        <v>5</v>
      </c>
      <c r="C14" s="193"/>
      <c r="D14" s="194" t="s">
        <v>254</v>
      </c>
      <c r="E14" s="195" t="s">
        <v>24</v>
      </c>
      <c r="F14" s="212" t="s">
        <v>865</v>
      </c>
      <c r="G14" s="83" t="s">
        <v>33</v>
      </c>
      <c r="H14" s="75" t="s">
        <v>43</v>
      </c>
      <c r="I14" s="82"/>
      <c r="J14" s="83"/>
      <c r="K14" s="81"/>
      <c r="L14" s="81"/>
      <c r="M14" s="81"/>
      <c r="N14" s="81"/>
      <c r="O14" s="83"/>
      <c r="P14" s="83"/>
      <c r="Q14" s="83"/>
    </row>
    <row r="15" spans="2:17" ht="101.5" x14ac:dyDescent="0.35">
      <c r="B15" s="228" t="s">
        <v>5</v>
      </c>
      <c r="C15" s="193"/>
      <c r="D15" s="194" t="s">
        <v>255</v>
      </c>
      <c r="E15" s="195" t="s">
        <v>24</v>
      </c>
      <c r="F15" s="212" t="s">
        <v>866</v>
      </c>
      <c r="G15" s="83" t="s">
        <v>33</v>
      </c>
      <c r="H15" s="75" t="s">
        <v>43</v>
      </c>
      <c r="I15" s="82"/>
      <c r="J15" s="83"/>
      <c r="K15" s="81"/>
      <c r="L15" s="81"/>
      <c r="M15" s="81"/>
      <c r="N15" s="81"/>
      <c r="O15" s="83"/>
      <c r="P15" s="83"/>
      <c r="Q15" s="83"/>
    </row>
    <row r="16" spans="2:17" ht="91.5" x14ac:dyDescent="0.35">
      <c r="B16" s="228" t="s">
        <v>5</v>
      </c>
      <c r="C16" s="193"/>
      <c r="D16" s="194" t="s">
        <v>256</v>
      </c>
      <c r="E16" s="195" t="s">
        <v>24</v>
      </c>
      <c r="F16" s="212" t="s">
        <v>867</v>
      </c>
      <c r="G16" s="83" t="s">
        <v>33</v>
      </c>
      <c r="H16" s="75" t="s">
        <v>43</v>
      </c>
      <c r="I16" s="82"/>
      <c r="J16" s="83"/>
      <c r="K16" s="81"/>
      <c r="L16" s="81"/>
      <c r="M16" s="81"/>
      <c r="N16" s="81"/>
      <c r="O16" s="83"/>
      <c r="P16" s="83"/>
      <c r="Q16" s="83"/>
    </row>
    <row r="17" spans="2:17" ht="71.5" x14ac:dyDescent="0.35">
      <c r="B17" s="228" t="s">
        <v>5</v>
      </c>
      <c r="C17" s="193"/>
      <c r="D17" s="194" t="s">
        <v>639</v>
      </c>
      <c r="E17" s="195" t="s">
        <v>24</v>
      </c>
      <c r="F17" s="212" t="s">
        <v>868</v>
      </c>
      <c r="G17" s="83" t="s">
        <v>33</v>
      </c>
      <c r="H17" s="75" t="s">
        <v>43</v>
      </c>
      <c r="I17" s="82"/>
      <c r="J17" s="83"/>
      <c r="K17" s="81"/>
      <c r="L17" s="81"/>
      <c r="M17" s="81"/>
      <c r="N17" s="81"/>
      <c r="O17" s="83"/>
      <c r="P17" s="83"/>
      <c r="Q17" s="83"/>
    </row>
    <row r="18" spans="2:17" ht="102" x14ac:dyDescent="0.35">
      <c r="B18" s="228" t="s">
        <v>5</v>
      </c>
      <c r="C18" s="189" t="s">
        <v>243</v>
      </c>
      <c r="D18" s="190" t="s">
        <v>260</v>
      </c>
      <c r="E18" s="191" t="s">
        <v>24</v>
      </c>
      <c r="F18" s="206" t="s">
        <v>869</v>
      </c>
      <c r="G18" s="79" t="s">
        <v>33</v>
      </c>
      <c r="H18" s="74" t="s">
        <v>43</v>
      </c>
      <c r="I18" s="78"/>
      <c r="J18" s="79"/>
      <c r="K18" s="77"/>
      <c r="L18" s="77"/>
      <c r="M18" s="77"/>
      <c r="N18" s="77"/>
      <c r="O18" s="79"/>
      <c r="P18" s="79"/>
      <c r="Q18" s="79"/>
    </row>
    <row r="19" spans="2:17" ht="102" x14ac:dyDescent="0.35">
      <c r="B19" s="228" t="s">
        <v>5</v>
      </c>
      <c r="C19" s="189"/>
      <c r="D19" s="190" t="s">
        <v>261</v>
      </c>
      <c r="E19" s="191" t="s">
        <v>24</v>
      </c>
      <c r="F19" s="213" t="s">
        <v>870</v>
      </c>
      <c r="G19" s="79" t="s">
        <v>33</v>
      </c>
      <c r="H19" s="74" t="s">
        <v>43</v>
      </c>
      <c r="I19" s="78"/>
      <c r="J19" s="79"/>
      <c r="K19" s="77"/>
      <c r="L19" s="77"/>
      <c r="M19" s="77"/>
      <c r="N19" s="77"/>
      <c r="O19" s="79"/>
      <c r="P19" s="79"/>
      <c r="Q19" s="79"/>
    </row>
    <row r="20" spans="2:17" ht="102" x14ac:dyDescent="0.35">
      <c r="B20" s="228" t="s">
        <v>5</v>
      </c>
      <c r="C20" s="189"/>
      <c r="D20" s="190" t="s">
        <v>262</v>
      </c>
      <c r="E20" s="191" t="s">
        <v>24</v>
      </c>
      <c r="F20" s="206" t="s">
        <v>871</v>
      </c>
      <c r="G20" s="79" t="s">
        <v>33</v>
      </c>
      <c r="H20" s="74" t="s">
        <v>43</v>
      </c>
      <c r="I20" s="78"/>
      <c r="J20" s="79"/>
      <c r="K20" s="77"/>
      <c r="L20" s="77"/>
      <c r="M20" s="77"/>
      <c r="N20" s="77"/>
      <c r="O20" s="79"/>
      <c r="P20" s="79"/>
      <c r="Q20" s="79"/>
    </row>
    <row r="21" spans="2:17" ht="112.5" x14ac:dyDescent="0.35">
      <c r="B21" s="228" t="s">
        <v>5</v>
      </c>
      <c r="C21" s="189"/>
      <c r="D21" s="190" t="s">
        <v>263</v>
      </c>
      <c r="E21" s="191" t="s">
        <v>24</v>
      </c>
      <c r="F21" s="206" t="s">
        <v>872</v>
      </c>
      <c r="G21" s="79" t="s">
        <v>33</v>
      </c>
      <c r="H21" s="74" t="s">
        <v>43</v>
      </c>
      <c r="I21" s="78"/>
      <c r="J21" s="79"/>
      <c r="K21" s="77"/>
      <c r="L21" s="77"/>
      <c r="M21" s="77"/>
      <c r="N21" s="77"/>
      <c r="O21" s="79"/>
      <c r="P21" s="79"/>
      <c r="Q21" s="79"/>
    </row>
    <row r="22" spans="2:17" ht="112.5" x14ac:dyDescent="0.35">
      <c r="B22" s="228" t="s">
        <v>5</v>
      </c>
      <c r="C22" s="189"/>
      <c r="D22" s="190" t="s">
        <v>257</v>
      </c>
      <c r="E22" s="191" t="s">
        <v>24</v>
      </c>
      <c r="F22" s="213" t="s">
        <v>873</v>
      </c>
      <c r="G22" s="79" t="s">
        <v>33</v>
      </c>
      <c r="H22" s="74" t="s">
        <v>43</v>
      </c>
      <c r="I22" s="78"/>
      <c r="J22" s="79"/>
      <c r="K22" s="77"/>
      <c r="L22" s="77"/>
      <c r="M22" s="77"/>
      <c r="N22" s="77"/>
      <c r="O22" s="79"/>
      <c r="P22" s="79"/>
      <c r="Q22" s="79"/>
    </row>
    <row r="23" spans="2:17" ht="81.5" x14ac:dyDescent="0.35">
      <c r="B23" s="228" t="s">
        <v>5</v>
      </c>
      <c r="C23" s="189"/>
      <c r="D23" s="190" t="s">
        <v>264</v>
      </c>
      <c r="E23" s="191" t="s">
        <v>24</v>
      </c>
      <c r="F23" s="206" t="s">
        <v>874</v>
      </c>
      <c r="G23" s="79" t="s">
        <v>33</v>
      </c>
      <c r="H23" s="74" t="s">
        <v>43</v>
      </c>
      <c r="I23" s="78"/>
      <c r="J23" s="79"/>
      <c r="K23" s="77"/>
      <c r="L23" s="77"/>
      <c r="M23" s="77"/>
      <c r="N23" s="77"/>
      <c r="O23" s="79"/>
      <c r="P23" s="79"/>
      <c r="Q23" s="79"/>
    </row>
    <row r="24" spans="2:17" ht="82" x14ac:dyDescent="0.35">
      <c r="B24" s="228" t="s">
        <v>5</v>
      </c>
      <c r="C24" s="189"/>
      <c r="D24" s="190" t="s">
        <v>265</v>
      </c>
      <c r="E24" s="191" t="s">
        <v>24</v>
      </c>
      <c r="F24" s="213" t="s">
        <v>875</v>
      </c>
      <c r="G24" s="79" t="s">
        <v>33</v>
      </c>
      <c r="H24" s="74" t="s">
        <v>43</v>
      </c>
      <c r="I24" s="78"/>
      <c r="J24" s="79"/>
      <c r="K24" s="77"/>
      <c r="L24" s="77"/>
      <c r="M24" s="77"/>
      <c r="N24" s="77"/>
      <c r="O24" s="79"/>
      <c r="P24" s="79"/>
      <c r="Q24" s="79"/>
    </row>
    <row r="25" spans="2:17" ht="52.5" x14ac:dyDescent="0.35">
      <c r="B25" s="228" t="s">
        <v>5</v>
      </c>
      <c r="C25" s="189"/>
      <c r="D25" s="190" t="s">
        <v>266</v>
      </c>
      <c r="E25" s="191" t="s">
        <v>24</v>
      </c>
      <c r="F25" s="213" t="s">
        <v>258</v>
      </c>
      <c r="G25" s="79" t="s">
        <v>33</v>
      </c>
      <c r="H25" s="74" t="s">
        <v>43</v>
      </c>
      <c r="I25" s="78"/>
      <c r="J25" s="79"/>
      <c r="K25" s="77"/>
      <c r="L25" s="77"/>
      <c r="M25" s="77"/>
      <c r="N25" s="77"/>
      <c r="O25" s="79"/>
      <c r="P25" s="79"/>
      <c r="Q25" s="79"/>
    </row>
    <row r="26" spans="2:17" ht="31.5" x14ac:dyDescent="0.35">
      <c r="B26" s="228" t="s">
        <v>5</v>
      </c>
      <c r="C26" s="189"/>
      <c r="D26" s="190" t="s">
        <v>267</v>
      </c>
      <c r="E26" s="191" t="s">
        <v>24</v>
      </c>
      <c r="F26" s="213" t="s">
        <v>259</v>
      </c>
      <c r="G26" s="79" t="s">
        <v>33</v>
      </c>
      <c r="H26" s="74" t="s">
        <v>43</v>
      </c>
      <c r="I26" s="78"/>
      <c r="J26" s="79"/>
      <c r="K26" s="77"/>
      <c r="L26" s="77"/>
      <c r="M26" s="77"/>
      <c r="N26" s="77"/>
      <c r="O26" s="79"/>
      <c r="P26" s="79"/>
      <c r="Q26" s="79"/>
    </row>
    <row r="27" spans="2:17" ht="91.5" x14ac:dyDescent="0.35">
      <c r="B27" s="228" t="s">
        <v>5</v>
      </c>
      <c r="C27" s="193" t="s">
        <v>244</v>
      </c>
      <c r="D27" s="194" t="s">
        <v>268</v>
      </c>
      <c r="E27" s="195" t="s">
        <v>24</v>
      </c>
      <c r="F27" s="199" t="s">
        <v>876</v>
      </c>
      <c r="G27" s="83" t="s">
        <v>33</v>
      </c>
      <c r="H27" s="75" t="s">
        <v>43</v>
      </c>
      <c r="I27" s="82"/>
      <c r="J27" s="83"/>
      <c r="K27" s="81"/>
      <c r="L27" s="81"/>
      <c r="M27" s="81"/>
      <c r="N27" s="81"/>
      <c r="O27" s="83"/>
      <c r="P27" s="83"/>
      <c r="Q27" s="83"/>
    </row>
    <row r="28" spans="2:17" ht="102" x14ac:dyDescent="0.35">
      <c r="B28" s="228" t="s">
        <v>5</v>
      </c>
      <c r="C28" s="193"/>
      <c r="D28" s="194" t="s">
        <v>269</v>
      </c>
      <c r="E28" s="195" t="s">
        <v>24</v>
      </c>
      <c r="F28" s="199" t="s">
        <v>877</v>
      </c>
      <c r="G28" s="83" t="s">
        <v>33</v>
      </c>
      <c r="H28" s="75" t="s">
        <v>43</v>
      </c>
      <c r="I28" s="82"/>
      <c r="J28" s="83"/>
      <c r="K28" s="81"/>
      <c r="L28" s="81"/>
      <c r="M28" s="81"/>
      <c r="N28" s="81"/>
      <c r="O28" s="83"/>
      <c r="P28" s="83"/>
      <c r="Q28" s="83"/>
    </row>
    <row r="29" spans="2:17" ht="102" x14ac:dyDescent="0.35">
      <c r="B29" s="228" t="s">
        <v>5</v>
      </c>
      <c r="C29" s="193"/>
      <c r="D29" s="194" t="s">
        <v>270</v>
      </c>
      <c r="E29" s="195" t="s">
        <v>24</v>
      </c>
      <c r="F29" s="199" t="s">
        <v>878</v>
      </c>
      <c r="G29" s="83" t="s">
        <v>33</v>
      </c>
      <c r="H29" s="75" t="s">
        <v>43</v>
      </c>
      <c r="I29" s="82"/>
      <c r="J29" s="83"/>
      <c r="K29" s="81"/>
      <c r="L29" s="81"/>
      <c r="M29" s="81"/>
      <c r="N29" s="81"/>
      <c r="O29" s="83"/>
      <c r="P29" s="83"/>
      <c r="Q29" s="83"/>
    </row>
    <row r="30" spans="2:17" ht="112.5" x14ac:dyDescent="0.35">
      <c r="B30" s="228" t="s">
        <v>5</v>
      </c>
      <c r="C30" s="193"/>
      <c r="D30" s="194" t="s">
        <v>271</v>
      </c>
      <c r="E30" s="195" t="s">
        <v>24</v>
      </c>
      <c r="F30" s="199" t="s">
        <v>879</v>
      </c>
      <c r="G30" s="83" t="s">
        <v>33</v>
      </c>
      <c r="H30" s="75" t="s">
        <v>43</v>
      </c>
      <c r="I30" s="82"/>
      <c r="J30" s="83"/>
      <c r="K30" s="81"/>
      <c r="L30" s="81"/>
      <c r="M30" s="81"/>
      <c r="N30" s="81"/>
      <c r="O30" s="83"/>
      <c r="P30" s="83"/>
      <c r="Q30" s="83"/>
    </row>
    <row r="31" spans="2:17" ht="112.5" x14ac:dyDescent="0.35">
      <c r="B31" s="228" t="s">
        <v>5</v>
      </c>
      <c r="C31" s="193"/>
      <c r="D31" s="194" t="s">
        <v>272</v>
      </c>
      <c r="E31" s="195" t="s">
        <v>24</v>
      </c>
      <c r="F31" s="199" t="s">
        <v>880</v>
      </c>
      <c r="G31" s="83" t="s">
        <v>33</v>
      </c>
      <c r="H31" s="75" t="s">
        <v>43</v>
      </c>
      <c r="I31" s="82"/>
      <c r="J31" s="83"/>
      <c r="K31" s="81"/>
      <c r="L31" s="81"/>
      <c r="M31" s="81"/>
      <c r="N31" s="81"/>
      <c r="O31" s="83"/>
      <c r="P31" s="83"/>
      <c r="Q31" s="83"/>
    </row>
    <row r="32" spans="2:17" ht="81.5" x14ac:dyDescent="0.35">
      <c r="B32" s="228" t="s">
        <v>5</v>
      </c>
      <c r="C32" s="193"/>
      <c r="D32" s="194" t="s">
        <v>273</v>
      </c>
      <c r="E32" s="195" t="s">
        <v>24</v>
      </c>
      <c r="F32" s="199" t="s">
        <v>881</v>
      </c>
      <c r="G32" s="83" t="s">
        <v>33</v>
      </c>
      <c r="H32" s="75" t="s">
        <v>43</v>
      </c>
      <c r="I32" s="82"/>
      <c r="J32" s="83"/>
      <c r="K32" s="81"/>
      <c r="L32" s="81"/>
      <c r="M32" s="81"/>
      <c r="N32" s="81"/>
      <c r="O32" s="83"/>
      <c r="P32" s="83"/>
      <c r="Q32" s="83"/>
    </row>
    <row r="33" spans="2:17" ht="102" x14ac:dyDescent="0.35">
      <c r="B33" s="228" t="s">
        <v>5</v>
      </c>
      <c r="C33" s="193"/>
      <c r="D33" s="194" t="s">
        <v>274</v>
      </c>
      <c r="E33" s="195" t="s">
        <v>24</v>
      </c>
      <c r="F33" s="212" t="s">
        <v>882</v>
      </c>
      <c r="G33" s="83" t="s">
        <v>33</v>
      </c>
      <c r="H33" s="75" t="s">
        <v>43</v>
      </c>
      <c r="I33" s="82"/>
      <c r="J33" s="83"/>
      <c r="K33" s="81"/>
      <c r="L33" s="81"/>
      <c r="M33" s="81"/>
      <c r="N33" s="81"/>
      <c r="O33" s="83"/>
      <c r="P33" s="83"/>
      <c r="Q33" s="83"/>
    </row>
    <row r="34" spans="2:17" ht="82" x14ac:dyDescent="0.35">
      <c r="B34" s="228" t="s">
        <v>5</v>
      </c>
      <c r="C34" s="189" t="s">
        <v>245</v>
      </c>
      <c r="D34" s="190" t="s">
        <v>275</v>
      </c>
      <c r="E34" s="191" t="s">
        <v>24</v>
      </c>
      <c r="F34" s="214" t="s">
        <v>883</v>
      </c>
      <c r="G34" s="79" t="s">
        <v>33</v>
      </c>
      <c r="H34" s="74" t="s">
        <v>43</v>
      </c>
      <c r="I34" s="78"/>
      <c r="J34" s="79"/>
      <c r="K34" s="77"/>
      <c r="L34" s="77"/>
      <c r="M34" s="77"/>
      <c r="N34" s="77"/>
      <c r="O34" s="79"/>
      <c r="P34" s="79"/>
      <c r="Q34" s="79"/>
    </row>
    <row r="35" spans="2:17" ht="71.5" x14ac:dyDescent="0.35">
      <c r="B35" s="228" t="s">
        <v>5</v>
      </c>
      <c r="C35" s="189"/>
      <c r="D35" s="190" t="s">
        <v>276</v>
      </c>
      <c r="E35" s="191" t="s">
        <v>24</v>
      </c>
      <c r="F35" s="214" t="s">
        <v>277</v>
      </c>
      <c r="G35" s="79" t="s">
        <v>33</v>
      </c>
      <c r="H35" s="74" t="s">
        <v>43</v>
      </c>
      <c r="I35" s="78"/>
      <c r="J35" s="79"/>
      <c r="K35" s="77"/>
      <c r="L35" s="77"/>
      <c r="M35" s="77"/>
      <c r="N35" s="77"/>
      <c r="O35" s="79"/>
      <c r="P35" s="79"/>
      <c r="Q35" s="79"/>
    </row>
    <row r="36" spans="2:17" ht="101.5" x14ac:dyDescent="0.35">
      <c r="B36" s="228" t="s">
        <v>5</v>
      </c>
      <c r="C36" s="193" t="s">
        <v>246</v>
      </c>
      <c r="D36" s="194" t="s">
        <v>278</v>
      </c>
      <c r="E36" s="195" t="s">
        <v>24</v>
      </c>
      <c r="F36" s="212" t="s">
        <v>884</v>
      </c>
      <c r="G36" s="83" t="s">
        <v>33</v>
      </c>
      <c r="H36" s="75" t="s">
        <v>43</v>
      </c>
      <c r="I36" s="82"/>
      <c r="J36" s="83"/>
      <c r="K36" s="81"/>
      <c r="L36" s="81"/>
      <c r="M36" s="81"/>
      <c r="N36" s="81"/>
      <c r="O36" s="83"/>
      <c r="P36" s="83"/>
      <c r="Q36" s="83"/>
    </row>
    <row r="37" spans="2:17" ht="82" x14ac:dyDescent="0.35">
      <c r="B37" s="228" t="s">
        <v>5</v>
      </c>
      <c r="C37" s="193"/>
      <c r="D37" s="194" t="s">
        <v>279</v>
      </c>
      <c r="E37" s="195" t="s">
        <v>24</v>
      </c>
      <c r="F37" s="212" t="s">
        <v>885</v>
      </c>
      <c r="G37" s="83" t="s">
        <v>33</v>
      </c>
      <c r="H37" s="75" t="s">
        <v>43</v>
      </c>
      <c r="I37" s="82"/>
      <c r="J37" s="83"/>
      <c r="K37" s="81"/>
      <c r="L37" s="81"/>
      <c r="M37" s="81"/>
      <c r="N37" s="81"/>
      <c r="O37" s="83"/>
      <c r="P37" s="83"/>
      <c r="Q37" s="83"/>
    </row>
    <row r="38" spans="2:17" ht="82" x14ac:dyDescent="0.35">
      <c r="B38" s="228" t="s">
        <v>5</v>
      </c>
      <c r="C38" s="193"/>
      <c r="D38" s="194" t="s">
        <v>280</v>
      </c>
      <c r="E38" s="195" t="s">
        <v>24</v>
      </c>
      <c r="F38" s="199" t="s">
        <v>886</v>
      </c>
      <c r="G38" s="83" t="s">
        <v>33</v>
      </c>
      <c r="H38" s="75" t="s">
        <v>43</v>
      </c>
      <c r="I38" s="82"/>
      <c r="J38" s="83"/>
      <c r="K38" s="81"/>
      <c r="L38" s="81"/>
      <c r="M38" s="81"/>
      <c r="N38" s="81"/>
      <c r="O38" s="83"/>
      <c r="P38" s="83"/>
      <c r="Q38" s="83"/>
    </row>
    <row r="39" spans="2:17" ht="112" x14ac:dyDescent="0.35">
      <c r="B39" s="228" t="s">
        <v>5</v>
      </c>
      <c r="C39" s="193"/>
      <c r="D39" s="194" t="s">
        <v>281</v>
      </c>
      <c r="E39" s="195" t="s">
        <v>24</v>
      </c>
      <c r="F39" s="199" t="s">
        <v>887</v>
      </c>
      <c r="G39" s="83" t="s">
        <v>33</v>
      </c>
      <c r="H39" s="75" t="s">
        <v>43</v>
      </c>
      <c r="I39" s="82"/>
      <c r="J39" s="83"/>
      <c r="K39" s="81"/>
      <c r="L39" s="81"/>
      <c r="M39" s="81"/>
      <c r="N39" s="81"/>
      <c r="O39" s="83"/>
      <c r="P39" s="83"/>
      <c r="Q39" s="83"/>
    </row>
    <row r="40" spans="2:17" ht="141.5" x14ac:dyDescent="0.35">
      <c r="B40" s="228" t="s">
        <v>5</v>
      </c>
      <c r="C40" s="193"/>
      <c r="D40" s="194" t="s">
        <v>282</v>
      </c>
      <c r="E40" s="195" t="s">
        <v>24</v>
      </c>
      <c r="F40" s="212" t="s">
        <v>888</v>
      </c>
      <c r="G40" s="83" t="s">
        <v>33</v>
      </c>
      <c r="H40" s="75" t="s">
        <v>43</v>
      </c>
      <c r="I40" s="82"/>
      <c r="J40" s="83"/>
      <c r="K40" s="81"/>
      <c r="L40" s="81"/>
      <c r="M40" s="81"/>
      <c r="N40" s="81"/>
      <c r="O40" s="83"/>
      <c r="P40" s="83"/>
      <c r="Q40" s="83"/>
    </row>
    <row r="41" spans="2:17" ht="84" x14ac:dyDescent="0.35">
      <c r="B41" s="228" t="s">
        <v>5</v>
      </c>
      <c r="C41" s="193"/>
      <c r="D41" s="194" t="s">
        <v>283</v>
      </c>
      <c r="E41" s="195" t="s">
        <v>24</v>
      </c>
      <c r="F41" s="212" t="s">
        <v>889</v>
      </c>
      <c r="G41" s="83" t="s">
        <v>33</v>
      </c>
      <c r="H41" s="75" t="s">
        <v>43</v>
      </c>
      <c r="I41" s="84"/>
      <c r="J41" s="83"/>
      <c r="K41" s="81"/>
      <c r="L41" s="81"/>
      <c r="M41" s="81"/>
      <c r="N41" s="81"/>
      <c r="O41" s="83"/>
      <c r="P41" s="83"/>
      <c r="Q41" s="83"/>
    </row>
    <row r="42" spans="2:17" ht="161.5" x14ac:dyDescent="0.35">
      <c r="B42" s="228" t="s">
        <v>5</v>
      </c>
      <c r="C42" s="193"/>
      <c r="D42" s="194" t="s">
        <v>284</v>
      </c>
      <c r="E42" s="195" t="s">
        <v>24</v>
      </c>
      <c r="F42" s="212" t="s">
        <v>890</v>
      </c>
      <c r="G42" s="83" t="s">
        <v>33</v>
      </c>
      <c r="H42" s="75" t="s">
        <v>43</v>
      </c>
      <c r="I42" s="82"/>
      <c r="J42" s="83"/>
      <c r="K42" s="81"/>
      <c r="L42" s="81"/>
      <c r="M42" s="81"/>
      <c r="N42" s="81"/>
      <c r="O42" s="83"/>
      <c r="P42" s="83"/>
      <c r="Q42" s="83"/>
    </row>
    <row r="43" spans="2:17" ht="52.5" x14ac:dyDescent="0.35">
      <c r="B43" s="228" t="s">
        <v>5</v>
      </c>
      <c r="C43" s="193"/>
      <c r="D43" s="194" t="s">
        <v>285</v>
      </c>
      <c r="E43" s="195" t="s">
        <v>24</v>
      </c>
      <c r="F43" s="212" t="s">
        <v>891</v>
      </c>
      <c r="G43" s="83" t="s">
        <v>33</v>
      </c>
      <c r="H43" s="75" t="s">
        <v>43</v>
      </c>
      <c r="I43" s="82"/>
      <c r="J43" s="83"/>
      <c r="K43" s="81"/>
      <c r="L43" s="81"/>
      <c r="M43" s="81"/>
      <c r="N43" s="81"/>
      <c r="O43" s="83"/>
      <c r="P43" s="83"/>
      <c r="Q43" s="83"/>
    </row>
    <row r="44" spans="2:17" ht="84" x14ac:dyDescent="0.35">
      <c r="B44" s="228" t="s">
        <v>5</v>
      </c>
      <c r="C44" s="193"/>
      <c r="D44" s="194" t="s">
        <v>640</v>
      </c>
      <c r="E44" s="195" t="s">
        <v>24</v>
      </c>
      <c r="F44" s="212" t="s">
        <v>892</v>
      </c>
      <c r="G44" s="83" t="s">
        <v>33</v>
      </c>
      <c r="H44" s="75" t="s">
        <v>43</v>
      </c>
      <c r="I44" s="82"/>
      <c r="J44" s="83"/>
      <c r="K44" s="81"/>
      <c r="L44" s="81"/>
      <c r="M44" s="81"/>
      <c r="N44" s="81"/>
      <c r="O44" s="83"/>
      <c r="P44" s="83"/>
      <c r="Q44" s="83"/>
    </row>
    <row r="45" spans="2:17" ht="122" x14ac:dyDescent="0.35">
      <c r="B45" s="228" t="s">
        <v>5</v>
      </c>
      <c r="C45" s="193"/>
      <c r="D45" s="194" t="s">
        <v>641</v>
      </c>
      <c r="E45" s="195" t="s">
        <v>24</v>
      </c>
      <c r="F45" s="212" t="s">
        <v>893</v>
      </c>
      <c r="G45" s="83" t="s">
        <v>33</v>
      </c>
      <c r="H45" s="75" t="s">
        <v>43</v>
      </c>
      <c r="I45" s="82"/>
      <c r="J45" s="83"/>
      <c r="K45" s="81"/>
      <c r="L45" s="81"/>
      <c r="M45" s="81"/>
      <c r="N45" s="81"/>
      <c r="O45" s="83"/>
      <c r="P45" s="83"/>
      <c r="Q45" s="83"/>
    </row>
    <row r="46" spans="2:17" ht="111.5" x14ac:dyDescent="0.35">
      <c r="B46" s="228" t="s">
        <v>5</v>
      </c>
      <c r="C46" s="189" t="s">
        <v>286</v>
      </c>
      <c r="D46" s="190" t="s">
        <v>287</v>
      </c>
      <c r="E46" s="191" t="s">
        <v>24</v>
      </c>
      <c r="F46" s="206" t="s">
        <v>894</v>
      </c>
      <c r="G46" s="79" t="s">
        <v>33</v>
      </c>
      <c r="H46" s="74" t="s">
        <v>43</v>
      </c>
      <c r="I46" s="78"/>
      <c r="J46" s="79"/>
      <c r="K46" s="77"/>
      <c r="L46" s="77"/>
      <c r="M46" s="77"/>
      <c r="N46" s="77"/>
      <c r="O46" s="79"/>
      <c r="P46" s="79"/>
      <c r="Q46" s="79"/>
    </row>
    <row r="47" spans="2:17" ht="91.5" x14ac:dyDescent="0.35">
      <c r="B47" s="228" t="s">
        <v>5</v>
      </c>
      <c r="C47" s="189"/>
      <c r="D47" s="190" t="s">
        <v>288</v>
      </c>
      <c r="E47" s="191" t="s">
        <v>24</v>
      </c>
      <c r="F47" s="213" t="s">
        <v>895</v>
      </c>
      <c r="G47" s="79" t="s">
        <v>33</v>
      </c>
      <c r="H47" s="74" t="s">
        <v>43</v>
      </c>
      <c r="I47" s="78"/>
      <c r="J47" s="79"/>
      <c r="K47" s="77"/>
      <c r="L47" s="77"/>
      <c r="M47" s="77"/>
      <c r="N47" s="77"/>
      <c r="O47" s="79"/>
      <c r="P47" s="79"/>
      <c r="Q47" s="79"/>
    </row>
    <row r="48" spans="2:17" ht="111.5" x14ac:dyDescent="0.35">
      <c r="B48" s="228" t="s">
        <v>5</v>
      </c>
      <c r="C48" s="189"/>
      <c r="D48" s="190" t="s">
        <v>289</v>
      </c>
      <c r="E48" s="191" t="s">
        <v>24</v>
      </c>
      <c r="F48" s="206" t="s">
        <v>896</v>
      </c>
      <c r="G48" s="79" t="s">
        <v>33</v>
      </c>
      <c r="H48" s="74" t="s">
        <v>43</v>
      </c>
      <c r="I48" s="78"/>
      <c r="J48" s="79"/>
      <c r="K48" s="77"/>
      <c r="L48" s="77"/>
      <c r="M48" s="77"/>
      <c r="N48" s="77"/>
      <c r="O48" s="79"/>
      <c r="P48" s="79"/>
      <c r="Q48" s="79"/>
    </row>
    <row r="49" spans="2:17" ht="122" x14ac:dyDescent="0.35">
      <c r="B49" s="228" t="s">
        <v>5</v>
      </c>
      <c r="C49" s="189"/>
      <c r="D49" s="190" t="s">
        <v>290</v>
      </c>
      <c r="E49" s="191" t="s">
        <v>24</v>
      </c>
      <c r="F49" s="213" t="s">
        <v>897</v>
      </c>
      <c r="G49" s="79" t="s">
        <v>33</v>
      </c>
      <c r="H49" s="74" t="s">
        <v>43</v>
      </c>
      <c r="I49" s="78"/>
      <c r="J49" s="79"/>
      <c r="K49" s="77"/>
      <c r="L49" s="77"/>
      <c r="M49" s="77"/>
      <c r="N49" s="77"/>
      <c r="O49" s="79"/>
      <c r="P49" s="79"/>
      <c r="Q49" s="79"/>
    </row>
    <row r="50" spans="2:17" ht="131.5" x14ac:dyDescent="0.35">
      <c r="B50" s="228" t="s">
        <v>5</v>
      </c>
      <c r="C50" s="189"/>
      <c r="D50" s="190" t="s">
        <v>291</v>
      </c>
      <c r="E50" s="191" t="s">
        <v>24</v>
      </c>
      <c r="F50" s="206" t="s">
        <v>898</v>
      </c>
      <c r="G50" s="79" t="s">
        <v>33</v>
      </c>
      <c r="H50" s="74" t="s">
        <v>43</v>
      </c>
      <c r="I50" s="78"/>
      <c r="J50" s="79"/>
      <c r="K50" s="77"/>
      <c r="L50" s="77"/>
      <c r="M50" s="77"/>
      <c r="N50" s="77"/>
      <c r="O50" s="79"/>
      <c r="P50" s="79"/>
      <c r="Q50" s="79"/>
    </row>
    <row r="51" spans="2:17" ht="151.5" x14ac:dyDescent="0.35">
      <c r="B51" s="228" t="s">
        <v>5</v>
      </c>
      <c r="C51" s="189"/>
      <c r="D51" s="190" t="s">
        <v>292</v>
      </c>
      <c r="E51" s="191" t="s">
        <v>24</v>
      </c>
      <c r="F51" s="213" t="s">
        <v>899</v>
      </c>
      <c r="G51" s="79" t="s">
        <v>33</v>
      </c>
      <c r="H51" s="74" t="s">
        <v>43</v>
      </c>
      <c r="I51" s="78"/>
      <c r="J51" s="79"/>
      <c r="K51" s="77"/>
      <c r="L51" s="77"/>
      <c r="M51" s="77"/>
      <c r="N51" s="77"/>
      <c r="O51" s="79"/>
      <c r="P51" s="79"/>
      <c r="Q51" s="79"/>
    </row>
    <row r="52" spans="2:17" ht="63" x14ac:dyDescent="0.35">
      <c r="B52" s="228" t="s">
        <v>5</v>
      </c>
      <c r="C52" s="193" t="s">
        <v>293</v>
      </c>
      <c r="D52" s="194" t="s">
        <v>294</v>
      </c>
      <c r="E52" s="195" t="s">
        <v>25</v>
      </c>
      <c r="F52" s="212" t="s">
        <v>900</v>
      </c>
      <c r="G52" s="83" t="s">
        <v>33</v>
      </c>
      <c r="H52" s="75" t="s">
        <v>43</v>
      </c>
      <c r="I52" s="82"/>
      <c r="J52" s="83"/>
      <c r="K52" s="81"/>
      <c r="L52" s="81"/>
      <c r="M52" s="81"/>
      <c r="N52" s="81"/>
      <c r="O52" s="83"/>
      <c r="P52" s="83"/>
      <c r="Q52" s="83"/>
    </row>
    <row r="53" spans="2:17" ht="52.5" x14ac:dyDescent="0.35">
      <c r="B53" s="228" t="s">
        <v>5</v>
      </c>
      <c r="C53" s="193"/>
      <c r="D53" s="194" t="s">
        <v>295</v>
      </c>
      <c r="E53" s="195" t="s">
        <v>25</v>
      </c>
      <c r="F53" s="212" t="s">
        <v>901</v>
      </c>
      <c r="G53" s="83" t="s">
        <v>33</v>
      </c>
      <c r="H53" s="75" t="s">
        <v>43</v>
      </c>
      <c r="I53" s="82"/>
      <c r="J53" s="83"/>
      <c r="K53" s="81"/>
      <c r="L53" s="81"/>
      <c r="M53" s="81"/>
      <c r="N53" s="81"/>
      <c r="O53" s="83"/>
      <c r="P53" s="83"/>
      <c r="Q53" s="83"/>
    </row>
    <row r="54" spans="2:17" ht="52.5" x14ac:dyDescent="0.35">
      <c r="B54" s="228" t="s">
        <v>5</v>
      </c>
      <c r="C54" s="193"/>
      <c r="D54" s="194" t="s">
        <v>296</v>
      </c>
      <c r="E54" s="195" t="s">
        <v>25</v>
      </c>
      <c r="F54" s="212" t="s">
        <v>902</v>
      </c>
      <c r="G54" s="83" t="s">
        <v>33</v>
      </c>
      <c r="H54" s="75" t="s">
        <v>43</v>
      </c>
      <c r="I54" s="82"/>
      <c r="J54" s="83"/>
      <c r="K54" s="81"/>
      <c r="L54" s="81"/>
      <c r="M54" s="81"/>
      <c r="N54" s="81"/>
      <c r="O54" s="83"/>
      <c r="P54" s="83"/>
      <c r="Q54" s="83"/>
    </row>
    <row r="55" spans="2:17" ht="63" x14ac:dyDescent="0.35">
      <c r="B55" s="228" t="s">
        <v>5</v>
      </c>
      <c r="C55" s="193"/>
      <c r="D55" s="194" t="s">
        <v>297</v>
      </c>
      <c r="E55" s="195" t="s">
        <v>25</v>
      </c>
      <c r="F55" s="212" t="s">
        <v>903</v>
      </c>
      <c r="G55" s="83" t="s">
        <v>33</v>
      </c>
      <c r="H55" s="75" t="s">
        <v>43</v>
      </c>
      <c r="I55" s="82"/>
      <c r="J55" s="83"/>
      <c r="K55" s="81"/>
      <c r="L55" s="81"/>
      <c r="M55" s="81"/>
      <c r="N55" s="81"/>
      <c r="O55" s="83"/>
      <c r="P55" s="83"/>
      <c r="Q55" s="83"/>
    </row>
    <row r="56" spans="2:17" ht="52.5" x14ac:dyDescent="0.35">
      <c r="B56" s="228" t="s">
        <v>5</v>
      </c>
      <c r="C56" s="193"/>
      <c r="D56" s="194" t="s">
        <v>298</v>
      </c>
      <c r="E56" s="195" t="s">
        <v>25</v>
      </c>
      <c r="F56" s="212" t="s">
        <v>904</v>
      </c>
      <c r="G56" s="83" t="s">
        <v>33</v>
      </c>
      <c r="H56" s="75" t="s">
        <v>43</v>
      </c>
      <c r="I56" s="82"/>
      <c r="J56" s="83"/>
      <c r="K56" s="81"/>
      <c r="L56" s="81"/>
      <c r="M56" s="81"/>
      <c r="N56" s="81"/>
      <c r="O56" s="83"/>
      <c r="P56" s="83"/>
      <c r="Q56" s="83"/>
    </row>
    <row r="57" spans="2:17" ht="152.5" x14ac:dyDescent="0.35">
      <c r="B57" s="228" t="s">
        <v>5</v>
      </c>
      <c r="C57" s="189" t="s">
        <v>299</v>
      </c>
      <c r="D57" s="190" t="s">
        <v>300</v>
      </c>
      <c r="E57" s="191" t="s">
        <v>24</v>
      </c>
      <c r="F57" s="213" t="s">
        <v>905</v>
      </c>
      <c r="G57" s="79" t="s">
        <v>33</v>
      </c>
      <c r="H57" s="74" t="s">
        <v>43</v>
      </c>
      <c r="I57" s="78"/>
      <c r="J57" s="79"/>
      <c r="K57" s="77"/>
      <c r="L57" s="77"/>
      <c r="M57" s="77"/>
      <c r="N57" s="77"/>
      <c r="O57" s="79"/>
      <c r="P57" s="79"/>
      <c r="Q57" s="79"/>
    </row>
    <row r="58" spans="2:17" ht="132.5" x14ac:dyDescent="0.35">
      <c r="B58" s="228" t="s">
        <v>5</v>
      </c>
      <c r="C58" s="189"/>
      <c r="D58" s="190" t="s">
        <v>301</v>
      </c>
      <c r="E58" s="191" t="s">
        <v>24</v>
      </c>
      <c r="F58" s="213" t="s">
        <v>906</v>
      </c>
      <c r="G58" s="79" t="s">
        <v>33</v>
      </c>
      <c r="H58" s="74" t="s">
        <v>43</v>
      </c>
      <c r="I58" s="78"/>
      <c r="J58" s="79"/>
      <c r="K58" s="77"/>
      <c r="L58" s="77"/>
      <c r="M58" s="77"/>
      <c r="N58" s="77"/>
      <c r="O58" s="79"/>
      <c r="P58" s="79"/>
      <c r="Q58" s="79"/>
    </row>
    <row r="59" spans="2:17" ht="122" x14ac:dyDescent="0.35">
      <c r="B59" s="228" t="s">
        <v>5</v>
      </c>
      <c r="C59" s="189"/>
      <c r="D59" s="190" t="s">
        <v>302</v>
      </c>
      <c r="E59" s="191" t="s">
        <v>24</v>
      </c>
      <c r="F59" s="215" t="s">
        <v>907</v>
      </c>
      <c r="G59" s="79" t="s">
        <v>33</v>
      </c>
      <c r="H59" s="74" t="s">
        <v>43</v>
      </c>
      <c r="I59" s="78"/>
      <c r="J59" s="79"/>
      <c r="K59" s="77"/>
      <c r="L59" s="77"/>
      <c r="M59" s="77"/>
      <c r="N59" s="77"/>
      <c r="O59" s="79"/>
      <c r="P59" s="79"/>
      <c r="Q59" s="79"/>
    </row>
    <row r="60" spans="2:17" ht="122" x14ac:dyDescent="0.35">
      <c r="B60" s="228" t="s">
        <v>5</v>
      </c>
      <c r="C60" s="189"/>
      <c r="D60" s="190" t="s">
        <v>303</v>
      </c>
      <c r="E60" s="191" t="s">
        <v>24</v>
      </c>
      <c r="F60" s="206" t="s">
        <v>908</v>
      </c>
      <c r="G60" s="79" t="s">
        <v>33</v>
      </c>
      <c r="H60" s="74" t="s">
        <v>43</v>
      </c>
      <c r="I60" s="78"/>
      <c r="J60" s="79"/>
      <c r="K60" s="77"/>
      <c r="L60" s="77"/>
      <c r="M60" s="77"/>
      <c r="N60" s="77"/>
      <c r="O60" s="79"/>
      <c r="P60" s="79"/>
      <c r="Q60" s="79"/>
    </row>
    <row r="61" spans="2:17" ht="122" x14ac:dyDescent="0.35">
      <c r="B61" s="228" t="s">
        <v>5</v>
      </c>
      <c r="C61" s="189"/>
      <c r="D61" s="190" t="s">
        <v>304</v>
      </c>
      <c r="E61" s="191" t="s">
        <v>24</v>
      </c>
      <c r="F61" s="206" t="s">
        <v>909</v>
      </c>
      <c r="G61" s="79" t="s">
        <v>33</v>
      </c>
      <c r="H61" s="74" t="s">
        <v>43</v>
      </c>
      <c r="I61" s="78"/>
      <c r="J61" s="79"/>
      <c r="K61" s="77"/>
      <c r="L61" s="77"/>
      <c r="M61" s="77"/>
      <c r="N61" s="77"/>
      <c r="O61" s="79"/>
      <c r="P61" s="79"/>
      <c r="Q61" s="79"/>
    </row>
    <row r="62" spans="2:17" ht="21" x14ac:dyDescent="0.35">
      <c r="B62" s="229" t="s">
        <v>39</v>
      </c>
      <c r="C62" s="193" t="s">
        <v>910</v>
      </c>
      <c r="D62" s="194" t="s">
        <v>305</v>
      </c>
      <c r="E62" s="195" t="s">
        <v>24</v>
      </c>
      <c r="F62" s="216" t="s">
        <v>911</v>
      </c>
      <c r="G62" s="83" t="s">
        <v>33</v>
      </c>
      <c r="H62" s="75" t="s">
        <v>43</v>
      </c>
      <c r="I62" s="82"/>
      <c r="J62" s="83"/>
      <c r="K62" s="81"/>
      <c r="L62" s="81"/>
      <c r="M62" s="81"/>
      <c r="N62" s="81"/>
      <c r="O62" s="83"/>
      <c r="P62" s="83"/>
      <c r="Q62" s="83"/>
    </row>
    <row r="63" spans="2:17" ht="32" thickBot="1" x14ac:dyDescent="0.4">
      <c r="B63" s="229" t="s">
        <v>39</v>
      </c>
      <c r="C63" s="189" t="s">
        <v>912</v>
      </c>
      <c r="D63" s="190" t="s">
        <v>306</v>
      </c>
      <c r="E63" s="191" t="s">
        <v>24</v>
      </c>
      <c r="F63" s="217" t="s">
        <v>913</v>
      </c>
      <c r="G63" s="79" t="s">
        <v>33</v>
      </c>
      <c r="H63" s="74" t="s">
        <v>43</v>
      </c>
      <c r="I63" s="78"/>
      <c r="J63" s="79"/>
      <c r="K63" s="77"/>
      <c r="L63" s="77"/>
      <c r="M63" s="77"/>
      <c r="N63" s="77"/>
      <c r="O63" s="79"/>
      <c r="P63" s="79"/>
      <c r="Q63" s="79"/>
    </row>
    <row r="64" spans="2:17" ht="42.5" thickTop="1" x14ac:dyDescent="0.35">
      <c r="B64" s="228" t="s">
        <v>3</v>
      </c>
      <c r="C64" s="193" t="s">
        <v>307</v>
      </c>
      <c r="D64" s="194" t="s">
        <v>308</v>
      </c>
      <c r="E64" s="195" t="s">
        <v>24</v>
      </c>
      <c r="F64" s="216" t="s">
        <v>309</v>
      </c>
      <c r="G64" s="83" t="s">
        <v>33</v>
      </c>
      <c r="H64" s="75" t="s">
        <v>43</v>
      </c>
      <c r="I64" s="82"/>
      <c r="J64" s="83"/>
      <c r="K64" s="81"/>
      <c r="L64" s="81"/>
      <c r="M64" s="81"/>
      <c r="N64" s="81"/>
      <c r="O64" s="83"/>
      <c r="P64" s="83"/>
      <c r="Q64" s="83"/>
    </row>
    <row r="65" spans="2:17" ht="42" x14ac:dyDescent="0.35">
      <c r="B65" s="228" t="s">
        <v>3</v>
      </c>
      <c r="C65" s="193"/>
      <c r="D65" s="194" t="s">
        <v>314</v>
      </c>
      <c r="E65" s="195" t="s">
        <v>24</v>
      </c>
      <c r="F65" s="216" t="s">
        <v>310</v>
      </c>
      <c r="G65" s="83" t="s">
        <v>33</v>
      </c>
      <c r="H65" s="75" t="s">
        <v>43</v>
      </c>
      <c r="I65" s="82"/>
      <c r="J65" s="83"/>
      <c r="K65" s="81"/>
      <c r="L65" s="81"/>
      <c r="M65" s="81"/>
      <c r="N65" s="81"/>
      <c r="O65" s="83"/>
      <c r="P65" s="83"/>
      <c r="Q65" s="83"/>
    </row>
    <row r="66" spans="2:17" ht="31.5" x14ac:dyDescent="0.35">
      <c r="B66" s="228" t="s">
        <v>3</v>
      </c>
      <c r="C66" s="193"/>
      <c r="D66" s="194" t="s">
        <v>315</v>
      </c>
      <c r="E66" s="195" t="s">
        <v>24</v>
      </c>
      <c r="F66" s="216" t="s">
        <v>622</v>
      </c>
      <c r="G66" s="83" t="s">
        <v>33</v>
      </c>
      <c r="H66" s="75" t="s">
        <v>43</v>
      </c>
      <c r="I66" s="82"/>
      <c r="J66" s="83"/>
      <c r="K66" s="81"/>
      <c r="L66" s="81"/>
      <c r="M66" s="81"/>
      <c r="N66" s="81"/>
      <c r="O66" s="83"/>
      <c r="P66" s="83"/>
      <c r="Q66" s="83"/>
    </row>
    <row r="67" spans="2:17" ht="42" x14ac:dyDescent="0.35">
      <c r="B67" s="228" t="s">
        <v>3</v>
      </c>
      <c r="C67" s="193"/>
      <c r="D67" s="194" t="s">
        <v>316</v>
      </c>
      <c r="E67" s="195" t="s">
        <v>24</v>
      </c>
      <c r="F67" s="216" t="s">
        <v>311</v>
      </c>
      <c r="G67" s="83" t="s">
        <v>33</v>
      </c>
      <c r="H67" s="75" t="s">
        <v>43</v>
      </c>
      <c r="I67" s="82"/>
      <c r="J67" s="83"/>
      <c r="K67" s="81"/>
      <c r="L67" s="81"/>
      <c r="M67" s="81"/>
      <c r="N67" s="81"/>
      <c r="O67" s="83"/>
      <c r="P67" s="83"/>
      <c r="Q67" s="83"/>
    </row>
    <row r="68" spans="2:17" ht="42" x14ac:dyDescent="0.35">
      <c r="B68" s="228" t="s">
        <v>3</v>
      </c>
      <c r="C68" s="193"/>
      <c r="D68" s="194" t="s">
        <v>317</v>
      </c>
      <c r="E68" s="195" t="s">
        <v>24</v>
      </c>
      <c r="F68" s="216" t="s">
        <v>312</v>
      </c>
      <c r="G68" s="83" t="s">
        <v>33</v>
      </c>
      <c r="H68" s="75" t="s">
        <v>43</v>
      </c>
      <c r="I68" s="82"/>
      <c r="J68" s="83"/>
      <c r="K68" s="81"/>
      <c r="L68" s="81"/>
      <c r="M68" s="81"/>
      <c r="N68" s="81"/>
      <c r="O68" s="83"/>
      <c r="P68" s="83"/>
      <c r="Q68" s="83"/>
    </row>
    <row r="69" spans="2:17" ht="42" x14ac:dyDescent="0.35">
      <c r="B69" s="228" t="s">
        <v>3</v>
      </c>
      <c r="C69" s="193"/>
      <c r="D69" s="194" t="s">
        <v>318</v>
      </c>
      <c r="E69" s="195" t="s">
        <v>24</v>
      </c>
      <c r="F69" s="216" t="s">
        <v>313</v>
      </c>
      <c r="G69" s="83" t="s">
        <v>33</v>
      </c>
      <c r="H69" s="75" t="s">
        <v>43</v>
      </c>
      <c r="I69" s="82"/>
      <c r="J69" s="83"/>
      <c r="K69" s="81"/>
      <c r="L69" s="81"/>
      <c r="M69" s="81"/>
      <c r="N69" s="81"/>
      <c r="O69" s="83"/>
      <c r="P69" s="83"/>
      <c r="Q69" s="83"/>
    </row>
    <row r="70" spans="2:17" ht="82" x14ac:dyDescent="0.35">
      <c r="B70" s="228" t="s">
        <v>3</v>
      </c>
      <c r="C70" s="189" t="s">
        <v>324</v>
      </c>
      <c r="D70" s="190" t="s">
        <v>319</v>
      </c>
      <c r="E70" s="191" t="s">
        <v>25</v>
      </c>
      <c r="F70" s="214" t="s">
        <v>914</v>
      </c>
      <c r="G70" s="79" t="s">
        <v>33</v>
      </c>
      <c r="H70" s="74" t="s">
        <v>43</v>
      </c>
      <c r="I70" s="78"/>
      <c r="J70" s="79"/>
      <c r="K70" s="77"/>
      <c r="L70" s="77"/>
      <c r="M70" s="77"/>
      <c r="N70" s="77"/>
      <c r="O70" s="79"/>
      <c r="P70" s="79"/>
      <c r="Q70" s="79"/>
    </row>
    <row r="71" spans="2:17" ht="82" x14ac:dyDescent="0.35">
      <c r="B71" s="228" t="s">
        <v>3</v>
      </c>
      <c r="C71" s="189"/>
      <c r="D71" s="190" t="s">
        <v>320</v>
      </c>
      <c r="E71" s="191" t="s">
        <v>25</v>
      </c>
      <c r="F71" s="214" t="s">
        <v>915</v>
      </c>
      <c r="G71" s="79" t="s">
        <v>33</v>
      </c>
      <c r="H71" s="74" t="s">
        <v>43</v>
      </c>
      <c r="I71" s="78"/>
      <c r="J71" s="79"/>
      <c r="K71" s="77"/>
      <c r="L71" s="77"/>
      <c r="M71" s="77"/>
      <c r="N71" s="77"/>
      <c r="O71" s="79"/>
      <c r="P71" s="79"/>
      <c r="Q71" s="79"/>
    </row>
    <row r="72" spans="2:17" ht="82" x14ac:dyDescent="0.35">
      <c r="B72" s="228" t="s">
        <v>3</v>
      </c>
      <c r="C72" s="189"/>
      <c r="D72" s="190" t="s">
        <v>321</v>
      </c>
      <c r="E72" s="191" t="s">
        <v>25</v>
      </c>
      <c r="F72" s="214" t="s">
        <v>916</v>
      </c>
      <c r="G72" s="79" t="s">
        <v>33</v>
      </c>
      <c r="H72" s="74" t="s">
        <v>43</v>
      </c>
      <c r="I72" s="78"/>
      <c r="J72" s="79"/>
      <c r="K72" s="77"/>
      <c r="L72" s="77"/>
      <c r="M72" s="77"/>
      <c r="N72" s="77"/>
      <c r="O72" s="79"/>
      <c r="P72" s="79"/>
      <c r="Q72" s="79"/>
    </row>
    <row r="73" spans="2:17" ht="82" x14ac:dyDescent="0.35">
      <c r="B73" s="228" t="s">
        <v>3</v>
      </c>
      <c r="C73" s="189"/>
      <c r="D73" s="190" t="s">
        <v>322</v>
      </c>
      <c r="E73" s="191" t="s">
        <v>25</v>
      </c>
      <c r="F73" s="214" t="s">
        <v>917</v>
      </c>
      <c r="G73" s="79" t="s">
        <v>33</v>
      </c>
      <c r="H73" s="74" t="s">
        <v>43</v>
      </c>
      <c r="I73" s="78"/>
      <c r="J73" s="79"/>
      <c r="K73" s="77"/>
      <c r="L73" s="77"/>
      <c r="M73" s="77"/>
      <c r="N73" s="77"/>
      <c r="O73" s="79"/>
      <c r="P73" s="79"/>
      <c r="Q73" s="79"/>
    </row>
    <row r="74" spans="2:17" ht="42" x14ac:dyDescent="0.35">
      <c r="B74" s="228" t="s">
        <v>3</v>
      </c>
      <c r="C74" s="189"/>
      <c r="D74" s="190" t="s">
        <v>323</v>
      </c>
      <c r="E74" s="191" t="s">
        <v>25</v>
      </c>
      <c r="F74" s="209" t="s">
        <v>918</v>
      </c>
      <c r="G74" s="79" t="s">
        <v>33</v>
      </c>
      <c r="H74" s="74" t="s">
        <v>43</v>
      </c>
      <c r="I74" s="78"/>
      <c r="J74" s="79"/>
      <c r="K74" s="77"/>
      <c r="L74" s="77"/>
      <c r="M74" s="77"/>
      <c r="N74" s="77"/>
      <c r="O74" s="79"/>
      <c r="P74" s="79"/>
      <c r="Q74" s="79"/>
    </row>
    <row r="75" spans="2:17" ht="82.5" x14ac:dyDescent="0.35">
      <c r="B75" s="228" t="s">
        <v>3</v>
      </c>
      <c r="C75" s="193" t="s">
        <v>919</v>
      </c>
      <c r="D75" s="194" t="s">
        <v>325</v>
      </c>
      <c r="E75" s="195" t="s">
        <v>25</v>
      </c>
      <c r="F75" s="218" t="s">
        <v>920</v>
      </c>
      <c r="G75" s="83" t="s">
        <v>33</v>
      </c>
      <c r="H75" s="75" t="s">
        <v>43</v>
      </c>
      <c r="I75" s="82"/>
      <c r="J75" s="83"/>
      <c r="K75" s="81"/>
      <c r="L75" s="81"/>
      <c r="M75" s="81"/>
      <c r="N75" s="81"/>
      <c r="O75" s="83"/>
      <c r="P75" s="83"/>
      <c r="Q75" s="83"/>
    </row>
    <row r="76" spans="2:17" ht="93" x14ac:dyDescent="0.35">
      <c r="B76" s="228" t="s">
        <v>3</v>
      </c>
      <c r="C76" s="199"/>
      <c r="D76" s="194" t="s">
        <v>326</v>
      </c>
      <c r="E76" s="195" t="s">
        <v>25</v>
      </c>
      <c r="F76" s="219" t="s">
        <v>921</v>
      </c>
      <c r="G76" s="83" t="s">
        <v>33</v>
      </c>
      <c r="H76" s="75" t="s">
        <v>43</v>
      </c>
      <c r="I76" s="82"/>
      <c r="J76" s="83"/>
      <c r="K76" s="81"/>
      <c r="L76" s="81"/>
      <c r="M76" s="81"/>
      <c r="N76" s="81"/>
      <c r="O76" s="83"/>
      <c r="P76" s="83"/>
      <c r="Q76" s="83"/>
    </row>
    <row r="77" spans="2:17" ht="82.5" x14ac:dyDescent="0.35">
      <c r="B77" s="228" t="s">
        <v>3</v>
      </c>
      <c r="C77" s="199"/>
      <c r="D77" s="194" t="s">
        <v>327</v>
      </c>
      <c r="E77" s="195" t="s">
        <v>25</v>
      </c>
      <c r="F77" s="219" t="s">
        <v>922</v>
      </c>
      <c r="G77" s="83" t="s">
        <v>33</v>
      </c>
      <c r="H77" s="75" t="s">
        <v>43</v>
      </c>
      <c r="I77" s="82"/>
      <c r="J77" s="83"/>
      <c r="K77" s="81"/>
      <c r="L77" s="81"/>
      <c r="M77" s="81"/>
      <c r="N77" s="81"/>
      <c r="O77" s="83"/>
      <c r="P77" s="83"/>
      <c r="Q77" s="83"/>
    </row>
    <row r="78" spans="2:17" ht="52.5" x14ac:dyDescent="0.35">
      <c r="B78" s="228" t="s">
        <v>3</v>
      </c>
      <c r="C78" s="199"/>
      <c r="D78" s="194" t="s">
        <v>328</v>
      </c>
      <c r="E78" s="195" t="s">
        <v>25</v>
      </c>
      <c r="F78" s="219" t="s">
        <v>923</v>
      </c>
      <c r="G78" s="83" t="s">
        <v>33</v>
      </c>
      <c r="H78" s="75" t="s">
        <v>43</v>
      </c>
      <c r="I78" s="82"/>
      <c r="J78" s="83"/>
      <c r="K78" s="81"/>
      <c r="L78" s="81"/>
      <c r="M78" s="81"/>
      <c r="N78" s="81"/>
      <c r="O78" s="83"/>
      <c r="P78" s="83"/>
      <c r="Q78" s="83"/>
    </row>
    <row r="79" spans="2:17" ht="71.5" x14ac:dyDescent="0.35">
      <c r="B79" s="229" t="s">
        <v>6</v>
      </c>
      <c r="C79" s="189" t="s">
        <v>329</v>
      </c>
      <c r="D79" s="190" t="s">
        <v>330</v>
      </c>
      <c r="E79" s="191" t="s">
        <v>24</v>
      </c>
      <c r="F79" s="220" t="s">
        <v>331</v>
      </c>
      <c r="G79" s="79" t="s">
        <v>33</v>
      </c>
      <c r="H79" s="74" t="s">
        <v>43</v>
      </c>
      <c r="I79" s="78"/>
      <c r="J79" s="79"/>
      <c r="K79" s="77"/>
      <c r="L79" s="77"/>
      <c r="M79" s="77"/>
      <c r="N79" s="77"/>
      <c r="O79" s="79"/>
      <c r="P79" s="79"/>
      <c r="Q79" s="79"/>
    </row>
    <row r="80" spans="2:17" ht="131.5" x14ac:dyDescent="0.35">
      <c r="B80" s="229" t="s">
        <v>6</v>
      </c>
      <c r="C80" s="189"/>
      <c r="D80" s="190" t="s">
        <v>332</v>
      </c>
      <c r="E80" s="191" t="s">
        <v>24</v>
      </c>
      <c r="F80" s="220" t="s">
        <v>924</v>
      </c>
      <c r="G80" s="79" t="s">
        <v>33</v>
      </c>
      <c r="H80" s="74" t="s">
        <v>43</v>
      </c>
      <c r="I80" s="78"/>
      <c r="J80" s="79"/>
      <c r="K80" s="77"/>
      <c r="L80" s="77"/>
      <c r="M80" s="77"/>
      <c r="N80" s="77"/>
      <c r="O80" s="79"/>
      <c r="P80" s="79"/>
      <c r="Q80" s="79"/>
    </row>
    <row r="81" spans="2:17" ht="111.5" x14ac:dyDescent="0.35">
      <c r="B81" s="229" t="s">
        <v>6</v>
      </c>
      <c r="C81" s="189"/>
      <c r="D81" s="190" t="s">
        <v>333</v>
      </c>
      <c r="E81" s="191" t="s">
        <v>24</v>
      </c>
      <c r="F81" s="220" t="s">
        <v>623</v>
      </c>
      <c r="G81" s="79" t="s">
        <v>33</v>
      </c>
      <c r="H81" s="74" t="s">
        <v>43</v>
      </c>
      <c r="I81" s="78"/>
      <c r="J81" s="79"/>
      <c r="K81" s="77"/>
      <c r="L81" s="77"/>
      <c r="M81" s="77"/>
      <c r="N81" s="77"/>
      <c r="O81" s="79"/>
      <c r="P81" s="79"/>
      <c r="Q81" s="79"/>
    </row>
    <row r="82" spans="2:17" ht="40" x14ac:dyDescent="0.35">
      <c r="B82" s="229" t="s">
        <v>6</v>
      </c>
      <c r="C82" s="193" t="s">
        <v>334</v>
      </c>
      <c r="D82" s="194" t="s">
        <v>335</v>
      </c>
      <c r="E82" s="195" t="s">
        <v>24</v>
      </c>
      <c r="F82" s="218" t="s">
        <v>336</v>
      </c>
      <c r="G82" s="83" t="s">
        <v>33</v>
      </c>
      <c r="H82" s="75" t="s">
        <v>43</v>
      </c>
      <c r="I82" s="82"/>
      <c r="J82" s="83"/>
      <c r="K82" s="81"/>
      <c r="L82" s="81"/>
      <c r="M82" s="81"/>
      <c r="N82" s="81"/>
      <c r="O82" s="83"/>
      <c r="P82" s="83"/>
      <c r="Q82" s="83"/>
    </row>
    <row r="83" spans="2:17" ht="81.5" x14ac:dyDescent="0.35">
      <c r="B83" s="229" t="s">
        <v>6</v>
      </c>
      <c r="C83" s="193"/>
      <c r="D83" s="194" t="s">
        <v>338</v>
      </c>
      <c r="E83" s="195" t="s">
        <v>24</v>
      </c>
      <c r="F83" s="221" t="s">
        <v>624</v>
      </c>
      <c r="G83" s="83" t="s">
        <v>33</v>
      </c>
      <c r="H83" s="75" t="s">
        <v>43</v>
      </c>
      <c r="I83" s="82"/>
      <c r="J83" s="83"/>
      <c r="K83" s="81"/>
      <c r="L83" s="81"/>
      <c r="M83" s="81"/>
      <c r="N83" s="81"/>
      <c r="O83" s="83"/>
      <c r="P83" s="83"/>
      <c r="Q83" s="83"/>
    </row>
    <row r="84" spans="2:17" ht="71.5" x14ac:dyDescent="0.35">
      <c r="B84" s="229" t="s">
        <v>6</v>
      </c>
      <c r="C84" s="193"/>
      <c r="D84" s="194" t="s">
        <v>339</v>
      </c>
      <c r="E84" s="195" t="s">
        <v>24</v>
      </c>
      <c r="F84" s="221" t="s">
        <v>337</v>
      </c>
      <c r="G84" s="83" t="s">
        <v>33</v>
      </c>
      <c r="H84" s="75" t="s">
        <v>43</v>
      </c>
      <c r="I84" s="82"/>
      <c r="J84" s="83"/>
      <c r="K84" s="81"/>
      <c r="L84" s="81"/>
      <c r="M84" s="81"/>
      <c r="N84" s="81"/>
      <c r="O84" s="83"/>
      <c r="P84" s="83"/>
      <c r="Q84" s="83"/>
    </row>
    <row r="85" spans="2:17" ht="81.5" x14ac:dyDescent="0.35">
      <c r="B85" s="229" t="s">
        <v>6</v>
      </c>
      <c r="C85" s="189" t="s">
        <v>340</v>
      </c>
      <c r="D85" s="190" t="s">
        <v>341</v>
      </c>
      <c r="E85" s="191" t="s">
        <v>24</v>
      </c>
      <c r="F85" s="220" t="s">
        <v>625</v>
      </c>
      <c r="G85" s="79" t="s">
        <v>33</v>
      </c>
      <c r="H85" s="74" t="s">
        <v>43</v>
      </c>
      <c r="I85" s="78"/>
      <c r="J85" s="79"/>
      <c r="K85" s="77"/>
      <c r="L85" s="77"/>
      <c r="M85" s="77"/>
      <c r="N85" s="77"/>
      <c r="O85" s="79"/>
      <c r="P85" s="79"/>
      <c r="Q85" s="79"/>
    </row>
    <row r="86" spans="2:17" ht="42" x14ac:dyDescent="0.35">
      <c r="B86" s="229" t="s">
        <v>6</v>
      </c>
      <c r="C86" s="189"/>
      <c r="D86" s="190" t="s">
        <v>342</v>
      </c>
      <c r="E86" s="191" t="s">
        <v>24</v>
      </c>
      <c r="F86" s="222" t="s">
        <v>925</v>
      </c>
      <c r="G86" s="79" t="s">
        <v>33</v>
      </c>
      <c r="H86" s="74" t="s">
        <v>43</v>
      </c>
      <c r="I86" s="78"/>
      <c r="J86" s="79"/>
      <c r="K86" s="77"/>
      <c r="L86" s="77"/>
      <c r="M86" s="77"/>
      <c r="N86" s="77"/>
      <c r="O86" s="79"/>
      <c r="P86" s="79"/>
      <c r="Q86" s="79"/>
    </row>
    <row r="87" spans="2:17" ht="31.5" x14ac:dyDescent="0.35">
      <c r="B87" s="229" t="s">
        <v>6</v>
      </c>
      <c r="C87" s="201" t="s">
        <v>343</v>
      </c>
      <c r="D87" s="202" t="s">
        <v>344</v>
      </c>
      <c r="E87" s="203" t="s">
        <v>24</v>
      </c>
      <c r="F87" s="198" t="s">
        <v>343</v>
      </c>
      <c r="G87" s="83" t="s">
        <v>33</v>
      </c>
      <c r="H87" s="74" t="s">
        <v>43</v>
      </c>
      <c r="I87" s="82"/>
      <c r="J87" s="83"/>
      <c r="K87" s="81"/>
      <c r="L87" s="81"/>
      <c r="M87" s="81"/>
      <c r="N87" s="81"/>
      <c r="O87" s="83"/>
      <c r="P87" s="83"/>
      <c r="Q87" s="83"/>
    </row>
    <row r="88" spans="2:17" ht="61.5" x14ac:dyDescent="0.35">
      <c r="B88" s="229" t="s">
        <v>6</v>
      </c>
      <c r="C88" s="189" t="s">
        <v>349</v>
      </c>
      <c r="D88" s="190" t="s">
        <v>345</v>
      </c>
      <c r="E88" s="191" t="s">
        <v>25</v>
      </c>
      <c r="F88" s="200" t="s">
        <v>351</v>
      </c>
      <c r="G88" s="79" t="s">
        <v>33</v>
      </c>
      <c r="H88" s="74" t="s">
        <v>43</v>
      </c>
      <c r="I88" s="78"/>
      <c r="J88" s="79"/>
      <c r="K88" s="77"/>
      <c r="L88" s="77"/>
      <c r="M88" s="77"/>
      <c r="N88" s="77"/>
      <c r="O88" s="79"/>
      <c r="P88" s="79"/>
      <c r="Q88" s="79"/>
    </row>
    <row r="89" spans="2:17" ht="62" x14ac:dyDescent="0.35">
      <c r="B89" s="229" t="s">
        <v>6</v>
      </c>
      <c r="C89" s="189"/>
      <c r="D89" s="190" t="s">
        <v>346</v>
      </c>
      <c r="E89" s="191" t="s">
        <v>25</v>
      </c>
      <c r="F89" s="220" t="s">
        <v>626</v>
      </c>
      <c r="G89" s="79" t="s">
        <v>33</v>
      </c>
      <c r="H89" s="74" t="s">
        <v>43</v>
      </c>
      <c r="I89" s="78"/>
      <c r="J89" s="79"/>
      <c r="K89" s="77"/>
      <c r="L89" s="77"/>
      <c r="M89" s="77"/>
      <c r="N89" s="77"/>
      <c r="O89" s="79"/>
      <c r="P89" s="79"/>
      <c r="Q89" s="79"/>
    </row>
    <row r="90" spans="2:17" ht="31.5" x14ac:dyDescent="0.35">
      <c r="B90" s="229" t="s">
        <v>6</v>
      </c>
      <c r="C90" s="193" t="s">
        <v>352</v>
      </c>
      <c r="D90" s="194" t="s">
        <v>347</v>
      </c>
      <c r="E90" s="195" t="s">
        <v>25</v>
      </c>
      <c r="F90" s="218" t="s">
        <v>354</v>
      </c>
      <c r="G90" s="83" t="s">
        <v>33</v>
      </c>
      <c r="H90" s="75" t="s">
        <v>43</v>
      </c>
      <c r="I90" s="82"/>
      <c r="J90" s="83"/>
      <c r="K90" s="81"/>
      <c r="L90" s="81"/>
      <c r="M90" s="81"/>
      <c r="N90" s="81"/>
      <c r="O90" s="83"/>
      <c r="P90" s="83"/>
      <c r="Q90" s="83"/>
    </row>
    <row r="91" spans="2:17" ht="31.5" x14ac:dyDescent="0.35">
      <c r="B91" s="229" t="s">
        <v>6</v>
      </c>
      <c r="C91" s="193"/>
      <c r="D91" s="194" t="s">
        <v>348</v>
      </c>
      <c r="E91" s="195" t="s">
        <v>25</v>
      </c>
      <c r="F91" s="218" t="s">
        <v>355</v>
      </c>
      <c r="G91" s="83" t="s">
        <v>33</v>
      </c>
      <c r="H91" s="75" t="s">
        <v>43</v>
      </c>
      <c r="I91" s="82"/>
      <c r="J91" s="83"/>
      <c r="K91" s="81"/>
      <c r="L91" s="81"/>
      <c r="M91" s="81"/>
      <c r="N91" s="81"/>
      <c r="O91" s="83"/>
      <c r="P91" s="83"/>
      <c r="Q91" s="83"/>
    </row>
    <row r="92" spans="2:17" ht="42" x14ac:dyDescent="0.35">
      <c r="B92" s="229" t="s">
        <v>6</v>
      </c>
      <c r="C92" s="201" t="s">
        <v>365</v>
      </c>
      <c r="D92" s="202" t="s">
        <v>350</v>
      </c>
      <c r="E92" s="203" t="s">
        <v>24</v>
      </c>
      <c r="F92" s="198" t="s">
        <v>366</v>
      </c>
      <c r="G92" s="79" t="s">
        <v>33</v>
      </c>
      <c r="H92" s="74" t="s">
        <v>43</v>
      </c>
      <c r="I92" s="78"/>
      <c r="J92" s="79"/>
      <c r="K92" s="77"/>
      <c r="L92" s="77"/>
      <c r="M92" s="77"/>
      <c r="N92" s="77"/>
      <c r="O92" s="79"/>
      <c r="P92" s="79"/>
      <c r="Q92" s="79"/>
    </row>
    <row r="93" spans="2:17" ht="71.5" x14ac:dyDescent="0.35">
      <c r="B93" s="229" t="s">
        <v>6</v>
      </c>
      <c r="C93" s="193" t="s">
        <v>367</v>
      </c>
      <c r="D93" s="194" t="s">
        <v>353</v>
      </c>
      <c r="E93" s="195" t="s">
        <v>24</v>
      </c>
      <c r="F93" s="200" t="s">
        <v>627</v>
      </c>
      <c r="G93" s="83" t="s">
        <v>33</v>
      </c>
      <c r="H93" s="74" t="s">
        <v>43</v>
      </c>
      <c r="I93" s="82"/>
      <c r="J93" s="83"/>
      <c r="K93" s="81"/>
      <c r="L93" s="81"/>
      <c r="M93" s="81"/>
      <c r="N93" s="81"/>
      <c r="O93" s="83"/>
      <c r="P93" s="83"/>
      <c r="Q93" s="83"/>
    </row>
    <row r="94" spans="2:17" ht="61.5" x14ac:dyDescent="0.35">
      <c r="B94" s="229" t="s">
        <v>6</v>
      </c>
      <c r="C94" s="193"/>
      <c r="D94" s="194" t="s">
        <v>356</v>
      </c>
      <c r="E94" s="195" t="s">
        <v>24</v>
      </c>
      <c r="F94" s="221" t="s">
        <v>368</v>
      </c>
      <c r="G94" s="83" t="s">
        <v>33</v>
      </c>
      <c r="H94" s="74" t="s">
        <v>43</v>
      </c>
      <c r="I94" s="82"/>
      <c r="J94" s="83"/>
      <c r="K94" s="81"/>
      <c r="L94" s="81"/>
      <c r="M94" s="81"/>
      <c r="N94" s="81"/>
      <c r="O94" s="83"/>
      <c r="P94" s="83"/>
      <c r="Q94" s="83"/>
    </row>
    <row r="95" spans="2:17" ht="31.5" x14ac:dyDescent="0.35">
      <c r="B95" s="229" t="s">
        <v>6</v>
      </c>
      <c r="C95" s="189" t="s">
        <v>369</v>
      </c>
      <c r="D95" s="190" t="s">
        <v>357</v>
      </c>
      <c r="E95" s="191" t="s">
        <v>24</v>
      </c>
      <c r="F95" s="222" t="s">
        <v>370</v>
      </c>
      <c r="G95" s="79" t="s">
        <v>33</v>
      </c>
      <c r="H95" s="74" t="s">
        <v>43</v>
      </c>
      <c r="I95" s="78"/>
      <c r="J95" s="79"/>
      <c r="K95" s="77"/>
      <c r="L95" s="77"/>
      <c r="M95" s="77"/>
      <c r="N95" s="77"/>
      <c r="O95" s="79"/>
      <c r="P95" s="79"/>
      <c r="Q95" s="79"/>
    </row>
    <row r="96" spans="2:17" ht="112" x14ac:dyDescent="0.35">
      <c r="B96" s="229" t="s">
        <v>6</v>
      </c>
      <c r="C96" s="193" t="s">
        <v>371</v>
      </c>
      <c r="D96" s="194" t="s">
        <v>358</v>
      </c>
      <c r="E96" s="195" t="s">
        <v>24</v>
      </c>
      <c r="F96" s="199" t="s">
        <v>926</v>
      </c>
      <c r="G96" s="83" t="s">
        <v>33</v>
      </c>
      <c r="H96" s="74" t="s">
        <v>43</v>
      </c>
      <c r="I96" s="82"/>
      <c r="J96" s="83"/>
      <c r="K96" s="81"/>
      <c r="L96" s="81"/>
      <c r="M96" s="81"/>
      <c r="N96" s="81"/>
      <c r="O96" s="83"/>
      <c r="P96" s="83"/>
      <c r="Q96" s="83"/>
    </row>
    <row r="97" spans="2:17" ht="21" x14ac:dyDescent="0.35">
      <c r="B97" s="229" t="s">
        <v>6</v>
      </c>
      <c r="C97" s="189" t="s">
        <v>372</v>
      </c>
      <c r="D97" s="190" t="s">
        <v>359</v>
      </c>
      <c r="E97" s="191" t="s">
        <v>24</v>
      </c>
      <c r="F97" s="222" t="s">
        <v>373</v>
      </c>
      <c r="G97" s="79" t="s">
        <v>33</v>
      </c>
      <c r="H97" s="74" t="s">
        <v>43</v>
      </c>
      <c r="I97" s="78"/>
      <c r="J97" s="79"/>
      <c r="K97" s="77"/>
      <c r="L97" s="77"/>
      <c r="M97" s="77"/>
      <c r="N97" s="77"/>
      <c r="O97" s="79"/>
      <c r="P97" s="79"/>
      <c r="Q97" s="79"/>
    </row>
    <row r="98" spans="2:17" ht="71" x14ac:dyDescent="0.35">
      <c r="B98" s="229" t="s">
        <v>6</v>
      </c>
      <c r="C98" s="189"/>
      <c r="D98" s="190" t="s">
        <v>360</v>
      </c>
      <c r="E98" s="191" t="s">
        <v>24</v>
      </c>
      <c r="F98" s="222" t="s">
        <v>628</v>
      </c>
      <c r="G98" s="79" t="s">
        <v>33</v>
      </c>
      <c r="H98" s="74" t="s">
        <v>43</v>
      </c>
      <c r="I98" s="78"/>
      <c r="J98" s="79"/>
      <c r="K98" s="77"/>
      <c r="L98" s="77"/>
      <c r="M98" s="77"/>
      <c r="N98" s="77"/>
      <c r="O98" s="79"/>
      <c r="P98" s="79"/>
      <c r="Q98" s="79"/>
    </row>
    <row r="99" spans="2:17" ht="61" x14ac:dyDescent="0.35">
      <c r="B99" s="229" t="s">
        <v>6</v>
      </c>
      <c r="C99" s="189"/>
      <c r="D99" s="190" t="s">
        <v>927</v>
      </c>
      <c r="E99" s="191" t="s">
        <v>24</v>
      </c>
      <c r="F99" s="222" t="s">
        <v>629</v>
      </c>
      <c r="G99" s="79" t="s">
        <v>33</v>
      </c>
      <c r="H99" s="74" t="s">
        <v>43</v>
      </c>
      <c r="I99" s="78"/>
      <c r="J99" s="79"/>
      <c r="K99" s="77"/>
      <c r="L99" s="77"/>
      <c r="M99" s="77"/>
      <c r="N99" s="77"/>
      <c r="O99" s="79"/>
      <c r="P99" s="79"/>
      <c r="Q99" s="79"/>
    </row>
    <row r="100" spans="2:17" ht="71" x14ac:dyDescent="0.3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61" x14ac:dyDescent="0.35">
      <c r="B101" s="229" t="s">
        <v>6</v>
      </c>
      <c r="C101" s="193"/>
      <c r="D101" s="194" t="s">
        <v>362</v>
      </c>
      <c r="E101" s="195" t="s">
        <v>24</v>
      </c>
      <c r="F101" s="198" t="s">
        <v>631</v>
      </c>
      <c r="G101" s="83" t="s">
        <v>33</v>
      </c>
      <c r="H101" s="74" t="s">
        <v>43</v>
      </c>
      <c r="I101" s="82"/>
      <c r="J101" s="83"/>
      <c r="K101" s="81"/>
      <c r="L101" s="81"/>
      <c r="M101" s="81"/>
      <c r="N101" s="81"/>
      <c r="O101" s="83"/>
      <c r="P101" s="83"/>
      <c r="Q101" s="83"/>
    </row>
    <row r="102" spans="2:17" ht="81" x14ac:dyDescent="0.3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91.5" x14ac:dyDescent="0.3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1" x14ac:dyDescent="0.3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21" x14ac:dyDescent="0.35">
      <c r="B105" s="228" t="s">
        <v>9</v>
      </c>
      <c r="C105" s="189" t="s">
        <v>378</v>
      </c>
      <c r="D105" s="190" t="s">
        <v>379</v>
      </c>
      <c r="E105" s="191" t="s">
        <v>24</v>
      </c>
      <c r="F105" s="222" t="s">
        <v>380</v>
      </c>
      <c r="G105" s="79" t="s">
        <v>33</v>
      </c>
      <c r="H105" s="74" t="s">
        <v>43</v>
      </c>
      <c r="I105" s="78"/>
      <c r="J105" s="79"/>
      <c r="K105" s="77"/>
      <c r="L105" s="77"/>
      <c r="M105" s="77"/>
      <c r="N105" s="77"/>
      <c r="O105" s="79"/>
      <c r="P105" s="79"/>
      <c r="Q105" s="79"/>
    </row>
    <row r="106" spans="2:17" ht="41" x14ac:dyDescent="0.35">
      <c r="B106" s="228" t="s">
        <v>9</v>
      </c>
      <c r="C106" s="193" t="s">
        <v>929</v>
      </c>
      <c r="D106" s="194" t="s">
        <v>381</v>
      </c>
      <c r="E106" s="195" t="s">
        <v>24</v>
      </c>
      <c r="F106" s="221" t="s">
        <v>930</v>
      </c>
      <c r="G106" s="83" t="s">
        <v>33</v>
      </c>
      <c r="H106" s="74" t="s">
        <v>43</v>
      </c>
      <c r="I106" s="82"/>
      <c r="J106" s="83"/>
      <c r="K106" s="81"/>
      <c r="L106" s="81"/>
      <c r="M106" s="81"/>
      <c r="N106" s="81"/>
      <c r="O106" s="83"/>
      <c r="P106" s="83"/>
      <c r="Q106" s="83"/>
    </row>
    <row r="107" spans="2:17" ht="31.5" x14ac:dyDescent="0.35">
      <c r="B107" s="228" t="s">
        <v>9</v>
      </c>
      <c r="C107" s="189" t="s">
        <v>931</v>
      </c>
      <c r="D107" s="190" t="s">
        <v>382</v>
      </c>
      <c r="E107" s="191" t="s">
        <v>24</v>
      </c>
      <c r="F107" s="222" t="s">
        <v>932</v>
      </c>
      <c r="G107" s="79" t="s">
        <v>33</v>
      </c>
      <c r="H107" s="74" t="s">
        <v>43</v>
      </c>
      <c r="I107" s="78"/>
      <c r="J107" s="79"/>
      <c r="K107" s="77"/>
      <c r="L107" s="77"/>
      <c r="M107" s="77"/>
      <c r="N107" s="77"/>
      <c r="O107" s="79"/>
      <c r="P107" s="79"/>
      <c r="Q107" s="79"/>
    </row>
    <row r="108" spans="2:17" ht="31.5" x14ac:dyDescent="0.3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0" x14ac:dyDescent="0.3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21" x14ac:dyDescent="0.3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2" x14ac:dyDescent="0.3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82" x14ac:dyDescent="0.3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82" x14ac:dyDescent="0.3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71.5" x14ac:dyDescent="0.3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61.5" x14ac:dyDescent="0.3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92.5" x14ac:dyDescent="0.3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61" x14ac:dyDescent="0.3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61" x14ac:dyDescent="0.3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61" x14ac:dyDescent="0.3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61" x14ac:dyDescent="0.3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61" x14ac:dyDescent="0.3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1.5" x14ac:dyDescent="0.3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21" x14ac:dyDescent="0.35">
      <c r="B123" s="229" t="s">
        <v>398</v>
      </c>
      <c r="C123" s="189" t="s">
        <v>404</v>
      </c>
      <c r="D123" s="190" t="s">
        <v>403</v>
      </c>
      <c r="E123" s="191" t="s">
        <v>24</v>
      </c>
      <c r="F123" s="222" t="s">
        <v>948</v>
      </c>
      <c r="G123" s="79" t="s">
        <v>33</v>
      </c>
      <c r="H123" s="74" t="s">
        <v>43</v>
      </c>
      <c r="I123" s="78"/>
      <c r="J123" s="79"/>
      <c r="K123" s="77"/>
      <c r="L123" s="77"/>
      <c r="M123" s="77"/>
      <c r="N123" s="77"/>
      <c r="O123" s="79"/>
      <c r="P123" s="79"/>
      <c r="Q123" s="79"/>
    </row>
    <row r="124" spans="2:17" ht="111.5" x14ac:dyDescent="0.3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61" x14ac:dyDescent="0.3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61" x14ac:dyDescent="0.3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41" x14ac:dyDescent="0.35">
      <c r="B127" s="228" t="s">
        <v>8</v>
      </c>
      <c r="C127" s="189" t="s">
        <v>410</v>
      </c>
      <c r="D127" s="190" t="s">
        <v>411</v>
      </c>
      <c r="E127" s="191" t="s">
        <v>24</v>
      </c>
      <c r="F127" s="220" t="s">
        <v>632</v>
      </c>
      <c r="G127" s="79" t="s">
        <v>33</v>
      </c>
      <c r="H127" s="74" t="s">
        <v>43</v>
      </c>
      <c r="I127" s="78"/>
      <c r="J127" s="79"/>
      <c r="K127" s="77"/>
      <c r="L127" s="77"/>
      <c r="M127" s="77"/>
      <c r="N127" s="77"/>
      <c r="O127" s="79"/>
      <c r="P127" s="79"/>
      <c r="Q127" s="79"/>
    </row>
    <row r="128" spans="2:17" ht="51.5" x14ac:dyDescent="0.35">
      <c r="B128" s="228" t="s">
        <v>8</v>
      </c>
      <c r="C128" s="189"/>
      <c r="D128" s="190" t="s">
        <v>412</v>
      </c>
      <c r="E128" s="191" t="s">
        <v>24</v>
      </c>
      <c r="F128" s="200" t="s">
        <v>633</v>
      </c>
      <c r="G128" s="79" t="s">
        <v>33</v>
      </c>
      <c r="H128" s="74" t="s">
        <v>43</v>
      </c>
      <c r="I128" s="78"/>
      <c r="J128" s="79"/>
      <c r="K128" s="77"/>
      <c r="L128" s="77"/>
      <c r="M128" s="77"/>
      <c r="N128" s="77"/>
      <c r="O128" s="79"/>
      <c r="P128" s="79"/>
      <c r="Q128" s="79"/>
    </row>
    <row r="129" spans="2:17" ht="81.5" x14ac:dyDescent="0.35">
      <c r="B129" s="228" t="s">
        <v>8</v>
      </c>
      <c r="C129" s="193" t="s">
        <v>950</v>
      </c>
      <c r="D129" s="194" t="s">
        <v>413</v>
      </c>
      <c r="E129" s="195" t="s">
        <v>24</v>
      </c>
      <c r="F129" s="197" t="s">
        <v>951</v>
      </c>
      <c r="G129" s="83" t="s">
        <v>33</v>
      </c>
      <c r="H129" s="74" t="s">
        <v>43</v>
      </c>
      <c r="I129" s="82"/>
      <c r="J129" s="83"/>
      <c r="K129" s="81"/>
      <c r="L129" s="81"/>
      <c r="M129" s="81"/>
      <c r="N129" s="81"/>
      <c r="O129" s="83"/>
      <c r="P129" s="83"/>
      <c r="Q129" s="83"/>
    </row>
    <row r="130" spans="2:17" ht="30" x14ac:dyDescent="0.35">
      <c r="B130" s="228" t="s">
        <v>8</v>
      </c>
      <c r="C130" s="193"/>
      <c r="D130" s="194" t="s">
        <v>415</v>
      </c>
      <c r="E130" s="195" t="s">
        <v>24</v>
      </c>
      <c r="F130" s="199" t="s">
        <v>414</v>
      </c>
      <c r="G130" s="83" t="s">
        <v>33</v>
      </c>
      <c r="H130" s="74" t="s">
        <v>43</v>
      </c>
      <c r="I130" s="82"/>
      <c r="J130" s="83"/>
      <c r="K130" s="81"/>
      <c r="L130" s="81"/>
      <c r="M130" s="81"/>
      <c r="N130" s="81"/>
      <c r="O130" s="83"/>
      <c r="P130" s="83"/>
      <c r="Q130" s="83"/>
    </row>
    <row r="131" spans="2:17" ht="101" x14ac:dyDescent="0.35">
      <c r="B131" s="228" t="s">
        <v>8</v>
      </c>
      <c r="C131" s="189" t="s">
        <v>416</v>
      </c>
      <c r="D131" s="190" t="s">
        <v>417</v>
      </c>
      <c r="E131" s="191" t="s">
        <v>24</v>
      </c>
      <c r="F131" s="220" t="s">
        <v>634</v>
      </c>
      <c r="G131" s="79" t="s">
        <v>33</v>
      </c>
      <c r="H131" s="74" t="s">
        <v>43</v>
      </c>
      <c r="I131" s="78"/>
      <c r="J131" s="79"/>
      <c r="K131" s="77"/>
      <c r="L131" s="77"/>
      <c r="M131" s="77"/>
      <c r="N131" s="77"/>
      <c r="O131" s="79"/>
      <c r="P131" s="79"/>
      <c r="Q131" s="79"/>
    </row>
    <row r="132" spans="2:17" ht="31.5" x14ac:dyDescent="0.3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31.5" x14ac:dyDescent="0.3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2" x14ac:dyDescent="0.35">
      <c r="B134" s="228" t="s">
        <v>8</v>
      </c>
      <c r="C134" s="199"/>
      <c r="D134" s="194" t="s">
        <v>956</v>
      </c>
      <c r="E134" s="204"/>
      <c r="F134" s="219" t="s">
        <v>957</v>
      </c>
      <c r="G134" s="83" t="s">
        <v>33</v>
      </c>
      <c r="H134" s="75" t="s">
        <v>43</v>
      </c>
      <c r="I134" s="82"/>
      <c r="J134" s="83"/>
      <c r="K134" s="81"/>
      <c r="L134" s="81"/>
      <c r="M134" s="81"/>
      <c r="N134" s="81"/>
      <c r="O134" s="83"/>
      <c r="P134" s="83"/>
      <c r="Q134" s="83"/>
    </row>
    <row r="135" spans="2:17" ht="21" x14ac:dyDescent="0.3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1" x14ac:dyDescent="0.3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31.5" x14ac:dyDescent="0.3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91.5" x14ac:dyDescent="0.3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71" x14ac:dyDescent="0.3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41" x14ac:dyDescent="0.35">
      <c r="B140" s="229" t="s">
        <v>419</v>
      </c>
      <c r="C140" s="193" t="s">
        <v>431</v>
      </c>
      <c r="D140" s="193" t="s">
        <v>432</v>
      </c>
      <c r="E140" s="204" t="s">
        <v>24</v>
      </c>
      <c r="F140" s="221" t="s">
        <v>433</v>
      </c>
      <c r="G140" s="83" t="s">
        <v>33</v>
      </c>
      <c r="H140" s="74" t="s">
        <v>43</v>
      </c>
      <c r="I140" s="82"/>
      <c r="J140" s="83"/>
      <c r="K140" s="81"/>
      <c r="L140" s="81"/>
      <c r="M140" s="81"/>
      <c r="N140" s="81"/>
      <c r="O140" s="83"/>
      <c r="P140" s="83"/>
      <c r="Q140" s="83"/>
    </row>
    <row r="141" spans="2:17" ht="21" x14ac:dyDescent="0.3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1.5" x14ac:dyDescent="0.3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71.5" x14ac:dyDescent="0.3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1.5" x14ac:dyDescent="0.3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42" x14ac:dyDescent="0.3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2" x14ac:dyDescent="0.3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1.5" x14ac:dyDescent="0.35">
      <c r="B147" s="229" t="s">
        <v>419</v>
      </c>
      <c r="C147" s="199" t="s">
        <v>446</v>
      </c>
      <c r="D147" s="199" t="s">
        <v>644</v>
      </c>
      <c r="E147" s="204" t="s">
        <v>24</v>
      </c>
      <c r="F147" s="212" t="s">
        <v>962</v>
      </c>
      <c r="G147" s="83" t="s">
        <v>33</v>
      </c>
      <c r="H147" s="74" t="s">
        <v>43</v>
      </c>
      <c r="I147" s="82"/>
      <c r="J147" s="83"/>
      <c r="K147" s="81"/>
      <c r="L147" s="81"/>
      <c r="M147" s="81"/>
      <c r="N147" s="81"/>
      <c r="O147" s="83"/>
      <c r="P147" s="83"/>
      <c r="Q147" s="83"/>
    </row>
    <row r="148" spans="2:17" ht="42" x14ac:dyDescent="0.35">
      <c r="B148" s="228" t="s">
        <v>448</v>
      </c>
      <c r="C148" s="206" t="s">
        <v>449</v>
      </c>
      <c r="D148" s="206" t="s">
        <v>450</v>
      </c>
      <c r="E148" s="205" t="s">
        <v>24</v>
      </c>
      <c r="F148" s="211" t="s">
        <v>963</v>
      </c>
      <c r="G148" s="79" t="s">
        <v>33</v>
      </c>
      <c r="H148" s="74" t="s">
        <v>43</v>
      </c>
      <c r="I148" s="78"/>
      <c r="J148" s="79"/>
      <c r="K148" s="77"/>
      <c r="L148" s="77"/>
      <c r="M148" s="77"/>
      <c r="N148" s="77"/>
      <c r="O148" s="79"/>
      <c r="P148" s="79"/>
      <c r="Q148" s="79"/>
    </row>
    <row r="149" spans="2:17" ht="42" x14ac:dyDescent="0.35">
      <c r="B149" s="228" t="s">
        <v>448</v>
      </c>
      <c r="C149" s="206"/>
      <c r="D149" s="206" t="s">
        <v>451</v>
      </c>
      <c r="E149" s="205" t="s">
        <v>24</v>
      </c>
      <c r="F149" s="211" t="s">
        <v>964</v>
      </c>
      <c r="G149" s="79" t="s">
        <v>33</v>
      </c>
      <c r="H149" s="74" t="s">
        <v>43</v>
      </c>
      <c r="I149" s="78"/>
      <c r="J149" s="79"/>
      <c r="K149" s="77"/>
      <c r="L149" s="77"/>
      <c r="M149" s="77"/>
      <c r="N149" s="77"/>
      <c r="O149" s="79"/>
      <c r="P149" s="79"/>
      <c r="Q149" s="79"/>
    </row>
    <row r="150" spans="2:17" ht="52.5" x14ac:dyDescent="0.35">
      <c r="B150" s="228" t="s">
        <v>448</v>
      </c>
      <c r="C150" s="206"/>
      <c r="D150" s="206" t="s">
        <v>452</v>
      </c>
      <c r="E150" s="205" t="s">
        <v>24</v>
      </c>
      <c r="F150" s="211" t="s">
        <v>965</v>
      </c>
      <c r="G150" s="79" t="s">
        <v>33</v>
      </c>
      <c r="H150" s="74" t="s">
        <v>43</v>
      </c>
      <c r="I150" s="78"/>
      <c r="J150" s="79"/>
      <c r="K150" s="77"/>
      <c r="L150" s="77"/>
      <c r="M150" s="77"/>
      <c r="N150" s="77"/>
      <c r="O150" s="79"/>
      <c r="P150" s="79"/>
      <c r="Q150" s="79"/>
    </row>
    <row r="151" spans="2:17" ht="141" x14ac:dyDescent="0.35">
      <c r="B151" s="228" t="s">
        <v>448</v>
      </c>
      <c r="C151" s="199" t="s">
        <v>966</v>
      </c>
      <c r="D151" s="199" t="s">
        <v>453</v>
      </c>
      <c r="E151" s="204" t="s">
        <v>24</v>
      </c>
      <c r="F151" s="219" t="s">
        <v>967</v>
      </c>
      <c r="G151" s="83" t="s">
        <v>33</v>
      </c>
      <c r="H151" s="75" t="s">
        <v>43</v>
      </c>
      <c r="I151" s="82"/>
      <c r="J151" s="83"/>
      <c r="K151" s="81"/>
      <c r="L151" s="81"/>
      <c r="M151" s="81"/>
      <c r="N151" s="81"/>
      <c r="O151" s="83"/>
      <c r="P151" s="83"/>
      <c r="Q151" s="83"/>
    </row>
    <row r="152" spans="2:17" ht="61.5" x14ac:dyDescent="0.35">
      <c r="B152" s="228" t="s">
        <v>448</v>
      </c>
      <c r="C152" s="206" t="s">
        <v>454</v>
      </c>
      <c r="D152" s="206" t="s">
        <v>455</v>
      </c>
      <c r="E152" s="205" t="s">
        <v>24</v>
      </c>
      <c r="F152" s="211" t="s">
        <v>968</v>
      </c>
      <c r="G152" s="79" t="s">
        <v>33</v>
      </c>
      <c r="H152" s="74" t="s">
        <v>43</v>
      </c>
      <c r="I152" s="78"/>
      <c r="J152" s="79"/>
      <c r="K152" s="77"/>
      <c r="L152" s="77"/>
      <c r="M152" s="77"/>
      <c r="N152" s="77"/>
      <c r="O152" s="79"/>
      <c r="P152" s="79"/>
      <c r="Q152" s="79"/>
    </row>
    <row r="153" spans="2:17" ht="61.5" x14ac:dyDescent="0.35">
      <c r="B153" s="228" t="s">
        <v>448</v>
      </c>
      <c r="C153" s="206"/>
      <c r="D153" s="206" t="s">
        <v>457</v>
      </c>
      <c r="E153" s="205" t="s">
        <v>24</v>
      </c>
      <c r="F153" s="211" t="s">
        <v>969</v>
      </c>
      <c r="G153" s="79" t="s">
        <v>33</v>
      </c>
      <c r="H153" s="74" t="s">
        <v>43</v>
      </c>
      <c r="I153" s="78"/>
      <c r="J153" s="79"/>
      <c r="K153" s="77"/>
      <c r="L153" s="77"/>
      <c r="M153" s="77"/>
      <c r="N153" s="77"/>
      <c r="O153" s="79"/>
      <c r="P153" s="79"/>
      <c r="Q153" s="79"/>
    </row>
    <row r="154" spans="2:17" ht="31.5" x14ac:dyDescent="0.35">
      <c r="B154" s="228" t="s">
        <v>448</v>
      </c>
      <c r="C154" s="206"/>
      <c r="D154" s="206" t="s">
        <v>458</v>
      </c>
      <c r="E154" s="205" t="s">
        <v>24</v>
      </c>
      <c r="F154" s="211" t="s">
        <v>456</v>
      </c>
      <c r="G154" s="79" t="s">
        <v>33</v>
      </c>
      <c r="H154" s="74" t="s">
        <v>43</v>
      </c>
      <c r="I154" s="78"/>
      <c r="J154" s="79"/>
      <c r="K154" s="77"/>
      <c r="L154" s="77"/>
      <c r="M154" s="77"/>
      <c r="N154" s="77"/>
      <c r="O154" s="79"/>
      <c r="P154" s="79"/>
      <c r="Q154" s="79"/>
    </row>
    <row r="155" spans="2:17" ht="31.5" x14ac:dyDescent="0.35">
      <c r="B155" s="228" t="s">
        <v>448</v>
      </c>
      <c r="C155" s="199" t="s">
        <v>460</v>
      </c>
      <c r="D155" s="199" t="s">
        <v>459</v>
      </c>
      <c r="E155" s="204" t="s">
        <v>24</v>
      </c>
      <c r="F155" s="219" t="s">
        <v>461</v>
      </c>
      <c r="G155" s="83" t="s">
        <v>33</v>
      </c>
      <c r="H155" s="75" t="s">
        <v>43</v>
      </c>
      <c r="I155" s="82"/>
      <c r="J155" s="83"/>
      <c r="K155" s="81"/>
      <c r="L155" s="81"/>
      <c r="M155" s="81"/>
      <c r="N155" s="81"/>
      <c r="O155" s="83"/>
      <c r="P155" s="83"/>
      <c r="Q155" s="83"/>
    </row>
    <row r="156" spans="2:17" ht="31.5" x14ac:dyDescent="0.35">
      <c r="B156" s="228" t="s">
        <v>448</v>
      </c>
      <c r="C156" s="199"/>
      <c r="D156" s="199" t="s">
        <v>970</v>
      </c>
      <c r="E156" s="204" t="s">
        <v>24</v>
      </c>
      <c r="F156" s="218" t="s">
        <v>462</v>
      </c>
      <c r="G156" s="83" t="s">
        <v>33</v>
      </c>
      <c r="H156" s="75" t="s">
        <v>43</v>
      </c>
      <c r="I156" s="82"/>
      <c r="J156" s="83"/>
      <c r="K156" s="81"/>
      <c r="L156" s="81"/>
      <c r="M156" s="81"/>
      <c r="N156" s="81"/>
      <c r="O156" s="83"/>
      <c r="P156" s="83"/>
      <c r="Q156" s="83"/>
    </row>
    <row r="157" spans="2:17" ht="42" x14ac:dyDescent="0.35">
      <c r="B157" s="229" t="s">
        <v>463</v>
      </c>
      <c r="C157" s="206" t="s">
        <v>464</v>
      </c>
      <c r="D157" s="206" t="s">
        <v>465</v>
      </c>
      <c r="E157" s="205" t="s">
        <v>24</v>
      </c>
      <c r="F157" s="224" t="s">
        <v>466</v>
      </c>
      <c r="G157" s="79" t="s">
        <v>33</v>
      </c>
      <c r="H157" s="74" t="s">
        <v>43</v>
      </c>
      <c r="I157" s="78"/>
      <c r="J157" s="79"/>
      <c r="K157" s="77"/>
      <c r="L157" s="77"/>
      <c r="M157" s="77"/>
      <c r="N157" s="77"/>
      <c r="O157" s="79"/>
      <c r="P157" s="79"/>
      <c r="Q157" s="79"/>
    </row>
    <row r="158" spans="2:17" ht="42" x14ac:dyDescent="0.35">
      <c r="B158" s="229" t="s">
        <v>463</v>
      </c>
      <c r="C158" s="206"/>
      <c r="D158" s="206" t="s">
        <v>467</v>
      </c>
      <c r="E158" s="205" t="s">
        <v>24</v>
      </c>
      <c r="F158" s="211" t="s">
        <v>469</v>
      </c>
      <c r="G158" s="79" t="s">
        <v>33</v>
      </c>
      <c r="H158" s="74" t="s">
        <v>43</v>
      </c>
      <c r="I158" s="78"/>
      <c r="J158" s="79"/>
      <c r="K158" s="77"/>
      <c r="L158" s="77"/>
      <c r="M158" s="77"/>
      <c r="N158" s="77"/>
      <c r="O158" s="79"/>
      <c r="P158" s="79"/>
      <c r="Q158" s="79"/>
    </row>
    <row r="159" spans="2:17" ht="81" x14ac:dyDescent="0.35">
      <c r="B159" s="229" t="s">
        <v>463</v>
      </c>
      <c r="C159" s="206"/>
      <c r="D159" s="206" t="s">
        <v>468</v>
      </c>
      <c r="E159" s="205" t="s">
        <v>24</v>
      </c>
      <c r="F159" s="225" t="s">
        <v>470</v>
      </c>
      <c r="G159" s="79" t="s">
        <v>33</v>
      </c>
      <c r="H159" s="74" t="s">
        <v>43</v>
      </c>
      <c r="I159" s="78"/>
      <c r="J159" s="79"/>
      <c r="K159" s="77"/>
      <c r="L159" s="77"/>
      <c r="M159" s="77"/>
      <c r="N159" s="77"/>
      <c r="O159" s="79"/>
      <c r="P159" s="79"/>
      <c r="Q159" s="79"/>
    </row>
    <row r="160" spans="2:17" ht="31.5" x14ac:dyDescent="0.35">
      <c r="B160" s="229" t="s">
        <v>463</v>
      </c>
      <c r="C160" s="199" t="s">
        <v>471</v>
      </c>
      <c r="D160" s="199" t="s">
        <v>473</v>
      </c>
      <c r="E160" s="204" t="s">
        <v>24</v>
      </c>
      <c r="F160" s="219" t="s">
        <v>475</v>
      </c>
      <c r="G160" s="83" t="s">
        <v>33</v>
      </c>
      <c r="H160" s="75" t="s">
        <v>43</v>
      </c>
      <c r="I160" s="82"/>
      <c r="J160" s="83"/>
      <c r="K160" s="81"/>
      <c r="L160" s="81"/>
      <c r="M160" s="81"/>
      <c r="N160" s="81"/>
      <c r="O160" s="83"/>
      <c r="P160" s="83"/>
      <c r="Q160" s="83"/>
    </row>
    <row r="161" spans="2:17" ht="31.5" x14ac:dyDescent="0.35">
      <c r="B161" s="229" t="s">
        <v>463</v>
      </c>
      <c r="C161" s="206" t="s">
        <v>472</v>
      </c>
      <c r="D161" s="206" t="s">
        <v>474</v>
      </c>
      <c r="E161" s="205" t="s">
        <v>24</v>
      </c>
      <c r="F161" s="211" t="s">
        <v>472</v>
      </c>
      <c r="G161" s="79" t="s">
        <v>33</v>
      </c>
      <c r="H161" s="74" t="s">
        <v>43</v>
      </c>
      <c r="I161" s="78"/>
      <c r="J161" s="79"/>
      <c r="K161" s="77"/>
      <c r="L161" s="77"/>
      <c r="M161" s="77"/>
      <c r="N161" s="77"/>
      <c r="O161" s="79"/>
      <c r="P161" s="79"/>
      <c r="Q161" s="79"/>
    </row>
    <row r="162" spans="2:17" ht="52.5" x14ac:dyDescent="0.35">
      <c r="B162" s="229" t="s">
        <v>463</v>
      </c>
      <c r="C162" s="199" t="s">
        <v>826</v>
      </c>
      <c r="D162" s="199" t="s">
        <v>477</v>
      </c>
      <c r="E162" s="204" t="s">
        <v>25</v>
      </c>
      <c r="F162" s="219" t="s">
        <v>971</v>
      </c>
      <c r="G162" s="83" t="s">
        <v>33</v>
      </c>
      <c r="H162" s="74" t="s">
        <v>43</v>
      </c>
      <c r="I162" s="82"/>
      <c r="J162" s="83"/>
      <c r="K162" s="81"/>
      <c r="L162" s="81"/>
      <c r="M162" s="81"/>
      <c r="N162" s="81"/>
      <c r="O162" s="83"/>
      <c r="P162" s="83"/>
      <c r="Q162" s="83"/>
    </row>
    <row r="163" spans="2:17" ht="112.5" x14ac:dyDescent="0.35">
      <c r="B163" s="229" t="s">
        <v>463</v>
      </c>
      <c r="C163" s="199"/>
      <c r="D163" s="199" t="s">
        <v>479</v>
      </c>
      <c r="E163" s="204" t="s">
        <v>25</v>
      </c>
      <c r="F163" s="219" t="s">
        <v>972</v>
      </c>
      <c r="G163" s="83" t="s">
        <v>33</v>
      </c>
      <c r="H163" s="74" t="s">
        <v>43</v>
      </c>
      <c r="I163" s="82"/>
      <c r="J163" s="83"/>
      <c r="K163" s="81"/>
      <c r="L163" s="81"/>
      <c r="M163" s="81"/>
      <c r="N163" s="81"/>
      <c r="O163" s="83"/>
      <c r="P163" s="83"/>
      <c r="Q163" s="83"/>
    </row>
    <row r="164" spans="2:17" ht="112.5" x14ac:dyDescent="0.35">
      <c r="B164" s="229" t="s">
        <v>463</v>
      </c>
      <c r="C164" s="199"/>
      <c r="D164" s="199" t="s">
        <v>480</v>
      </c>
      <c r="E164" s="204" t="s">
        <v>25</v>
      </c>
      <c r="F164" s="219" t="s">
        <v>973</v>
      </c>
      <c r="G164" s="83" t="s">
        <v>33</v>
      </c>
      <c r="H164" s="74" t="s">
        <v>43</v>
      </c>
      <c r="I164" s="82"/>
      <c r="J164" s="83"/>
      <c r="K164" s="81"/>
      <c r="L164" s="81"/>
      <c r="M164" s="81"/>
      <c r="N164" s="81"/>
      <c r="O164" s="83"/>
      <c r="P164" s="83"/>
      <c r="Q164" s="83"/>
    </row>
    <row r="165" spans="2:17" ht="52.5" x14ac:dyDescent="0.35">
      <c r="B165" s="229" t="s">
        <v>463</v>
      </c>
      <c r="C165" s="206" t="s">
        <v>476</v>
      </c>
      <c r="D165" s="206" t="s">
        <v>478</v>
      </c>
      <c r="E165" s="205" t="s">
        <v>25</v>
      </c>
      <c r="F165" s="211" t="s">
        <v>483</v>
      </c>
      <c r="G165" s="79" t="s">
        <v>33</v>
      </c>
      <c r="H165" s="74" t="s">
        <v>43</v>
      </c>
      <c r="I165" s="78"/>
      <c r="J165" s="79"/>
      <c r="K165" s="77"/>
      <c r="L165" s="77"/>
      <c r="M165" s="77"/>
      <c r="N165" s="77"/>
      <c r="O165" s="79"/>
      <c r="P165" s="79"/>
      <c r="Q165" s="79"/>
    </row>
    <row r="166" spans="2:17" ht="52.5" x14ac:dyDescent="0.35">
      <c r="B166" s="229" t="s">
        <v>463</v>
      </c>
      <c r="C166" s="206"/>
      <c r="D166" s="206" t="s">
        <v>481</v>
      </c>
      <c r="E166" s="205" t="s">
        <v>25</v>
      </c>
      <c r="F166" s="211" t="s">
        <v>484</v>
      </c>
      <c r="G166" s="79" t="s">
        <v>33</v>
      </c>
      <c r="H166" s="74" t="s">
        <v>43</v>
      </c>
      <c r="I166" s="78"/>
      <c r="J166" s="79"/>
      <c r="K166" s="77"/>
      <c r="L166" s="77"/>
      <c r="M166" s="77"/>
      <c r="N166" s="77"/>
      <c r="O166" s="79"/>
      <c r="P166" s="79"/>
      <c r="Q166" s="79"/>
    </row>
    <row r="167" spans="2:17" ht="73.5" x14ac:dyDescent="0.35">
      <c r="B167" s="229" t="s">
        <v>463</v>
      </c>
      <c r="C167" s="206"/>
      <c r="D167" s="206" t="s">
        <v>482</v>
      </c>
      <c r="E167" s="205" t="s">
        <v>25</v>
      </c>
      <c r="F167" s="211" t="s">
        <v>485</v>
      </c>
      <c r="G167" s="79" t="s">
        <v>33</v>
      </c>
      <c r="H167" s="74" t="s">
        <v>43</v>
      </c>
      <c r="I167" s="78"/>
      <c r="J167" s="79"/>
      <c r="K167" s="77"/>
      <c r="L167" s="77"/>
      <c r="M167" s="77"/>
      <c r="N167" s="77"/>
      <c r="O167" s="79"/>
      <c r="P167" s="79"/>
      <c r="Q167" s="79"/>
    </row>
    <row r="168" spans="2:17" ht="91.5" x14ac:dyDescent="0.35">
      <c r="B168" s="229" t="s">
        <v>463</v>
      </c>
      <c r="C168" s="199" t="s">
        <v>486</v>
      </c>
      <c r="D168" s="199" t="s">
        <v>488</v>
      </c>
      <c r="E168" s="204" t="s">
        <v>24</v>
      </c>
      <c r="F168" s="219" t="s">
        <v>974</v>
      </c>
      <c r="G168" s="83" t="s">
        <v>33</v>
      </c>
      <c r="H168" s="74" t="s">
        <v>43</v>
      </c>
      <c r="I168" s="82"/>
      <c r="J168" s="83"/>
      <c r="K168" s="81"/>
      <c r="L168" s="81"/>
      <c r="M168" s="81"/>
      <c r="N168" s="81"/>
      <c r="O168" s="83"/>
      <c r="P168" s="83"/>
      <c r="Q168" s="83"/>
    </row>
    <row r="169" spans="2:17" ht="51" x14ac:dyDescent="0.35">
      <c r="B169" s="229" t="s">
        <v>463</v>
      </c>
      <c r="C169" s="206" t="s">
        <v>487</v>
      </c>
      <c r="D169" s="206" t="s">
        <v>489</v>
      </c>
      <c r="E169" s="205" t="s">
        <v>24</v>
      </c>
      <c r="F169" s="211" t="s">
        <v>975</v>
      </c>
      <c r="G169" s="79" t="s">
        <v>33</v>
      </c>
      <c r="H169" s="74" t="s">
        <v>43</v>
      </c>
      <c r="I169" s="78"/>
      <c r="J169" s="79"/>
      <c r="K169" s="77"/>
      <c r="L169" s="77"/>
      <c r="M169" s="77"/>
      <c r="N169" s="77"/>
      <c r="O169" s="79"/>
      <c r="P169" s="79"/>
      <c r="Q169" s="79"/>
    </row>
    <row r="170" spans="2:17" ht="81" x14ac:dyDescent="0.35">
      <c r="B170" s="229" t="s">
        <v>463</v>
      </c>
      <c r="C170" s="199" t="s">
        <v>976</v>
      </c>
      <c r="D170" s="199" t="s">
        <v>490</v>
      </c>
      <c r="E170" s="204" t="s">
        <v>24</v>
      </c>
      <c r="F170" s="226" t="s">
        <v>977</v>
      </c>
      <c r="G170" s="83" t="s">
        <v>33</v>
      </c>
      <c r="H170" s="74" t="s">
        <v>43</v>
      </c>
      <c r="I170" s="82"/>
      <c r="J170" s="83"/>
      <c r="K170" s="81"/>
      <c r="L170" s="81"/>
      <c r="M170" s="81"/>
      <c r="N170" s="81"/>
      <c r="O170" s="83"/>
      <c r="P170" s="83"/>
      <c r="Q170" s="83"/>
    </row>
    <row r="171" spans="2:17" ht="42" x14ac:dyDescent="0.35">
      <c r="B171" s="229" t="s">
        <v>463</v>
      </c>
      <c r="C171" s="206" t="s">
        <v>498</v>
      </c>
      <c r="D171" s="206" t="s">
        <v>491</v>
      </c>
      <c r="E171" s="205" t="s">
        <v>24</v>
      </c>
      <c r="F171" s="211" t="s">
        <v>497</v>
      </c>
      <c r="G171" s="79" t="s">
        <v>33</v>
      </c>
      <c r="H171" s="74" t="s">
        <v>43</v>
      </c>
      <c r="I171" s="78"/>
      <c r="J171" s="79"/>
      <c r="K171" s="77"/>
      <c r="L171" s="77"/>
      <c r="M171" s="77"/>
      <c r="N171" s="77"/>
      <c r="O171" s="79"/>
      <c r="P171" s="79"/>
      <c r="Q171" s="79"/>
    </row>
    <row r="172" spans="2:17" ht="42" x14ac:dyDescent="0.35">
      <c r="B172" s="229" t="s">
        <v>463</v>
      </c>
      <c r="C172" s="206"/>
      <c r="D172" s="206" t="s">
        <v>978</v>
      </c>
      <c r="E172" s="205" t="s">
        <v>24</v>
      </c>
      <c r="F172" s="211" t="s">
        <v>500</v>
      </c>
      <c r="G172" s="79" t="s">
        <v>33</v>
      </c>
      <c r="H172" s="74" t="s">
        <v>43</v>
      </c>
      <c r="I172" s="78"/>
      <c r="J172" s="79"/>
      <c r="K172" s="77"/>
      <c r="L172" s="77"/>
      <c r="M172" s="77"/>
      <c r="N172" s="77"/>
      <c r="O172" s="79"/>
      <c r="P172" s="79"/>
      <c r="Q172" s="79"/>
    </row>
    <row r="173" spans="2:17" ht="42" x14ac:dyDescent="0.35">
      <c r="B173" s="229" t="s">
        <v>463</v>
      </c>
      <c r="C173" s="206"/>
      <c r="D173" s="206" t="s">
        <v>979</v>
      </c>
      <c r="E173" s="205" t="s">
        <v>24</v>
      </c>
      <c r="F173" s="211" t="s">
        <v>501</v>
      </c>
      <c r="G173" s="79" t="s">
        <v>33</v>
      </c>
      <c r="H173" s="74" t="s">
        <v>43</v>
      </c>
      <c r="I173" s="78"/>
      <c r="J173" s="79"/>
      <c r="K173" s="77"/>
      <c r="L173" s="77"/>
      <c r="M173" s="77"/>
      <c r="N173" s="77"/>
      <c r="O173" s="79"/>
      <c r="P173" s="79"/>
      <c r="Q173" s="79"/>
    </row>
    <row r="174" spans="2:17" ht="42" x14ac:dyDescent="0.35">
      <c r="B174" s="229" t="s">
        <v>463</v>
      </c>
      <c r="C174" s="206"/>
      <c r="D174" s="206" t="s">
        <v>980</v>
      </c>
      <c r="E174" s="205" t="s">
        <v>24</v>
      </c>
      <c r="F174" s="211" t="s">
        <v>502</v>
      </c>
      <c r="G174" s="79" t="s">
        <v>33</v>
      </c>
      <c r="H174" s="74" t="s">
        <v>43</v>
      </c>
      <c r="I174" s="78"/>
      <c r="J174" s="79"/>
      <c r="K174" s="77"/>
      <c r="L174" s="77"/>
      <c r="M174" s="77"/>
      <c r="N174" s="77"/>
      <c r="O174" s="79"/>
      <c r="P174" s="79"/>
      <c r="Q174" s="79"/>
    </row>
    <row r="175" spans="2:17" ht="52.5" x14ac:dyDescent="0.35">
      <c r="B175" s="229" t="s">
        <v>463</v>
      </c>
      <c r="C175" s="199" t="s">
        <v>503</v>
      </c>
      <c r="D175" s="199" t="s">
        <v>492</v>
      </c>
      <c r="E175" s="204" t="s">
        <v>24</v>
      </c>
      <c r="F175" s="219" t="s">
        <v>504</v>
      </c>
      <c r="G175" s="83" t="s">
        <v>33</v>
      </c>
      <c r="H175" s="75" t="s">
        <v>43</v>
      </c>
      <c r="I175" s="82"/>
      <c r="J175" s="83"/>
      <c r="K175" s="81"/>
      <c r="L175" s="81"/>
      <c r="M175" s="81"/>
      <c r="N175" s="81"/>
      <c r="O175" s="83"/>
      <c r="P175" s="83"/>
      <c r="Q175" s="83"/>
    </row>
    <row r="176" spans="2:17" ht="52.5" x14ac:dyDescent="0.35">
      <c r="B176" s="229" t="s">
        <v>463</v>
      </c>
      <c r="C176" s="199"/>
      <c r="D176" s="199" t="s">
        <v>981</v>
      </c>
      <c r="E176" s="204" t="s">
        <v>24</v>
      </c>
      <c r="F176" s="219" t="s">
        <v>505</v>
      </c>
      <c r="G176" s="83" t="s">
        <v>33</v>
      </c>
      <c r="H176" s="75" t="s">
        <v>43</v>
      </c>
      <c r="I176" s="82"/>
      <c r="J176" s="83"/>
      <c r="K176" s="81"/>
      <c r="L176" s="81"/>
      <c r="M176" s="81"/>
      <c r="N176" s="81"/>
      <c r="O176" s="83"/>
      <c r="P176" s="83"/>
      <c r="Q176" s="83"/>
    </row>
    <row r="177" spans="2:17" ht="42" x14ac:dyDescent="0.35">
      <c r="B177" s="229" t="s">
        <v>463</v>
      </c>
      <c r="C177" s="199"/>
      <c r="D177" s="199" t="s">
        <v>982</v>
      </c>
      <c r="E177" s="204" t="s">
        <v>24</v>
      </c>
      <c r="F177" s="219" t="s">
        <v>506</v>
      </c>
      <c r="G177" s="83" t="s">
        <v>33</v>
      </c>
      <c r="H177" s="75" t="s">
        <v>43</v>
      </c>
      <c r="I177" s="82"/>
      <c r="J177" s="83"/>
      <c r="K177" s="81"/>
      <c r="L177" s="81"/>
      <c r="M177" s="81"/>
      <c r="N177" s="81"/>
      <c r="O177" s="83"/>
      <c r="P177" s="83"/>
      <c r="Q177" s="83"/>
    </row>
    <row r="178" spans="2:17" ht="42" x14ac:dyDescent="0.35">
      <c r="B178" s="229" t="s">
        <v>463</v>
      </c>
      <c r="C178" s="199"/>
      <c r="D178" s="199" t="s">
        <v>983</v>
      </c>
      <c r="E178" s="204" t="s">
        <v>24</v>
      </c>
      <c r="F178" s="218" t="s">
        <v>507</v>
      </c>
      <c r="G178" s="83" t="s">
        <v>33</v>
      </c>
      <c r="H178" s="75" t="s">
        <v>43</v>
      </c>
      <c r="I178" s="82"/>
      <c r="J178" s="83"/>
      <c r="K178" s="81"/>
      <c r="L178" s="81"/>
      <c r="M178" s="81"/>
      <c r="N178" s="81"/>
      <c r="O178" s="83"/>
      <c r="P178" s="83"/>
      <c r="Q178" s="83"/>
    </row>
    <row r="179" spans="2:17" ht="73.5" x14ac:dyDescent="0.35">
      <c r="B179" s="229" t="s">
        <v>463</v>
      </c>
      <c r="C179" s="206" t="s">
        <v>984</v>
      </c>
      <c r="D179" s="206" t="s">
        <v>493</v>
      </c>
      <c r="E179" s="205" t="s">
        <v>25</v>
      </c>
      <c r="F179" s="222" t="s">
        <v>985</v>
      </c>
      <c r="G179" s="79" t="s">
        <v>33</v>
      </c>
      <c r="H179" s="74" t="s">
        <v>43</v>
      </c>
      <c r="I179" s="78"/>
      <c r="J179" s="79"/>
      <c r="K179" s="77"/>
      <c r="L179" s="77"/>
      <c r="M179" s="77"/>
      <c r="N179" s="77"/>
      <c r="O179" s="79"/>
      <c r="P179" s="79"/>
      <c r="Q179" s="79"/>
    </row>
    <row r="180" spans="2:17" ht="73.5" x14ac:dyDescent="0.35">
      <c r="B180" s="229" t="s">
        <v>463</v>
      </c>
      <c r="C180" s="206"/>
      <c r="D180" s="206" t="s">
        <v>986</v>
      </c>
      <c r="E180" s="205" t="s">
        <v>25</v>
      </c>
      <c r="F180" s="222" t="s">
        <v>987</v>
      </c>
      <c r="G180" s="85" t="s">
        <v>33</v>
      </c>
      <c r="H180" s="74" t="s">
        <v>43</v>
      </c>
      <c r="I180" s="77"/>
      <c r="J180" s="85"/>
      <c r="K180" s="77"/>
      <c r="L180" s="77"/>
      <c r="M180" s="77"/>
      <c r="N180" s="77"/>
      <c r="O180" s="85"/>
      <c r="P180" s="85"/>
      <c r="Q180" s="85"/>
    </row>
    <row r="181" spans="2:17" ht="111.5" x14ac:dyDescent="0.35">
      <c r="B181" s="229" t="s">
        <v>463</v>
      </c>
      <c r="C181" s="199" t="s">
        <v>988</v>
      </c>
      <c r="D181" s="199" t="s">
        <v>494</v>
      </c>
      <c r="E181" s="204" t="s">
        <v>25</v>
      </c>
      <c r="F181" s="218" t="s">
        <v>989</v>
      </c>
      <c r="G181" s="86" t="s">
        <v>33</v>
      </c>
      <c r="H181" s="75" t="s">
        <v>43</v>
      </c>
      <c r="I181" s="81"/>
      <c r="J181" s="86"/>
      <c r="K181" s="81"/>
      <c r="L181" s="81"/>
      <c r="M181" s="81"/>
      <c r="N181" s="81"/>
      <c r="O181" s="86"/>
      <c r="P181" s="86"/>
      <c r="Q181" s="86"/>
    </row>
    <row r="182" spans="2:17" ht="52.5" x14ac:dyDescent="0.35">
      <c r="B182" s="229" t="s">
        <v>463</v>
      </c>
      <c r="C182" s="206" t="s">
        <v>990</v>
      </c>
      <c r="D182" s="206" t="s">
        <v>495</v>
      </c>
      <c r="E182" s="205" t="s">
        <v>25</v>
      </c>
      <c r="F182" s="222" t="s">
        <v>991</v>
      </c>
      <c r="G182" s="85" t="s">
        <v>33</v>
      </c>
      <c r="H182" s="74" t="s">
        <v>43</v>
      </c>
      <c r="I182" s="77"/>
      <c r="J182" s="85"/>
      <c r="K182" s="77"/>
      <c r="L182" s="77"/>
      <c r="M182" s="77"/>
      <c r="N182" s="77"/>
      <c r="O182" s="85"/>
      <c r="P182" s="85"/>
      <c r="Q182" s="85"/>
    </row>
    <row r="183" spans="2:17" ht="42" x14ac:dyDescent="0.35">
      <c r="B183" s="229" t="s">
        <v>463</v>
      </c>
      <c r="C183" s="206"/>
      <c r="D183" s="206" t="s">
        <v>992</v>
      </c>
      <c r="E183" s="205" t="s">
        <v>25</v>
      </c>
      <c r="F183" s="222" t="s">
        <v>993</v>
      </c>
      <c r="G183" s="85" t="s">
        <v>33</v>
      </c>
      <c r="H183" s="74" t="s">
        <v>43</v>
      </c>
      <c r="I183" s="77"/>
      <c r="J183" s="85"/>
      <c r="K183" s="77"/>
      <c r="L183" s="77"/>
      <c r="M183" s="77"/>
      <c r="N183" s="77"/>
      <c r="O183" s="85"/>
      <c r="P183" s="85"/>
      <c r="Q183" s="85"/>
    </row>
    <row r="184" spans="2:17" ht="142" x14ac:dyDescent="0.35">
      <c r="B184" s="229" t="s">
        <v>463</v>
      </c>
      <c r="C184" s="206"/>
      <c r="D184" s="206" t="s">
        <v>994</v>
      </c>
      <c r="E184" s="205" t="s">
        <v>25</v>
      </c>
      <c r="F184" s="222" t="s">
        <v>995</v>
      </c>
      <c r="G184" s="85" t="s">
        <v>33</v>
      </c>
      <c r="H184" s="74" t="s">
        <v>43</v>
      </c>
      <c r="I184" s="77"/>
      <c r="J184" s="85"/>
      <c r="K184" s="77"/>
      <c r="L184" s="77"/>
      <c r="M184" s="77"/>
      <c r="N184" s="77"/>
      <c r="O184" s="85"/>
      <c r="P184" s="85"/>
      <c r="Q184" s="85"/>
    </row>
    <row r="185" spans="2:17" ht="122" x14ac:dyDescent="0.35">
      <c r="B185" s="229" t="s">
        <v>463</v>
      </c>
      <c r="C185" s="199" t="s">
        <v>996</v>
      </c>
      <c r="D185" s="199" t="s">
        <v>496</v>
      </c>
      <c r="E185" s="204" t="s">
        <v>25</v>
      </c>
      <c r="F185" s="218" t="s">
        <v>997</v>
      </c>
      <c r="G185" s="86" t="s">
        <v>33</v>
      </c>
      <c r="H185" s="75" t="s">
        <v>43</v>
      </c>
      <c r="I185" s="81"/>
      <c r="J185" s="86"/>
      <c r="K185" s="81"/>
      <c r="L185" s="81"/>
      <c r="M185" s="81"/>
      <c r="N185" s="81"/>
      <c r="O185" s="86"/>
      <c r="P185" s="86"/>
      <c r="Q185" s="86"/>
    </row>
    <row r="186" spans="2:17" ht="112" x14ac:dyDescent="0.35">
      <c r="B186" s="229" t="s">
        <v>463</v>
      </c>
      <c r="C186" s="199"/>
      <c r="D186" s="199" t="s">
        <v>499</v>
      </c>
      <c r="E186" s="204" t="s">
        <v>25</v>
      </c>
      <c r="F186" s="218" t="s">
        <v>998</v>
      </c>
      <c r="G186" s="86" t="s">
        <v>33</v>
      </c>
      <c r="H186" s="75" t="s">
        <v>43</v>
      </c>
      <c r="I186" s="81"/>
      <c r="J186" s="86"/>
      <c r="K186" s="81"/>
      <c r="L186" s="81"/>
      <c r="M186" s="81"/>
      <c r="N186" s="81"/>
      <c r="O186" s="86"/>
      <c r="P186" s="86"/>
      <c r="Q186" s="86"/>
    </row>
    <row r="187" spans="2:17" ht="111" x14ac:dyDescent="0.35">
      <c r="B187" s="228" t="s">
        <v>4</v>
      </c>
      <c r="C187" s="206" t="s">
        <v>508</v>
      </c>
      <c r="D187" s="206" t="s">
        <v>509</v>
      </c>
      <c r="E187" s="205" t="s">
        <v>24</v>
      </c>
      <c r="F187" s="206" t="s">
        <v>999</v>
      </c>
      <c r="G187" s="85" t="s">
        <v>33</v>
      </c>
      <c r="H187" s="74" t="s">
        <v>43</v>
      </c>
      <c r="I187" s="77"/>
      <c r="J187" s="85"/>
      <c r="K187" s="77"/>
      <c r="L187" s="77"/>
      <c r="M187" s="77"/>
      <c r="N187" s="77"/>
      <c r="O187" s="85"/>
      <c r="P187" s="85"/>
      <c r="Q187" s="85"/>
    </row>
    <row r="188" spans="2:17" ht="61.5" x14ac:dyDescent="0.35">
      <c r="B188" s="228" t="s">
        <v>4</v>
      </c>
      <c r="C188" s="206"/>
      <c r="D188" s="206" t="s">
        <v>510</v>
      </c>
      <c r="E188" s="205" t="s">
        <v>24</v>
      </c>
      <c r="F188" s="206" t="s">
        <v>1000</v>
      </c>
      <c r="G188" s="85" t="s">
        <v>33</v>
      </c>
      <c r="H188" s="74" t="s">
        <v>43</v>
      </c>
      <c r="I188" s="77"/>
      <c r="J188" s="85"/>
      <c r="K188" s="77"/>
      <c r="L188" s="77"/>
      <c r="M188" s="77"/>
      <c r="N188" s="77"/>
      <c r="O188" s="85"/>
      <c r="P188" s="85"/>
      <c r="Q188" s="85"/>
    </row>
    <row r="189" spans="2:17" ht="132" x14ac:dyDescent="0.35">
      <c r="B189" s="228" t="s">
        <v>4</v>
      </c>
      <c r="C189" s="206"/>
      <c r="D189" s="206" t="s">
        <v>511</v>
      </c>
      <c r="E189" s="205" t="s">
        <v>24</v>
      </c>
      <c r="F189" s="206" t="s">
        <v>1001</v>
      </c>
      <c r="G189" s="85" t="s">
        <v>33</v>
      </c>
      <c r="H189" s="74" t="s">
        <v>43</v>
      </c>
      <c r="I189" s="78"/>
      <c r="J189" s="85"/>
      <c r="K189" s="87"/>
      <c r="L189" s="87"/>
      <c r="M189" s="87"/>
      <c r="N189" s="87"/>
      <c r="O189" s="85"/>
      <c r="P189" s="85"/>
      <c r="Q189" s="85"/>
    </row>
    <row r="190" spans="2:17" ht="31.5" x14ac:dyDescent="0.35">
      <c r="B190" s="228" t="s">
        <v>4</v>
      </c>
      <c r="C190" s="199" t="s">
        <v>512</v>
      </c>
      <c r="D190" s="199" t="s">
        <v>514</v>
      </c>
      <c r="E190" s="204" t="s">
        <v>24</v>
      </c>
      <c r="F190" s="219" t="s">
        <v>1002</v>
      </c>
      <c r="G190" s="86" t="s">
        <v>33</v>
      </c>
      <c r="H190" s="75" t="s">
        <v>43</v>
      </c>
      <c r="I190" s="82"/>
      <c r="J190" s="86"/>
      <c r="K190" s="88"/>
      <c r="L190" s="88"/>
      <c r="M190" s="88"/>
      <c r="N190" s="88"/>
      <c r="O190" s="86"/>
      <c r="P190" s="86"/>
      <c r="Q190" s="86"/>
    </row>
    <row r="191" spans="2:17" ht="31.5" x14ac:dyDescent="0.35">
      <c r="B191" s="228" t="s">
        <v>4</v>
      </c>
      <c r="C191" s="199"/>
      <c r="D191" s="199" t="s">
        <v>516</v>
      </c>
      <c r="E191" s="204" t="s">
        <v>24</v>
      </c>
      <c r="F191" s="219" t="s">
        <v>520</v>
      </c>
      <c r="G191" s="86" t="s">
        <v>33</v>
      </c>
      <c r="H191" s="75" t="s">
        <v>43</v>
      </c>
      <c r="I191" s="82"/>
      <c r="J191" s="86"/>
      <c r="K191" s="88"/>
      <c r="L191" s="88"/>
      <c r="M191" s="88"/>
      <c r="N191" s="88"/>
      <c r="O191" s="86"/>
      <c r="P191" s="86"/>
      <c r="Q191" s="86"/>
    </row>
    <row r="192" spans="2:17" ht="31.5" x14ac:dyDescent="0.35">
      <c r="B192" s="228" t="s">
        <v>4</v>
      </c>
      <c r="C192" s="199"/>
      <c r="D192" s="199" t="s">
        <v>517</v>
      </c>
      <c r="E192" s="204" t="s">
        <v>24</v>
      </c>
      <c r="F192" s="219" t="s">
        <v>1003</v>
      </c>
      <c r="G192" s="86" t="s">
        <v>33</v>
      </c>
      <c r="H192" s="75" t="s">
        <v>43</v>
      </c>
      <c r="I192" s="88"/>
      <c r="J192" s="86"/>
      <c r="K192" s="88"/>
      <c r="L192" s="88"/>
      <c r="M192" s="88"/>
      <c r="N192" s="88"/>
      <c r="O192" s="86"/>
      <c r="P192" s="86"/>
      <c r="Q192" s="86"/>
    </row>
    <row r="193" spans="2:17" ht="31.5" x14ac:dyDescent="0.35">
      <c r="B193" s="228" t="s">
        <v>4</v>
      </c>
      <c r="C193" s="199"/>
      <c r="D193" s="199" t="s">
        <v>518</v>
      </c>
      <c r="E193" s="204" t="s">
        <v>24</v>
      </c>
      <c r="F193" s="219" t="s">
        <v>1004</v>
      </c>
      <c r="G193" s="86" t="s">
        <v>33</v>
      </c>
      <c r="H193" s="75" t="s">
        <v>43</v>
      </c>
      <c r="I193" s="88"/>
      <c r="J193" s="86"/>
      <c r="K193" s="88"/>
      <c r="L193" s="88"/>
      <c r="M193" s="88"/>
      <c r="N193" s="88"/>
      <c r="O193" s="86"/>
      <c r="P193" s="86"/>
      <c r="Q193" s="86"/>
    </row>
    <row r="194" spans="2:17" ht="111" x14ac:dyDescent="0.35">
      <c r="B194" s="228" t="s">
        <v>4</v>
      </c>
      <c r="C194" s="199"/>
      <c r="D194" s="199" t="s">
        <v>1005</v>
      </c>
      <c r="E194" s="204" t="s">
        <v>24</v>
      </c>
      <c r="F194" s="219" t="s">
        <v>1006</v>
      </c>
      <c r="G194" s="86" t="s">
        <v>33</v>
      </c>
      <c r="H194" s="75" t="s">
        <v>43</v>
      </c>
      <c r="I194" s="88"/>
      <c r="J194" s="86"/>
      <c r="K194" s="88"/>
      <c r="L194" s="88"/>
      <c r="M194" s="88"/>
      <c r="N194" s="88"/>
      <c r="O194" s="86"/>
      <c r="P194" s="86"/>
      <c r="Q194" s="86"/>
    </row>
    <row r="195" spans="2:17" ht="42" x14ac:dyDescent="0.35">
      <c r="B195" s="228" t="s">
        <v>4</v>
      </c>
      <c r="C195" s="199"/>
      <c r="D195" s="199" t="s">
        <v>1007</v>
      </c>
      <c r="E195" s="204" t="s">
        <v>24</v>
      </c>
      <c r="F195" s="219" t="s">
        <v>1008</v>
      </c>
      <c r="G195" s="86" t="s">
        <v>33</v>
      </c>
      <c r="H195" s="75" t="s">
        <v>43</v>
      </c>
      <c r="I195" s="88"/>
      <c r="J195" s="86"/>
      <c r="K195" s="88"/>
      <c r="L195" s="88"/>
      <c r="M195" s="88"/>
      <c r="N195" s="88"/>
      <c r="O195" s="86"/>
      <c r="P195" s="86"/>
      <c r="Q195" s="86"/>
    </row>
    <row r="196" spans="2:17" ht="50" x14ac:dyDescent="0.35">
      <c r="B196" s="228" t="s">
        <v>4</v>
      </c>
      <c r="C196" s="206" t="s">
        <v>513</v>
      </c>
      <c r="D196" s="206" t="s">
        <v>515</v>
      </c>
      <c r="E196" s="205" t="s">
        <v>25</v>
      </c>
      <c r="F196" s="211" t="s">
        <v>521</v>
      </c>
      <c r="G196" s="85" t="s">
        <v>33</v>
      </c>
      <c r="H196" s="74" t="s">
        <v>43</v>
      </c>
      <c r="I196" s="87"/>
      <c r="J196" s="85"/>
      <c r="K196" s="87"/>
      <c r="L196" s="87"/>
      <c r="M196" s="87"/>
      <c r="N196" s="87"/>
      <c r="O196" s="85"/>
      <c r="P196" s="85"/>
      <c r="Q196" s="85"/>
    </row>
    <row r="197" spans="2:17" ht="31.5" x14ac:dyDescent="0.35">
      <c r="B197" s="228" t="s">
        <v>4</v>
      </c>
      <c r="C197" s="206"/>
      <c r="D197" s="206" t="s">
        <v>519</v>
      </c>
      <c r="E197" s="205" t="s">
        <v>25</v>
      </c>
      <c r="F197" s="211" t="s">
        <v>522</v>
      </c>
      <c r="G197" s="85" t="s">
        <v>33</v>
      </c>
      <c r="H197" s="74" t="s">
        <v>43</v>
      </c>
      <c r="I197" s="87"/>
      <c r="J197" s="85"/>
      <c r="K197" s="87"/>
      <c r="L197" s="87"/>
      <c r="M197" s="87"/>
      <c r="N197" s="87"/>
      <c r="O197" s="85"/>
      <c r="P197" s="85"/>
      <c r="Q197" s="85"/>
    </row>
    <row r="198" spans="2:17" ht="30" x14ac:dyDescent="0.35">
      <c r="B198" s="228" t="s">
        <v>4</v>
      </c>
      <c r="C198" s="199" t="s">
        <v>1009</v>
      </c>
      <c r="D198" s="199" t="s">
        <v>524</v>
      </c>
      <c r="E198" s="204" t="s">
        <v>24</v>
      </c>
      <c r="F198" s="219" t="s">
        <v>523</v>
      </c>
      <c r="G198" s="86" t="s">
        <v>33</v>
      </c>
      <c r="H198" s="75" t="s">
        <v>43</v>
      </c>
      <c r="I198" s="88"/>
      <c r="J198" s="86"/>
      <c r="K198" s="88"/>
      <c r="L198" s="88"/>
      <c r="M198" s="88"/>
      <c r="N198" s="88"/>
      <c r="O198" s="86"/>
      <c r="P198" s="86"/>
      <c r="Q198" s="86"/>
    </row>
    <row r="199" spans="2:17" ht="132.5" x14ac:dyDescent="0.35">
      <c r="B199" s="228" t="s">
        <v>4</v>
      </c>
      <c r="C199" s="199"/>
      <c r="D199" s="199" t="s">
        <v>1010</v>
      </c>
      <c r="E199" s="204" t="s">
        <v>24</v>
      </c>
      <c r="F199" s="219" t="s">
        <v>1011</v>
      </c>
      <c r="G199" s="86" t="s">
        <v>33</v>
      </c>
      <c r="H199" s="75" t="s">
        <v>43</v>
      </c>
      <c r="I199" s="88"/>
      <c r="J199" s="86"/>
      <c r="K199" s="88"/>
      <c r="L199" s="88"/>
      <c r="M199" s="88"/>
      <c r="N199" s="88"/>
      <c r="O199" s="86"/>
      <c r="P199" s="86"/>
      <c r="Q199" s="86"/>
    </row>
    <row r="200" spans="2:17" ht="132.5" x14ac:dyDescent="0.35">
      <c r="B200" s="228" t="s">
        <v>4</v>
      </c>
      <c r="C200" s="199"/>
      <c r="D200" s="199" t="s">
        <v>1012</v>
      </c>
      <c r="E200" s="204" t="s">
        <v>24</v>
      </c>
      <c r="F200" s="219" t="s">
        <v>1013</v>
      </c>
      <c r="G200" s="86" t="s">
        <v>33</v>
      </c>
      <c r="H200" s="75" t="s">
        <v>43</v>
      </c>
      <c r="I200" s="88"/>
      <c r="J200" s="86"/>
      <c r="K200" s="88"/>
      <c r="L200" s="88"/>
      <c r="M200" s="88"/>
      <c r="N200" s="88"/>
      <c r="O200" s="86"/>
      <c r="P200" s="86"/>
      <c r="Q200" s="86"/>
    </row>
    <row r="201" spans="2:17" ht="111.5" x14ac:dyDescent="0.35">
      <c r="B201" s="228" t="s">
        <v>4</v>
      </c>
      <c r="C201" s="206" t="s">
        <v>1014</v>
      </c>
      <c r="D201" s="206" t="s">
        <v>525</v>
      </c>
      <c r="E201" s="205" t="s">
        <v>24</v>
      </c>
      <c r="F201" s="211" t="s">
        <v>1015</v>
      </c>
      <c r="G201" s="85" t="s">
        <v>33</v>
      </c>
      <c r="H201" s="74" t="s">
        <v>43</v>
      </c>
      <c r="I201" s="87"/>
      <c r="J201" s="85"/>
      <c r="K201" s="87"/>
      <c r="L201" s="87"/>
      <c r="M201" s="87"/>
      <c r="N201" s="87"/>
      <c r="O201" s="85"/>
      <c r="P201" s="85"/>
      <c r="Q201" s="85"/>
    </row>
    <row r="202" spans="2:17" ht="21" x14ac:dyDescent="0.35">
      <c r="B202" s="228" t="s">
        <v>4</v>
      </c>
      <c r="C202" s="199" t="s">
        <v>1016</v>
      </c>
      <c r="D202" s="199" t="s">
        <v>526</v>
      </c>
      <c r="E202" s="204" t="s">
        <v>24</v>
      </c>
      <c r="F202" s="219" t="s">
        <v>1017</v>
      </c>
      <c r="G202" s="86" t="s">
        <v>33</v>
      </c>
      <c r="H202" s="75" t="s">
        <v>43</v>
      </c>
      <c r="I202" s="88"/>
      <c r="J202" s="86"/>
      <c r="K202" s="88"/>
      <c r="L202" s="88"/>
      <c r="M202" s="88"/>
      <c r="N202" s="88"/>
      <c r="O202" s="86"/>
      <c r="P202" s="86"/>
      <c r="Q202" s="86"/>
    </row>
    <row r="203" spans="2:17" ht="31.5" x14ac:dyDescent="0.35">
      <c r="B203" s="228" t="s">
        <v>4</v>
      </c>
      <c r="C203" s="206" t="s">
        <v>1018</v>
      </c>
      <c r="D203" s="206" t="s">
        <v>527</v>
      </c>
      <c r="E203" s="205" t="s">
        <v>24</v>
      </c>
      <c r="F203" s="211" t="s">
        <v>1018</v>
      </c>
      <c r="G203" s="85" t="s">
        <v>33</v>
      </c>
      <c r="H203" s="74" t="s">
        <v>43</v>
      </c>
      <c r="I203" s="87"/>
      <c r="J203" s="85"/>
      <c r="K203" s="87"/>
      <c r="L203" s="87"/>
      <c r="M203" s="87"/>
      <c r="N203" s="87"/>
      <c r="O203" s="85"/>
      <c r="P203" s="85"/>
      <c r="Q203" s="85"/>
    </row>
    <row r="204" spans="2:17" ht="42" x14ac:dyDescent="0.35">
      <c r="B204" s="228" t="s">
        <v>4</v>
      </c>
      <c r="C204" s="199" t="s">
        <v>1019</v>
      </c>
      <c r="D204" s="199" t="s">
        <v>528</v>
      </c>
      <c r="E204" s="204" t="s">
        <v>24</v>
      </c>
      <c r="F204" s="219" t="s">
        <v>1020</v>
      </c>
      <c r="G204" s="86" t="s">
        <v>33</v>
      </c>
      <c r="H204" s="75" t="s">
        <v>43</v>
      </c>
      <c r="I204" s="82"/>
      <c r="J204" s="86"/>
      <c r="K204" s="88"/>
      <c r="L204" s="88"/>
      <c r="M204" s="88"/>
      <c r="N204" s="88"/>
      <c r="O204" s="86"/>
      <c r="P204" s="86"/>
      <c r="Q204" s="86"/>
    </row>
    <row r="205" spans="2:17" ht="21" x14ac:dyDescent="0.35">
      <c r="B205" s="228" t="s">
        <v>4</v>
      </c>
      <c r="C205" s="199"/>
      <c r="D205" s="199" t="s">
        <v>529</v>
      </c>
      <c r="E205" s="204" t="s">
        <v>24</v>
      </c>
      <c r="F205" s="219" t="s">
        <v>1021</v>
      </c>
      <c r="G205" s="86" t="s">
        <v>33</v>
      </c>
      <c r="H205" s="75" t="s">
        <v>43</v>
      </c>
      <c r="I205" s="82"/>
      <c r="J205" s="86"/>
      <c r="K205" s="88"/>
      <c r="L205" s="88"/>
      <c r="M205" s="88"/>
      <c r="N205" s="88"/>
      <c r="O205" s="86"/>
      <c r="P205" s="86"/>
      <c r="Q205" s="86"/>
    </row>
    <row r="206" spans="2:17" ht="21" x14ac:dyDescent="0.35">
      <c r="B206" s="228" t="s">
        <v>4</v>
      </c>
      <c r="C206" s="199"/>
      <c r="D206" s="199" t="s">
        <v>530</v>
      </c>
      <c r="E206" s="204" t="s">
        <v>24</v>
      </c>
      <c r="F206" s="219" t="s">
        <v>1022</v>
      </c>
      <c r="G206" s="86" t="s">
        <v>33</v>
      </c>
      <c r="H206" s="75" t="s">
        <v>43</v>
      </c>
      <c r="I206" s="88"/>
      <c r="J206" s="86"/>
      <c r="K206" s="88"/>
      <c r="L206" s="88"/>
      <c r="M206" s="88"/>
      <c r="N206" s="88"/>
      <c r="O206" s="86"/>
      <c r="P206" s="86"/>
      <c r="Q206" s="86"/>
    </row>
    <row r="207" spans="2:17" ht="141" x14ac:dyDescent="0.35">
      <c r="B207" s="228" t="s">
        <v>4</v>
      </c>
      <c r="C207" s="206" t="s">
        <v>531</v>
      </c>
      <c r="D207" s="206" t="s">
        <v>532</v>
      </c>
      <c r="E207" s="205" t="s">
        <v>24</v>
      </c>
      <c r="F207" s="206" t="s">
        <v>1023</v>
      </c>
      <c r="G207" s="85" t="s">
        <v>33</v>
      </c>
      <c r="H207" s="74" t="s">
        <v>43</v>
      </c>
      <c r="I207" s="87"/>
      <c r="J207" s="85"/>
      <c r="K207" s="87"/>
      <c r="L207" s="87"/>
      <c r="M207" s="87"/>
      <c r="N207" s="87"/>
      <c r="O207" s="85"/>
      <c r="P207" s="85"/>
      <c r="Q207" s="85"/>
    </row>
    <row r="208" spans="2:17" ht="171.5" x14ac:dyDescent="0.35">
      <c r="B208" s="228" t="s">
        <v>4</v>
      </c>
      <c r="C208" s="206"/>
      <c r="D208" s="206" t="s">
        <v>533</v>
      </c>
      <c r="E208" s="205" t="s">
        <v>24</v>
      </c>
      <c r="F208" s="206" t="s">
        <v>1024</v>
      </c>
      <c r="G208" s="85" t="s">
        <v>33</v>
      </c>
      <c r="H208" s="74" t="s">
        <v>43</v>
      </c>
      <c r="I208" s="87"/>
      <c r="J208" s="85"/>
      <c r="K208" s="87"/>
      <c r="L208" s="87"/>
      <c r="M208" s="87"/>
      <c r="N208" s="87"/>
      <c r="O208" s="85"/>
      <c r="P208" s="85"/>
      <c r="Q208" s="85"/>
    </row>
    <row r="209" spans="2:17" ht="91.5" x14ac:dyDescent="0.35">
      <c r="B209" s="228" t="s">
        <v>4</v>
      </c>
      <c r="C209" s="199" t="s">
        <v>1025</v>
      </c>
      <c r="D209" s="199" t="s">
        <v>534</v>
      </c>
      <c r="E209" s="204" t="s">
        <v>24</v>
      </c>
      <c r="F209" s="199" t="s">
        <v>1026</v>
      </c>
      <c r="G209" s="86" t="s">
        <v>33</v>
      </c>
      <c r="H209" s="75" t="s">
        <v>43</v>
      </c>
      <c r="I209" s="88"/>
      <c r="J209" s="86"/>
      <c r="K209" s="88"/>
      <c r="L209" s="88"/>
      <c r="M209" s="88"/>
      <c r="N209" s="88"/>
      <c r="O209" s="86"/>
      <c r="P209" s="86"/>
      <c r="Q209" s="86"/>
    </row>
    <row r="210" spans="2:17" ht="91.5" x14ac:dyDescent="0.35">
      <c r="B210" s="228" t="s">
        <v>4</v>
      </c>
      <c r="C210" s="199"/>
      <c r="D210" s="199" t="s">
        <v>535</v>
      </c>
      <c r="E210" s="204" t="s">
        <v>24</v>
      </c>
      <c r="F210" s="212" t="s">
        <v>1027</v>
      </c>
      <c r="G210" s="86" t="s">
        <v>33</v>
      </c>
      <c r="H210" s="75" t="s">
        <v>43</v>
      </c>
      <c r="I210" s="88"/>
      <c r="J210" s="86"/>
      <c r="K210" s="88"/>
      <c r="L210" s="88"/>
      <c r="M210" s="88"/>
      <c r="N210" s="88"/>
      <c r="O210" s="86"/>
      <c r="P210" s="86"/>
      <c r="Q210" s="86"/>
    </row>
    <row r="211" spans="2:17" ht="81.5" x14ac:dyDescent="0.35">
      <c r="B211" s="228" t="s">
        <v>4</v>
      </c>
      <c r="C211" s="199"/>
      <c r="D211" s="199" t="s">
        <v>536</v>
      </c>
      <c r="E211" s="204" t="s">
        <v>24</v>
      </c>
      <c r="F211" s="199" t="s">
        <v>1028</v>
      </c>
      <c r="G211" s="86" t="s">
        <v>33</v>
      </c>
      <c r="H211" s="75" t="s">
        <v>43</v>
      </c>
      <c r="I211" s="88"/>
      <c r="J211" s="86"/>
      <c r="K211" s="88"/>
      <c r="L211" s="88"/>
      <c r="M211" s="88"/>
      <c r="N211" s="88"/>
      <c r="O211" s="86"/>
      <c r="P211" s="86"/>
      <c r="Q211" s="86"/>
    </row>
    <row r="212" spans="2:17" ht="61" x14ac:dyDescent="0.35">
      <c r="B212" s="228" t="s">
        <v>4</v>
      </c>
      <c r="C212" s="199"/>
      <c r="D212" s="199" t="s">
        <v>537</v>
      </c>
      <c r="E212" s="204" t="s">
        <v>24</v>
      </c>
      <c r="F212" s="199" t="s">
        <v>1029</v>
      </c>
      <c r="G212" s="86" t="s">
        <v>33</v>
      </c>
      <c r="H212" s="75" t="s">
        <v>43</v>
      </c>
      <c r="I212" s="88"/>
      <c r="J212" s="86"/>
      <c r="K212" s="88"/>
      <c r="L212" s="88"/>
      <c r="M212" s="88"/>
      <c r="N212" s="88"/>
      <c r="O212" s="86"/>
      <c r="P212" s="86"/>
      <c r="Q212" s="86"/>
    </row>
    <row r="213" spans="2:17" ht="111.5" x14ac:dyDescent="0.35">
      <c r="B213" s="228" t="s">
        <v>4</v>
      </c>
      <c r="C213" s="199"/>
      <c r="D213" s="199" t="s">
        <v>538</v>
      </c>
      <c r="E213" s="204" t="s">
        <v>24</v>
      </c>
      <c r="F213" s="212" t="s">
        <v>1030</v>
      </c>
      <c r="G213" s="86" t="s">
        <v>33</v>
      </c>
      <c r="H213" s="75" t="s">
        <v>43</v>
      </c>
      <c r="I213" s="82"/>
      <c r="J213" s="86"/>
      <c r="K213" s="88"/>
      <c r="L213" s="88"/>
      <c r="M213" s="88"/>
      <c r="N213" s="88"/>
      <c r="O213" s="86"/>
      <c r="P213" s="86"/>
      <c r="Q213" s="86"/>
    </row>
    <row r="214" spans="2:17" ht="71.5" x14ac:dyDescent="0.35">
      <c r="B214" s="228" t="s">
        <v>4</v>
      </c>
      <c r="C214" s="199"/>
      <c r="D214" s="199" t="s">
        <v>539</v>
      </c>
      <c r="E214" s="204" t="s">
        <v>24</v>
      </c>
      <c r="F214" s="199" t="s">
        <v>1031</v>
      </c>
      <c r="G214" s="86" t="s">
        <v>33</v>
      </c>
      <c r="H214" s="75" t="s">
        <v>43</v>
      </c>
      <c r="I214" s="82"/>
      <c r="J214" s="86"/>
      <c r="K214" s="88"/>
      <c r="L214" s="88"/>
      <c r="M214" s="88"/>
      <c r="N214" s="88"/>
      <c r="O214" s="86"/>
      <c r="P214" s="86"/>
      <c r="Q214" s="86"/>
    </row>
    <row r="215" spans="2:17" ht="91.5" x14ac:dyDescent="0.35">
      <c r="B215" s="228" t="s">
        <v>4</v>
      </c>
      <c r="C215" s="199"/>
      <c r="D215" s="199" t="s">
        <v>540</v>
      </c>
      <c r="E215" s="204" t="s">
        <v>24</v>
      </c>
      <c r="F215" s="199" t="s">
        <v>1032</v>
      </c>
      <c r="G215" s="86" t="s">
        <v>33</v>
      </c>
      <c r="H215" s="75" t="s">
        <v>43</v>
      </c>
      <c r="I215" s="82"/>
      <c r="J215" s="86"/>
      <c r="K215" s="88"/>
      <c r="L215" s="88"/>
      <c r="M215" s="88"/>
      <c r="N215" s="88"/>
      <c r="O215" s="86"/>
      <c r="P215" s="86"/>
      <c r="Q215" s="86"/>
    </row>
    <row r="216" spans="2:17" ht="31.5" x14ac:dyDescent="0.35">
      <c r="B216" s="228" t="s">
        <v>4</v>
      </c>
      <c r="C216" s="206" t="s">
        <v>541</v>
      </c>
      <c r="D216" s="206" t="s">
        <v>542</v>
      </c>
      <c r="E216" s="205" t="s">
        <v>25</v>
      </c>
      <c r="F216" s="211" t="s">
        <v>546</v>
      </c>
      <c r="G216" s="85" t="s">
        <v>33</v>
      </c>
      <c r="H216" s="74" t="s">
        <v>43</v>
      </c>
      <c r="I216" s="78"/>
      <c r="J216" s="85"/>
      <c r="K216" s="87"/>
      <c r="L216" s="87"/>
      <c r="M216" s="87"/>
      <c r="N216" s="87"/>
      <c r="O216" s="85"/>
      <c r="P216" s="85"/>
      <c r="Q216" s="85"/>
    </row>
    <row r="217" spans="2:17" ht="31.5" x14ac:dyDescent="0.35">
      <c r="B217" s="228" t="s">
        <v>4</v>
      </c>
      <c r="C217" s="206"/>
      <c r="D217" s="206" t="s">
        <v>544</v>
      </c>
      <c r="E217" s="205" t="s">
        <v>25</v>
      </c>
      <c r="F217" s="211" t="s">
        <v>636</v>
      </c>
      <c r="G217" s="85" t="s">
        <v>33</v>
      </c>
      <c r="H217" s="74" t="s">
        <v>43</v>
      </c>
      <c r="I217" s="78"/>
      <c r="J217" s="85"/>
      <c r="K217" s="87"/>
      <c r="L217" s="87"/>
      <c r="M217" s="87"/>
      <c r="N217" s="87"/>
      <c r="O217" s="85"/>
      <c r="P217" s="85"/>
      <c r="Q217" s="85"/>
    </row>
    <row r="218" spans="2:17" ht="132.5" x14ac:dyDescent="0.35">
      <c r="B218" s="228" t="s">
        <v>4</v>
      </c>
      <c r="C218" s="199" t="s">
        <v>1033</v>
      </c>
      <c r="D218" s="199" t="s">
        <v>543</v>
      </c>
      <c r="E218" s="204" t="s">
        <v>25</v>
      </c>
      <c r="F218" s="226" t="s">
        <v>1034</v>
      </c>
      <c r="G218" s="86" t="s">
        <v>33</v>
      </c>
      <c r="H218" s="75" t="s">
        <v>43</v>
      </c>
      <c r="I218" s="82"/>
      <c r="J218" s="86"/>
      <c r="K218" s="88"/>
      <c r="L218" s="88"/>
      <c r="M218" s="88"/>
      <c r="N218" s="88"/>
      <c r="O218" s="86"/>
      <c r="P218" s="86"/>
      <c r="Q218" s="86"/>
    </row>
    <row r="219" spans="2:17" ht="92" x14ac:dyDescent="0.35">
      <c r="B219" s="228" t="s">
        <v>4</v>
      </c>
      <c r="C219" s="199"/>
      <c r="D219" s="199" t="s">
        <v>545</v>
      </c>
      <c r="E219" s="204" t="s">
        <v>25</v>
      </c>
      <c r="F219" s="226" t="s">
        <v>1035</v>
      </c>
      <c r="G219" s="86" t="s">
        <v>33</v>
      </c>
      <c r="H219" s="75" t="s">
        <v>43</v>
      </c>
      <c r="I219" s="88"/>
      <c r="J219" s="86"/>
      <c r="K219" s="88"/>
      <c r="L219" s="88"/>
      <c r="M219" s="88"/>
      <c r="N219" s="88"/>
      <c r="O219" s="86"/>
      <c r="P219" s="86"/>
      <c r="Q219" s="86"/>
    </row>
    <row r="220" spans="2:17" ht="101.5" x14ac:dyDescent="0.35">
      <c r="B220" s="228" t="s">
        <v>4</v>
      </c>
      <c r="C220" s="206" t="s">
        <v>1036</v>
      </c>
      <c r="D220" s="206" t="s">
        <v>547</v>
      </c>
      <c r="E220" s="205" t="s">
        <v>25</v>
      </c>
      <c r="F220" s="211" t="s">
        <v>1037</v>
      </c>
      <c r="G220" s="85" t="s">
        <v>33</v>
      </c>
      <c r="H220" s="74" t="s">
        <v>43</v>
      </c>
      <c r="I220" s="87"/>
      <c r="J220" s="85"/>
      <c r="K220" s="87"/>
      <c r="L220" s="87"/>
      <c r="M220" s="87"/>
      <c r="N220" s="87"/>
      <c r="O220" s="85"/>
      <c r="P220" s="85"/>
      <c r="Q220" s="85"/>
    </row>
    <row r="221" spans="2:17" ht="61" x14ac:dyDescent="0.35">
      <c r="B221" s="229" t="s">
        <v>7</v>
      </c>
      <c r="C221" s="199" t="s">
        <v>548</v>
      </c>
      <c r="D221" s="199" t="s">
        <v>549</v>
      </c>
      <c r="E221" s="204" t="s">
        <v>25</v>
      </c>
      <c r="F221" s="227" t="s">
        <v>550</v>
      </c>
      <c r="G221" s="86" t="s">
        <v>33</v>
      </c>
      <c r="H221" s="75" t="s">
        <v>43</v>
      </c>
      <c r="I221" s="88"/>
      <c r="J221" s="86"/>
      <c r="K221" s="88"/>
      <c r="L221" s="88"/>
      <c r="M221" s="88"/>
      <c r="N221" s="88"/>
      <c r="O221" s="86"/>
      <c r="P221" s="86"/>
      <c r="Q221" s="86"/>
    </row>
    <row r="222" spans="2:17" ht="71.5" x14ac:dyDescent="0.35">
      <c r="B222" s="229" t="s">
        <v>7</v>
      </c>
      <c r="C222" s="206" t="s">
        <v>551</v>
      </c>
      <c r="D222" s="206" t="s">
        <v>552</v>
      </c>
      <c r="E222" s="205" t="s">
        <v>25</v>
      </c>
      <c r="F222" s="192" t="s">
        <v>1038</v>
      </c>
      <c r="G222" s="85" t="s">
        <v>33</v>
      </c>
      <c r="H222" s="74" t="s">
        <v>43</v>
      </c>
      <c r="I222" s="87"/>
      <c r="J222" s="85"/>
      <c r="K222" s="87"/>
      <c r="L222" s="87"/>
      <c r="M222" s="87"/>
      <c r="N222" s="87"/>
      <c r="O222" s="85"/>
      <c r="P222" s="85"/>
      <c r="Q222" s="85"/>
    </row>
    <row r="223" spans="2:17" ht="21" x14ac:dyDescent="0.35">
      <c r="B223" s="229" t="s">
        <v>7</v>
      </c>
      <c r="C223" s="199" t="s">
        <v>553</v>
      </c>
      <c r="D223" s="199" t="s">
        <v>554</v>
      </c>
      <c r="E223" s="204" t="s">
        <v>25</v>
      </c>
      <c r="F223" s="219" t="s">
        <v>559</v>
      </c>
      <c r="G223" s="86" t="s">
        <v>33</v>
      </c>
      <c r="H223" s="75" t="s">
        <v>43</v>
      </c>
      <c r="I223" s="82"/>
      <c r="J223" s="86"/>
      <c r="K223" s="88"/>
      <c r="L223" s="88"/>
      <c r="M223" s="88"/>
      <c r="N223" s="88"/>
      <c r="O223" s="86"/>
      <c r="P223" s="86"/>
      <c r="Q223" s="86"/>
    </row>
    <row r="224" spans="2:17" x14ac:dyDescent="0.35">
      <c r="B224" s="229" t="s">
        <v>7</v>
      </c>
      <c r="C224" s="199"/>
      <c r="D224" s="199" t="s">
        <v>556</v>
      </c>
      <c r="E224" s="204" t="s">
        <v>25</v>
      </c>
      <c r="F224" s="219" t="s">
        <v>560</v>
      </c>
      <c r="G224" s="86" t="s">
        <v>33</v>
      </c>
      <c r="H224" s="75" t="s">
        <v>43</v>
      </c>
      <c r="I224" s="82"/>
      <c r="J224" s="86"/>
      <c r="K224" s="88"/>
      <c r="L224" s="88"/>
      <c r="M224" s="88"/>
      <c r="N224" s="88"/>
      <c r="O224" s="86"/>
      <c r="P224" s="86"/>
      <c r="Q224" s="86"/>
    </row>
    <row r="225" spans="2:17" ht="21" x14ac:dyDescent="0.35">
      <c r="B225" s="229" t="s">
        <v>7</v>
      </c>
      <c r="C225" s="199"/>
      <c r="D225" s="199" t="s">
        <v>1039</v>
      </c>
      <c r="E225" s="204" t="s">
        <v>25</v>
      </c>
      <c r="F225" s="219" t="s">
        <v>561</v>
      </c>
      <c r="G225" s="86" t="s">
        <v>33</v>
      </c>
      <c r="H225" s="75" t="s">
        <v>43</v>
      </c>
      <c r="I225" s="82"/>
      <c r="J225" s="86"/>
      <c r="K225" s="88"/>
      <c r="L225" s="88"/>
      <c r="M225" s="88"/>
      <c r="N225" s="88"/>
      <c r="O225" s="86"/>
      <c r="P225" s="86"/>
      <c r="Q225" s="86"/>
    </row>
    <row r="226" spans="2:17" ht="31.5" x14ac:dyDescent="0.35">
      <c r="B226" s="229" t="s">
        <v>7</v>
      </c>
      <c r="C226" s="206" t="s">
        <v>562</v>
      </c>
      <c r="D226" s="206" t="s">
        <v>555</v>
      </c>
      <c r="E226" s="205" t="s">
        <v>25</v>
      </c>
      <c r="F226" s="211" t="s">
        <v>568</v>
      </c>
      <c r="G226" s="85" t="s">
        <v>33</v>
      </c>
      <c r="H226" s="74" t="s">
        <v>43</v>
      </c>
      <c r="I226" s="78"/>
      <c r="J226" s="85"/>
      <c r="K226" s="87"/>
      <c r="L226" s="87"/>
      <c r="M226" s="87"/>
      <c r="N226" s="87"/>
      <c r="O226" s="85"/>
      <c r="P226" s="85"/>
      <c r="Q226" s="85"/>
    </row>
    <row r="227" spans="2:17" ht="31.5" x14ac:dyDescent="0.35">
      <c r="B227" s="229" t="s">
        <v>7</v>
      </c>
      <c r="C227" s="206"/>
      <c r="D227" s="206" t="s">
        <v>557</v>
      </c>
      <c r="E227" s="205" t="s">
        <v>25</v>
      </c>
      <c r="F227" s="211" t="s">
        <v>569</v>
      </c>
      <c r="G227" s="85" t="s">
        <v>33</v>
      </c>
      <c r="H227" s="74" t="s">
        <v>43</v>
      </c>
      <c r="I227" s="78"/>
      <c r="J227" s="85"/>
      <c r="K227" s="87"/>
      <c r="L227" s="87"/>
      <c r="M227" s="87"/>
      <c r="N227" s="87"/>
      <c r="O227" s="85"/>
      <c r="P227" s="85"/>
      <c r="Q227" s="85"/>
    </row>
    <row r="228" spans="2:17" ht="42" x14ac:dyDescent="0.35">
      <c r="B228" s="229" t="s">
        <v>7</v>
      </c>
      <c r="C228" s="206"/>
      <c r="D228" s="206" t="s">
        <v>558</v>
      </c>
      <c r="E228" s="205" t="s">
        <v>25</v>
      </c>
      <c r="F228" s="211" t="s">
        <v>570</v>
      </c>
      <c r="G228" s="85" t="s">
        <v>33</v>
      </c>
      <c r="H228" s="74" t="s">
        <v>43</v>
      </c>
      <c r="I228" s="78"/>
      <c r="J228" s="85"/>
      <c r="K228" s="87"/>
      <c r="L228" s="87"/>
      <c r="M228" s="87"/>
      <c r="N228" s="87"/>
      <c r="O228" s="85"/>
      <c r="P228" s="85"/>
      <c r="Q228" s="85"/>
    </row>
    <row r="229" spans="2:17" ht="31.5" x14ac:dyDescent="0.35">
      <c r="B229" s="229" t="s">
        <v>7</v>
      </c>
      <c r="C229" s="199" t="s">
        <v>563</v>
      </c>
      <c r="D229" s="199" t="s">
        <v>564</v>
      </c>
      <c r="E229" s="204" t="s">
        <v>25</v>
      </c>
      <c r="F229" s="219" t="s">
        <v>571</v>
      </c>
      <c r="G229" s="86" t="s">
        <v>33</v>
      </c>
      <c r="H229" s="75" t="s">
        <v>43</v>
      </c>
      <c r="I229" s="82"/>
      <c r="J229" s="86"/>
      <c r="K229" s="88"/>
      <c r="L229" s="88"/>
      <c r="M229" s="88"/>
      <c r="N229" s="88"/>
      <c r="O229" s="86"/>
      <c r="P229" s="86"/>
      <c r="Q229" s="86"/>
    </row>
    <row r="230" spans="2:17" ht="31.5" x14ac:dyDescent="0.35">
      <c r="B230" s="229" t="s">
        <v>7</v>
      </c>
      <c r="C230" s="199"/>
      <c r="D230" s="199" t="s">
        <v>566</v>
      </c>
      <c r="E230" s="204" t="s">
        <v>25</v>
      </c>
      <c r="F230" s="219" t="s">
        <v>572</v>
      </c>
      <c r="G230" s="86" t="s">
        <v>33</v>
      </c>
      <c r="H230" s="75" t="s">
        <v>43</v>
      </c>
      <c r="I230" s="82"/>
      <c r="J230" s="86"/>
      <c r="K230" s="88"/>
      <c r="L230" s="88"/>
      <c r="M230" s="88"/>
      <c r="N230" s="88"/>
      <c r="O230" s="86"/>
      <c r="P230" s="86"/>
      <c r="Q230" s="86"/>
    </row>
    <row r="231" spans="2:17" ht="42" x14ac:dyDescent="0.35">
      <c r="B231" s="229" t="s">
        <v>7</v>
      </c>
      <c r="C231" s="199"/>
      <c r="D231" s="199" t="s">
        <v>567</v>
      </c>
      <c r="E231" s="204" t="s">
        <v>25</v>
      </c>
      <c r="F231" s="219" t="s">
        <v>573</v>
      </c>
      <c r="G231" s="86" t="s">
        <v>33</v>
      </c>
      <c r="H231" s="75" t="s">
        <v>43</v>
      </c>
      <c r="I231" s="82"/>
      <c r="J231" s="86"/>
      <c r="K231" s="88"/>
      <c r="L231" s="88"/>
      <c r="M231" s="88"/>
      <c r="N231" s="88"/>
      <c r="O231" s="86"/>
      <c r="P231" s="86"/>
      <c r="Q231" s="86"/>
    </row>
    <row r="232" spans="2:17" ht="172.5" x14ac:dyDescent="0.35">
      <c r="B232" s="229" t="s">
        <v>7</v>
      </c>
      <c r="C232" s="206" t="s">
        <v>1040</v>
      </c>
      <c r="D232" s="206" t="s">
        <v>565</v>
      </c>
      <c r="E232" s="205" t="s">
        <v>24</v>
      </c>
      <c r="F232" s="207" t="s">
        <v>1041</v>
      </c>
      <c r="G232" s="85" t="s">
        <v>33</v>
      </c>
      <c r="H232" s="74" t="s">
        <v>43</v>
      </c>
      <c r="I232" s="87"/>
      <c r="J232" s="85"/>
      <c r="K232" s="87"/>
      <c r="L232" s="87"/>
      <c r="M232" s="87"/>
      <c r="N232" s="87"/>
      <c r="O232" s="85"/>
      <c r="P232" s="85"/>
      <c r="Q232" s="85"/>
    </row>
    <row r="233" spans="2:17" ht="40" x14ac:dyDescent="0.35">
      <c r="B233" s="229" t="s">
        <v>7</v>
      </c>
      <c r="C233" s="199" t="s">
        <v>1042</v>
      </c>
      <c r="D233" s="199" t="s">
        <v>574</v>
      </c>
      <c r="E233" s="204" t="s">
        <v>24</v>
      </c>
      <c r="F233" s="219" t="s">
        <v>1043</v>
      </c>
      <c r="G233" s="86" t="s">
        <v>33</v>
      </c>
      <c r="H233" s="74" t="s">
        <v>43</v>
      </c>
      <c r="I233" s="88"/>
      <c r="J233" s="86"/>
      <c r="K233" s="88"/>
      <c r="L233" s="88"/>
      <c r="M233" s="88"/>
      <c r="N233" s="88"/>
      <c r="O233" s="86"/>
      <c r="P233" s="86"/>
      <c r="Q233" s="86"/>
    </row>
    <row r="234" spans="2:17" ht="71.5" x14ac:dyDescent="0.35">
      <c r="B234" s="229" t="s">
        <v>7</v>
      </c>
      <c r="C234" s="199"/>
      <c r="D234" s="199" t="s">
        <v>1044</v>
      </c>
      <c r="E234" s="204" t="s">
        <v>24</v>
      </c>
      <c r="F234" s="219" t="s">
        <v>1045</v>
      </c>
      <c r="G234" s="86" t="s">
        <v>33</v>
      </c>
      <c r="H234" s="74" t="s">
        <v>43</v>
      </c>
      <c r="I234" s="88"/>
      <c r="J234" s="86"/>
      <c r="K234" s="88"/>
      <c r="L234" s="88"/>
      <c r="M234" s="88"/>
      <c r="N234" s="88"/>
      <c r="O234" s="86"/>
      <c r="P234" s="86"/>
      <c r="Q234" s="86"/>
    </row>
    <row r="235" spans="2:17" ht="21" x14ac:dyDescent="0.35">
      <c r="B235" s="229" t="s">
        <v>7</v>
      </c>
      <c r="C235" s="206" t="s">
        <v>579</v>
      </c>
      <c r="D235" s="206" t="s">
        <v>575</v>
      </c>
      <c r="E235" s="205" t="s">
        <v>24</v>
      </c>
      <c r="F235" s="211" t="s">
        <v>581</v>
      </c>
      <c r="G235" s="85" t="s">
        <v>33</v>
      </c>
      <c r="H235" s="74" t="s">
        <v>43</v>
      </c>
      <c r="I235" s="87"/>
      <c r="J235" s="85"/>
      <c r="K235" s="87"/>
      <c r="L235" s="87"/>
      <c r="M235" s="87"/>
      <c r="N235" s="87"/>
      <c r="O235" s="85"/>
      <c r="P235" s="85"/>
      <c r="Q235" s="85"/>
    </row>
    <row r="236" spans="2:17" ht="21" x14ac:dyDescent="0.35">
      <c r="B236" s="229" t="s">
        <v>7</v>
      </c>
      <c r="C236" s="206"/>
      <c r="D236" s="206" t="s">
        <v>1046</v>
      </c>
      <c r="E236" s="205" t="s">
        <v>24</v>
      </c>
      <c r="F236" s="211" t="s">
        <v>582</v>
      </c>
      <c r="G236" s="85" t="s">
        <v>33</v>
      </c>
      <c r="H236" s="74" t="s">
        <v>43</v>
      </c>
      <c r="I236" s="87"/>
      <c r="J236" s="85"/>
      <c r="K236" s="87"/>
      <c r="L236" s="87"/>
      <c r="M236" s="87"/>
      <c r="N236" s="87"/>
      <c r="O236" s="85"/>
      <c r="P236" s="85"/>
      <c r="Q236" s="85"/>
    </row>
    <row r="237" spans="2:17" ht="71" x14ac:dyDescent="0.35">
      <c r="B237" s="229" t="s">
        <v>7</v>
      </c>
      <c r="C237" s="199" t="s">
        <v>580</v>
      </c>
      <c r="D237" s="199" t="s">
        <v>576</v>
      </c>
      <c r="E237" s="204" t="s">
        <v>24</v>
      </c>
      <c r="F237" s="221" t="s">
        <v>583</v>
      </c>
      <c r="G237" s="86" t="s">
        <v>33</v>
      </c>
      <c r="H237" s="75" t="s">
        <v>43</v>
      </c>
      <c r="I237" s="88"/>
      <c r="J237" s="86"/>
      <c r="K237" s="88"/>
      <c r="L237" s="88"/>
      <c r="M237" s="88"/>
      <c r="N237" s="88"/>
      <c r="O237" s="86"/>
      <c r="P237" s="86"/>
      <c r="Q237" s="86"/>
    </row>
    <row r="238" spans="2:17" ht="122" x14ac:dyDescent="0.35">
      <c r="B238" s="229" t="s">
        <v>7</v>
      </c>
      <c r="C238" s="206" t="s">
        <v>1047</v>
      </c>
      <c r="D238" s="206" t="s">
        <v>577</v>
      </c>
      <c r="E238" s="205" t="s">
        <v>24</v>
      </c>
      <c r="F238" s="207" t="s">
        <v>1048</v>
      </c>
      <c r="G238" s="85" t="s">
        <v>33</v>
      </c>
      <c r="H238" s="74" t="s">
        <v>43</v>
      </c>
      <c r="I238" s="87"/>
      <c r="J238" s="85"/>
      <c r="K238" s="87"/>
      <c r="L238" s="87"/>
      <c r="M238" s="87"/>
      <c r="N238" s="87"/>
      <c r="O238" s="85"/>
      <c r="P238" s="85"/>
      <c r="Q238" s="85"/>
    </row>
    <row r="239" spans="2:17" ht="42" x14ac:dyDescent="0.35">
      <c r="B239" s="229" t="s">
        <v>7</v>
      </c>
      <c r="C239" s="199" t="s">
        <v>1049</v>
      </c>
      <c r="D239" s="199" t="s">
        <v>578</v>
      </c>
      <c r="E239" s="204" t="s">
        <v>24</v>
      </c>
      <c r="F239" s="219" t="s">
        <v>1049</v>
      </c>
      <c r="G239" s="86" t="s">
        <v>33</v>
      </c>
      <c r="H239" s="75" t="s">
        <v>43</v>
      </c>
      <c r="I239" s="88"/>
      <c r="J239" s="86"/>
      <c r="K239" s="88"/>
      <c r="L239" s="88"/>
      <c r="M239" s="88"/>
      <c r="N239" s="88"/>
      <c r="O239" s="86"/>
      <c r="P239" s="86"/>
      <c r="Q239" s="86"/>
    </row>
    <row r="240" spans="2:17" ht="142" x14ac:dyDescent="0.35">
      <c r="B240" s="228" t="s">
        <v>584</v>
      </c>
      <c r="C240" s="206" t="s">
        <v>586</v>
      </c>
      <c r="D240" s="206" t="s">
        <v>585</v>
      </c>
      <c r="E240" s="205" t="s">
        <v>24</v>
      </c>
      <c r="F240" s="206" t="s">
        <v>1050</v>
      </c>
      <c r="G240" s="85" t="s">
        <v>33</v>
      </c>
      <c r="H240" s="74" t="s">
        <v>43</v>
      </c>
      <c r="I240" s="87"/>
      <c r="J240" s="85"/>
      <c r="K240" s="87"/>
      <c r="L240" s="87"/>
      <c r="M240" s="87"/>
      <c r="N240" s="87"/>
      <c r="O240" s="85"/>
      <c r="P240" s="85"/>
      <c r="Q240" s="85"/>
    </row>
    <row r="241" spans="2:17" ht="31.5" x14ac:dyDescent="0.35">
      <c r="B241" s="228" t="s">
        <v>584</v>
      </c>
      <c r="C241" s="206"/>
      <c r="D241" s="206" t="s">
        <v>588</v>
      </c>
      <c r="E241" s="205" t="s">
        <v>24</v>
      </c>
      <c r="F241" s="213" t="s">
        <v>587</v>
      </c>
      <c r="G241" s="85" t="s">
        <v>33</v>
      </c>
      <c r="H241" s="74" t="s">
        <v>43</v>
      </c>
      <c r="I241" s="87"/>
      <c r="J241" s="85"/>
      <c r="K241" s="87"/>
      <c r="L241" s="87"/>
      <c r="M241" s="87"/>
      <c r="N241" s="87"/>
      <c r="O241" s="85"/>
      <c r="P241" s="85"/>
      <c r="Q241" s="85"/>
    </row>
    <row r="242" spans="2:17" ht="111.5" x14ac:dyDescent="0.35">
      <c r="B242" s="228" t="s">
        <v>584</v>
      </c>
      <c r="C242" s="206"/>
      <c r="D242" s="206" t="s">
        <v>589</v>
      </c>
      <c r="E242" s="205" t="s">
        <v>24</v>
      </c>
      <c r="F242" s="206" t="s">
        <v>591</v>
      </c>
      <c r="G242" s="85" t="s">
        <v>33</v>
      </c>
      <c r="H242" s="74" t="s">
        <v>43</v>
      </c>
      <c r="I242" s="87"/>
      <c r="J242" s="85"/>
      <c r="K242" s="87"/>
      <c r="L242" s="87"/>
      <c r="M242" s="87"/>
      <c r="N242" s="87"/>
      <c r="O242" s="85"/>
      <c r="P242" s="85"/>
      <c r="Q242" s="85"/>
    </row>
    <row r="243" spans="2:17" ht="71.5" x14ac:dyDescent="0.35">
      <c r="B243" s="228" t="s">
        <v>584</v>
      </c>
      <c r="C243" s="206"/>
      <c r="D243" s="206" t="s">
        <v>590</v>
      </c>
      <c r="E243" s="205" t="s">
        <v>24</v>
      </c>
      <c r="F243" s="206" t="s">
        <v>592</v>
      </c>
      <c r="G243" s="85" t="s">
        <v>33</v>
      </c>
      <c r="H243" s="74" t="s">
        <v>43</v>
      </c>
      <c r="I243" s="87"/>
      <c r="J243" s="85"/>
      <c r="K243" s="87"/>
      <c r="L243" s="87"/>
      <c r="M243" s="87"/>
      <c r="N243" s="87"/>
      <c r="O243" s="85"/>
      <c r="P243" s="85"/>
      <c r="Q243" s="85"/>
    </row>
    <row r="244" spans="2:17" ht="40" x14ac:dyDescent="0.35">
      <c r="B244" s="228" t="s">
        <v>584</v>
      </c>
      <c r="C244" s="199" t="s">
        <v>595</v>
      </c>
      <c r="D244" s="199" t="s">
        <v>593</v>
      </c>
      <c r="E244" s="204" t="s">
        <v>24</v>
      </c>
      <c r="F244" s="219" t="s">
        <v>596</v>
      </c>
      <c r="G244" s="86" t="s">
        <v>33</v>
      </c>
      <c r="H244" s="74" t="s">
        <v>43</v>
      </c>
      <c r="I244" s="88"/>
      <c r="J244" s="86"/>
      <c r="K244" s="88"/>
      <c r="L244" s="88"/>
      <c r="M244" s="88"/>
      <c r="N244" s="88"/>
      <c r="O244" s="86"/>
      <c r="P244" s="86"/>
      <c r="Q244" s="86"/>
    </row>
    <row r="245" spans="2:17" ht="91.5" x14ac:dyDescent="0.35">
      <c r="B245" s="228" t="s">
        <v>584</v>
      </c>
      <c r="C245" s="206" t="s">
        <v>600</v>
      </c>
      <c r="D245" s="206" t="s">
        <v>594</v>
      </c>
      <c r="E245" s="205" t="s">
        <v>24</v>
      </c>
      <c r="F245" s="225" t="s">
        <v>605</v>
      </c>
      <c r="G245" s="85" t="s">
        <v>33</v>
      </c>
      <c r="H245" s="74" t="s">
        <v>43</v>
      </c>
      <c r="I245" s="87"/>
      <c r="J245" s="85"/>
      <c r="K245" s="87"/>
      <c r="L245" s="87"/>
      <c r="M245" s="87"/>
      <c r="N245" s="87"/>
      <c r="O245" s="85"/>
      <c r="P245" s="85"/>
      <c r="Q245" s="85"/>
    </row>
    <row r="246" spans="2:17" ht="61" x14ac:dyDescent="0.35">
      <c r="B246" s="228" t="s">
        <v>584</v>
      </c>
      <c r="C246" s="199" t="s">
        <v>601</v>
      </c>
      <c r="D246" s="199" t="s">
        <v>597</v>
      </c>
      <c r="E246" s="204" t="s">
        <v>24</v>
      </c>
      <c r="F246" s="226" t="s">
        <v>606</v>
      </c>
      <c r="G246" s="86" t="s">
        <v>33</v>
      </c>
      <c r="H246" s="75" t="s">
        <v>43</v>
      </c>
      <c r="I246" s="88"/>
      <c r="J246" s="86"/>
      <c r="K246" s="88"/>
      <c r="L246" s="88"/>
      <c r="M246" s="88"/>
      <c r="N246" s="88"/>
      <c r="O246" s="86"/>
      <c r="P246" s="86"/>
      <c r="Q246" s="86"/>
    </row>
    <row r="247" spans="2:17" ht="51.5" x14ac:dyDescent="0.35">
      <c r="B247" s="228" t="s">
        <v>584</v>
      </c>
      <c r="C247" s="206" t="s">
        <v>607</v>
      </c>
      <c r="D247" s="206" t="s">
        <v>598</v>
      </c>
      <c r="E247" s="205" t="s">
        <v>24</v>
      </c>
      <c r="F247" s="225" t="s">
        <v>610</v>
      </c>
      <c r="G247" s="85" t="s">
        <v>33</v>
      </c>
      <c r="H247" s="74" t="s">
        <v>43</v>
      </c>
      <c r="I247" s="87"/>
      <c r="J247" s="85"/>
      <c r="K247" s="87"/>
      <c r="L247" s="87"/>
      <c r="M247" s="87"/>
      <c r="N247" s="87"/>
      <c r="O247" s="85"/>
      <c r="P247" s="85"/>
      <c r="Q247" s="85"/>
    </row>
    <row r="248" spans="2:17" ht="61.5" x14ac:dyDescent="0.35">
      <c r="B248" s="228" t="s">
        <v>584</v>
      </c>
      <c r="C248" s="199" t="s">
        <v>611</v>
      </c>
      <c r="D248" s="199" t="s">
        <v>599</v>
      </c>
      <c r="E248" s="204" t="s">
        <v>24</v>
      </c>
      <c r="F248" s="226" t="s">
        <v>613</v>
      </c>
      <c r="G248" s="86" t="s">
        <v>33</v>
      </c>
      <c r="H248" s="75" t="s">
        <v>43</v>
      </c>
      <c r="I248" s="88"/>
      <c r="J248" s="86"/>
      <c r="K248" s="88"/>
      <c r="L248" s="88"/>
      <c r="M248" s="88"/>
      <c r="N248" s="88"/>
      <c r="O248" s="86"/>
      <c r="P248" s="86"/>
      <c r="Q248" s="86"/>
    </row>
    <row r="249" spans="2:17" ht="82.5" x14ac:dyDescent="0.35">
      <c r="B249" s="228" t="s">
        <v>584</v>
      </c>
      <c r="C249" s="206" t="s">
        <v>614</v>
      </c>
      <c r="D249" s="206" t="s">
        <v>602</v>
      </c>
      <c r="E249" s="205" t="s">
        <v>24</v>
      </c>
      <c r="F249" s="213" t="s">
        <v>1051</v>
      </c>
      <c r="G249" s="85" t="s">
        <v>33</v>
      </c>
      <c r="H249" s="74" t="s">
        <v>43</v>
      </c>
      <c r="I249" s="87"/>
      <c r="J249" s="85"/>
      <c r="K249" s="87"/>
      <c r="L249" s="87"/>
      <c r="M249" s="87"/>
      <c r="N249" s="87"/>
      <c r="O249" s="85"/>
      <c r="P249" s="85"/>
      <c r="Q249" s="85"/>
    </row>
    <row r="250" spans="2:17" ht="61.5" x14ac:dyDescent="0.35">
      <c r="B250" s="228" t="s">
        <v>584</v>
      </c>
      <c r="C250" s="206"/>
      <c r="D250" s="206" t="s">
        <v>1052</v>
      </c>
      <c r="E250" s="205" t="s">
        <v>24</v>
      </c>
      <c r="F250" s="225" t="s">
        <v>615</v>
      </c>
      <c r="G250" s="85" t="s">
        <v>33</v>
      </c>
      <c r="H250" s="74" t="s">
        <v>43</v>
      </c>
      <c r="I250" s="78"/>
      <c r="J250" s="85"/>
      <c r="K250" s="87"/>
      <c r="L250" s="87"/>
      <c r="M250" s="87"/>
      <c r="N250" s="87"/>
      <c r="O250" s="85"/>
      <c r="P250" s="85"/>
      <c r="Q250" s="85"/>
    </row>
    <row r="251" spans="2:17" ht="72" x14ac:dyDescent="0.35">
      <c r="B251" s="228" t="s">
        <v>584</v>
      </c>
      <c r="C251" s="206"/>
      <c r="D251" s="206" t="s">
        <v>1053</v>
      </c>
      <c r="E251" s="205" t="s">
        <v>24</v>
      </c>
      <c r="F251" s="225" t="s">
        <v>616</v>
      </c>
      <c r="G251" s="85" t="s">
        <v>33</v>
      </c>
      <c r="H251" s="74" t="s">
        <v>43</v>
      </c>
      <c r="I251" s="78"/>
      <c r="J251" s="85"/>
      <c r="K251" s="87"/>
      <c r="L251" s="87"/>
      <c r="M251" s="87"/>
      <c r="N251" s="87"/>
      <c r="O251" s="85"/>
      <c r="P251" s="85"/>
      <c r="Q251" s="85"/>
    </row>
    <row r="252" spans="2:17" ht="101.5" x14ac:dyDescent="0.35">
      <c r="B252" s="228" t="s">
        <v>584</v>
      </c>
      <c r="C252" s="199" t="s">
        <v>617</v>
      </c>
      <c r="D252" s="199" t="s">
        <v>603</v>
      </c>
      <c r="E252" s="204" t="s">
        <v>24</v>
      </c>
      <c r="F252" s="226" t="s">
        <v>618</v>
      </c>
      <c r="G252" s="86" t="s">
        <v>33</v>
      </c>
      <c r="H252" s="75" t="s">
        <v>43</v>
      </c>
      <c r="I252" s="88"/>
      <c r="J252" s="86"/>
      <c r="K252" s="88"/>
      <c r="L252" s="88"/>
      <c r="M252" s="88"/>
      <c r="N252" s="88"/>
      <c r="O252" s="86"/>
      <c r="P252" s="86"/>
      <c r="Q252" s="86"/>
    </row>
    <row r="253" spans="2:17" ht="101.5" x14ac:dyDescent="0.35">
      <c r="B253" s="228" t="s">
        <v>584</v>
      </c>
      <c r="C253" s="199"/>
      <c r="D253" s="199" t="s">
        <v>1054</v>
      </c>
      <c r="E253" s="204" t="s">
        <v>24</v>
      </c>
      <c r="F253" s="226" t="s">
        <v>619</v>
      </c>
      <c r="G253" s="86" t="s">
        <v>33</v>
      </c>
      <c r="H253" s="75" t="s">
        <v>43</v>
      </c>
      <c r="I253" s="88"/>
      <c r="J253" s="86"/>
      <c r="K253" s="88"/>
      <c r="L253" s="88"/>
      <c r="M253" s="88"/>
      <c r="N253" s="88"/>
      <c r="O253" s="86"/>
      <c r="P253" s="86"/>
      <c r="Q253" s="86"/>
    </row>
    <row r="254" spans="2:17" ht="71" x14ac:dyDescent="0.35">
      <c r="B254" s="228" t="s">
        <v>584</v>
      </c>
      <c r="C254" s="206" t="s">
        <v>1055</v>
      </c>
      <c r="D254" s="206" t="s">
        <v>604</v>
      </c>
      <c r="E254" s="205" t="s">
        <v>25</v>
      </c>
      <c r="F254" s="211" t="s">
        <v>1056</v>
      </c>
      <c r="G254" s="85" t="s">
        <v>33</v>
      </c>
      <c r="H254" s="74" t="s">
        <v>43</v>
      </c>
      <c r="I254" s="87"/>
      <c r="J254" s="85"/>
      <c r="K254" s="87"/>
      <c r="L254" s="87"/>
      <c r="M254" s="87"/>
      <c r="N254" s="87"/>
      <c r="O254" s="85"/>
      <c r="P254" s="85"/>
      <c r="Q254" s="85"/>
    </row>
    <row r="255" spans="2:17" ht="52.5" x14ac:dyDescent="0.35">
      <c r="B255" s="228" t="s">
        <v>584</v>
      </c>
      <c r="C255" s="199" t="s">
        <v>1057</v>
      </c>
      <c r="D255" s="199" t="s">
        <v>608</v>
      </c>
      <c r="E255" s="204" t="s">
        <v>24</v>
      </c>
      <c r="F255" s="219" t="s">
        <v>1058</v>
      </c>
      <c r="G255" s="86" t="s">
        <v>33</v>
      </c>
      <c r="H255" s="75" t="s">
        <v>43</v>
      </c>
      <c r="I255" s="88"/>
      <c r="J255" s="86"/>
      <c r="K255" s="88"/>
      <c r="L255" s="88"/>
      <c r="M255" s="88"/>
      <c r="N255" s="88"/>
      <c r="O255" s="86"/>
      <c r="P255" s="86"/>
      <c r="Q255" s="86"/>
    </row>
    <row r="256" spans="2:17" ht="63" x14ac:dyDescent="0.35">
      <c r="B256" s="228" t="s">
        <v>584</v>
      </c>
      <c r="C256" s="199"/>
      <c r="D256" s="199" t="s">
        <v>1059</v>
      </c>
      <c r="E256" s="204" t="s">
        <v>24</v>
      </c>
      <c r="F256" s="219" t="s">
        <v>1060</v>
      </c>
      <c r="G256" s="86" t="s">
        <v>33</v>
      </c>
      <c r="H256" s="75" t="s">
        <v>43</v>
      </c>
      <c r="I256" s="88"/>
      <c r="J256" s="86"/>
      <c r="K256" s="88"/>
      <c r="L256" s="88"/>
      <c r="M256" s="88"/>
      <c r="N256" s="88"/>
      <c r="O256" s="86"/>
      <c r="P256" s="86"/>
      <c r="Q256" s="86"/>
    </row>
    <row r="257" spans="2:17" ht="122" x14ac:dyDescent="0.35">
      <c r="B257" s="228" t="s">
        <v>584</v>
      </c>
      <c r="C257" s="206" t="s">
        <v>1061</v>
      </c>
      <c r="D257" s="206" t="s">
        <v>609</v>
      </c>
      <c r="E257" s="205" t="s">
        <v>24</v>
      </c>
      <c r="F257" s="211" t="s">
        <v>1062</v>
      </c>
      <c r="G257" s="85" t="s">
        <v>33</v>
      </c>
      <c r="H257" s="74" t="s">
        <v>43</v>
      </c>
      <c r="I257" s="87"/>
      <c r="J257" s="85"/>
      <c r="K257" s="87"/>
      <c r="L257" s="87"/>
      <c r="M257" s="87"/>
      <c r="N257" s="87"/>
      <c r="O257" s="85"/>
      <c r="P257" s="85"/>
      <c r="Q257" s="85"/>
    </row>
    <row r="258" spans="2:17" ht="42" x14ac:dyDescent="0.35">
      <c r="B258" s="228" t="s">
        <v>584</v>
      </c>
      <c r="C258" s="199" t="s">
        <v>1063</v>
      </c>
      <c r="D258" s="199" t="s">
        <v>612</v>
      </c>
      <c r="E258" s="204" t="s">
        <v>24</v>
      </c>
      <c r="F258" s="219" t="s">
        <v>1064</v>
      </c>
      <c r="G258" s="86" t="s">
        <v>33</v>
      </c>
      <c r="H258" s="75" t="s">
        <v>43</v>
      </c>
      <c r="I258" s="88"/>
      <c r="J258" s="86"/>
      <c r="K258" s="88"/>
      <c r="L258" s="88"/>
      <c r="M258" s="88"/>
      <c r="N258" s="88"/>
      <c r="O258" s="86"/>
      <c r="P258" s="86"/>
      <c r="Q258" s="86"/>
    </row>
    <row r="259" spans="2:17" ht="52.5" x14ac:dyDescent="0.35">
      <c r="B259" s="228" t="s">
        <v>584</v>
      </c>
      <c r="C259" s="199"/>
      <c r="D259" s="199" t="s">
        <v>1065</v>
      </c>
      <c r="E259" s="204" t="s">
        <v>24</v>
      </c>
      <c r="F259" s="219" t="s">
        <v>1066</v>
      </c>
      <c r="G259" s="86" t="s">
        <v>33</v>
      </c>
      <c r="H259" s="75" t="s">
        <v>43</v>
      </c>
      <c r="I259" s="88"/>
      <c r="J259" s="86"/>
      <c r="K259" s="88"/>
      <c r="L259" s="88"/>
      <c r="M259" s="88"/>
      <c r="N259" s="88"/>
      <c r="O259" s="86"/>
      <c r="P259" s="86"/>
      <c r="Q259" s="86"/>
    </row>
    <row r="260" spans="2:17" ht="42" x14ac:dyDescent="0.35">
      <c r="B260" s="228" t="s">
        <v>584</v>
      </c>
      <c r="C260" s="199"/>
      <c r="D260" s="199" t="s">
        <v>1067</v>
      </c>
      <c r="E260" s="204" t="s">
        <v>24</v>
      </c>
      <c r="F260" s="219" t="s">
        <v>1068</v>
      </c>
      <c r="G260" s="86" t="s">
        <v>33</v>
      </c>
      <c r="H260" s="75" t="s">
        <v>43</v>
      </c>
      <c r="I260" s="88"/>
      <c r="J260" s="86"/>
      <c r="K260" s="88"/>
      <c r="L260" s="88"/>
      <c r="M260" s="88"/>
      <c r="N260" s="88"/>
      <c r="O260" s="86"/>
      <c r="P260" s="86"/>
      <c r="Q260" s="86"/>
    </row>
    <row r="261" spans="2:17" x14ac:dyDescent="0.35">
      <c r="H261" s="16">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6:6" x14ac:dyDescent="0.35">
      <c r="F273" s="73"/>
    </row>
    <row r="274" spans="6:6" x14ac:dyDescent="0.35">
      <c r="F274" s="73"/>
    </row>
    <row r="275" spans="6:6" x14ac:dyDescent="0.35">
      <c r="F275" s="73"/>
    </row>
    <row r="276" spans="6:6" x14ac:dyDescent="0.35">
      <c r="F276" s="73"/>
    </row>
    <row r="277" spans="6:6" x14ac:dyDescent="0.35">
      <c r="F277" s="73"/>
    </row>
    <row r="278" spans="6:6" x14ac:dyDescent="0.35">
      <c r="F278" s="73"/>
    </row>
    <row r="279" spans="6:6" x14ac:dyDescent="0.35">
      <c r="F279" s="73"/>
    </row>
    <row r="280" spans="6:6" x14ac:dyDescent="0.35">
      <c r="F280" s="73"/>
    </row>
    <row r="281" spans="6:6" x14ac:dyDescent="0.35">
      <c r="F281" s="73"/>
    </row>
    <row r="282" spans="6:6" x14ac:dyDescent="0.35">
      <c r="F282" s="73"/>
    </row>
    <row r="283" spans="6:6" x14ac:dyDescent="0.35">
      <c r="F283" s="73"/>
    </row>
    <row r="284" spans="6:6" x14ac:dyDescent="0.35">
      <c r="F284" s="73"/>
    </row>
    <row r="285" spans="6:6" x14ac:dyDescent="0.35">
      <c r="F285" s="73"/>
    </row>
    <row r="286" spans="6:6" x14ac:dyDescent="0.35">
      <c r="F286" s="73"/>
    </row>
    <row r="287" spans="6:6" x14ac:dyDescent="0.35">
      <c r="F287" s="73"/>
    </row>
    <row r="288" spans="6:6" x14ac:dyDescent="0.35">
      <c r="F288" s="73"/>
    </row>
    <row r="289" spans="6:6" x14ac:dyDescent="0.35">
      <c r="F289" s="73"/>
    </row>
    <row r="290" spans="6:6" x14ac:dyDescent="0.35">
      <c r="F290" s="73"/>
    </row>
    <row r="291" spans="6:6" x14ac:dyDescent="0.35">
      <c r="F291" s="73"/>
    </row>
    <row r="292" spans="6:6" x14ac:dyDescent="0.35">
      <c r="F292" s="73"/>
    </row>
    <row r="293" spans="6:6" x14ac:dyDescent="0.35">
      <c r="F293" s="73"/>
    </row>
    <row r="294" spans="6:6" x14ac:dyDescent="0.35">
      <c r="F294" s="73"/>
    </row>
    <row r="295" spans="6:6" x14ac:dyDescent="0.35">
      <c r="F295" s="73"/>
    </row>
    <row r="296" spans="6:6" x14ac:dyDescent="0.35">
      <c r="F296" s="73"/>
    </row>
    <row r="297" spans="6:6" x14ac:dyDescent="0.35">
      <c r="F297" s="73"/>
    </row>
    <row r="298" spans="6:6" x14ac:dyDescent="0.35">
      <c r="F298" s="73"/>
    </row>
    <row r="299" spans="6:6" x14ac:dyDescent="0.35">
      <c r="F299" s="73"/>
    </row>
    <row r="300" spans="6:6" x14ac:dyDescent="0.35">
      <c r="F300" s="73"/>
    </row>
    <row r="301" spans="6:6" x14ac:dyDescent="0.35">
      <c r="F301" s="73"/>
    </row>
    <row r="302" spans="6:6" x14ac:dyDescent="0.35">
      <c r="F302" s="73"/>
    </row>
    <row r="303" spans="6:6" x14ac:dyDescent="0.35">
      <c r="F303" s="73"/>
    </row>
    <row r="304" spans="6:6" x14ac:dyDescent="0.35">
      <c r="F304" s="73"/>
    </row>
    <row r="305" spans="6:6" x14ac:dyDescent="0.35">
      <c r="F305" s="73"/>
    </row>
    <row r="306" spans="6:6" x14ac:dyDescent="0.35">
      <c r="F306" s="73"/>
    </row>
    <row r="307" spans="6:6" x14ac:dyDescent="0.35">
      <c r="F307" s="73"/>
    </row>
    <row r="308" spans="6:6" x14ac:dyDescent="0.35">
      <c r="F308" s="73"/>
    </row>
    <row r="309" spans="6:6" x14ac:dyDescent="0.35">
      <c r="F309" s="73"/>
    </row>
    <row r="310" spans="6:6" x14ac:dyDescent="0.35">
      <c r="F310" s="73"/>
    </row>
    <row r="311" spans="6:6" x14ac:dyDescent="0.35">
      <c r="F311" s="73"/>
    </row>
    <row r="312" spans="6:6" x14ac:dyDescent="0.35">
      <c r="F312" s="73"/>
    </row>
    <row r="313" spans="6:6" x14ac:dyDescent="0.35">
      <c r="F313" s="73"/>
    </row>
    <row r="314" spans="6:6" x14ac:dyDescent="0.35">
      <c r="F314" s="73"/>
    </row>
    <row r="315" spans="6:6" x14ac:dyDescent="0.35">
      <c r="F315" s="73"/>
    </row>
    <row r="316" spans="6:6" x14ac:dyDescent="0.35">
      <c r="F316" s="73"/>
    </row>
    <row r="317" spans="6:6" x14ac:dyDescent="0.35">
      <c r="F317" s="73"/>
    </row>
    <row r="318" spans="6:6" x14ac:dyDescent="0.35">
      <c r="F318" s="73"/>
    </row>
    <row r="319" spans="6:6" x14ac:dyDescent="0.35">
      <c r="F319" s="73"/>
    </row>
    <row r="320" spans="6:6" x14ac:dyDescent="0.35">
      <c r="F320" s="73"/>
    </row>
    <row r="321" spans="6:6" x14ac:dyDescent="0.35">
      <c r="F321" s="73"/>
    </row>
    <row r="322" spans="6:6" x14ac:dyDescent="0.35">
      <c r="F322" s="73"/>
    </row>
    <row r="323" spans="6:6" x14ac:dyDescent="0.35">
      <c r="F323" s="73"/>
    </row>
    <row r="324" spans="6:6" x14ac:dyDescent="0.35">
      <c r="F324" s="73"/>
    </row>
    <row r="325" spans="6:6" x14ac:dyDescent="0.35">
      <c r="F325" s="73"/>
    </row>
    <row r="326" spans="6:6" x14ac:dyDescent="0.35">
      <c r="F326" s="73"/>
    </row>
    <row r="327" spans="6:6" x14ac:dyDescent="0.35">
      <c r="F327" s="73"/>
    </row>
    <row r="328" spans="6:6" x14ac:dyDescent="0.35">
      <c r="F328" s="73"/>
    </row>
    <row r="329" spans="6:6" x14ac:dyDescent="0.35">
      <c r="F329" s="73"/>
    </row>
    <row r="330" spans="6:6" x14ac:dyDescent="0.35">
      <c r="F330" s="73"/>
    </row>
    <row r="331" spans="6:6" x14ac:dyDescent="0.35">
      <c r="F331" s="73"/>
    </row>
    <row r="332" spans="6:6" x14ac:dyDescent="0.35">
      <c r="F332" s="73"/>
    </row>
    <row r="333" spans="6:6" x14ac:dyDescent="0.35">
      <c r="F333" s="73"/>
    </row>
    <row r="334" spans="6:6" x14ac:dyDescent="0.35">
      <c r="F334" s="73"/>
    </row>
    <row r="335" spans="6:6" x14ac:dyDescent="0.35">
      <c r="F335" s="73"/>
    </row>
    <row r="336" spans="6:6" x14ac:dyDescent="0.35">
      <c r="F336" s="73"/>
    </row>
    <row r="337" spans="6:6" x14ac:dyDescent="0.35">
      <c r="F337" s="73"/>
    </row>
    <row r="338" spans="6:6" x14ac:dyDescent="0.35">
      <c r="F338" s="73"/>
    </row>
    <row r="339" spans="6:6" x14ac:dyDescent="0.35">
      <c r="F339" s="73"/>
    </row>
    <row r="340" spans="6:6" x14ac:dyDescent="0.35">
      <c r="F340" s="73"/>
    </row>
    <row r="341" spans="6:6" x14ac:dyDescent="0.35">
      <c r="F341" s="73"/>
    </row>
    <row r="342" spans="6:6" x14ac:dyDescent="0.35">
      <c r="F342" s="73"/>
    </row>
    <row r="343" spans="6:6" x14ac:dyDescent="0.35">
      <c r="F343" s="73"/>
    </row>
    <row r="344" spans="6:6" x14ac:dyDescent="0.35">
      <c r="F344" s="73"/>
    </row>
    <row r="345" spans="6:6" x14ac:dyDescent="0.35">
      <c r="F345" s="73"/>
    </row>
    <row r="346" spans="6:6" x14ac:dyDescent="0.35">
      <c r="F346" s="73"/>
    </row>
    <row r="347" spans="6:6" x14ac:dyDescent="0.35">
      <c r="F347" s="73"/>
    </row>
    <row r="348" spans="6:6" x14ac:dyDescent="0.35">
      <c r="F348" s="73"/>
    </row>
    <row r="349" spans="6:6" x14ac:dyDescent="0.35">
      <c r="F349" s="73"/>
    </row>
    <row r="350" spans="6:6" x14ac:dyDescent="0.35">
      <c r="F350" s="73"/>
    </row>
    <row r="351" spans="6:6" x14ac:dyDescent="0.35">
      <c r="F351" s="73"/>
    </row>
    <row r="352" spans="6:6"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4" activePane="bottomLeft" state="frozenSplit"/>
      <selection activeCell="E2" sqref="E2:K3"/>
      <selection pane="bottomLeft" activeCell="F11" sqref="F11"/>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33"/>
  </cols>
  <sheetData>
    <row r="1" spans="1:192" ht="47.5" customHeight="1" x14ac:dyDescent="0.3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57" t="s">
        <v>620</v>
      </c>
      <c r="B2" s="258"/>
      <c r="C2" s="258"/>
      <c r="D2" s="259"/>
      <c r="E2" s="38"/>
      <c r="F2" s="39"/>
      <c r="G2" s="158" t="s">
        <v>836</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57" t="s">
        <v>835</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60" t="e">
        <f ca="1">Value!O141</f>
        <v>#DIV/0!</v>
      </c>
      <c r="B5" s="261"/>
      <c r="C5" s="261"/>
      <c r="D5" s="262"/>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63"/>
      <c r="B6" s="264"/>
      <c r="C6" s="264"/>
      <c r="D6" s="265"/>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63"/>
      <c r="B7" s="264"/>
      <c r="C7" s="264"/>
      <c r="D7" s="265"/>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63"/>
      <c r="B8" s="264"/>
      <c r="C8" s="264"/>
      <c r="D8" s="265"/>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35">
      <c r="A9" s="266"/>
      <c r="B9" s="267"/>
      <c r="C9" s="267"/>
      <c r="D9" s="268"/>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247</v>
      </c>
      <c r="C10" s="2" t="s">
        <v>1</v>
      </c>
      <c r="D10" s="3" t="s">
        <v>23</v>
      </c>
      <c r="E10" s="2" t="s">
        <v>2</v>
      </c>
      <c r="F10" s="3" t="s">
        <v>10</v>
      </c>
      <c r="G10" s="2" t="s">
        <v>843</v>
      </c>
      <c r="H10" s="2" t="s">
        <v>844</v>
      </c>
      <c r="I10" s="2" t="s">
        <v>845</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2" x14ac:dyDescent="0.35">
      <c r="A11" s="228" t="s">
        <v>5</v>
      </c>
      <c r="B11" s="189" t="s">
        <v>849</v>
      </c>
      <c r="C11" s="190" t="s">
        <v>248</v>
      </c>
      <c r="D11" s="191" t="s">
        <v>24</v>
      </c>
      <c r="E11" s="209" t="s">
        <v>850</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31.5" outlineLevel="1" x14ac:dyDescent="0.35">
      <c r="A12" s="228" t="s">
        <v>5</v>
      </c>
      <c r="B12" s="189"/>
      <c r="C12" s="190" t="s">
        <v>249</v>
      </c>
      <c r="D12" s="191" t="s">
        <v>24</v>
      </c>
      <c r="E12" s="209" t="s">
        <v>851</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1.5" x14ac:dyDescent="0.35">
      <c r="A13" s="228" t="s">
        <v>5</v>
      </c>
      <c r="B13" s="189"/>
      <c r="C13" s="190" t="s">
        <v>250</v>
      </c>
      <c r="D13" s="191" t="s">
        <v>24</v>
      </c>
      <c r="E13" s="209" t="s">
        <v>852</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42" outlineLevel="1" x14ac:dyDescent="0.35">
      <c r="A14" s="228" t="s">
        <v>5</v>
      </c>
      <c r="B14" s="189"/>
      <c r="C14" s="190" t="s">
        <v>251</v>
      </c>
      <c r="D14" s="191" t="s">
        <v>24</v>
      </c>
      <c r="E14" s="210" t="s">
        <v>853</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71.5" outlineLevel="1" x14ac:dyDescent="0.35">
      <c r="A15" s="228" t="s">
        <v>5</v>
      </c>
      <c r="B15" s="189"/>
      <c r="C15" s="190" t="s">
        <v>854</v>
      </c>
      <c r="D15" s="191" t="s">
        <v>24</v>
      </c>
      <c r="E15" s="211" t="s">
        <v>855</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22" outlineLevel="1" x14ac:dyDescent="0.35">
      <c r="A16" s="228" t="s">
        <v>5</v>
      </c>
      <c r="B16" s="189"/>
      <c r="C16" s="190" t="s">
        <v>856</v>
      </c>
      <c r="D16" s="191" t="s">
        <v>24</v>
      </c>
      <c r="E16" s="211" t="s">
        <v>857</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22" outlineLevel="1" x14ac:dyDescent="0.35">
      <c r="A17" s="228" t="s">
        <v>5</v>
      </c>
      <c r="B17" s="189"/>
      <c r="C17" s="190" t="s">
        <v>858</v>
      </c>
      <c r="D17" s="191" t="s">
        <v>24</v>
      </c>
      <c r="E17" s="211" t="s">
        <v>859</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32" outlineLevel="1" x14ac:dyDescent="0.35">
      <c r="A18" s="228" t="s">
        <v>5</v>
      </c>
      <c r="B18" s="189"/>
      <c r="C18" s="190" t="s">
        <v>860</v>
      </c>
      <c r="D18" s="191" t="s">
        <v>24</v>
      </c>
      <c r="E18" s="211" t="s">
        <v>861</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91.5" outlineLevel="1" x14ac:dyDescent="0.35">
      <c r="A19" s="228" t="s">
        <v>5</v>
      </c>
      <c r="B19" s="193" t="s">
        <v>862</v>
      </c>
      <c r="C19" s="194" t="s">
        <v>252</v>
      </c>
      <c r="D19" s="195" t="s">
        <v>24</v>
      </c>
      <c r="E19" s="212" t="s">
        <v>863</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91.5" outlineLevel="1" x14ac:dyDescent="0.35">
      <c r="A20" s="228" t="s">
        <v>5</v>
      </c>
      <c r="B20" s="193"/>
      <c r="C20" s="194" t="s">
        <v>253</v>
      </c>
      <c r="D20" s="195" t="s">
        <v>24</v>
      </c>
      <c r="E20" s="212" t="s">
        <v>864</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102" outlineLevel="1" x14ac:dyDescent="0.35">
      <c r="A21" s="228" t="s">
        <v>5</v>
      </c>
      <c r="B21" s="193"/>
      <c r="C21" s="194" t="s">
        <v>254</v>
      </c>
      <c r="D21" s="195" t="s">
        <v>24</v>
      </c>
      <c r="E21" s="212" t="s">
        <v>865</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11.5" outlineLevel="1" x14ac:dyDescent="0.35">
      <c r="A22" s="228" t="s">
        <v>5</v>
      </c>
      <c r="B22" s="193"/>
      <c r="C22" s="194" t="s">
        <v>255</v>
      </c>
      <c r="D22" s="195" t="s">
        <v>24</v>
      </c>
      <c r="E22" s="212" t="s">
        <v>866</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91.5" outlineLevel="1" x14ac:dyDescent="0.35">
      <c r="A23" s="228" t="s">
        <v>5</v>
      </c>
      <c r="B23" s="193"/>
      <c r="C23" s="194" t="s">
        <v>256</v>
      </c>
      <c r="D23" s="195" t="s">
        <v>24</v>
      </c>
      <c r="E23" s="212" t="s">
        <v>867</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82" outlineLevel="1" x14ac:dyDescent="0.35">
      <c r="A24" s="228" t="s">
        <v>5</v>
      </c>
      <c r="B24" s="193"/>
      <c r="C24" s="194" t="s">
        <v>639</v>
      </c>
      <c r="D24" s="195" t="s">
        <v>24</v>
      </c>
      <c r="E24" s="212" t="s">
        <v>868</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42.5" outlineLevel="1" x14ac:dyDescent="0.35">
      <c r="A25" s="228" t="s">
        <v>5</v>
      </c>
      <c r="B25" s="189" t="s">
        <v>243</v>
      </c>
      <c r="C25" s="190" t="s">
        <v>260</v>
      </c>
      <c r="D25" s="191" t="s">
        <v>24</v>
      </c>
      <c r="E25" s="206" t="s">
        <v>869</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32" outlineLevel="1" x14ac:dyDescent="0.35">
      <c r="A26" s="228" t="s">
        <v>5</v>
      </c>
      <c r="B26" s="189"/>
      <c r="C26" s="190" t="s">
        <v>261</v>
      </c>
      <c r="D26" s="191" t="s">
        <v>24</v>
      </c>
      <c r="E26" s="213" t="s">
        <v>870</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32" outlineLevel="1" x14ac:dyDescent="0.35">
      <c r="A27" s="228" t="s">
        <v>5</v>
      </c>
      <c r="B27" s="189"/>
      <c r="C27" s="190" t="s">
        <v>262</v>
      </c>
      <c r="D27" s="191" t="s">
        <v>24</v>
      </c>
      <c r="E27" s="206" t="s">
        <v>871</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53" outlineLevel="1" x14ac:dyDescent="0.35">
      <c r="A28" s="228" t="s">
        <v>5</v>
      </c>
      <c r="B28" s="189"/>
      <c r="C28" s="190" t="s">
        <v>263</v>
      </c>
      <c r="D28" s="191" t="s">
        <v>24</v>
      </c>
      <c r="E28" s="206" t="s">
        <v>872</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53" x14ac:dyDescent="0.35">
      <c r="A29" s="228" t="s">
        <v>5</v>
      </c>
      <c r="B29" s="189"/>
      <c r="C29" s="190" t="s">
        <v>257</v>
      </c>
      <c r="D29" s="191" t="s">
        <v>24</v>
      </c>
      <c r="E29" s="213" t="s">
        <v>873</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12" outlineLevel="1" x14ac:dyDescent="0.35">
      <c r="A30" s="228" t="s">
        <v>5</v>
      </c>
      <c r="B30" s="189"/>
      <c r="C30" s="190" t="s">
        <v>264</v>
      </c>
      <c r="D30" s="191" t="s">
        <v>24</v>
      </c>
      <c r="E30" s="206" t="s">
        <v>874</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02.5" outlineLevel="1" x14ac:dyDescent="0.35">
      <c r="A31" s="228" t="s">
        <v>5</v>
      </c>
      <c r="B31" s="189"/>
      <c r="C31" s="190" t="s">
        <v>265</v>
      </c>
      <c r="D31" s="191" t="s">
        <v>24</v>
      </c>
      <c r="E31" s="213" t="s">
        <v>875</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63" outlineLevel="1" x14ac:dyDescent="0.35">
      <c r="A32" s="228" t="s">
        <v>5</v>
      </c>
      <c r="B32" s="189"/>
      <c r="C32" s="190" t="s">
        <v>266</v>
      </c>
      <c r="D32" s="191" t="s">
        <v>24</v>
      </c>
      <c r="E32" s="213" t="s">
        <v>258</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42" outlineLevel="1" x14ac:dyDescent="0.35">
      <c r="A33" s="228" t="s">
        <v>5</v>
      </c>
      <c r="B33" s="189"/>
      <c r="C33" s="190" t="s">
        <v>267</v>
      </c>
      <c r="D33" s="191" t="s">
        <v>24</v>
      </c>
      <c r="E33" s="213" t="s">
        <v>259</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32" outlineLevel="1" x14ac:dyDescent="0.35">
      <c r="A34" s="228" t="s">
        <v>5</v>
      </c>
      <c r="B34" s="193" t="s">
        <v>244</v>
      </c>
      <c r="C34" s="194" t="s">
        <v>268</v>
      </c>
      <c r="D34" s="195" t="s">
        <v>24</v>
      </c>
      <c r="E34" s="199" t="s">
        <v>876</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32" outlineLevel="1" x14ac:dyDescent="0.35">
      <c r="A35" s="228" t="s">
        <v>5</v>
      </c>
      <c r="B35" s="193"/>
      <c r="C35" s="194" t="s">
        <v>269</v>
      </c>
      <c r="D35" s="195" t="s">
        <v>24</v>
      </c>
      <c r="E35" s="199" t="s">
        <v>877</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42.5" outlineLevel="1" x14ac:dyDescent="0.35">
      <c r="A36" s="228" t="s">
        <v>5</v>
      </c>
      <c r="B36" s="193"/>
      <c r="C36" s="194" t="s">
        <v>270</v>
      </c>
      <c r="D36" s="195" t="s">
        <v>24</v>
      </c>
      <c r="E36" s="199" t="s">
        <v>878</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53" outlineLevel="1" x14ac:dyDescent="0.35">
      <c r="A37" s="228" t="s">
        <v>5</v>
      </c>
      <c r="B37" s="193"/>
      <c r="C37" s="194" t="s">
        <v>271</v>
      </c>
      <c r="D37" s="195" t="s">
        <v>24</v>
      </c>
      <c r="E37" s="199" t="s">
        <v>879</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53" outlineLevel="1" x14ac:dyDescent="0.35">
      <c r="A38" s="228" t="s">
        <v>5</v>
      </c>
      <c r="B38" s="193"/>
      <c r="C38" s="194" t="s">
        <v>272</v>
      </c>
      <c r="D38" s="195" t="s">
        <v>24</v>
      </c>
      <c r="E38" s="199" t="s">
        <v>880</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12" outlineLevel="1" x14ac:dyDescent="0.35">
      <c r="A39" s="228" t="s">
        <v>5</v>
      </c>
      <c r="B39" s="193"/>
      <c r="C39" s="194" t="s">
        <v>273</v>
      </c>
      <c r="D39" s="195" t="s">
        <v>24</v>
      </c>
      <c r="E39" s="199" t="s">
        <v>881</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42.5" outlineLevel="1" x14ac:dyDescent="0.35">
      <c r="A40" s="228" t="s">
        <v>5</v>
      </c>
      <c r="B40" s="193"/>
      <c r="C40" s="194" t="s">
        <v>274</v>
      </c>
      <c r="D40" s="195" t="s">
        <v>24</v>
      </c>
      <c r="E40" s="212" t="s">
        <v>882</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02.5" outlineLevel="1" x14ac:dyDescent="0.35">
      <c r="A41" s="228" t="s">
        <v>5</v>
      </c>
      <c r="B41" s="189" t="s">
        <v>245</v>
      </c>
      <c r="C41" s="190" t="s">
        <v>275</v>
      </c>
      <c r="D41" s="191" t="s">
        <v>24</v>
      </c>
      <c r="E41" s="214" t="s">
        <v>883</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82" outlineLevel="1" x14ac:dyDescent="0.35">
      <c r="A42" s="228" t="s">
        <v>5</v>
      </c>
      <c r="B42" s="189"/>
      <c r="C42" s="190" t="s">
        <v>276</v>
      </c>
      <c r="D42" s="191" t="s">
        <v>24</v>
      </c>
      <c r="E42" s="214" t="s">
        <v>277</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22" outlineLevel="1" x14ac:dyDescent="0.35">
      <c r="A43" s="228" t="s">
        <v>5</v>
      </c>
      <c r="B43" s="193" t="s">
        <v>246</v>
      </c>
      <c r="C43" s="194" t="s">
        <v>278</v>
      </c>
      <c r="D43" s="195" t="s">
        <v>24</v>
      </c>
      <c r="E43" s="212" t="s">
        <v>884</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02.5" outlineLevel="1" x14ac:dyDescent="0.35">
      <c r="A44" s="228" t="s">
        <v>5</v>
      </c>
      <c r="B44" s="193"/>
      <c r="C44" s="194" t="s">
        <v>279</v>
      </c>
      <c r="D44" s="195" t="s">
        <v>24</v>
      </c>
      <c r="E44" s="212" t="s">
        <v>885</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92" x14ac:dyDescent="0.35">
      <c r="A45" s="228" t="s">
        <v>5</v>
      </c>
      <c r="B45" s="193"/>
      <c r="C45" s="194" t="s">
        <v>280</v>
      </c>
      <c r="D45" s="195" t="s">
        <v>24</v>
      </c>
      <c r="E45" s="199" t="s">
        <v>886</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32.5" outlineLevel="1" x14ac:dyDescent="0.35">
      <c r="A46" s="228" t="s">
        <v>5</v>
      </c>
      <c r="B46" s="193"/>
      <c r="C46" s="194" t="s">
        <v>281</v>
      </c>
      <c r="D46" s="195" t="s">
        <v>24</v>
      </c>
      <c r="E46" s="199" t="s">
        <v>887</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162" outlineLevel="1" x14ac:dyDescent="0.35">
      <c r="A47" s="228" t="s">
        <v>5</v>
      </c>
      <c r="B47" s="193"/>
      <c r="C47" s="194" t="s">
        <v>282</v>
      </c>
      <c r="D47" s="195" t="s">
        <v>24</v>
      </c>
      <c r="E47" s="212" t="s">
        <v>888</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05" outlineLevel="1" x14ac:dyDescent="0.35">
      <c r="A48" s="228" t="s">
        <v>5</v>
      </c>
      <c r="B48" s="193"/>
      <c r="C48" s="194" t="s">
        <v>283</v>
      </c>
      <c r="D48" s="195" t="s">
        <v>24</v>
      </c>
      <c r="E48" s="212" t="s">
        <v>889</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202" outlineLevel="1" x14ac:dyDescent="0.35">
      <c r="A49" s="228" t="s">
        <v>5</v>
      </c>
      <c r="B49" s="193"/>
      <c r="C49" s="194" t="s">
        <v>284</v>
      </c>
      <c r="D49" s="195" t="s">
        <v>24</v>
      </c>
      <c r="E49" s="212" t="s">
        <v>890</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63" outlineLevel="1" x14ac:dyDescent="0.35">
      <c r="A50" s="228" t="s">
        <v>5</v>
      </c>
      <c r="B50" s="193"/>
      <c r="C50" s="194" t="s">
        <v>285</v>
      </c>
      <c r="D50" s="195" t="s">
        <v>24</v>
      </c>
      <c r="E50" s="212" t="s">
        <v>891</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05" outlineLevel="1" x14ac:dyDescent="0.35">
      <c r="A51" s="228" t="s">
        <v>5</v>
      </c>
      <c r="B51" s="193"/>
      <c r="C51" s="194" t="s">
        <v>640</v>
      </c>
      <c r="D51" s="195" t="s">
        <v>24</v>
      </c>
      <c r="E51" s="212" t="s">
        <v>892</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32" outlineLevel="1" x14ac:dyDescent="0.35">
      <c r="A52" s="228" t="s">
        <v>5</v>
      </c>
      <c r="B52" s="193"/>
      <c r="C52" s="194" t="s">
        <v>641</v>
      </c>
      <c r="D52" s="195" t="s">
        <v>24</v>
      </c>
      <c r="E52" s="212" t="s">
        <v>893</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31.5" outlineLevel="1" x14ac:dyDescent="0.35">
      <c r="A53" s="228" t="s">
        <v>5</v>
      </c>
      <c r="B53" s="189" t="s">
        <v>286</v>
      </c>
      <c r="C53" s="190" t="s">
        <v>287</v>
      </c>
      <c r="D53" s="191" t="s">
        <v>24</v>
      </c>
      <c r="E53" s="206" t="s">
        <v>894</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12" outlineLevel="1" x14ac:dyDescent="0.35">
      <c r="A54" s="228" t="s">
        <v>5</v>
      </c>
      <c r="B54" s="189"/>
      <c r="C54" s="190" t="s">
        <v>288</v>
      </c>
      <c r="D54" s="191" t="s">
        <v>24</v>
      </c>
      <c r="E54" s="213" t="s">
        <v>895</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32" outlineLevel="1" x14ac:dyDescent="0.35">
      <c r="A55" s="228" t="s">
        <v>5</v>
      </c>
      <c r="B55" s="189"/>
      <c r="C55" s="190" t="s">
        <v>289</v>
      </c>
      <c r="D55" s="191" t="s">
        <v>24</v>
      </c>
      <c r="E55" s="206" t="s">
        <v>896</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42.5" x14ac:dyDescent="0.35">
      <c r="A56" s="228" t="s">
        <v>5</v>
      </c>
      <c r="B56" s="189"/>
      <c r="C56" s="190" t="s">
        <v>290</v>
      </c>
      <c r="D56" s="191" t="s">
        <v>24</v>
      </c>
      <c r="E56" s="213" t="s">
        <v>897</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62" outlineLevel="1" x14ac:dyDescent="0.35">
      <c r="A57" s="228" t="s">
        <v>5</v>
      </c>
      <c r="B57" s="189"/>
      <c r="C57" s="190" t="s">
        <v>291</v>
      </c>
      <c r="D57" s="191" t="s">
        <v>24</v>
      </c>
      <c r="E57" s="206" t="s">
        <v>898</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182" outlineLevel="1" x14ac:dyDescent="0.35">
      <c r="A58" s="228" t="s">
        <v>5</v>
      </c>
      <c r="B58" s="189"/>
      <c r="C58" s="190" t="s">
        <v>292</v>
      </c>
      <c r="D58" s="191" t="s">
        <v>24</v>
      </c>
      <c r="E58" s="213" t="s">
        <v>899</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73.5" outlineLevel="1" x14ac:dyDescent="0.35">
      <c r="A59" s="228" t="s">
        <v>5</v>
      </c>
      <c r="B59" s="193" t="s">
        <v>293</v>
      </c>
      <c r="C59" s="194" t="s">
        <v>294</v>
      </c>
      <c r="D59" s="195" t="s">
        <v>25</v>
      </c>
      <c r="E59" s="212" t="s">
        <v>900</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73.5" outlineLevel="1" x14ac:dyDescent="0.35">
      <c r="A60" s="228" t="s">
        <v>5</v>
      </c>
      <c r="B60" s="193"/>
      <c r="C60" s="194" t="s">
        <v>295</v>
      </c>
      <c r="D60" s="195" t="s">
        <v>25</v>
      </c>
      <c r="E60" s="212" t="s">
        <v>901</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73.5" outlineLevel="1" x14ac:dyDescent="0.35">
      <c r="A61" s="228" t="s">
        <v>5</v>
      </c>
      <c r="B61" s="193"/>
      <c r="C61" s="194" t="s">
        <v>296</v>
      </c>
      <c r="D61" s="195" t="s">
        <v>25</v>
      </c>
      <c r="E61" s="212" t="s">
        <v>902</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73.5" outlineLevel="1" x14ac:dyDescent="0.35">
      <c r="A62" s="228" t="s">
        <v>5</v>
      </c>
      <c r="B62" s="193"/>
      <c r="C62" s="194" t="s">
        <v>297</v>
      </c>
      <c r="D62" s="195" t="s">
        <v>25</v>
      </c>
      <c r="E62" s="212" t="s">
        <v>903</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63" outlineLevel="1" x14ac:dyDescent="0.35">
      <c r="A63" s="228" t="s">
        <v>5</v>
      </c>
      <c r="B63" s="193"/>
      <c r="C63" s="194" t="s">
        <v>298</v>
      </c>
      <c r="D63" s="195" t="s">
        <v>25</v>
      </c>
      <c r="E63" s="212" t="s">
        <v>904</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183.5" outlineLevel="1" x14ac:dyDescent="0.35">
      <c r="A64" s="228" t="s">
        <v>5</v>
      </c>
      <c r="B64" s="189" t="s">
        <v>299</v>
      </c>
      <c r="C64" s="190" t="s">
        <v>300</v>
      </c>
      <c r="D64" s="191" t="s">
        <v>24</v>
      </c>
      <c r="E64" s="213" t="s">
        <v>905</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63" outlineLevel="1" x14ac:dyDescent="0.35">
      <c r="A65" s="228" t="s">
        <v>5</v>
      </c>
      <c r="B65" s="189"/>
      <c r="C65" s="190" t="s">
        <v>301</v>
      </c>
      <c r="D65" s="191" t="s">
        <v>24</v>
      </c>
      <c r="E65" s="213" t="s">
        <v>906</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52.5" outlineLevel="1" x14ac:dyDescent="0.35">
      <c r="A66" s="228" t="s">
        <v>5</v>
      </c>
      <c r="B66" s="189"/>
      <c r="C66" s="190" t="s">
        <v>302</v>
      </c>
      <c r="D66" s="191" t="s">
        <v>24</v>
      </c>
      <c r="E66" s="215" t="s">
        <v>907</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52.5" outlineLevel="1" x14ac:dyDescent="0.35">
      <c r="A67" s="228" t="s">
        <v>5</v>
      </c>
      <c r="B67" s="189"/>
      <c r="C67" s="190" t="s">
        <v>303</v>
      </c>
      <c r="D67" s="191" t="s">
        <v>24</v>
      </c>
      <c r="E67" s="206" t="s">
        <v>908</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52.5" outlineLevel="1" x14ac:dyDescent="0.35">
      <c r="A68" s="228" t="s">
        <v>5</v>
      </c>
      <c r="B68" s="189"/>
      <c r="C68" s="190" t="s">
        <v>304</v>
      </c>
      <c r="D68" s="191" t="s">
        <v>24</v>
      </c>
      <c r="E68" s="206" t="s">
        <v>909</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1" outlineLevel="1" x14ac:dyDescent="0.35">
      <c r="A69" s="229" t="s">
        <v>39</v>
      </c>
      <c r="B69" s="193" t="s">
        <v>910</v>
      </c>
      <c r="C69" s="194" t="s">
        <v>305</v>
      </c>
      <c r="D69" s="195" t="s">
        <v>24</v>
      </c>
      <c r="E69" s="216" t="s">
        <v>911</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32" outlineLevel="1" thickBot="1" x14ac:dyDescent="0.4">
      <c r="A70" s="229" t="s">
        <v>39</v>
      </c>
      <c r="B70" s="189" t="s">
        <v>912</v>
      </c>
      <c r="C70" s="190" t="s">
        <v>306</v>
      </c>
      <c r="D70" s="191" t="s">
        <v>24</v>
      </c>
      <c r="E70" s="217" t="s">
        <v>913</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53" outlineLevel="1" thickTop="1" x14ac:dyDescent="0.35">
      <c r="A71" s="228" t="s">
        <v>3</v>
      </c>
      <c r="B71" s="193" t="s">
        <v>307</v>
      </c>
      <c r="C71" s="194" t="s">
        <v>308</v>
      </c>
      <c r="D71" s="195" t="s">
        <v>24</v>
      </c>
      <c r="E71" s="216" t="s">
        <v>309</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42" outlineLevel="1" x14ac:dyDescent="0.35">
      <c r="A72" s="228" t="s">
        <v>3</v>
      </c>
      <c r="B72" s="193"/>
      <c r="C72" s="194" t="s">
        <v>314</v>
      </c>
      <c r="D72" s="195" t="s">
        <v>24</v>
      </c>
      <c r="E72" s="216" t="s">
        <v>310</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42" outlineLevel="1" x14ac:dyDescent="0.35">
      <c r="A73" s="228" t="s">
        <v>3</v>
      </c>
      <c r="B73" s="193"/>
      <c r="C73" s="194" t="s">
        <v>315</v>
      </c>
      <c r="D73" s="195" t="s">
        <v>24</v>
      </c>
      <c r="E73" s="216" t="s">
        <v>622</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52.5" outlineLevel="1" x14ac:dyDescent="0.35">
      <c r="A74" s="228" t="s">
        <v>3</v>
      </c>
      <c r="B74" s="193"/>
      <c r="C74" s="194" t="s">
        <v>316</v>
      </c>
      <c r="D74" s="195" t="s">
        <v>24</v>
      </c>
      <c r="E74" s="216" t="s">
        <v>311</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42" outlineLevel="1" x14ac:dyDescent="0.35">
      <c r="A75" s="228" t="s">
        <v>3</v>
      </c>
      <c r="B75" s="193"/>
      <c r="C75" s="194" t="s">
        <v>317</v>
      </c>
      <c r="D75" s="195" t="s">
        <v>24</v>
      </c>
      <c r="E75" s="216" t="s">
        <v>312</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42" outlineLevel="1" x14ac:dyDescent="0.35">
      <c r="A76" s="228" t="s">
        <v>3</v>
      </c>
      <c r="B76" s="193"/>
      <c r="C76" s="194" t="s">
        <v>318</v>
      </c>
      <c r="D76" s="195" t="s">
        <v>24</v>
      </c>
      <c r="E76" s="216" t="s">
        <v>313</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92" outlineLevel="1" x14ac:dyDescent="0.35">
      <c r="A77" s="228" t="s">
        <v>3</v>
      </c>
      <c r="B77" s="189" t="s">
        <v>324</v>
      </c>
      <c r="C77" s="190" t="s">
        <v>319</v>
      </c>
      <c r="D77" s="191" t="s">
        <v>25</v>
      </c>
      <c r="E77" s="214" t="s">
        <v>914</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92" outlineLevel="1" x14ac:dyDescent="0.35">
      <c r="A78" s="228" t="s">
        <v>3</v>
      </c>
      <c r="B78" s="189"/>
      <c r="C78" s="190" t="s">
        <v>320</v>
      </c>
      <c r="D78" s="191" t="s">
        <v>25</v>
      </c>
      <c r="E78" s="214" t="s">
        <v>915</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02.5" outlineLevel="1" x14ac:dyDescent="0.35">
      <c r="A79" s="228" t="s">
        <v>3</v>
      </c>
      <c r="B79" s="189"/>
      <c r="C79" s="190" t="s">
        <v>321</v>
      </c>
      <c r="D79" s="191" t="s">
        <v>25</v>
      </c>
      <c r="E79" s="214" t="s">
        <v>916</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02.5" outlineLevel="1" x14ac:dyDescent="0.35">
      <c r="A80" s="228" t="s">
        <v>3</v>
      </c>
      <c r="B80" s="189"/>
      <c r="C80" s="190" t="s">
        <v>322</v>
      </c>
      <c r="D80" s="191" t="s">
        <v>25</v>
      </c>
      <c r="E80" s="214" t="s">
        <v>917</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2.5" outlineLevel="1" x14ac:dyDescent="0.35">
      <c r="A81" s="228" t="s">
        <v>3</v>
      </c>
      <c r="B81" s="189"/>
      <c r="C81" s="190" t="s">
        <v>323</v>
      </c>
      <c r="D81" s="191" t="s">
        <v>25</v>
      </c>
      <c r="E81" s="209" t="s">
        <v>918</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93" outlineLevel="1" x14ac:dyDescent="0.35">
      <c r="A82" s="228" t="s">
        <v>3</v>
      </c>
      <c r="B82" s="193" t="s">
        <v>919</v>
      </c>
      <c r="C82" s="194" t="s">
        <v>325</v>
      </c>
      <c r="D82" s="195" t="s">
        <v>25</v>
      </c>
      <c r="E82" s="218" t="s">
        <v>920</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03.5" outlineLevel="1" x14ac:dyDescent="0.35">
      <c r="A83" s="228" t="s">
        <v>3</v>
      </c>
      <c r="B83" s="199"/>
      <c r="C83" s="194" t="s">
        <v>326</v>
      </c>
      <c r="D83" s="195" t="s">
        <v>25</v>
      </c>
      <c r="E83" s="219" t="s">
        <v>921</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93" outlineLevel="1" x14ac:dyDescent="0.35">
      <c r="A84" s="228" t="s">
        <v>3</v>
      </c>
      <c r="B84" s="199"/>
      <c r="C84" s="194" t="s">
        <v>327</v>
      </c>
      <c r="D84" s="195" t="s">
        <v>25</v>
      </c>
      <c r="E84" s="219" t="s">
        <v>922</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63" outlineLevel="1" x14ac:dyDescent="0.35">
      <c r="A85" s="228" t="s">
        <v>3</v>
      </c>
      <c r="B85" s="199"/>
      <c r="C85" s="194" t="s">
        <v>328</v>
      </c>
      <c r="D85" s="195" t="s">
        <v>25</v>
      </c>
      <c r="E85" s="219" t="s">
        <v>923</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82" outlineLevel="1" x14ac:dyDescent="0.35">
      <c r="A86" s="229" t="s">
        <v>6</v>
      </c>
      <c r="B86" s="189" t="s">
        <v>329</v>
      </c>
      <c r="C86" s="190" t="s">
        <v>330</v>
      </c>
      <c r="D86" s="191" t="s">
        <v>24</v>
      </c>
      <c r="E86" s="220" t="s">
        <v>331</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52" outlineLevel="1" x14ac:dyDescent="0.35">
      <c r="A87" s="229" t="s">
        <v>6</v>
      </c>
      <c r="B87" s="189"/>
      <c r="C87" s="190" t="s">
        <v>332</v>
      </c>
      <c r="D87" s="191" t="s">
        <v>24</v>
      </c>
      <c r="E87" s="220" t="s">
        <v>924</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11.5" outlineLevel="1" x14ac:dyDescent="0.35">
      <c r="A88" s="229" t="s">
        <v>6</v>
      </c>
      <c r="B88" s="189"/>
      <c r="C88" s="190" t="s">
        <v>333</v>
      </c>
      <c r="D88" s="191" t="s">
        <v>24</v>
      </c>
      <c r="E88" s="220" t="s">
        <v>623</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60" outlineLevel="1" x14ac:dyDescent="0.35">
      <c r="A89" s="229" t="s">
        <v>6</v>
      </c>
      <c r="B89" s="193" t="s">
        <v>334</v>
      </c>
      <c r="C89" s="194" t="s">
        <v>335</v>
      </c>
      <c r="D89" s="195" t="s">
        <v>24</v>
      </c>
      <c r="E89" s="218" t="s">
        <v>336</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01.5" x14ac:dyDescent="0.35">
      <c r="A90" s="229" t="s">
        <v>6</v>
      </c>
      <c r="B90" s="193"/>
      <c r="C90" s="194" t="s">
        <v>338</v>
      </c>
      <c r="D90" s="195" t="s">
        <v>24</v>
      </c>
      <c r="E90" s="221" t="s">
        <v>624</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81.5" outlineLevel="1" x14ac:dyDescent="0.35">
      <c r="A91" s="229" t="s">
        <v>6</v>
      </c>
      <c r="B91" s="193"/>
      <c r="C91" s="194" t="s">
        <v>339</v>
      </c>
      <c r="D91" s="195" t="s">
        <v>24</v>
      </c>
      <c r="E91" s="221" t="s">
        <v>337</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81.5" outlineLevel="1" x14ac:dyDescent="0.35">
      <c r="A92" s="229" t="s">
        <v>6</v>
      </c>
      <c r="B92" s="189" t="s">
        <v>340</v>
      </c>
      <c r="C92" s="190" t="s">
        <v>341</v>
      </c>
      <c r="D92" s="191" t="s">
        <v>24</v>
      </c>
      <c r="E92" s="220" t="s">
        <v>625</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52.5" outlineLevel="1" x14ac:dyDescent="0.35">
      <c r="A93" s="229" t="s">
        <v>6</v>
      </c>
      <c r="B93" s="189"/>
      <c r="C93" s="190" t="s">
        <v>342</v>
      </c>
      <c r="D93" s="191" t="s">
        <v>24</v>
      </c>
      <c r="E93" s="222" t="s">
        <v>925</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0" outlineLevel="1" x14ac:dyDescent="0.35">
      <c r="A94" s="229" t="s">
        <v>6</v>
      </c>
      <c r="B94" s="201" t="s">
        <v>343</v>
      </c>
      <c r="C94" s="202" t="s">
        <v>344</v>
      </c>
      <c r="D94" s="203" t="s">
        <v>24</v>
      </c>
      <c r="E94" s="198" t="s">
        <v>343</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72" outlineLevel="1" x14ac:dyDescent="0.35">
      <c r="A95" s="229" t="s">
        <v>6</v>
      </c>
      <c r="B95" s="189" t="s">
        <v>349</v>
      </c>
      <c r="C95" s="190" t="s">
        <v>345</v>
      </c>
      <c r="D95" s="191" t="s">
        <v>25</v>
      </c>
      <c r="E95" s="220" t="s">
        <v>351</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72" outlineLevel="1" x14ac:dyDescent="0.35">
      <c r="A96" s="229" t="s">
        <v>6</v>
      </c>
      <c r="B96" s="189"/>
      <c r="C96" s="190" t="s">
        <v>346</v>
      </c>
      <c r="D96" s="191" t="s">
        <v>25</v>
      </c>
      <c r="E96" s="220" t="s">
        <v>626</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42" outlineLevel="1" x14ac:dyDescent="0.35">
      <c r="A97" s="229" t="s">
        <v>6</v>
      </c>
      <c r="B97" s="193" t="s">
        <v>352</v>
      </c>
      <c r="C97" s="194" t="s">
        <v>347</v>
      </c>
      <c r="D97" s="195" t="s">
        <v>25</v>
      </c>
      <c r="E97" s="218" t="s">
        <v>354</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31.5" outlineLevel="1" x14ac:dyDescent="0.35">
      <c r="A98" s="229" t="s">
        <v>6</v>
      </c>
      <c r="B98" s="193"/>
      <c r="C98" s="194" t="s">
        <v>348</v>
      </c>
      <c r="D98" s="195" t="s">
        <v>25</v>
      </c>
      <c r="E98" s="218" t="s">
        <v>355</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52.5" outlineLevel="1" x14ac:dyDescent="0.35">
      <c r="A99" s="229" t="s">
        <v>6</v>
      </c>
      <c r="B99" s="189" t="s">
        <v>365</v>
      </c>
      <c r="C99" s="190" t="s">
        <v>350</v>
      </c>
      <c r="D99" s="191" t="s">
        <v>24</v>
      </c>
      <c r="E99" s="222" t="s">
        <v>366</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91.5" outlineLevel="1" x14ac:dyDescent="0.35">
      <c r="A100" s="229" t="s">
        <v>6</v>
      </c>
      <c r="B100" s="193" t="s">
        <v>367</v>
      </c>
      <c r="C100" s="194" t="s">
        <v>353</v>
      </c>
      <c r="D100" s="195" t="s">
        <v>24</v>
      </c>
      <c r="E100" s="221" t="s">
        <v>627</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71.5" outlineLevel="1" x14ac:dyDescent="0.35">
      <c r="A101" s="229" t="s">
        <v>6</v>
      </c>
      <c r="B101" s="193"/>
      <c r="C101" s="194" t="s">
        <v>356</v>
      </c>
      <c r="D101" s="195" t="s">
        <v>24</v>
      </c>
      <c r="E101" s="221" t="s">
        <v>368</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42" outlineLevel="1" x14ac:dyDescent="0.35">
      <c r="A102" s="229" t="s">
        <v>6</v>
      </c>
      <c r="B102" s="189" t="s">
        <v>369</v>
      </c>
      <c r="C102" s="190" t="s">
        <v>357</v>
      </c>
      <c r="D102" s="191" t="s">
        <v>24</v>
      </c>
      <c r="E102" s="222" t="s">
        <v>370</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22.5" outlineLevel="1" x14ac:dyDescent="0.35">
      <c r="A103" s="229" t="s">
        <v>6</v>
      </c>
      <c r="B103" s="193" t="s">
        <v>371</v>
      </c>
      <c r="C103" s="194" t="s">
        <v>358</v>
      </c>
      <c r="D103" s="195" t="s">
        <v>24</v>
      </c>
      <c r="E103" s="199" t="s">
        <v>926</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40" outlineLevel="1" x14ac:dyDescent="0.35">
      <c r="A104" s="229" t="s">
        <v>6</v>
      </c>
      <c r="B104" s="189" t="s">
        <v>372</v>
      </c>
      <c r="C104" s="190" t="s">
        <v>359</v>
      </c>
      <c r="D104" s="191" t="s">
        <v>24</v>
      </c>
      <c r="E104" s="222" t="s">
        <v>373</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81.5" outlineLevel="1" x14ac:dyDescent="0.35">
      <c r="A105" s="229" t="s">
        <v>6</v>
      </c>
      <c r="B105" s="189"/>
      <c r="C105" s="190" t="s">
        <v>360</v>
      </c>
      <c r="D105" s="191" t="s">
        <v>24</v>
      </c>
      <c r="E105" s="222" t="s">
        <v>628</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81.5" outlineLevel="1" x14ac:dyDescent="0.35">
      <c r="A106" s="229" t="s">
        <v>6</v>
      </c>
      <c r="B106" s="189"/>
      <c r="C106" s="190" t="s">
        <v>927</v>
      </c>
      <c r="D106" s="191" t="s">
        <v>24</v>
      </c>
      <c r="E106" s="222" t="s">
        <v>629</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81.5" outlineLevel="1" x14ac:dyDescent="0.35">
      <c r="A107" s="229" t="s">
        <v>6</v>
      </c>
      <c r="B107" s="193" t="s">
        <v>374</v>
      </c>
      <c r="C107" s="194" t="s">
        <v>361</v>
      </c>
      <c r="D107" s="195" t="s">
        <v>24</v>
      </c>
      <c r="E107" s="218" t="s">
        <v>630</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81.5" outlineLevel="1" x14ac:dyDescent="0.35">
      <c r="A108" s="229" t="s">
        <v>6</v>
      </c>
      <c r="B108" s="193"/>
      <c r="C108" s="194" t="s">
        <v>362</v>
      </c>
      <c r="D108" s="195" t="s">
        <v>24</v>
      </c>
      <c r="E108" s="218" t="s">
        <v>631</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01.5" outlineLevel="1" x14ac:dyDescent="0.35">
      <c r="A109" s="229" t="s">
        <v>6</v>
      </c>
      <c r="B109" s="189" t="s">
        <v>375</v>
      </c>
      <c r="C109" s="190" t="s">
        <v>363</v>
      </c>
      <c r="D109" s="191" t="s">
        <v>24</v>
      </c>
      <c r="E109" s="220" t="s">
        <v>821</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12" outlineLevel="1" x14ac:dyDescent="0.35">
      <c r="A110" s="229" t="s">
        <v>6</v>
      </c>
      <c r="B110" s="189"/>
      <c r="C110" s="190" t="s">
        <v>364</v>
      </c>
      <c r="D110" s="191" t="s">
        <v>24</v>
      </c>
      <c r="E110" s="220" t="s">
        <v>822</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21" outlineLevel="1" x14ac:dyDescent="0.35">
      <c r="A111" s="228" t="s">
        <v>9</v>
      </c>
      <c r="B111" s="193" t="s">
        <v>376</v>
      </c>
      <c r="C111" s="194" t="s">
        <v>377</v>
      </c>
      <c r="D111" s="195" t="s">
        <v>24</v>
      </c>
      <c r="E111" s="216" t="s">
        <v>928</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31.5" outlineLevel="1" x14ac:dyDescent="0.35">
      <c r="A112" s="228" t="s">
        <v>9</v>
      </c>
      <c r="B112" s="189" t="s">
        <v>378</v>
      </c>
      <c r="C112" s="190" t="s">
        <v>379</v>
      </c>
      <c r="D112" s="191" t="s">
        <v>24</v>
      </c>
      <c r="E112" s="222" t="s">
        <v>380</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51" outlineLevel="1" x14ac:dyDescent="0.35">
      <c r="A113" s="228" t="s">
        <v>9</v>
      </c>
      <c r="B113" s="193" t="s">
        <v>929</v>
      </c>
      <c r="C113" s="194" t="s">
        <v>381</v>
      </c>
      <c r="D113" s="195" t="s">
        <v>24</v>
      </c>
      <c r="E113" s="221" t="s">
        <v>930</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50" outlineLevel="1" x14ac:dyDescent="0.35">
      <c r="A114" s="228" t="s">
        <v>9</v>
      </c>
      <c r="B114" s="189" t="s">
        <v>931</v>
      </c>
      <c r="C114" s="190" t="s">
        <v>382</v>
      </c>
      <c r="D114" s="191" t="s">
        <v>24</v>
      </c>
      <c r="E114" s="222" t="s">
        <v>932</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2" outlineLevel="1" x14ac:dyDescent="0.35">
      <c r="A115" s="228" t="s">
        <v>9</v>
      </c>
      <c r="B115" s="193" t="s">
        <v>384</v>
      </c>
      <c r="C115" s="194" t="s">
        <v>383</v>
      </c>
      <c r="D115" s="195" t="s">
        <v>24</v>
      </c>
      <c r="E115" s="218" t="s">
        <v>385</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50" outlineLevel="1" x14ac:dyDescent="0.35">
      <c r="A116" s="228" t="s">
        <v>9</v>
      </c>
      <c r="B116" s="189" t="s">
        <v>386</v>
      </c>
      <c r="C116" s="190" t="s">
        <v>387</v>
      </c>
      <c r="D116" s="191" t="s">
        <v>24</v>
      </c>
      <c r="E116" s="222" t="s">
        <v>388</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31.5" outlineLevel="1" x14ac:dyDescent="0.35">
      <c r="A117" s="228" t="s">
        <v>9</v>
      </c>
      <c r="B117" s="189"/>
      <c r="C117" s="190" t="s">
        <v>390</v>
      </c>
      <c r="D117" s="191" t="s">
        <v>24</v>
      </c>
      <c r="E117" s="222" t="s">
        <v>389</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42" outlineLevel="1" x14ac:dyDescent="0.35">
      <c r="A118" s="228" t="s">
        <v>9</v>
      </c>
      <c r="B118" s="189"/>
      <c r="C118" s="190" t="s">
        <v>933</v>
      </c>
      <c r="D118" s="191" t="s">
        <v>24</v>
      </c>
      <c r="E118" s="222" t="s">
        <v>934</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82" outlineLevel="1" x14ac:dyDescent="0.35">
      <c r="A119" s="228" t="s">
        <v>9</v>
      </c>
      <c r="B119" s="193" t="s">
        <v>391</v>
      </c>
      <c r="C119" s="194" t="s">
        <v>392</v>
      </c>
      <c r="D119" s="195" t="s">
        <v>24</v>
      </c>
      <c r="E119" s="218" t="s">
        <v>935</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02.5" outlineLevel="1" x14ac:dyDescent="0.35">
      <c r="A120" s="228" t="s">
        <v>9</v>
      </c>
      <c r="B120" s="193"/>
      <c r="C120" s="194" t="s">
        <v>393</v>
      </c>
      <c r="D120" s="195" t="s">
        <v>24</v>
      </c>
      <c r="E120" s="218" t="s">
        <v>936</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92" outlineLevel="1" x14ac:dyDescent="0.35">
      <c r="A121" s="228" t="s">
        <v>9</v>
      </c>
      <c r="B121" s="193"/>
      <c r="C121" s="194" t="s">
        <v>394</v>
      </c>
      <c r="D121" s="195" t="s">
        <v>24</v>
      </c>
      <c r="E121" s="218" t="s">
        <v>937</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2" outlineLevel="1" x14ac:dyDescent="0.35">
      <c r="A122" s="228" t="s">
        <v>9</v>
      </c>
      <c r="B122" s="193"/>
      <c r="C122" s="194" t="s">
        <v>395</v>
      </c>
      <c r="D122" s="195" t="s">
        <v>24</v>
      </c>
      <c r="E122" s="218" t="s">
        <v>938</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13" outlineLevel="1" x14ac:dyDescent="0.35">
      <c r="A123" s="228" t="s">
        <v>9</v>
      </c>
      <c r="B123" s="193"/>
      <c r="C123" s="194" t="s">
        <v>939</v>
      </c>
      <c r="D123" s="195" t="s">
        <v>24</v>
      </c>
      <c r="E123" s="218" t="s">
        <v>940</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81" outlineLevel="1" x14ac:dyDescent="0.35">
      <c r="A124" s="228" t="s">
        <v>9</v>
      </c>
      <c r="B124" s="189" t="s">
        <v>396</v>
      </c>
      <c r="C124" s="190" t="s">
        <v>397</v>
      </c>
      <c r="D124" s="191" t="s">
        <v>24</v>
      </c>
      <c r="E124" s="220" t="s">
        <v>823</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71" outlineLevel="1" x14ac:dyDescent="0.35">
      <c r="A125" s="229" t="s">
        <v>398</v>
      </c>
      <c r="B125" s="193" t="s">
        <v>399</v>
      </c>
      <c r="C125" s="194" t="s">
        <v>400</v>
      </c>
      <c r="D125" s="195" t="s">
        <v>24</v>
      </c>
      <c r="E125" s="212" t="s">
        <v>941</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71" x14ac:dyDescent="0.35">
      <c r="A126" s="229" t="s">
        <v>398</v>
      </c>
      <c r="B126" s="193"/>
      <c r="C126" s="194" t="s">
        <v>401</v>
      </c>
      <c r="D126" s="195" t="s">
        <v>24</v>
      </c>
      <c r="E126" s="212" t="s">
        <v>942</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71" outlineLevel="1" x14ac:dyDescent="0.35">
      <c r="A127" s="229" t="s">
        <v>398</v>
      </c>
      <c r="B127" s="193"/>
      <c r="C127" s="194" t="s">
        <v>402</v>
      </c>
      <c r="D127" s="195" t="s">
        <v>24</v>
      </c>
      <c r="E127" s="212" t="s">
        <v>943</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71" outlineLevel="1" x14ac:dyDescent="0.35">
      <c r="A128" s="229" t="s">
        <v>398</v>
      </c>
      <c r="B128" s="193"/>
      <c r="C128" s="194" t="s">
        <v>944</v>
      </c>
      <c r="D128" s="195" t="s">
        <v>24</v>
      </c>
      <c r="E128" s="212" t="s">
        <v>945</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31.5" outlineLevel="1" x14ac:dyDescent="0.35">
      <c r="A129" s="229" t="s">
        <v>398</v>
      </c>
      <c r="B129" s="193"/>
      <c r="C129" s="194" t="s">
        <v>946</v>
      </c>
      <c r="D129" s="195" t="s">
        <v>24</v>
      </c>
      <c r="E129" s="212" t="s">
        <v>947</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1.5" outlineLevel="1" x14ac:dyDescent="0.35">
      <c r="A130" s="229" t="s">
        <v>398</v>
      </c>
      <c r="B130" s="189" t="s">
        <v>404</v>
      </c>
      <c r="C130" s="190" t="s">
        <v>403</v>
      </c>
      <c r="D130" s="191" t="s">
        <v>24</v>
      </c>
      <c r="E130" s="222" t="s">
        <v>948</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21.5" outlineLevel="1" x14ac:dyDescent="0.35">
      <c r="A131" s="228" t="s">
        <v>8</v>
      </c>
      <c r="B131" s="193" t="s">
        <v>405</v>
      </c>
      <c r="C131" s="194" t="s">
        <v>406</v>
      </c>
      <c r="D131" s="195" t="s">
        <v>24</v>
      </c>
      <c r="E131" s="223" t="s">
        <v>407</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71.5" outlineLevel="1" x14ac:dyDescent="0.35">
      <c r="A132" s="228" t="s">
        <v>8</v>
      </c>
      <c r="B132" s="193"/>
      <c r="C132" s="194" t="s">
        <v>408</v>
      </c>
      <c r="D132" s="195" t="s">
        <v>24</v>
      </c>
      <c r="E132" s="218" t="s">
        <v>824</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1.5" outlineLevel="1" x14ac:dyDescent="0.35">
      <c r="A133" s="228" t="s">
        <v>8</v>
      </c>
      <c r="B133" s="193"/>
      <c r="C133" s="194" t="s">
        <v>409</v>
      </c>
      <c r="D133" s="195" t="s">
        <v>24</v>
      </c>
      <c r="E133" s="221" t="s">
        <v>949</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171.5" outlineLevel="1" x14ac:dyDescent="0.35">
      <c r="A134" s="228" t="s">
        <v>8</v>
      </c>
      <c r="B134" s="189" t="s">
        <v>410</v>
      </c>
      <c r="C134" s="190" t="s">
        <v>411</v>
      </c>
      <c r="D134" s="191" t="s">
        <v>24</v>
      </c>
      <c r="E134" s="220" t="s">
        <v>632</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72" outlineLevel="1" x14ac:dyDescent="0.35">
      <c r="A135" s="228" t="s">
        <v>8</v>
      </c>
      <c r="B135" s="189"/>
      <c r="C135" s="190" t="s">
        <v>412</v>
      </c>
      <c r="D135" s="191" t="s">
        <v>24</v>
      </c>
      <c r="E135" s="220" t="s">
        <v>633</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92" outlineLevel="1" x14ac:dyDescent="0.35">
      <c r="A136" s="228" t="s">
        <v>8</v>
      </c>
      <c r="B136" s="193" t="s">
        <v>950</v>
      </c>
      <c r="C136" s="194" t="s">
        <v>413</v>
      </c>
      <c r="D136" s="195" t="s">
        <v>24</v>
      </c>
      <c r="E136" s="199" t="s">
        <v>951</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0" outlineLevel="1" x14ac:dyDescent="0.35">
      <c r="A137" s="228" t="s">
        <v>8</v>
      </c>
      <c r="B137" s="193"/>
      <c r="C137" s="194" t="s">
        <v>415</v>
      </c>
      <c r="D137" s="195" t="s">
        <v>24</v>
      </c>
      <c r="E137" s="199" t="s">
        <v>414</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11" outlineLevel="1" x14ac:dyDescent="0.35">
      <c r="A138" s="228" t="s">
        <v>8</v>
      </c>
      <c r="B138" s="189" t="s">
        <v>416</v>
      </c>
      <c r="C138" s="190" t="s">
        <v>417</v>
      </c>
      <c r="D138" s="191" t="s">
        <v>24</v>
      </c>
      <c r="E138" s="220" t="s">
        <v>634</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42" outlineLevel="1" x14ac:dyDescent="0.35">
      <c r="A139" s="228" t="s">
        <v>8</v>
      </c>
      <c r="B139" s="193" t="s">
        <v>952</v>
      </c>
      <c r="C139" s="194" t="s">
        <v>418</v>
      </c>
      <c r="D139" s="195" t="s">
        <v>24</v>
      </c>
      <c r="E139" s="218" t="s">
        <v>953</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2" outlineLevel="1" x14ac:dyDescent="0.35">
      <c r="A140" s="228" t="s">
        <v>8</v>
      </c>
      <c r="B140" s="199"/>
      <c r="C140" s="194" t="s">
        <v>954</v>
      </c>
      <c r="D140" s="195" t="s">
        <v>24</v>
      </c>
      <c r="E140" s="219" t="s">
        <v>955</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42" outlineLevel="1" x14ac:dyDescent="0.35">
      <c r="A141" s="228" t="s">
        <v>8</v>
      </c>
      <c r="B141" s="199"/>
      <c r="C141" s="194" t="s">
        <v>956</v>
      </c>
      <c r="D141" s="204"/>
      <c r="E141" s="219" t="s">
        <v>957</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0" outlineLevel="1" x14ac:dyDescent="0.35">
      <c r="A142" s="229" t="s">
        <v>419</v>
      </c>
      <c r="B142" s="189" t="s">
        <v>420</v>
      </c>
      <c r="C142" s="189" t="s">
        <v>421</v>
      </c>
      <c r="D142" s="205" t="s">
        <v>24</v>
      </c>
      <c r="E142" s="222" t="s">
        <v>422</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21" outlineLevel="1" x14ac:dyDescent="0.35">
      <c r="A143" s="229" t="s">
        <v>419</v>
      </c>
      <c r="B143" s="189"/>
      <c r="C143" s="189" t="s">
        <v>425</v>
      </c>
      <c r="D143" s="205" t="s">
        <v>24</v>
      </c>
      <c r="E143" s="222" t="s">
        <v>423</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42" outlineLevel="1" x14ac:dyDescent="0.35">
      <c r="A144" s="229" t="s">
        <v>419</v>
      </c>
      <c r="B144" s="189"/>
      <c r="C144" s="189" t="s">
        <v>426</v>
      </c>
      <c r="D144" s="205" t="s">
        <v>24</v>
      </c>
      <c r="E144" s="222" t="s">
        <v>424</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32" x14ac:dyDescent="0.35">
      <c r="A145" s="229" t="s">
        <v>419</v>
      </c>
      <c r="B145" s="193" t="s">
        <v>427</v>
      </c>
      <c r="C145" s="193" t="s">
        <v>428</v>
      </c>
      <c r="D145" s="204" t="s">
        <v>24</v>
      </c>
      <c r="E145" s="218" t="s">
        <v>958</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01.5" outlineLevel="1" x14ac:dyDescent="0.35">
      <c r="A146" s="229" t="s">
        <v>419</v>
      </c>
      <c r="B146" s="189" t="s">
        <v>429</v>
      </c>
      <c r="C146" s="189" t="s">
        <v>430</v>
      </c>
      <c r="D146" s="205" t="s">
        <v>24</v>
      </c>
      <c r="E146" s="220" t="s">
        <v>635</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1.5" outlineLevel="1" x14ac:dyDescent="0.35">
      <c r="A147" s="229" t="s">
        <v>419</v>
      </c>
      <c r="B147" s="193" t="s">
        <v>431</v>
      </c>
      <c r="C147" s="193" t="s">
        <v>432</v>
      </c>
      <c r="D147" s="204" t="s">
        <v>24</v>
      </c>
      <c r="E147" s="221" t="s">
        <v>433</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1" outlineLevel="1" x14ac:dyDescent="0.35">
      <c r="A148" s="229" t="s">
        <v>419</v>
      </c>
      <c r="B148" s="189" t="s">
        <v>434</v>
      </c>
      <c r="C148" s="189" t="s">
        <v>435</v>
      </c>
      <c r="D148" s="205" t="s">
        <v>24</v>
      </c>
      <c r="E148" s="222" t="s">
        <v>436</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1.5" outlineLevel="1" x14ac:dyDescent="0.35">
      <c r="A149" s="229" t="s">
        <v>419</v>
      </c>
      <c r="B149" s="193" t="s">
        <v>437</v>
      </c>
      <c r="C149" s="193" t="s">
        <v>438</v>
      </c>
      <c r="D149" s="204" t="s">
        <v>24</v>
      </c>
      <c r="E149" s="218" t="s">
        <v>439</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92" outlineLevel="1" x14ac:dyDescent="0.35">
      <c r="A150" s="229" t="s">
        <v>419</v>
      </c>
      <c r="B150" s="206" t="s">
        <v>441</v>
      </c>
      <c r="C150" s="206" t="s">
        <v>440</v>
      </c>
      <c r="D150" s="205" t="s">
        <v>25</v>
      </c>
      <c r="E150" s="220" t="s">
        <v>959</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1.5" outlineLevel="1" x14ac:dyDescent="0.35">
      <c r="A151" s="229" t="s">
        <v>419</v>
      </c>
      <c r="B151" s="199" t="s">
        <v>960</v>
      </c>
      <c r="C151" s="199" t="s">
        <v>442</v>
      </c>
      <c r="D151" s="204" t="s">
        <v>25</v>
      </c>
      <c r="E151" s="218" t="s">
        <v>961</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52.5" outlineLevel="1" x14ac:dyDescent="0.35">
      <c r="A152" s="229" t="s">
        <v>419</v>
      </c>
      <c r="B152" s="206" t="s">
        <v>443</v>
      </c>
      <c r="C152" s="206" t="s">
        <v>444</v>
      </c>
      <c r="D152" s="205" t="s">
        <v>24</v>
      </c>
      <c r="E152" s="222" t="s">
        <v>445</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42" outlineLevel="1" x14ac:dyDescent="0.35">
      <c r="A153" s="229" t="s">
        <v>419</v>
      </c>
      <c r="B153" s="199" t="s">
        <v>446</v>
      </c>
      <c r="C153" s="199" t="s">
        <v>447</v>
      </c>
      <c r="D153" s="204" t="s">
        <v>24</v>
      </c>
      <c r="E153" s="218" t="s">
        <v>825</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61.5" outlineLevel="1" x14ac:dyDescent="0.35">
      <c r="A154" s="229" t="s">
        <v>419</v>
      </c>
      <c r="B154" s="206" t="s">
        <v>446</v>
      </c>
      <c r="C154" s="206" t="s">
        <v>644</v>
      </c>
      <c r="D154" s="205" t="s">
        <v>24</v>
      </c>
      <c r="E154" s="213" t="s">
        <v>962</v>
      </c>
      <c r="F154" s="78"/>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52.5" outlineLevel="1" x14ac:dyDescent="0.35">
      <c r="A155" s="228" t="s">
        <v>448</v>
      </c>
      <c r="B155" s="199" t="s">
        <v>449</v>
      </c>
      <c r="C155" s="199" t="s">
        <v>450</v>
      </c>
      <c r="D155" s="204" t="s">
        <v>24</v>
      </c>
      <c r="E155" s="219" t="s">
        <v>963</v>
      </c>
      <c r="F155" s="82"/>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2.5" outlineLevel="1" x14ac:dyDescent="0.35">
      <c r="A156" s="228" t="s">
        <v>448</v>
      </c>
      <c r="B156" s="199"/>
      <c r="C156" s="199" t="s">
        <v>451</v>
      </c>
      <c r="D156" s="204" t="s">
        <v>24</v>
      </c>
      <c r="E156" s="219" t="s">
        <v>964</v>
      </c>
      <c r="F156" s="82"/>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63" outlineLevel="1" x14ac:dyDescent="0.35">
      <c r="A157" s="228" t="s">
        <v>448</v>
      </c>
      <c r="B157" s="199"/>
      <c r="C157" s="199" t="s">
        <v>452</v>
      </c>
      <c r="D157" s="204" t="s">
        <v>24</v>
      </c>
      <c r="E157" s="219" t="s">
        <v>965</v>
      </c>
      <c r="F157" s="82"/>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71.5" x14ac:dyDescent="0.35">
      <c r="A158" s="228" t="s">
        <v>448</v>
      </c>
      <c r="B158" s="206" t="s">
        <v>966</v>
      </c>
      <c r="C158" s="206" t="s">
        <v>453</v>
      </c>
      <c r="D158" s="205" t="s">
        <v>24</v>
      </c>
      <c r="E158" s="211" t="s">
        <v>967</v>
      </c>
      <c r="F158" s="78"/>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72" outlineLevel="1" x14ac:dyDescent="0.35">
      <c r="A159" s="228" t="s">
        <v>448</v>
      </c>
      <c r="B159" s="199" t="s">
        <v>454</v>
      </c>
      <c r="C159" s="199" t="s">
        <v>455</v>
      </c>
      <c r="D159" s="204" t="s">
        <v>24</v>
      </c>
      <c r="E159" s="219" t="s">
        <v>968</v>
      </c>
      <c r="F159" s="82"/>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72" outlineLevel="1" x14ac:dyDescent="0.35">
      <c r="A160" s="228" t="s">
        <v>448</v>
      </c>
      <c r="B160" s="199"/>
      <c r="C160" s="199" t="s">
        <v>457</v>
      </c>
      <c r="D160" s="204" t="s">
        <v>24</v>
      </c>
      <c r="E160" s="219" t="s">
        <v>969</v>
      </c>
      <c r="F160" s="82"/>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42" outlineLevel="1" x14ac:dyDescent="0.35">
      <c r="A161" s="228" t="s">
        <v>448</v>
      </c>
      <c r="B161" s="199"/>
      <c r="C161" s="199" t="s">
        <v>458</v>
      </c>
      <c r="D161" s="204" t="s">
        <v>24</v>
      </c>
      <c r="E161" s="219" t="s">
        <v>456</v>
      </c>
      <c r="F161" s="82"/>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0" outlineLevel="1" x14ac:dyDescent="0.35">
      <c r="A162" s="228" t="s">
        <v>448</v>
      </c>
      <c r="B162" s="206" t="s">
        <v>460</v>
      </c>
      <c r="C162" s="206" t="s">
        <v>459</v>
      </c>
      <c r="D162" s="205" t="s">
        <v>24</v>
      </c>
      <c r="E162" s="211" t="s">
        <v>461</v>
      </c>
      <c r="F162" s="78"/>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21" outlineLevel="1" x14ac:dyDescent="0.35">
      <c r="A163" s="228" t="s">
        <v>448</v>
      </c>
      <c r="B163" s="206"/>
      <c r="C163" s="206" t="s">
        <v>970</v>
      </c>
      <c r="D163" s="205" t="s">
        <v>24</v>
      </c>
      <c r="E163" s="222" t="s">
        <v>462</v>
      </c>
      <c r="F163" s="78"/>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52.5" outlineLevel="1" x14ac:dyDescent="0.35">
      <c r="A164" s="229" t="s">
        <v>463</v>
      </c>
      <c r="B164" s="199" t="s">
        <v>464</v>
      </c>
      <c r="C164" s="199" t="s">
        <v>465</v>
      </c>
      <c r="D164" s="204" t="s">
        <v>24</v>
      </c>
      <c r="E164" s="230" t="s">
        <v>466</v>
      </c>
      <c r="F164" s="82"/>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52.5" outlineLevel="1" x14ac:dyDescent="0.35">
      <c r="A165" s="229" t="s">
        <v>463</v>
      </c>
      <c r="B165" s="199"/>
      <c r="C165" s="199" t="s">
        <v>467</v>
      </c>
      <c r="D165" s="204" t="s">
        <v>24</v>
      </c>
      <c r="E165" s="219" t="s">
        <v>469</v>
      </c>
      <c r="F165" s="82"/>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81" x14ac:dyDescent="0.35">
      <c r="A166" s="229" t="s">
        <v>463</v>
      </c>
      <c r="B166" s="199"/>
      <c r="C166" s="199" t="s">
        <v>468</v>
      </c>
      <c r="D166" s="204" t="s">
        <v>24</v>
      </c>
      <c r="E166" s="226" t="s">
        <v>470</v>
      </c>
      <c r="F166" s="82"/>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0" outlineLevel="1" x14ac:dyDescent="0.35">
      <c r="A167" s="229" t="s">
        <v>463</v>
      </c>
      <c r="B167" s="206" t="s">
        <v>471</v>
      </c>
      <c r="C167" s="206" t="s">
        <v>473</v>
      </c>
      <c r="D167" s="205" t="s">
        <v>24</v>
      </c>
      <c r="E167" s="211" t="s">
        <v>475</v>
      </c>
      <c r="F167" s="78"/>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0" outlineLevel="1" x14ac:dyDescent="0.35">
      <c r="A168" s="229" t="s">
        <v>463</v>
      </c>
      <c r="B168" s="199" t="s">
        <v>472</v>
      </c>
      <c r="C168" s="199" t="s">
        <v>474</v>
      </c>
      <c r="D168" s="204" t="s">
        <v>24</v>
      </c>
      <c r="E168" s="192" t="s">
        <v>472</v>
      </c>
      <c r="F168" s="82"/>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63" outlineLevel="1" x14ac:dyDescent="0.35">
      <c r="A169" s="229" t="s">
        <v>463</v>
      </c>
      <c r="B169" s="206" t="s">
        <v>826</v>
      </c>
      <c r="C169" s="206" t="s">
        <v>477</v>
      </c>
      <c r="D169" s="205" t="s">
        <v>25</v>
      </c>
      <c r="E169" s="211" t="s">
        <v>971</v>
      </c>
      <c r="F169" s="78"/>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33" outlineLevel="1" x14ac:dyDescent="0.35">
      <c r="A170" s="229" t="s">
        <v>463</v>
      </c>
      <c r="B170" s="206"/>
      <c r="C170" s="206" t="s">
        <v>479</v>
      </c>
      <c r="D170" s="205" t="s">
        <v>25</v>
      </c>
      <c r="E170" s="211" t="s">
        <v>972</v>
      </c>
      <c r="F170" s="78"/>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33" outlineLevel="1" x14ac:dyDescent="0.35">
      <c r="A171" s="229" t="s">
        <v>463</v>
      </c>
      <c r="B171" s="206"/>
      <c r="C171" s="206" t="s">
        <v>480</v>
      </c>
      <c r="D171" s="205" t="s">
        <v>25</v>
      </c>
      <c r="E171" s="211" t="s">
        <v>973</v>
      </c>
      <c r="F171" s="78"/>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73.5" outlineLevel="1" x14ac:dyDescent="0.35">
      <c r="A172" s="229" t="s">
        <v>463</v>
      </c>
      <c r="B172" s="199" t="s">
        <v>476</v>
      </c>
      <c r="C172" s="199" t="s">
        <v>478</v>
      </c>
      <c r="D172" s="204" t="s">
        <v>25</v>
      </c>
      <c r="E172" s="219" t="s">
        <v>483</v>
      </c>
      <c r="F172" s="82"/>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73.5" outlineLevel="1" x14ac:dyDescent="0.35">
      <c r="A173" s="229" t="s">
        <v>463</v>
      </c>
      <c r="B173" s="199"/>
      <c r="C173" s="199" t="s">
        <v>481</v>
      </c>
      <c r="D173" s="204" t="s">
        <v>25</v>
      </c>
      <c r="E173" s="219" t="s">
        <v>484</v>
      </c>
      <c r="F173" s="82"/>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84" outlineLevel="1" x14ac:dyDescent="0.35">
      <c r="A174" s="229" t="s">
        <v>463</v>
      </c>
      <c r="B174" s="199"/>
      <c r="C174" s="199" t="s">
        <v>482</v>
      </c>
      <c r="D174" s="204" t="s">
        <v>25</v>
      </c>
      <c r="E174" s="219" t="s">
        <v>485</v>
      </c>
      <c r="F174" s="82"/>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12" outlineLevel="1" x14ac:dyDescent="0.35">
      <c r="A175" s="229" t="s">
        <v>463</v>
      </c>
      <c r="B175" s="206" t="s">
        <v>486</v>
      </c>
      <c r="C175" s="206" t="s">
        <v>488</v>
      </c>
      <c r="D175" s="205" t="s">
        <v>24</v>
      </c>
      <c r="E175" s="211" t="s">
        <v>974</v>
      </c>
      <c r="F175" s="78"/>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61.5" outlineLevel="1" x14ac:dyDescent="0.35">
      <c r="A176" s="229" t="s">
        <v>463</v>
      </c>
      <c r="B176" s="199" t="s">
        <v>487</v>
      </c>
      <c r="C176" s="199" t="s">
        <v>489</v>
      </c>
      <c r="D176" s="204" t="s">
        <v>24</v>
      </c>
      <c r="E176" s="192" t="s">
        <v>975</v>
      </c>
      <c r="F176" s="82"/>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81" outlineLevel="1" x14ac:dyDescent="0.35">
      <c r="A177" s="229" t="s">
        <v>463</v>
      </c>
      <c r="B177" s="206" t="s">
        <v>976</v>
      </c>
      <c r="C177" s="206" t="s">
        <v>490</v>
      </c>
      <c r="D177" s="205" t="s">
        <v>24</v>
      </c>
      <c r="E177" s="225" t="s">
        <v>977</v>
      </c>
      <c r="F177" s="78"/>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52.5" outlineLevel="1" x14ac:dyDescent="0.35">
      <c r="A178" s="229" t="s">
        <v>463</v>
      </c>
      <c r="B178" s="199" t="s">
        <v>498</v>
      </c>
      <c r="C178" s="199" t="s">
        <v>491</v>
      </c>
      <c r="D178" s="204" t="s">
        <v>24</v>
      </c>
      <c r="E178" s="219" t="s">
        <v>497</v>
      </c>
      <c r="F178" s="82"/>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52.5" x14ac:dyDescent="0.35">
      <c r="A179" s="229" t="s">
        <v>463</v>
      </c>
      <c r="B179" s="199"/>
      <c r="C179" s="199" t="s">
        <v>978</v>
      </c>
      <c r="D179" s="204" t="s">
        <v>24</v>
      </c>
      <c r="E179" s="219" t="s">
        <v>500</v>
      </c>
      <c r="F179" s="82"/>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42" outlineLevel="1" x14ac:dyDescent="0.35">
      <c r="A180" s="229" t="s">
        <v>463</v>
      </c>
      <c r="B180" s="199"/>
      <c r="C180" s="199" t="s">
        <v>979</v>
      </c>
      <c r="D180" s="204" t="s">
        <v>24</v>
      </c>
      <c r="E180" s="219" t="s">
        <v>501</v>
      </c>
      <c r="F180" s="82"/>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2.5" outlineLevel="1" x14ac:dyDescent="0.35">
      <c r="A181" s="229" t="s">
        <v>463</v>
      </c>
      <c r="B181" s="199"/>
      <c r="C181" s="199" t="s">
        <v>980</v>
      </c>
      <c r="D181" s="204" t="s">
        <v>24</v>
      </c>
      <c r="E181" s="219" t="s">
        <v>502</v>
      </c>
      <c r="F181" s="82"/>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0" outlineLevel="1" x14ac:dyDescent="0.35">
      <c r="A182" s="229" t="s">
        <v>463</v>
      </c>
      <c r="B182" s="206" t="s">
        <v>503</v>
      </c>
      <c r="C182" s="206" t="s">
        <v>492</v>
      </c>
      <c r="D182" s="205" t="s">
        <v>24</v>
      </c>
      <c r="E182" s="211" t="s">
        <v>504</v>
      </c>
      <c r="F182" s="78"/>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52.5" outlineLevel="1" x14ac:dyDescent="0.35">
      <c r="A183" s="229" t="s">
        <v>463</v>
      </c>
      <c r="B183" s="206"/>
      <c r="C183" s="206" t="s">
        <v>981</v>
      </c>
      <c r="D183" s="205" t="s">
        <v>24</v>
      </c>
      <c r="E183" s="211" t="s">
        <v>505</v>
      </c>
      <c r="F183" s="78"/>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52.5" outlineLevel="1" x14ac:dyDescent="0.35">
      <c r="A184" s="229" t="s">
        <v>463</v>
      </c>
      <c r="B184" s="206"/>
      <c r="C184" s="206" t="s">
        <v>982</v>
      </c>
      <c r="D184" s="205" t="s">
        <v>24</v>
      </c>
      <c r="E184" s="211" t="s">
        <v>506</v>
      </c>
      <c r="F184" s="78"/>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52.5" outlineLevel="1" x14ac:dyDescent="0.35">
      <c r="A185" s="229" t="s">
        <v>463</v>
      </c>
      <c r="B185" s="206"/>
      <c r="C185" s="206" t="s">
        <v>983</v>
      </c>
      <c r="D185" s="205" t="s">
        <v>24</v>
      </c>
      <c r="E185" s="222" t="s">
        <v>507</v>
      </c>
      <c r="F185" s="78"/>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84" outlineLevel="1" x14ac:dyDescent="0.35">
      <c r="A186" s="229" t="s">
        <v>463</v>
      </c>
      <c r="B186" s="199" t="s">
        <v>984</v>
      </c>
      <c r="C186" s="199" t="s">
        <v>493</v>
      </c>
      <c r="D186" s="204" t="s">
        <v>25</v>
      </c>
      <c r="E186" s="218" t="s">
        <v>985</v>
      </c>
      <c r="F186" s="82"/>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84" outlineLevel="1" x14ac:dyDescent="0.35">
      <c r="A187" s="229" t="s">
        <v>463</v>
      </c>
      <c r="B187" s="199"/>
      <c r="C187" s="199" t="s">
        <v>986</v>
      </c>
      <c r="D187" s="204" t="s">
        <v>25</v>
      </c>
      <c r="E187" s="218" t="s">
        <v>987</v>
      </c>
      <c r="F187" s="81"/>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21.5" outlineLevel="1" x14ac:dyDescent="0.35">
      <c r="A188" s="229" t="s">
        <v>463</v>
      </c>
      <c r="B188" s="206" t="s">
        <v>988</v>
      </c>
      <c r="C188" s="206" t="s">
        <v>494</v>
      </c>
      <c r="D188" s="205" t="s">
        <v>25</v>
      </c>
      <c r="E188" s="222" t="s">
        <v>989</v>
      </c>
      <c r="F188" s="77"/>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70" x14ac:dyDescent="0.35">
      <c r="A189" s="229" t="s">
        <v>463</v>
      </c>
      <c r="B189" s="199" t="s">
        <v>990</v>
      </c>
      <c r="C189" s="199" t="s">
        <v>495</v>
      </c>
      <c r="D189" s="204" t="s">
        <v>25</v>
      </c>
      <c r="E189" s="218" t="s">
        <v>991</v>
      </c>
      <c r="F189" s="81"/>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42" outlineLevel="1" x14ac:dyDescent="0.35">
      <c r="A190" s="229" t="s">
        <v>463</v>
      </c>
      <c r="B190" s="199"/>
      <c r="C190" s="199" t="s">
        <v>992</v>
      </c>
      <c r="D190" s="204" t="s">
        <v>25</v>
      </c>
      <c r="E190" s="218" t="s">
        <v>993</v>
      </c>
      <c r="F190" s="81"/>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152" outlineLevel="1" x14ac:dyDescent="0.35">
      <c r="A191" s="229" t="s">
        <v>463</v>
      </c>
      <c r="B191" s="199"/>
      <c r="C191" s="199" t="s">
        <v>994</v>
      </c>
      <c r="D191" s="204" t="s">
        <v>25</v>
      </c>
      <c r="E191" s="218" t="s">
        <v>995</v>
      </c>
      <c r="F191" s="81"/>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32.5" outlineLevel="1" x14ac:dyDescent="0.35">
      <c r="A192" s="229" t="s">
        <v>463</v>
      </c>
      <c r="B192" s="206" t="s">
        <v>996</v>
      </c>
      <c r="C192" s="206" t="s">
        <v>496</v>
      </c>
      <c r="D192" s="205" t="s">
        <v>25</v>
      </c>
      <c r="E192" s="222" t="s">
        <v>997</v>
      </c>
      <c r="F192" s="77"/>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32.5" outlineLevel="1" x14ac:dyDescent="0.35">
      <c r="A193" s="229" t="s">
        <v>463</v>
      </c>
      <c r="B193" s="206"/>
      <c r="C193" s="206" t="s">
        <v>499</v>
      </c>
      <c r="D193" s="205" t="s">
        <v>25</v>
      </c>
      <c r="E193" s="222" t="s">
        <v>998</v>
      </c>
      <c r="F193" s="77"/>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51" outlineLevel="1" x14ac:dyDescent="0.35">
      <c r="A194" s="228" t="s">
        <v>4</v>
      </c>
      <c r="B194" s="199" t="s">
        <v>508</v>
      </c>
      <c r="C194" s="199" t="s">
        <v>509</v>
      </c>
      <c r="D194" s="204" t="s">
        <v>24</v>
      </c>
      <c r="E194" s="199" t="s">
        <v>999</v>
      </c>
      <c r="F194" s="81"/>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71.5" outlineLevel="1" x14ac:dyDescent="0.35">
      <c r="A195" s="228" t="s">
        <v>4</v>
      </c>
      <c r="B195" s="199"/>
      <c r="C195" s="199" t="s">
        <v>510</v>
      </c>
      <c r="D195" s="204" t="s">
        <v>24</v>
      </c>
      <c r="E195" s="199" t="s">
        <v>1000</v>
      </c>
      <c r="F195" s="81"/>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162.5" outlineLevel="1" x14ac:dyDescent="0.35">
      <c r="A196" s="228" t="s">
        <v>4</v>
      </c>
      <c r="B196" s="199"/>
      <c r="C196" s="199" t="s">
        <v>511</v>
      </c>
      <c r="D196" s="204" t="s">
        <v>24</v>
      </c>
      <c r="E196" s="199" t="s">
        <v>1001</v>
      </c>
      <c r="F196" s="88"/>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31.5" outlineLevel="1" x14ac:dyDescent="0.35">
      <c r="A197" s="228" t="s">
        <v>4</v>
      </c>
      <c r="B197" s="206" t="s">
        <v>512</v>
      </c>
      <c r="C197" s="206" t="s">
        <v>514</v>
      </c>
      <c r="D197" s="205" t="s">
        <v>24</v>
      </c>
      <c r="E197" s="211" t="s">
        <v>1002</v>
      </c>
      <c r="F197" s="87"/>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31.5" outlineLevel="1" x14ac:dyDescent="0.35">
      <c r="A198" s="228" t="s">
        <v>4</v>
      </c>
      <c r="B198" s="206"/>
      <c r="C198" s="206" t="s">
        <v>516</v>
      </c>
      <c r="D198" s="205" t="s">
        <v>24</v>
      </c>
      <c r="E198" s="211" t="s">
        <v>520</v>
      </c>
      <c r="F198" s="87"/>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42" x14ac:dyDescent="0.35">
      <c r="A199" s="228" t="s">
        <v>4</v>
      </c>
      <c r="B199" s="206"/>
      <c r="C199" s="206" t="s">
        <v>517</v>
      </c>
      <c r="D199" s="205" t="s">
        <v>24</v>
      </c>
      <c r="E199" s="211" t="s">
        <v>1003</v>
      </c>
      <c r="F199" s="87"/>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42" x14ac:dyDescent="0.35">
      <c r="A200" s="228" t="s">
        <v>4</v>
      </c>
      <c r="B200" s="206"/>
      <c r="C200" s="206" t="s">
        <v>518</v>
      </c>
      <c r="D200" s="205" t="s">
        <v>24</v>
      </c>
      <c r="E200" s="211" t="s">
        <v>1004</v>
      </c>
      <c r="F200" s="87"/>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51.5" x14ac:dyDescent="0.35">
      <c r="A201" s="228" t="s">
        <v>4</v>
      </c>
      <c r="B201" s="206"/>
      <c r="C201" s="206" t="s">
        <v>1005</v>
      </c>
      <c r="D201" s="205" t="s">
        <v>24</v>
      </c>
      <c r="E201" s="211" t="s">
        <v>1006</v>
      </c>
      <c r="F201" s="87"/>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2.5" x14ac:dyDescent="0.35">
      <c r="A202" s="228" t="s">
        <v>4</v>
      </c>
      <c r="B202" s="206"/>
      <c r="C202" s="206" t="s">
        <v>1007</v>
      </c>
      <c r="D202" s="205" t="s">
        <v>24</v>
      </c>
      <c r="E202" s="211" t="s">
        <v>1008</v>
      </c>
      <c r="F202" s="87"/>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70" x14ac:dyDescent="0.35">
      <c r="A203" s="228" t="s">
        <v>4</v>
      </c>
      <c r="B203" s="199" t="s">
        <v>513</v>
      </c>
      <c r="C203" s="199" t="s">
        <v>515</v>
      </c>
      <c r="D203" s="204" t="s">
        <v>25</v>
      </c>
      <c r="E203" s="219" t="s">
        <v>521</v>
      </c>
      <c r="F203" s="88"/>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42" x14ac:dyDescent="0.35">
      <c r="A204" s="228" t="s">
        <v>4</v>
      </c>
      <c r="B204" s="199"/>
      <c r="C204" s="199" t="s">
        <v>519</v>
      </c>
      <c r="D204" s="204" t="s">
        <v>25</v>
      </c>
      <c r="E204" s="219" t="s">
        <v>522</v>
      </c>
      <c r="F204" s="88"/>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40" x14ac:dyDescent="0.35">
      <c r="A205" s="228" t="s">
        <v>4</v>
      </c>
      <c r="B205" s="206" t="s">
        <v>1009</v>
      </c>
      <c r="C205" s="206" t="s">
        <v>524</v>
      </c>
      <c r="D205" s="205" t="s">
        <v>24</v>
      </c>
      <c r="E205" s="211" t="s">
        <v>523</v>
      </c>
      <c r="F205" s="87"/>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63" x14ac:dyDescent="0.35">
      <c r="A206" s="228" t="s">
        <v>4</v>
      </c>
      <c r="B206" s="206"/>
      <c r="C206" s="206" t="s">
        <v>1010</v>
      </c>
      <c r="D206" s="205" t="s">
        <v>24</v>
      </c>
      <c r="E206" s="211" t="s">
        <v>1011</v>
      </c>
      <c r="F206" s="87"/>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63" x14ac:dyDescent="0.35">
      <c r="A207" s="228" t="s">
        <v>4</v>
      </c>
      <c r="B207" s="206"/>
      <c r="C207" s="206" t="s">
        <v>1012</v>
      </c>
      <c r="D207" s="205" t="s">
        <v>24</v>
      </c>
      <c r="E207" s="211" t="s">
        <v>1013</v>
      </c>
      <c r="F207" s="87"/>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31.5" x14ac:dyDescent="0.35">
      <c r="A208" s="228" t="s">
        <v>4</v>
      </c>
      <c r="B208" s="199" t="s">
        <v>1014</v>
      </c>
      <c r="C208" s="199" t="s">
        <v>525</v>
      </c>
      <c r="D208" s="204" t="s">
        <v>24</v>
      </c>
      <c r="E208" s="192" t="s">
        <v>1015</v>
      </c>
      <c r="F208" s="88"/>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0" x14ac:dyDescent="0.35">
      <c r="A209" s="228" t="s">
        <v>4</v>
      </c>
      <c r="B209" s="206" t="s">
        <v>1016</v>
      </c>
      <c r="C209" s="206" t="s">
        <v>526</v>
      </c>
      <c r="D209" s="205" t="s">
        <v>24</v>
      </c>
      <c r="E209" s="211" t="s">
        <v>1017</v>
      </c>
      <c r="F209" s="87"/>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0" x14ac:dyDescent="0.35">
      <c r="A210" s="228" t="s">
        <v>4</v>
      </c>
      <c r="B210" s="199" t="s">
        <v>1018</v>
      </c>
      <c r="C210" s="199" t="s">
        <v>527</v>
      </c>
      <c r="D210" s="204" t="s">
        <v>24</v>
      </c>
      <c r="E210" s="192" t="s">
        <v>1018</v>
      </c>
      <c r="F210" s="88"/>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52.5" x14ac:dyDescent="0.35">
      <c r="A211" s="228" t="s">
        <v>4</v>
      </c>
      <c r="B211" s="206" t="s">
        <v>1019</v>
      </c>
      <c r="C211" s="206" t="s">
        <v>528</v>
      </c>
      <c r="D211" s="205" t="s">
        <v>24</v>
      </c>
      <c r="E211" s="211" t="s">
        <v>1020</v>
      </c>
      <c r="F211" s="87"/>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1.5" x14ac:dyDescent="0.35">
      <c r="A212" s="228" t="s">
        <v>4</v>
      </c>
      <c r="B212" s="206"/>
      <c r="C212" s="206" t="s">
        <v>529</v>
      </c>
      <c r="D212" s="205" t="s">
        <v>24</v>
      </c>
      <c r="E212" s="211" t="s">
        <v>1021</v>
      </c>
      <c r="F212" s="87"/>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1.5" x14ac:dyDescent="0.35">
      <c r="A213" s="228" t="s">
        <v>4</v>
      </c>
      <c r="B213" s="206"/>
      <c r="C213" s="206" t="s">
        <v>530</v>
      </c>
      <c r="D213" s="205" t="s">
        <v>24</v>
      </c>
      <c r="E213" s="211" t="s">
        <v>1022</v>
      </c>
      <c r="F213" s="87"/>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171" x14ac:dyDescent="0.35">
      <c r="A214" s="228" t="s">
        <v>4</v>
      </c>
      <c r="B214" s="199" t="s">
        <v>531</v>
      </c>
      <c r="C214" s="199" t="s">
        <v>532</v>
      </c>
      <c r="D214" s="204" t="s">
        <v>24</v>
      </c>
      <c r="E214" s="199" t="s">
        <v>1023</v>
      </c>
      <c r="F214" s="88"/>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181.5" x14ac:dyDescent="0.35">
      <c r="A215" s="228" t="s">
        <v>4</v>
      </c>
      <c r="B215" s="199"/>
      <c r="C215" s="199" t="s">
        <v>533</v>
      </c>
      <c r="D215" s="204" t="s">
        <v>24</v>
      </c>
      <c r="E215" s="199" t="s">
        <v>1024</v>
      </c>
      <c r="F215" s="88"/>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01.5" x14ac:dyDescent="0.35">
      <c r="A216" s="228" t="s">
        <v>4</v>
      </c>
      <c r="B216" s="206" t="s">
        <v>1025</v>
      </c>
      <c r="C216" s="206" t="s">
        <v>534</v>
      </c>
      <c r="D216" s="205" t="s">
        <v>24</v>
      </c>
      <c r="E216" s="206" t="s">
        <v>1026</v>
      </c>
      <c r="F216" s="87"/>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11.5" x14ac:dyDescent="0.35">
      <c r="A217" s="228" t="s">
        <v>4</v>
      </c>
      <c r="B217" s="206"/>
      <c r="C217" s="206" t="s">
        <v>535</v>
      </c>
      <c r="D217" s="205" t="s">
        <v>24</v>
      </c>
      <c r="E217" s="213" t="s">
        <v>1027</v>
      </c>
      <c r="F217" s="87"/>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91.5" x14ac:dyDescent="0.35">
      <c r="A218" s="228" t="s">
        <v>4</v>
      </c>
      <c r="B218" s="206"/>
      <c r="C218" s="206" t="s">
        <v>536</v>
      </c>
      <c r="D218" s="205" t="s">
        <v>24</v>
      </c>
      <c r="E218" s="206" t="s">
        <v>1028</v>
      </c>
      <c r="F218" s="87"/>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91.5" x14ac:dyDescent="0.35">
      <c r="A219" s="228" t="s">
        <v>4</v>
      </c>
      <c r="B219" s="206"/>
      <c r="C219" s="206" t="s">
        <v>537</v>
      </c>
      <c r="D219" s="205" t="s">
        <v>24</v>
      </c>
      <c r="E219" s="206" t="s">
        <v>1029</v>
      </c>
      <c r="F219" s="87"/>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31.5" x14ac:dyDescent="0.35">
      <c r="A220" s="228" t="s">
        <v>4</v>
      </c>
      <c r="B220" s="206"/>
      <c r="C220" s="206" t="s">
        <v>538</v>
      </c>
      <c r="D220" s="205" t="s">
        <v>24</v>
      </c>
      <c r="E220" s="213" t="s">
        <v>1030</v>
      </c>
      <c r="F220" s="87"/>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92" x14ac:dyDescent="0.35">
      <c r="A221" s="228" t="s">
        <v>4</v>
      </c>
      <c r="B221" s="206"/>
      <c r="C221" s="206" t="s">
        <v>539</v>
      </c>
      <c r="D221" s="205" t="s">
        <v>24</v>
      </c>
      <c r="E221" s="206" t="s">
        <v>1031</v>
      </c>
      <c r="F221" s="87"/>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12.5" x14ac:dyDescent="0.35">
      <c r="A222" s="228" t="s">
        <v>4</v>
      </c>
      <c r="B222" s="206"/>
      <c r="C222" s="206" t="s">
        <v>540</v>
      </c>
      <c r="D222" s="205" t="s">
        <v>24</v>
      </c>
      <c r="E222" s="206" t="s">
        <v>1032</v>
      </c>
      <c r="F222" s="87"/>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0" x14ac:dyDescent="0.35">
      <c r="A223" s="228" t="s">
        <v>4</v>
      </c>
      <c r="B223" s="199" t="s">
        <v>541</v>
      </c>
      <c r="C223" s="199" t="s">
        <v>542</v>
      </c>
      <c r="D223" s="204" t="s">
        <v>25</v>
      </c>
      <c r="E223" s="219" t="s">
        <v>546</v>
      </c>
      <c r="F223" s="88"/>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42" x14ac:dyDescent="0.35">
      <c r="A224" s="228" t="s">
        <v>4</v>
      </c>
      <c r="B224" s="199"/>
      <c r="C224" s="199" t="s">
        <v>544</v>
      </c>
      <c r="D224" s="204" t="s">
        <v>25</v>
      </c>
      <c r="E224" s="219" t="s">
        <v>636</v>
      </c>
      <c r="F224" s="88"/>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63" x14ac:dyDescent="0.35">
      <c r="A225" s="228" t="s">
        <v>4</v>
      </c>
      <c r="B225" s="206" t="s">
        <v>1033</v>
      </c>
      <c r="C225" s="206" t="s">
        <v>543</v>
      </c>
      <c r="D225" s="205" t="s">
        <v>25</v>
      </c>
      <c r="E225" s="225" t="s">
        <v>1034</v>
      </c>
      <c r="F225" s="87"/>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22.5" x14ac:dyDescent="0.35">
      <c r="A226" s="228" t="s">
        <v>4</v>
      </c>
      <c r="B226" s="206"/>
      <c r="C226" s="206" t="s">
        <v>545</v>
      </c>
      <c r="D226" s="205" t="s">
        <v>25</v>
      </c>
      <c r="E226" s="225" t="s">
        <v>1035</v>
      </c>
      <c r="F226" s="87"/>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11.5" x14ac:dyDescent="0.35">
      <c r="A227" s="228" t="s">
        <v>4</v>
      </c>
      <c r="B227" s="199" t="s">
        <v>1036</v>
      </c>
      <c r="C227" s="199" t="s">
        <v>547</v>
      </c>
      <c r="D227" s="204" t="s">
        <v>25</v>
      </c>
      <c r="E227" s="219" t="s">
        <v>1037</v>
      </c>
      <c r="F227" s="88"/>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81" x14ac:dyDescent="0.35">
      <c r="A228" s="229" t="s">
        <v>7</v>
      </c>
      <c r="B228" s="206" t="s">
        <v>548</v>
      </c>
      <c r="C228" s="206" t="s">
        <v>549</v>
      </c>
      <c r="D228" s="205" t="s">
        <v>25</v>
      </c>
      <c r="E228" s="231" t="s">
        <v>550</v>
      </c>
      <c r="F228" s="87"/>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92" x14ac:dyDescent="0.35">
      <c r="A229" s="229" t="s">
        <v>7</v>
      </c>
      <c r="B229" s="199" t="s">
        <v>551</v>
      </c>
      <c r="C229" s="199" t="s">
        <v>552</v>
      </c>
      <c r="D229" s="204" t="s">
        <v>25</v>
      </c>
      <c r="E229" s="219" t="s">
        <v>1038</v>
      </c>
      <c r="F229" s="88"/>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1.5" x14ac:dyDescent="0.35">
      <c r="A230" s="229" t="s">
        <v>7</v>
      </c>
      <c r="B230" s="206" t="s">
        <v>553</v>
      </c>
      <c r="C230" s="206" t="s">
        <v>554</v>
      </c>
      <c r="D230" s="205" t="s">
        <v>25</v>
      </c>
      <c r="E230" s="211" t="s">
        <v>559</v>
      </c>
      <c r="F230" s="87"/>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1" x14ac:dyDescent="0.35">
      <c r="A231" s="229" t="s">
        <v>7</v>
      </c>
      <c r="B231" s="206"/>
      <c r="C231" s="206" t="s">
        <v>556</v>
      </c>
      <c r="D231" s="205" t="s">
        <v>25</v>
      </c>
      <c r="E231" s="211" t="s">
        <v>560</v>
      </c>
      <c r="F231" s="87"/>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21" x14ac:dyDescent="0.35">
      <c r="A232" s="229" t="s">
        <v>7</v>
      </c>
      <c r="B232" s="206"/>
      <c r="C232" s="206" t="s">
        <v>1039</v>
      </c>
      <c r="D232" s="205" t="s">
        <v>25</v>
      </c>
      <c r="E232" s="211" t="s">
        <v>561</v>
      </c>
      <c r="F232" s="87"/>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0" x14ac:dyDescent="0.35">
      <c r="A233" s="229" t="s">
        <v>7</v>
      </c>
      <c r="B233" s="199" t="s">
        <v>562</v>
      </c>
      <c r="C233" s="199" t="s">
        <v>555</v>
      </c>
      <c r="D233" s="204" t="s">
        <v>25</v>
      </c>
      <c r="E233" s="219" t="s">
        <v>568</v>
      </c>
      <c r="F233" s="88"/>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2" x14ac:dyDescent="0.35">
      <c r="A234" s="229" t="s">
        <v>7</v>
      </c>
      <c r="B234" s="199"/>
      <c r="C234" s="199" t="s">
        <v>557</v>
      </c>
      <c r="D234" s="204" t="s">
        <v>25</v>
      </c>
      <c r="E234" s="219" t="s">
        <v>569</v>
      </c>
      <c r="F234" s="88"/>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42" x14ac:dyDescent="0.35">
      <c r="A235" s="229" t="s">
        <v>7</v>
      </c>
      <c r="B235" s="199"/>
      <c r="C235" s="199" t="s">
        <v>558</v>
      </c>
      <c r="D235" s="204" t="s">
        <v>25</v>
      </c>
      <c r="E235" s="219" t="s">
        <v>570</v>
      </c>
      <c r="F235" s="88"/>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0" x14ac:dyDescent="0.35">
      <c r="A236" s="229" t="s">
        <v>7</v>
      </c>
      <c r="B236" s="206" t="s">
        <v>563</v>
      </c>
      <c r="C236" s="206" t="s">
        <v>564</v>
      </c>
      <c r="D236" s="205" t="s">
        <v>25</v>
      </c>
      <c r="E236" s="211" t="s">
        <v>571</v>
      </c>
      <c r="F236" s="87"/>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2" x14ac:dyDescent="0.35">
      <c r="A237" s="229" t="s">
        <v>7</v>
      </c>
      <c r="B237" s="206"/>
      <c r="C237" s="206" t="s">
        <v>566</v>
      </c>
      <c r="D237" s="205" t="s">
        <v>25</v>
      </c>
      <c r="E237" s="211" t="s">
        <v>572</v>
      </c>
      <c r="F237" s="87"/>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42" x14ac:dyDescent="0.35">
      <c r="A238" s="229" t="s">
        <v>7</v>
      </c>
      <c r="B238" s="206"/>
      <c r="C238" s="206" t="s">
        <v>567</v>
      </c>
      <c r="D238" s="205" t="s">
        <v>25</v>
      </c>
      <c r="E238" s="211" t="s">
        <v>573</v>
      </c>
      <c r="F238" s="87"/>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203" x14ac:dyDescent="0.35">
      <c r="A239" s="229" t="s">
        <v>7</v>
      </c>
      <c r="B239" s="199" t="s">
        <v>1040</v>
      </c>
      <c r="C239" s="199" t="s">
        <v>565</v>
      </c>
      <c r="D239" s="204" t="s">
        <v>24</v>
      </c>
      <c r="E239" s="226" t="s">
        <v>1041</v>
      </c>
      <c r="F239" s="88"/>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60" x14ac:dyDescent="0.35">
      <c r="A240" s="229" t="s">
        <v>7</v>
      </c>
      <c r="B240" s="206" t="s">
        <v>1042</v>
      </c>
      <c r="C240" s="206" t="s">
        <v>574</v>
      </c>
      <c r="D240" s="205" t="s">
        <v>24</v>
      </c>
      <c r="E240" s="211" t="s">
        <v>1043</v>
      </c>
      <c r="F240" s="87"/>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02" x14ac:dyDescent="0.35">
      <c r="A241" s="229" t="s">
        <v>7</v>
      </c>
      <c r="B241" s="206"/>
      <c r="C241" s="206" t="s">
        <v>1044</v>
      </c>
      <c r="D241" s="205" t="s">
        <v>24</v>
      </c>
      <c r="E241" s="211" t="s">
        <v>1045</v>
      </c>
      <c r="F241" s="87"/>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1.5" x14ac:dyDescent="0.35">
      <c r="A242" s="229" t="s">
        <v>7</v>
      </c>
      <c r="B242" s="199" t="s">
        <v>579</v>
      </c>
      <c r="C242" s="199" t="s">
        <v>575</v>
      </c>
      <c r="D242" s="204" t="s">
        <v>24</v>
      </c>
      <c r="E242" s="219" t="s">
        <v>581</v>
      </c>
      <c r="F242" s="88"/>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1.5" x14ac:dyDescent="0.35">
      <c r="A243" s="229" t="s">
        <v>7</v>
      </c>
      <c r="B243" s="199"/>
      <c r="C243" s="199" t="s">
        <v>1046</v>
      </c>
      <c r="D243" s="204" t="s">
        <v>24</v>
      </c>
      <c r="E243" s="219" t="s">
        <v>582</v>
      </c>
      <c r="F243" s="88"/>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01.5" x14ac:dyDescent="0.35">
      <c r="A244" s="229" t="s">
        <v>7</v>
      </c>
      <c r="B244" s="206" t="s">
        <v>580</v>
      </c>
      <c r="C244" s="206" t="s">
        <v>576</v>
      </c>
      <c r="D244" s="205" t="s">
        <v>24</v>
      </c>
      <c r="E244" s="220" t="s">
        <v>583</v>
      </c>
      <c r="F244" s="87"/>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42.5" x14ac:dyDescent="0.35">
      <c r="A245" s="229" t="s">
        <v>7</v>
      </c>
      <c r="B245" s="199" t="s">
        <v>1047</v>
      </c>
      <c r="C245" s="199" t="s">
        <v>577</v>
      </c>
      <c r="D245" s="204" t="s">
        <v>24</v>
      </c>
      <c r="E245" s="226" t="s">
        <v>1048</v>
      </c>
      <c r="F245" s="88"/>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70" x14ac:dyDescent="0.35">
      <c r="A246" s="229" t="s">
        <v>7</v>
      </c>
      <c r="B246" s="206" t="s">
        <v>1049</v>
      </c>
      <c r="C246" s="206" t="s">
        <v>578</v>
      </c>
      <c r="D246" s="205" t="s">
        <v>24</v>
      </c>
      <c r="E246" s="211" t="s">
        <v>1049</v>
      </c>
      <c r="F246" s="87"/>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172.5" x14ac:dyDescent="0.35">
      <c r="A247" s="228" t="s">
        <v>584</v>
      </c>
      <c r="B247" s="199" t="s">
        <v>586</v>
      </c>
      <c r="C247" s="199" t="s">
        <v>585</v>
      </c>
      <c r="D247" s="204" t="s">
        <v>24</v>
      </c>
      <c r="E247" s="199" t="s">
        <v>1050</v>
      </c>
      <c r="F247" s="88"/>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31.5" x14ac:dyDescent="0.35">
      <c r="A248" s="228" t="s">
        <v>584</v>
      </c>
      <c r="B248" s="199"/>
      <c r="C248" s="199" t="s">
        <v>588</v>
      </c>
      <c r="D248" s="204" t="s">
        <v>24</v>
      </c>
      <c r="E248" s="212" t="s">
        <v>587</v>
      </c>
      <c r="F248" s="88"/>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42" x14ac:dyDescent="0.35">
      <c r="A249" s="228" t="s">
        <v>584</v>
      </c>
      <c r="B249" s="199"/>
      <c r="C249" s="199" t="s">
        <v>589</v>
      </c>
      <c r="D249" s="204" t="s">
        <v>24</v>
      </c>
      <c r="E249" s="199" t="s">
        <v>591</v>
      </c>
      <c r="F249" s="88"/>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92" x14ac:dyDescent="0.35">
      <c r="A250" s="228" t="s">
        <v>584</v>
      </c>
      <c r="B250" s="199"/>
      <c r="C250" s="199" t="s">
        <v>590</v>
      </c>
      <c r="D250" s="204" t="s">
        <v>24</v>
      </c>
      <c r="E250" s="199" t="s">
        <v>592</v>
      </c>
      <c r="F250" s="88"/>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50" x14ac:dyDescent="0.35">
      <c r="A251" s="228" t="s">
        <v>584</v>
      </c>
      <c r="B251" s="206" t="s">
        <v>595</v>
      </c>
      <c r="C251" s="206" t="s">
        <v>593</v>
      </c>
      <c r="D251" s="205" t="s">
        <v>24</v>
      </c>
      <c r="E251" s="211" t="s">
        <v>596</v>
      </c>
      <c r="F251" s="87"/>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12" x14ac:dyDescent="0.35">
      <c r="A252" s="228" t="s">
        <v>584</v>
      </c>
      <c r="B252" s="199" t="s">
        <v>600</v>
      </c>
      <c r="C252" s="199" t="s">
        <v>594</v>
      </c>
      <c r="D252" s="204" t="s">
        <v>24</v>
      </c>
      <c r="E252" s="207" t="s">
        <v>605</v>
      </c>
      <c r="F252" s="88"/>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1.5" x14ac:dyDescent="0.35">
      <c r="A253" s="228" t="s">
        <v>584</v>
      </c>
      <c r="B253" s="206" t="s">
        <v>601</v>
      </c>
      <c r="C253" s="206" t="s">
        <v>597</v>
      </c>
      <c r="D253" s="205" t="s">
        <v>24</v>
      </c>
      <c r="E253" s="225" t="s">
        <v>606</v>
      </c>
      <c r="F253" s="87"/>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2" x14ac:dyDescent="0.35">
      <c r="A254" s="228" t="s">
        <v>584</v>
      </c>
      <c r="B254" s="199" t="s">
        <v>607</v>
      </c>
      <c r="C254" s="199" t="s">
        <v>598</v>
      </c>
      <c r="D254" s="204" t="s">
        <v>24</v>
      </c>
      <c r="E254" s="207" t="s">
        <v>610</v>
      </c>
      <c r="F254" s="88"/>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2" x14ac:dyDescent="0.35">
      <c r="A255" s="228" t="s">
        <v>584</v>
      </c>
      <c r="B255" s="206" t="s">
        <v>611</v>
      </c>
      <c r="C255" s="206" t="s">
        <v>599</v>
      </c>
      <c r="D255" s="205" t="s">
        <v>24</v>
      </c>
      <c r="E255" s="225" t="s">
        <v>613</v>
      </c>
      <c r="F255" s="87"/>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03" x14ac:dyDescent="0.35">
      <c r="A256" s="228" t="s">
        <v>584</v>
      </c>
      <c r="B256" s="199" t="s">
        <v>614</v>
      </c>
      <c r="C256" s="199" t="s">
        <v>602</v>
      </c>
      <c r="D256" s="204" t="s">
        <v>24</v>
      </c>
      <c r="E256" s="196" t="s">
        <v>1051</v>
      </c>
      <c r="F256" s="88"/>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82" x14ac:dyDescent="0.35">
      <c r="A257" s="228" t="s">
        <v>584</v>
      </c>
      <c r="B257" s="199"/>
      <c r="C257" s="199" t="s">
        <v>1052</v>
      </c>
      <c r="D257" s="204" t="s">
        <v>24</v>
      </c>
      <c r="E257" s="226" t="s">
        <v>615</v>
      </c>
      <c r="F257" s="88"/>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82" x14ac:dyDescent="0.35">
      <c r="A258" s="228" t="s">
        <v>584</v>
      </c>
      <c r="B258" s="199"/>
      <c r="C258" s="199" t="s">
        <v>1053</v>
      </c>
      <c r="D258" s="204" t="s">
        <v>24</v>
      </c>
      <c r="E258" s="207" t="s">
        <v>616</v>
      </c>
      <c r="F258" s="88"/>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22" x14ac:dyDescent="0.35">
      <c r="A259" s="228" t="s">
        <v>584</v>
      </c>
      <c r="B259" s="206" t="s">
        <v>617</v>
      </c>
      <c r="C259" s="206" t="s">
        <v>603</v>
      </c>
      <c r="D259" s="205" t="s">
        <v>24</v>
      </c>
      <c r="E259" s="225" t="s">
        <v>618</v>
      </c>
      <c r="F259" s="87"/>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11.5" x14ac:dyDescent="0.35">
      <c r="A260" s="228" t="s">
        <v>584</v>
      </c>
      <c r="B260" s="206"/>
      <c r="C260" s="206" t="s">
        <v>1054</v>
      </c>
      <c r="D260" s="205" t="s">
        <v>24</v>
      </c>
      <c r="E260" s="225" t="s">
        <v>619</v>
      </c>
      <c r="F260" s="87"/>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91.5" x14ac:dyDescent="0.35">
      <c r="A261" s="228" t="s">
        <v>584</v>
      </c>
      <c r="B261" s="199" t="s">
        <v>1055</v>
      </c>
      <c r="C261" s="199" t="s">
        <v>604</v>
      </c>
      <c r="D261" s="204" t="s">
        <v>25</v>
      </c>
      <c r="E261" s="219" t="s">
        <v>1056</v>
      </c>
      <c r="F261" s="88"/>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70" x14ac:dyDescent="0.35">
      <c r="A262" s="228" t="s">
        <v>584</v>
      </c>
      <c r="B262" s="206" t="s">
        <v>1057</v>
      </c>
      <c r="C262" s="206" t="s">
        <v>608</v>
      </c>
      <c r="D262" s="205" t="s">
        <v>24</v>
      </c>
      <c r="E262" s="211" t="s">
        <v>1058</v>
      </c>
      <c r="F262" s="87"/>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73.5" x14ac:dyDescent="0.35">
      <c r="A263" s="228" t="s">
        <v>584</v>
      </c>
      <c r="B263" s="206"/>
      <c r="C263" s="206" t="s">
        <v>1059</v>
      </c>
      <c r="D263" s="205" t="s">
        <v>24</v>
      </c>
      <c r="E263" s="211" t="s">
        <v>1060</v>
      </c>
      <c r="F263" s="87"/>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52.5" x14ac:dyDescent="0.35">
      <c r="A264" s="228" t="s">
        <v>584</v>
      </c>
      <c r="B264" s="199" t="s">
        <v>1061</v>
      </c>
      <c r="C264" s="199" t="s">
        <v>609</v>
      </c>
      <c r="D264" s="204" t="s">
        <v>24</v>
      </c>
      <c r="E264" s="192" t="s">
        <v>1062</v>
      </c>
      <c r="F264" s="88"/>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60" x14ac:dyDescent="0.35">
      <c r="A265" s="228" t="s">
        <v>584</v>
      </c>
      <c r="B265" s="206" t="s">
        <v>1063</v>
      </c>
      <c r="C265" s="206" t="s">
        <v>612</v>
      </c>
      <c r="D265" s="205" t="s">
        <v>24</v>
      </c>
      <c r="E265" s="211" t="s">
        <v>1064</v>
      </c>
      <c r="F265" s="87"/>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63" x14ac:dyDescent="0.35">
      <c r="A266" s="228" t="s">
        <v>584</v>
      </c>
      <c r="B266" s="206"/>
      <c r="C266" s="206" t="s">
        <v>1065</v>
      </c>
      <c r="D266" s="205" t="s">
        <v>24</v>
      </c>
      <c r="E266" s="211" t="s">
        <v>1066</v>
      </c>
      <c r="F266" s="87"/>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42" x14ac:dyDescent="0.35">
      <c r="A267" s="228" t="s">
        <v>584</v>
      </c>
      <c r="B267" s="206"/>
      <c r="C267" s="206" t="s">
        <v>1067</v>
      </c>
      <c r="D267" s="205" t="s">
        <v>24</v>
      </c>
      <c r="E267" s="211" t="s">
        <v>1068</v>
      </c>
      <c r="F267" s="87"/>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3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267">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267">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267">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267">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91" t="s">
        <v>647</v>
      </c>
      <c r="G2" s="92" t="e">
        <f ca="1">Value!O141</f>
        <v>#DIV/0!</v>
      </c>
      <c r="H2" s="93" t="s">
        <v>648</v>
      </c>
    </row>
    <row r="3" spans="6:8" ht="75" x14ac:dyDescent="0.35">
      <c r="F3" s="131" t="s">
        <v>819</v>
      </c>
      <c r="G3" s="131"/>
      <c r="H3" s="131"/>
    </row>
    <row r="7" spans="6:8" x14ac:dyDescent="0.35">
      <c r="F7" s="94"/>
      <c r="G7" s="92"/>
      <c r="H7" s="93"/>
    </row>
    <row r="8" spans="6:8" ht="114.65" customHeight="1" x14ac:dyDescent="0.35">
      <c r="F8" s="131"/>
      <c r="G8" s="131"/>
      <c r="H8" s="131"/>
    </row>
    <row r="10" spans="6:8" x14ac:dyDescent="0.35">
      <c r="F10" s="130" t="s">
        <v>799</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B3" sqref="B3"/>
    </sheetView>
  </sheetViews>
  <sheetFormatPr baseColWidth="10" defaultColWidth="11.453125" defaultRowHeight="13" x14ac:dyDescent="0.35"/>
  <cols>
    <col min="1" max="1" width="7.7265625" style="159" customWidth="1"/>
    <col min="2" max="2" width="52" style="159" customWidth="1"/>
    <col min="3" max="3" width="8.54296875" style="160" customWidth="1"/>
    <col min="4" max="4" width="12.453125" style="160" customWidth="1"/>
    <col min="5" max="5" width="8.54296875" style="160" customWidth="1"/>
    <col min="6" max="6" width="10.54296875" style="159" customWidth="1"/>
    <col min="7" max="7" width="42.26953125" style="159" customWidth="1"/>
    <col min="8" max="8" width="39.453125" style="159" customWidth="1"/>
    <col min="9" max="9" width="19.54296875" style="159" customWidth="1"/>
    <col min="10" max="11" width="11.453125" style="161"/>
    <col min="12" max="16384" width="11.453125" style="171"/>
  </cols>
  <sheetData>
    <row r="1" spans="1:11" s="156" customFormat="1" ht="40" customHeight="1" x14ac:dyDescent="0.35">
      <c r="A1" s="176" t="s">
        <v>1</v>
      </c>
      <c r="B1" s="177" t="s">
        <v>2</v>
      </c>
      <c r="C1" s="177" t="s">
        <v>23</v>
      </c>
      <c r="D1" s="177" t="s">
        <v>645</v>
      </c>
      <c r="E1" s="177" t="s">
        <v>21</v>
      </c>
      <c r="F1" s="177" t="s">
        <v>47</v>
      </c>
      <c r="G1" s="177" t="s">
        <v>829</v>
      </c>
      <c r="H1" s="177" t="s">
        <v>827</v>
      </c>
      <c r="I1" s="177" t="s">
        <v>779</v>
      </c>
      <c r="J1" s="177" t="s">
        <v>27</v>
      </c>
      <c r="K1" s="178" t="s">
        <v>646</v>
      </c>
    </row>
    <row r="2" spans="1:11" x14ac:dyDescent="0.35">
      <c r="G2" s="175"/>
      <c r="H2" s="175"/>
      <c r="I2" s="175"/>
    </row>
    <row r="3" spans="1:11" x14ac:dyDescent="0.35">
      <c r="G3" s="172"/>
      <c r="H3" s="172"/>
      <c r="I3" s="172"/>
    </row>
    <row r="4" spans="1:11" x14ac:dyDescent="0.35">
      <c r="G4" s="172"/>
      <c r="H4" s="172"/>
      <c r="I4" s="172"/>
    </row>
    <row r="5" spans="1:11" x14ac:dyDescent="0.35">
      <c r="G5" s="172"/>
      <c r="H5" s="172"/>
      <c r="I5" s="172"/>
    </row>
    <row r="6" spans="1:11" x14ac:dyDescent="0.35">
      <c r="G6" s="172"/>
      <c r="H6" s="172"/>
      <c r="I6" s="172"/>
    </row>
    <row r="7" spans="1:11" x14ac:dyDescent="0.35">
      <c r="G7" s="172"/>
      <c r="H7" s="172"/>
      <c r="I7" s="172"/>
    </row>
    <row r="8" spans="1:11" x14ac:dyDescent="0.35">
      <c r="G8" s="172"/>
      <c r="H8" s="172"/>
      <c r="I8" s="172"/>
    </row>
    <row r="9" spans="1:11" x14ac:dyDescent="0.35">
      <c r="G9" s="162"/>
      <c r="H9" s="162"/>
      <c r="I9" s="163"/>
    </row>
    <row r="10" spans="1:11" x14ac:dyDescent="0.35">
      <c r="G10" s="162"/>
      <c r="H10" s="162"/>
      <c r="I10" s="162"/>
    </row>
    <row r="11" spans="1:11" x14ac:dyDescent="0.35">
      <c r="G11" s="162"/>
      <c r="H11" s="162"/>
      <c r="I11" s="162"/>
    </row>
    <row r="12" spans="1:11" x14ac:dyDescent="0.35">
      <c r="G12" s="164"/>
      <c r="H12" s="164"/>
      <c r="I12" s="164"/>
    </row>
    <row r="13" spans="1:11" x14ac:dyDescent="0.35">
      <c r="G13" s="164"/>
      <c r="H13" s="164"/>
      <c r="I13" s="164"/>
    </row>
    <row r="14" spans="1:11" x14ac:dyDescent="0.35">
      <c r="G14" s="164"/>
      <c r="H14" s="164"/>
      <c r="I14" s="164"/>
    </row>
    <row r="15" spans="1:11" x14ac:dyDescent="0.35">
      <c r="G15" s="164"/>
      <c r="H15" s="164"/>
      <c r="I15" s="164"/>
    </row>
    <row r="16" spans="1:11" x14ac:dyDescent="0.35">
      <c r="G16" s="164"/>
      <c r="H16" s="164"/>
      <c r="I16" s="164"/>
    </row>
    <row r="17" spans="7:9" x14ac:dyDescent="0.35">
      <c r="G17" s="164"/>
      <c r="H17" s="164"/>
      <c r="I17" s="164"/>
    </row>
    <row r="18" spans="7:9" x14ac:dyDescent="0.35">
      <c r="G18" s="164"/>
      <c r="H18" s="164"/>
      <c r="I18" s="164"/>
    </row>
    <row r="19" spans="7:9" x14ac:dyDescent="0.35">
      <c r="G19" s="164"/>
      <c r="H19" s="164"/>
      <c r="I19" s="164"/>
    </row>
    <row r="20" spans="7:9" x14ac:dyDescent="0.35">
      <c r="G20" s="164"/>
      <c r="H20" s="164"/>
      <c r="I20" s="164"/>
    </row>
    <row r="21" spans="7:9" x14ac:dyDescent="0.35">
      <c r="G21" s="164"/>
      <c r="H21" s="164"/>
      <c r="I21" s="164"/>
    </row>
    <row r="22" spans="7:9" x14ac:dyDescent="0.35">
      <c r="G22" s="162"/>
      <c r="H22" s="162"/>
      <c r="I22" s="162"/>
    </row>
    <row r="23" spans="7:9" x14ac:dyDescent="0.35">
      <c r="G23" s="162"/>
      <c r="H23" s="162"/>
      <c r="I23" s="162"/>
    </row>
    <row r="24" spans="7:9" x14ac:dyDescent="0.35">
      <c r="G24" s="164"/>
      <c r="H24" s="164"/>
      <c r="I24" s="164"/>
    </row>
    <row r="25" spans="7:9" x14ac:dyDescent="0.35">
      <c r="G25" s="164"/>
      <c r="H25" s="164"/>
      <c r="I25" s="164"/>
    </row>
    <row r="26" spans="7:9" x14ac:dyDescent="0.35">
      <c r="G26" s="164"/>
      <c r="H26" s="164"/>
      <c r="I26" s="164"/>
    </row>
    <row r="27" spans="7:9" x14ac:dyDescent="0.35">
      <c r="G27" s="164"/>
      <c r="H27" s="164"/>
      <c r="I27" s="164"/>
    </row>
    <row r="28" spans="7:9" x14ac:dyDescent="0.35">
      <c r="G28" s="164"/>
      <c r="H28" s="164"/>
      <c r="I28" s="164"/>
    </row>
    <row r="29" spans="7:9" x14ac:dyDescent="0.35">
      <c r="G29" s="164"/>
      <c r="H29" s="164"/>
      <c r="I29" s="164"/>
    </row>
    <row r="30" spans="7:9" x14ac:dyDescent="0.35">
      <c r="G30" s="164"/>
      <c r="H30" s="164"/>
      <c r="I30" s="164"/>
    </row>
    <row r="31" spans="7:9" x14ac:dyDescent="0.35">
      <c r="G31" s="164"/>
      <c r="H31" s="164"/>
      <c r="I31" s="164"/>
    </row>
    <row r="32" spans="7:9" x14ac:dyDescent="0.35">
      <c r="G32" s="164"/>
      <c r="H32" s="164"/>
      <c r="I32" s="164"/>
    </row>
    <row r="33" spans="7:9" x14ac:dyDescent="0.35">
      <c r="G33" s="164"/>
      <c r="H33" s="164"/>
      <c r="I33" s="164"/>
    </row>
  </sheetData>
  <autoFilter ref="A1:K1" xr:uid="{10E2D3C6-39D5-462B-AEA5-1376076E22E9}"/>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181"/>
      <c r="B1" s="181"/>
      <c r="C1" s="30"/>
    </row>
    <row r="2" spans="1:3" ht="60" customHeight="1" x14ac:dyDescent="0.35">
      <c r="A2" s="181"/>
      <c r="B2" s="183" t="s">
        <v>803</v>
      </c>
      <c r="C2" s="181"/>
    </row>
    <row r="3" spans="1:3" ht="40" customHeight="1" x14ac:dyDescent="0.35">
      <c r="A3" s="181"/>
      <c r="B3" s="184" t="s">
        <v>804</v>
      </c>
      <c r="C3" s="181"/>
    </row>
    <row r="4" spans="1:3" ht="30" customHeight="1" x14ac:dyDescent="0.35">
      <c r="A4" s="181"/>
      <c r="B4" s="185" t="s">
        <v>805</v>
      </c>
      <c r="C4" s="181"/>
    </row>
    <row r="5" spans="1:3" ht="17.149999999999999" customHeight="1" x14ac:dyDescent="0.35">
      <c r="A5" s="181"/>
      <c r="B5" s="186" t="s">
        <v>806</v>
      </c>
      <c r="C5" s="181"/>
    </row>
    <row r="6" spans="1:3" ht="17.149999999999999" customHeight="1" x14ac:dyDescent="0.35">
      <c r="A6" s="181"/>
      <c r="B6" s="187" t="s">
        <v>807</v>
      </c>
      <c r="C6" s="181"/>
    </row>
    <row r="7" spans="1:3" ht="17.149999999999999" customHeight="1" x14ac:dyDescent="0.35">
      <c r="A7" s="181"/>
      <c r="B7" s="187" t="s">
        <v>808</v>
      </c>
      <c r="C7" s="181"/>
    </row>
    <row r="8" spans="1:3" ht="17.149999999999999" customHeight="1" x14ac:dyDescent="0.35">
      <c r="A8" s="181"/>
      <c r="B8" s="186"/>
      <c r="C8" s="181"/>
    </row>
    <row r="9" spans="1:3" ht="17.149999999999999" customHeight="1" x14ac:dyDescent="0.35">
      <c r="A9" s="181"/>
      <c r="B9" s="186" t="s">
        <v>809</v>
      </c>
      <c r="C9" s="181"/>
    </row>
    <row r="10" spans="1:3" ht="17.149999999999999" customHeight="1" x14ac:dyDescent="0.35">
      <c r="A10" s="181"/>
      <c r="B10" s="187" t="s">
        <v>810</v>
      </c>
      <c r="C10" s="181"/>
    </row>
    <row r="11" spans="1:3" ht="17.149999999999999" customHeight="1" x14ac:dyDescent="0.35">
      <c r="A11" s="181"/>
      <c r="B11" s="187" t="s">
        <v>811</v>
      </c>
      <c r="C11" s="181"/>
    </row>
    <row r="12" spans="1:3" ht="17.149999999999999" customHeight="1" x14ac:dyDescent="0.35">
      <c r="A12" s="181"/>
      <c r="B12" s="187" t="s">
        <v>1181</v>
      </c>
      <c r="C12" s="181"/>
    </row>
    <row r="13" spans="1:3" ht="17.149999999999999" customHeight="1" x14ac:dyDescent="0.35">
      <c r="A13" s="181"/>
      <c r="B13" s="187" t="s">
        <v>812</v>
      </c>
      <c r="C13" s="181"/>
    </row>
    <row r="14" spans="1:3" ht="17.149999999999999" customHeight="1" x14ac:dyDescent="0.35">
      <c r="A14" s="181"/>
      <c r="B14" s="187"/>
      <c r="C14" s="181"/>
    </row>
    <row r="15" spans="1:3" ht="29" x14ac:dyDescent="0.35">
      <c r="A15" s="181"/>
      <c r="B15" s="232" t="s">
        <v>1165</v>
      </c>
      <c r="C15" s="181"/>
    </row>
    <row r="16" spans="1:3" ht="17.149999999999999" customHeight="1" x14ac:dyDescent="0.35">
      <c r="A16" s="181"/>
      <c r="B16" s="186"/>
      <c r="C16" s="181"/>
    </row>
    <row r="17" spans="1:9" ht="40" customHeight="1" x14ac:dyDescent="0.35">
      <c r="A17" s="181"/>
      <c r="B17" s="188" t="s">
        <v>1166</v>
      </c>
      <c r="C17" s="182"/>
      <c r="D17" s="132"/>
      <c r="E17" s="132"/>
      <c r="F17" s="132"/>
      <c r="G17" s="132"/>
      <c r="H17" s="132"/>
      <c r="I17" s="132"/>
    </row>
    <row r="18" spans="1:9" ht="30" customHeight="1" x14ac:dyDescent="0.35">
      <c r="A18" s="181"/>
      <c r="B18" s="185" t="s">
        <v>813</v>
      </c>
      <c r="C18" s="181"/>
    </row>
    <row r="19" spans="1:9" ht="100" customHeight="1" x14ac:dyDescent="0.35">
      <c r="A19" s="181"/>
      <c r="B19" s="188" t="s">
        <v>820</v>
      </c>
      <c r="C19" s="182"/>
      <c r="D19" s="132"/>
      <c r="E19" s="132"/>
      <c r="F19" s="132"/>
      <c r="G19" s="132"/>
      <c r="H19" s="132"/>
      <c r="I19" s="132"/>
    </row>
    <row r="20" spans="1:9" ht="30" customHeight="1" x14ac:dyDescent="0.35">
      <c r="A20" s="181"/>
      <c r="B20" s="185" t="s">
        <v>814</v>
      </c>
      <c r="C20" s="181"/>
    </row>
    <row r="21" spans="1:9" ht="60" customHeight="1" x14ac:dyDescent="0.35">
      <c r="A21" s="181"/>
      <c r="B21" s="188" t="s">
        <v>817</v>
      </c>
      <c r="C21" s="182"/>
      <c r="D21" s="132"/>
      <c r="E21" s="132"/>
      <c r="F21" s="132"/>
      <c r="G21" s="132"/>
      <c r="H21" s="132"/>
      <c r="I21" s="132"/>
    </row>
    <row r="22" spans="1:9" ht="30" customHeight="1" x14ac:dyDescent="0.35">
      <c r="A22" s="181"/>
      <c r="B22" s="185" t="s">
        <v>1182</v>
      </c>
      <c r="C22" s="181"/>
    </row>
    <row r="23" spans="1:9" ht="348" x14ac:dyDescent="0.35">
      <c r="A23" s="181"/>
      <c r="B23" s="188" t="s">
        <v>1168</v>
      </c>
      <c r="C23" s="182"/>
      <c r="D23" s="132"/>
      <c r="E23" s="132"/>
      <c r="F23" s="132"/>
      <c r="G23" s="132"/>
      <c r="H23" s="132"/>
      <c r="I23" s="132"/>
    </row>
    <row r="24" spans="1:9" ht="31" customHeight="1" x14ac:dyDescent="0.35">
      <c r="A24" s="181"/>
      <c r="B24" s="185" t="s">
        <v>1183</v>
      </c>
      <c r="C24" s="182"/>
      <c r="D24" s="132"/>
      <c r="E24" s="132"/>
      <c r="F24" s="132"/>
      <c r="G24" s="132"/>
      <c r="H24" s="132"/>
      <c r="I24" s="132"/>
    </row>
    <row r="25" spans="1:9" ht="235" customHeight="1" x14ac:dyDescent="0.35">
      <c r="A25" s="181"/>
      <c r="B25" s="188" t="s">
        <v>1184</v>
      </c>
      <c r="C25" s="182"/>
      <c r="D25" s="132"/>
      <c r="E25" s="132"/>
      <c r="F25" s="132"/>
      <c r="G25" s="132"/>
      <c r="H25" s="132"/>
      <c r="I25" s="132"/>
    </row>
    <row r="26" spans="1:9" ht="30" customHeight="1" x14ac:dyDescent="0.35">
      <c r="A26" s="181"/>
      <c r="B26" s="185" t="s">
        <v>1167</v>
      </c>
      <c r="C26" s="181"/>
    </row>
    <row r="27" spans="1:9" ht="90" customHeight="1" x14ac:dyDescent="0.35">
      <c r="A27" s="181"/>
      <c r="B27" s="188" t="s">
        <v>1169</v>
      </c>
      <c r="C27" s="182"/>
      <c r="D27" s="132"/>
      <c r="E27" s="132"/>
      <c r="F27" s="132"/>
      <c r="G27" s="132"/>
      <c r="H27" s="132"/>
      <c r="I27" s="132"/>
    </row>
    <row r="28" spans="1:9" ht="30" customHeight="1" x14ac:dyDescent="0.35">
      <c r="A28" s="181"/>
      <c r="B28" s="185" t="s">
        <v>815</v>
      </c>
      <c r="C28" s="181"/>
    </row>
    <row r="29" spans="1:9" ht="40" customHeight="1" x14ac:dyDescent="0.35">
      <c r="A29" s="181"/>
      <c r="B29" s="188" t="s">
        <v>1170</v>
      </c>
      <c r="C29" s="182"/>
      <c r="D29" s="132"/>
      <c r="E29" s="132"/>
      <c r="F29" s="132"/>
      <c r="G29" s="132"/>
      <c r="H29" s="132"/>
      <c r="I29" s="132"/>
    </row>
    <row r="30" spans="1:9" ht="30" customHeight="1" x14ac:dyDescent="0.35">
      <c r="A30" s="181"/>
      <c r="B30" s="185" t="s">
        <v>816</v>
      </c>
      <c r="C30" s="181"/>
    </row>
    <row r="31" spans="1:9" ht="70" customHeight="1" x14ac:dyDescent="0.35">
      <c r="A31" s="181"/>
      <c r="B31" s="188" t="s">
        <v>818</v>
      </c>
      <c r="C31" s="182"/>
      <c r="D31" s="132"/>
      <c r="E31" s="132"/>
      <c r="F31" s="132"/>
      <c r="G31" s="132"/>
      <c r="H31" s="132"/>
      <c r="I31" s="132"/>
    </row>
    <row r="32" spans="1:9" x14ac:dyDescent="0.3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4.5" x14ac:dyDescent="0.35"/>
  <cols>
    <col min="2" max="2" width="12.54296875" customWidth="1"/>
    <col min="3" max="3" width="100.7265625" customWidth="1"/>
  </cols>
  <sheetData>
    <row r="2" spans="2:3" ht="26" x14ac:dyDescent="0.6">
      <c r="B2" s="125" t="s">
        <v>800</v>
      </c>
    </row>
    <row r="3" spans="2:3" x14ac:dyDescent="0.35">
      <c r="B3" s="124" t="s">
        <v>787</v>
      </c>
    </row>
    <row r="5" spans="2:3" ht="17.5" x14ac:dyDescent="0.35">
      <c r="B5" s="126" t="s">
        <v>788</v>
      </c>
    </row>
    <row r="6" spans="2:3" x14ac:dyDescent="0.35">
      <c r="B6" s="127" t="s">
        <v>789</v>
      </c>
    </row>
    <row r="7" spans="2:3" x14ac:dyDescent="0.35">
      <c r="B7" s="127" t="s">
        <v>791</v>
      </c>
    </row>
    <row r="8" spans="2:3" x14ac:dyDescent="0.35">
      <c r="B8" s="128"/>
    </row>
    <row r="9" spans="2:3" x14ac:dyDescent="0.35">
      <c r="B9" s="128" t="s">
        <v>790</v>
      </c>
    </row>
    <row r="10" spans="2:3" x14ac:dyDescent="0.35">
      <c r="B10" s="128"/>
    </row>
    <row r="11" spans="2:3" ht="17.5" x14ac:dyDescent="0.35">
      <c r="B11" s="126" t="s">
        <v>792</v>
      </c>
    </row>
    <row r="12" spans="2:3" ht="43.5" x14ac:dyDescent="0.35">
      <c r="C12" s="129" t="s">
        <v>793</v>
      </c>
    </row>
    <row r="14" spans="2:3" ht="43.5" x14ac:dyDescent="0.35">
      <c r="C14" s="129" t="s">
        <v>794</v>
      </c>
    </row>
    <row r="16" spans="2:3" ht="29" x14ac:dyDescent="0.35">
      <c r="C16" s="129" t="s">
        <v>795</v>
      </c>
    </row>
    <row r="19" spans="2:3" ht="26" x14ac:dyDescent="0.6">
      <c r="B19" s="125" t="s">
        <v>796</v>
      </c>
    </row>
    <row r="20" spans="2:3" ht="17.5" x14ac:dyDescent="0.35">
      <c r="B20" s="126" t="s">
        <v>798</v>
      </c>
    </row>
    <row r="21" spans="2:3" ht="51.65" customHeight="1" x14ac:dyDescent="0.35">
      <c r="C21" s="12" t="s">
        <v>797</v>
      </c>
    </row>
    <row r="23" spans="2:3" ht="17.5" x14ac:dyDescent="0.35">
      <c r="B23" s="126" t="s">
        <v>801</v>
      </c>
    </row>
    <row r="24" spans="2:3" x14ac:dyDescent="0.35">
      <c r="B24" s="269" t="s">
        <v>802</v>
      </c>
      <c r="C24" s="269"/>
    </row>
    <row r="27" spans="2:3" ht="26" x14ac:dyDescent="0.6">
      <c r="B27" s="125"/>
    </row>
    <row r="28" spans="2:3" ht="72" customHeight="1" x14ac:dyDescent="0.35">
      <c r="B28" s="270"/>
      <c r="C28" s="270"/>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topLeftCell="D1" zoomScaleNormal="100" workbookViewId="0">
      <pane ySplit="3" topLeftCell="A4" activePane="bottomLeft" state="frozen"/>
      <selection pane="bottomLeft" activeCell="J4" sqref="J4"/>
    </sheetView>
  </sheetViews>
  <sheetFormatPr baseColWidth="10" defaultColWidth="11.54296875" defaultRowHeight="10.5" x14ac:dyDescent="0.35"/>
  <cols>
    <col min="1" max="1" width="3.26953125" style="135" customWidth="1"/>
    <col min="2" max="2" width="11.26953125" style="145" customWidth="1"/>
    <col min="3" max="3" width="32" style="145" customWidth="1"/>
    <col min="4" max="4" width="6.26953125" style="142" customWidth="1"/>
    <col min="5" max="5" width="5" style="135" customWidth="1"/>
    <col min="6" max="6" width="37.453125" style="145" customWidth="1"/>
    <col min="7" max="7" width="9" style="142" customWidth="1"/>
    <col min="8" max="8" width="9.453125" style="142" bestFit="1" customWidth="1"/>
    <col min="9" max="9" width="9.453125" style="142" customWidth="1"/>
    <col min="10" max="10" width="10.7265625" style="135" customWidth="1"/>
    <col min="11" max="13" width="36.26953125" style="135" customWidth="1"/>
    <col min="14" max="14" width="11.54296875" style="135" customWidth="1"/>
    <col min="15" max="15" width="11.54296875" style="135"/>
    <col min="16" max="16" width="14.1796875" style="135" customWidth="1"/>
    <col min="17" max="16384" width="11.54296875" style="135"/>
  </cols>
  <sheetData>
    <row r="1" spans="2:17" ht="21" x14ac:dyDescent="0.35">
      <c r="B1" s="136"/>
      <c r="C1" s="137"/>
      <c r="D1" s="138"/>
      <c r="E1" s="139"/>
      <c r="F1" s="139"/>
      <c r="G1" s="138"/>
      <c r="H1" s="139"/>
      <c r="I1" s="139"/>
      <c r="J1" s="139"/>
      <c r="K1" s="139"/>
      <c r="L1" s="139"/>
      <c r="M1" s="139"/>
      <c r="N1" s="139"/>
      <c r="O1" s="57" t="s">
        <v>20</v>
      </c>
      <c r="P1" s="140"/>
      <c r="Q1" s="140"/>
    </row>
    <row r="2" spans="2:17" x14ac:dyDescent="0.35">
      <c r="B2" s="135"/>
      <c r="C2" s="141"/>
      <c r="F2" s="135"/>
      <c r="H2" s="143"/>
      <c r="I2" s="143"/>
    </row>
    <row r="3" spans="2:17" s="144" customFormat="1" ht="21.5" thickBot="1" x14ac:dyDescent="0.4">
      <c r="B3" s="7" t="s">
        <v>0</v>
      </c>
      <c r="C3" s="7" t="s">
        <v>247</v>
      </c>
      <c r="D3" s="8" t="s">
        <v>1</v>
      </c>
      <c r="E3" s="9" t="s">
        <v>23</v>
      </c>
      <c r="F3" s="8" t="s">
        <v>2</v>
      </c>
      <c r="G3" s="8" t="s">
        <v>32</v>
      </c>
      <c r="H3" s="8" t="s">
        <v>21</v>
      </c>
      <c r="I3" s="8" t="s">
        <v>645</v>
      </c>
      <c r="J3" s="8" t="s">
        <v>22</v>
      </c>
      <c r="K3" s="8" t="s">
        <v>829</v>
      </c>
      <c r="L3" s="8" t="s">
        <v>827</v>
      </c>
      <c r="M3" s="8" t="s">
        <v>779</v>
      </c>
      <c r="N3" s="8" t="s">
        <v>828</v>
      </c>
      <c r="O3" s="8" t="s">
        <v>27</v>
      </c>
      <c r="P3" s="8" t="s">
        <v>28</v>
      </c>
      <c r="Q3" s="8" t="s">
        <v>646</v>
      </c>
    </row>
    <row r="4" spans="2:17" ht="32" thickTop="1" x14ac:dyDescent="0.35">
      <c r="B4" s="228" t="s">
        <v>5</v>
      </c>
      <c r="C4" s="189" t="s">
        <v>849</v>
      </c>
      <c r="D4" s="190" t="s">
        <v>248</v>
      </c>
      <c r="E4" s="191" t="s">
        <v>24</v>
      </c>
      <c r="F4" s="209" t="s">
        <v>850</v>
      </c>
      <c r="G4" s="79" t="s">
        <v>33</v>
      </c>
      <c r="H4" s="74" t="s">
        <v>43</v>
      </c>
      <c r="I4" s="179"/>
      <c r="J4" s="180"/>
      <c r="K4" s="77"/>
      <c r="L4" s="77"/>
      <c r="M4" s="77"/>
      <c r="N4" s="77"/>
      <c r="O4" s="79"/>
      <c r="P4" s="79"/>
      <c r="Q4" s="79"/>
    </row>
    <row r="5" spans="2:17" ht="31.5" x14ac:dyDescent="0.35">
      <c r="B5" s="228" t="s">
        <v>5</v>
      </c>
      <c r="C5" s="189"/>
      <c r="D5" s="190" t="s">
        <v>249</v>
      </c>
      <c r="E5" s="191" t="s">
        <v>24</v>
      </c>
      <c r="F5" s="209" t="s">
        <v>851</v>
      </c>
      <c r="G5" s="79" t="s">
        <v>33</v>
      </c>
      <c r="H5" s="74" t="s">
        <v>43</v>
      </c>
      <c r="I5" s="78"/>
      <c r="J5" s="79"/>
      <c r="K5" s="77"/>
      <c r="L5" s="77"/>
      <c r="M5" s="77"/>
      <c r="N5" s="77"/>
      <c r="O5" s="79"/>
      <c r="P5" s="79"/>
      <c r="Q5" s="79"/>
    </row>
    <row r="6" spans="2:17" ht="31.5" x14ac:dyDescent="0.35">
      <c r="B6" s="228" t="s">
        <v>5</v>
      </c>
      <c r="C6" s="189"/>
      <c r="D6" s="190" t="s">
        <v>250</v>
      </c>
      <c r="E6" s="191" t="s">
        <v>24</v>
      </c>
      <c r="F6" s="209" t="s">
        <v>852</v>
      </c>
      <c r="G6" s="79" t="s">
        <v>33</v>
      </c>
      <c r="H6" s="74" t="s">
        <v>43</v>
      </c>
      <c r="I6" s="78"/>
      <c r="J6" s="79"/>
      <c r="K6" s="77"/>
      <c r="L6" s="77"/>
      <c r="M6" s="77"/>
      <c r="N6" s="77"/>
      <c r="O6" s="79"/>
      <c r="P6" s="79"/>
      <c r="Q6" s="79"/>
    </row>
    <row r="7" spans="2:17" ht="31.5" x14ac:dyDescent="0.35">
      <c r="B7" s="228" t="s">
        <v>5</v>
      </c>
      <c r="C7" s="189"/>
      <c r="D7" s="190" t="s">
        <v>251</v>
      </c>
      <c r="E7" s="191" t="s">
        <v>24</v>
      </c>
      <c r="F7" s="210" t="s">
        <v>853</v>
      </c>
      <c r="G7" s="79" t="s">
        <v>33</v>
      </c>
      <c r="H7" s="74" t="s">
        <v>43</v>
      </c>
      <c r="I7" s="78"/>
      <c r="J7" s="79"/>
      <c r="K7" s="77"/>
      <c r="L7" s="77"/>
      <c r="M7" s="77"/>
      <c r="N7" s="77"/>
      <c r="O7" s="79"/>
      <c r="P7" s="79"/>
      <c r="Q7" s="79"/>
    </row>
    <row r="8" spans="2:17" ht="51" x14ac:dyDescent="0.35">
      <c r="B8" s="228" t="s">
        <v>5</v>
      </c>
      <c r="C8" s="189"/>
      <c r="D8" s="190" t="s">
        <v>854</v>
      </c>
      <c r="E8" s="191" t="s">
        <v>24</v>
      </c>
      <c r="F8" s="211" t="s">
        <v>855</v>
      </c>
      <c r="G8" s="79" t="s">
        <v>33</v>
      </c>
      <c r="H8" s="74" t="s">
        <v>43</v>
      </c>
      <c r="I8" s="78"/>
      <c r="J8" s="79"/>
      <c r="K8" s="77"/>
      <c r="L8" s="77"/>
      <c r="M8" s="77"/>
      <c r="N8" s="77"/>
      <c r="O8" s="79"/>
      <c r="P8" s="79"/>
      <c r="Q8" s="79"/>
    </row>
    <row r="9" spans="2:17" ht="91.5" x14ac:dyDescent="0.35">
      <c r="B9" s="228" t="s">
        <v>5</v>
      </c>
      <c r="C9" s="189"/>
      <c r="D9" s="190" t="s">
        <v>856</v>
      </c>
      <c r="E9" s="191" t="s">
        <v>24</v>
      </c>
      <c r="F9" s="211" t="s">
        <v>857</v>
      </c>
      <c r="G9" s="79" t="s">
        <v>33</v>
      </c>
      <c r="H9" s="74" t="s">
        <v>43</v>
      </c>
      <c r="I9" s="78"/>
      <c r="J9" s="79"/>
      <c r="K9" s="77"/>
      <c r="L9" s="77"/>
      <c r="M9" s="77"/>
      <c r="N9" s="77"/>
      <c r="O9" s="79"/>
      <c r="P9" s="79"/>
      <c r="Q9" s="79"/>
    </row>
    <row r="10" spans="2:17" ht="102" x14ac:dyDescent="0.35">
      <c r="B10" s="228" t="s">
        <v>5</v>
      </c>
      <c r="C10" s="189"/>
      <c r="D10" s="190" t="s">
        <v>858</v>
      </c>
      <c r="E10" s="191" t="s">
        <v>24</v>
      </c>
      <c r="F10" s="211" t="s">
        <v>859</v>
      </c>
      <c r="G10" s="79" t="s">
        <v>33</v>
      </c>
      <c r="H10" s="74" t="s">
        <v>43</v>
      </c>
      <c r="I10" s="78"/>
      <c r="J10" s="79"/>
      <c r="K10" s="77"/>
      <c r="L10" s="77"/>
      <c r="M10" s="77"/>
      <c r="N10" s="77"/>
      <c r="O10" s="79"/>
      <c r="P10" s="79"/>
      <c r="Q10" s="79"/>
    </row>
    <row r="11" spans="2:17" ht="101.5" x14ac:dyDescent="0.35">
      <c r="B11" s="228" t="s">
        <v>5</v>
      </c>
      <c r="C11" s="189"/>
      <c r="D11" s="190" t="s">
        <v>860</v>
      </c>
      <c r="E11" s="191" t="s">
        <v>24</v>
      </c>
      <c r="F11" s="211" t="s">
        <v>861</v>
      </c>
      <c r="G11" s="79" t="s">
        <v>33</v>
      </c>
      <c r="H11" s="74" t="s">
        <v>43</v>
      </c>
      <c r="I11" s="78"/>
      <c r="J11" s="79"/>
      <c r="K11" s="77"/>
      <c r="L11" s="77"/>
      <c r="M11" s="77"/>
      <c r="N11" s="77"/>
      <c r="O11" s="79"/>
      <c r="P11" s="79"/>
      <c r="Q11" s="79"/>
    </row>
    <row r="12" spans="2:17" ht="71" x14ac:dyDescent="0.35">
      <c r="B12" s="228" t="s">
        <v>5</v>
      </c>
      <c r="C12" s="193" t="s">
        <v>862</v>
      </c>
      <c r="D12" s="194" t="s">
        <v>252</v>
      </c>
      <c r="E12" s="195" t="s">
        <v>24</v>
      </c>
      <c r="F12" s="212" t="s">
        <v>863</v>
      </c>
      <c r="G12" s="83" t="s">
        <v>33</v>
      </c>
      <c r="H12" s="75" t="s">
        <v>43</v>
      </c>
      <c r="I12" s="82"/>
      <c r="J12" s="83"/>
      <c r="K12" s="81"/>
      <c r="L12" s="81"/>
      <c r="M12" s="81"/>
      <c r="N12" s="81"/>
      <c r="O12" s="83"/>
      <c r="P12" s="83"/>
      <c r="Q12" s="83"/>
    </row>
    <row r="13" spans="2:17" ht="81.5" x14ac:dyDescent="0.35">
      <c r="B13" s="228" t="s">
        <v>5</v>
      </c>
      <c r="C13" s="193"/>
      <c r="D13" s="194" t="s">
        <v>253</v>
      </c>
      <c r="E13" s="195" t="s">
        <v>24</v>
      </c>
      <c r="F13" s="212" t="s">
        <v>864</v>
      </c>
      <c r="G13" s="83" t="s">
        <v>33</v>
      </c>
      <c r="H13" s="75" t="s">
        <v>43</v>
      </c>
      <c r="I13" s="82"/>
      <c r="J13" s="83"/>
      <c r="K13" s="81"/>
      <c r="L13" s="81"/>
      <c r="M13" s="81"/>
      <c r="N13" s="81"/>
      <c r="O13" s="83"/>
      <c r="P13" s="83"/>
      <c r="Q13" s="83"/>
    </row>
    <row r="14" spans="2:17" ht="81.5" x14ac:dyDescent="0.35">
      <c r="B14" s="228" t="s">
        <v>5</v>
      </c>
      <c r="C14" s="193"/>
      <c r="D14" s="194" t="s">
        <v>254</v>
      </c>
      <c r="E14" s="195" t="s">
        <v>24</v>
      </c>
      <c r="F14" s="212" t="s">
        <v>865</v>
      </c>
      <c r="G14" s="83" t="s">
        <v>33</v>
      </c>
      <c r="H14" s="75" t="s">
        <v>43</v>
      </c>
      <c r="I14" s="82"/>
      <c r="J14" s="83"/>
      <c r="K14" s="81"/>
      <c r="L14" s="81"/>
      <c r="M14" s="81"/>
      <c r="N14" s="81"/>
      <c r="O14" s="83"/>
      <c r="P14" s="83"/>
      <c r="Q14" s="83"/>
    </row>
    <row r="15" spans="2:17" ht="101.5" x14ac:dyDescent="0.35">
      <c r="B15" s="228" t="s">
        <v>5</v>
      </c>
      <c r="C15" s="193"/>
      <c r="D15" s="194" t="s">
        <v>255</v>
      </c>
      <c r="E15" s="195" t="s">
        <v>24</v>
      </c>
      <c r="F15" s="212" t="s">
        <v>866</v>
      </c>
      <c r="G15" s="83" t="s">
        <v>33</v>
      </c>
      <c r="H15" s="75" t="s">
        <v>43</v>
      </c>
      <c r="I15" s="82"/>
      <c r="J15" s="83"/>
      <c r="K15" s="81"/>
      <c r="L15" s="81"/>
      <c r="M15" s="81"/>
      <c r="N15" s="81"/>
      <c r="O15" s="83"/>
      <c r="P15" s="83"/>
      <c r="Q15" s="83"/>
    </row>
    <row r="16" spans="2:17" ht="91.5" x14ac:dyDescent="0.35">
      <c r="B16" s="228" t="s">
        <v>5</v>
      </c>
      <c r="C16" s="193"/>
      <c r="D16" s="194" t="s">
        <v>256</v>
      </c>
      <c r="E16" s="195" t="s">
        <v>24</v>
      </c>
      <c r="F16" s="212" t="s">
        <v>867</v>
      </c>
      <c r="G16" s="83" t="s">
        <v>33</v>
      </c>
      <c r="H16" s="75" t="s">
        <v>43</v>
      </c>
      <c r="I16" s="82"/>
      <c r="J16" s="83"/>
      <c r="K16" s="81"/>
      <c r="L16" s="81"/>
      <c r="M16" s="81"/>
      <c r="N16" s="81"/>
      <c r="O16" s="83"/>
      <c r="P16" s="83"/>
      <c r="Q16" s="83"/>
    </row>
    <row r="17" spans="2:17" ht="71.5" x14ac:dyDescent="0.35">
      <c r="B17" s="228" t="s">
        <v>5</v>
      </c>
      <c r="C17" s="193"/>
      <c r="D17" s="194" t="s">
        <v>639</v>
      </c>
      <c r="E17" s="195" t="s">
        <v>24</v>
      </c>
      <c r="F17" s="212" t="s">
        <v>868</v>
      </c>
      <c r="G17" s="83" t="s">
        <v>33</v>
      </c>
      <c r="H17" s="75" t="s">
        <v>43</v>
      </c>
      <c r="I17" s="82"/>
      <c r="J17" s="83"/>
      <c r="K17" s="81"/>
      <c r="L17" s="81"/>
      <c r="M17" s="81"/>
      <c r="N17" s="81"/>
      <c r="O17" s="83"/>
      <c r="P17" s="83"/>
      <c r="Q17" s="83"/>
    </row>
    <row r="18" spans="2:17" ht="102" x14ac:dyDescent="0.35">
      <c r="B18" s="228" t="s">
        <v>5</v>
      </c>
      <c r="C18" s="189" t="s">
        <v>243</v>
      </c>
      <c r="D18" s="190" t="s">
        <v>260</v>
      </c>
      <c r="E18" s="191" t="s">
        <v>24</v>
      </c>
      <c r="F18" s="206" t="s">
        <v>869</v>
      </c>
      <c r="G18" s="79" t="s">
        <v>33</v>
      </c>
      <c r="H18" s="74" t="s">
        <v>43</v>
      </c>
      <c r="I18" s="78"/>
      <c r="J18" s="79"/>
      <c r="K18" s="77"/>
      <c r="L18" s="77"/>
      <c r="M18" s="77"/>
      <c r="N18" s="77"/>
      <c r="O18" s="79"/>
      <c r="P18" s="79"/>
      <c r="Q18" s="79"/>
    </row>
    <row r="19" spans="2:17" ht="102" x14ac:dyDescent="0.35">
      <c r="B19" s="228" t="s">
        <v>5</v>
      </c>
      <c r="C19" s="189"/>
      <c r="D19" s="190" t="s">
        <v>261</v>
      </c>
      <c r="E19" s="191" t="s">
        <v>24</v>
      </c>
      <c r="F19" s="213" t="s">
        <v>870</v>
      </c>
      <c r="G19" s="79" t="s">
        <v>33</v>
      </c>
      <c r="H19" s="74" t="s">
        <v>43</v>
      </c>
      <c r="I19" s="78"/>
      <c r="J19" s="79"/>
      <c r="K19" s="77"/>
      <c r="L19" s="77"/>
      <c r="M19" s="77"/>
      <c r="N19" s="77"/>
      <c r="O19" s="79"/>
      <c r="P19" s="79"/>
      <c r="Q19" s="79"/>
    </row>
    <row r="20" spans="2:17" ht="102" x14ac:dyDescent="0.35">
      <c r="B20" s="228" t="s">
        <v>5</v>
      </c>
      <c r="C20" s="189"/>
      <c r="D20" s="190" t="s">
        <v>262</v>
      </c>
      <c r="E20" s="191" t="s">
        <v>24</v>
      </c>
      <c r="F20" s="206" t="s">
        <v>871</v>
      </c>
      <c r="G20" s="79" t="s">
        <v>33</v>
      </c>
      <c r="H20" s="74" t="s">
        <v>43</v>
      </c>
      <c r="I20" s="78"/>
      <c r="J20" s="79"/>
      <c r="K20" s="77"/>
      <c r="L20" s="77"/>
      <c r="M20" s="77"/>
      <c r="N20" s="77"/>
      <c r="O20" s="79"/>
      <c r="P20" s="79"/>
      <c r="Q20" s="79"/>
    </row>
    <row r="21" spans="2:17" ht="112.5" x14ac:dyDescent="0.35">
      <c r="B21" s="228" t="s">
        <v>5</v>
      </c>
      <c r="C21" s="189"/>
      <c r="D21" s="190" t="s">
        <v>263</v>
      </c>
      <c r="E21" s="191" t="s">
        <v>24</v>
      </c>
      <c r="F21" s="206" t="s">
        <v>872</v>
      </c>
      <c r="G21" s="79" t="s">
        <v>33</v>
      </c>
      <c r="H21" s="74" t="s">
        <v>43</v>
      </c>
      <c r="I21" s="78"/>
      <c r="J21" s="79"/>
      <c r="K21" s="77"/>
      <c r="L21" s="77"/>
      <c r="M21" s="77"/>
      <c r="N21" s="77"/>
      <c r="O21" s="79"/>
      <c r="P21" s="79"/>
      <c r="Q21" s="79"/>
    </row>
    <row r="22" spans="2:17" ht="112.5" x14ac:dyDescent="0.35">
      <c r="B22" s="228" t="s">
        <v>5</v>
      </c>
      <c r="C22" s="189"/>
      <c r="D22" s="190" t="s">
        <v>257</v>
      </c>
      <c r="E22" s="191" t="s">
        <v>24</v>
      </c>
      <c r="F22" s="213" t="s">
        <v>873</v>
      </c>
      <c r="G22" s="79" t="s">
        <v>33</v>
      </c>
      <c r="H22" s="74" t="s">
        <v>43</v>
      </c>
      <c r="I22" s="78"/>
      <c r="J22" s="79"/>
      <c r="K22" s="77"/>
      <c r="L22" s="77"/>
      <c r="M22" s="77"/>
      <c r="N22" s="77"/>
      <c r="O22" s="79"/>
      <c r="P22" s="79"/>
      <c r="Q22" s="79"/>
    </row>
    <row r="23" spans="2:17" ht="81.5" x14ac:dyDescent="0.35">
      <c r="B23" s="228" t="s">
        <v>5</v>
      </c>
      <c r="C23" s="189"/>
      <c r="D23" s="190" t="s">
        <v>264</v>
      </c>
      <c r="E23" s="191" t="s">
        <v>24</v>
      </c>
      <c r="F23" s="206" t="s">
        <v>874</v>
      </c>
      <c r="G23" s="79" t="s">
        <v>33</v>
      </c>
      <c r="H23" s="74" t="s">
        <v>43</v>
      </c>
      <c r="I23" s="78"/>
      <c r="J23" s="79"/>
      <c r="K23" s="77"/>
      <c r="L23" s="77"/>
      <c r="M23" s="77"/>
      <c r="N23" s="77"/>
      <c r="O23" s="79"/>
      <c r="P23" s="79"/>
      <c r="Q23" s="79"/>
    </row>
    <row r="24" spans="2:17" ht="92" x14ac:dyDescent="0.35">
      <c r="B24" s="228" t="s">
        <v>5</v>
      </c>
      <c r="C24" s="189"/>
      <c r="D24" s="190" t="s">
        <v>265</v>
      </c>
      <c r="E24" s="191" t="s">
        <v>24</v>
      </c>
      <c r="F24" s="213" t="s">
        <v>875</v>
      </c>
      <c r="G24" s="79" t="s">
        <v>33</v>
      </c>
      <c r="H24" s="74" t="s">
        <v>43</v>
      </c>
      <c r="I24" s="78"/>
      <c r="J24" s="79"/>
      <c r="K24" s="77"/>
      <c r="L24" s="77"/>
      <c r="M24" s="77"/>
      <c r="N24" s="77"/>
      <c r="O24" s="79"/>
      <c r="P24" s="79"/>
      <c r="Q24" s="79"/>
    </row>
    <row r="25" spans="2:17" ht="52.5" x14ac:dyDescent="0.35">
      <c r="B25" s="228" t="s">
        <v>5</v>
      </c>
      <c r="C25" s="189"/>
      <c r="D25" s="190" t="s">
        <v>266</v>
      </c>
      <c r="E25" s="191" t="s">
        <v>24</v>
      </c>
      <c r="F25" s="213" t="s">
        <v>258</v>
      </c>
      <c r="G25" s="79" t="s">
        <v>33</v>
      </c>
      <c r="H25" s="74" t="s">
        <v>43</v>
      </c>
      <c r="I25" s="78"/>
      <c r="J25" s="79"/>
      <c r="K25" s="77"/>
      <c r="L25" s="77"/>
      <c r="M25" s="77"/>
      <c r="N25" s="77"/>
      <c r="O25" s="79"/>
      <c r="P25" s="79"/>
      <c r="Q25" s="79"/>
    </row>
    <row r="26" spans="2:17" ht="31.5" x14ac:dyDescent="0.35">
      <c r="B26" s="228" t="s">
        <v>5</v>
      </c>
      <c r="C26" s="189"/>
      <c r="D26" s="190" t="s">
        <v>267</v>
      </c>
      <c r="E26" s="191" t="s">
        <v>24</v>
      </c>
      <c r="F26" s="213" t="s">
        <v>259</v>
      </c>
      <c r="G26" s="79" t="s">
        <v>33</v>
      </c>
      <c r="H26" s="74" t="s">
        <v>43</v>
      </c>
      <c r="I26" s="78"/>
      <c r="J26" s="79"/>
      <c r="K26" s="77"/>
      <c r="L26" s="77"/>
      <c r="M26" s="77"/>
      <c r="N26" s="77"/>
      <c r="O26" s="79"/>
      <c r="P26" s="79"/>
      <c r="Q26" s="79"/>
    </row>
    <row r="27" spans="2:17" ht="91.5" x14ac:dyDescent="0.35">
      <c r="B27" s="228" t="s">
        <v>5</v>
      </c>
      <c r="C27" s="193" t="s">
        <v>244</v>
      </c>
      <c r="D27" s="194" t="s">
        <v>268</v>
      </c>
      <c r="E27" s="195" t="s">
        <v>24</v>
      </c>
      <c r="F27" s="199" t="s">
        <v>876</v>
      </c>
      <c r="G27" s="83" t="s">
        <v>33</v>
      </c>
      <c r="H27" s="74" t="s">
        <v>43</v>
      </c>
      <c r="I27" s="82"/>
      <c r="J27" s="83"/>
      <c r="K27" s="81"/>
      <c r="L27" s="81"/>
      <c r="M27" s="81"/>
      <c r="N27" s="81"/>
      <c r="O27" s="83"/>
      <c r="P27" s="83"/>
      <c r="Q27" s="83"/>
    </row>
    <row r="28" spans="2:17" ht="102" x14ac:dyDescent="0.35">
      <c r="B28" s="228" t="s">
        <v>5</v>
      </c>
      <c r="C28" s="193"/>
      <c r="D28" s="194" t="s">
        <v>269</v>
      </c>
      <c r="E28" s="195" t="s">
        <v>24</v>
      </c>
      <c r="F28" s="199" t="s">
        <v>877</v>
      </c>
      <c r="G28" s="83" t="s">
        <v>33</v>
      </c>
      <c r="H28" s="74" t="s">
        <v>43</v>
      </c>
      <c r="I28" s="82"/>
      <c r="J28" s="83"/>
      <c r="K28" s="81"/>
      <c r="L28" s="81"/>
      <c r="M28" s="81"/>
      <c r="N28" s="81"/>
      <c r="O28" s="83"/>
      <c r="P28" s="83"/>
      <c r="Q28" s="83"/>
    </row>
    <row r="29" spans="2:17" ht="102" x14ac:dyDescent="0.35">
      <c r="B29" s="228" t="s">
        <v>5</v>
      </c>
      <c r="C29" s="193"/>
      <c r="D29" s="194" t="s">
        <v>270</v>
      </c>
      <c r="E29" s="195" t="s">
        <v>24</v>
      </c>
      <c r="F29" s="199" t="s">
        <v>878</v>
      </c>
      <c r="G29" s="83" t="s">
        <v>33</v>
      </c>
      <c r="H29" s="74" t="s">
        <v>43</v>
      </c>
      <c r="I29" s="82"/>
      <c r="J29" s="83"/>
      <c r="K29" s="81"/>
      <c r="L29" s="81"/>
      <c r="M29" s="81"/>
      <c r="N29" s="81"/>
      <c r="O29" s="83"/>
      <c r="P29" s="83"/>
      <c r="Q29" s="83"/>
    </row>
    <row r="30" spans="2:17" ht="112.5" x14ac:dyDescent="0.35">
      <c r="B30" s="228" t="s">
        <v>5</v>
      </c>
      <c r="C30" s="193"/>
      <c r="D30" s="194" t="s">
        <v>271</v>
      </c>
      <c r="E30" s="195" t="s">
        <v>24</v>
      </c>
      <c r="F30" s="199" t="s">
        <v>879</v>
      </c>
      <c r="G30" s="83" t="s">
        <v>33</v>
      </c>
      <c r="H30" s="74" t="s">
        <v>43</v>
      </c>
      <c r="I30" s="82"/>
      <c r="J30" s="83"/>
      <c r="K30" s="81"/>
      <c r="L30" s="81"/>
      <c r="M30" s="81"/>
      <c r="N30" s="81"/>
      <c r="O30" s="83"/>
      <c r="P30" s="83"/>
      <c r="Q30" s="83"/>
    </row>
    <row r="31" spans="2:17" ht="112.5" x14ac:dyDescent="0.35">
      <c r="B31" s="228" t="s">
        <v>5</v>
      </c>
      <c r="C31" s="193"/>
      <c r="D31" s="194" t="s">
        <v>272</v>
      </c>
      <c r="E31" s="195" t="s">
        <v>24</v>
      </c>
      <c r="F31" s="199" t="s">
        <v>880</v>
      </c>
      <c r="G31" s="83" t="s">
        <v>33</v>
      </c>
      <c r="H31" s="74" t="s">
        <v>43</v>
      </c>
      <c r="I31" s="82"/>
      <c r="J31" s="83"/>
      <c r="K31" s="81"/>
      <c r="L31" s="81"/>
      <c r="M31" s="81"/>
      <c r="N31" s="81"/>
      <c r="O31" s="83"/>
      <c r="P31" s="83"/>
      <c r="Q31" s="83"/>
    </row>
    <row r="32" spans="2:17" ht="81.5" x14ac:dyDescent="0.35">
      <c r="B32" s="228" t="s">
        <v>5</v>
      </c>
      <c r="C32" s="193"/>
      <c r="D32" s="194" t="s">
        <v>273</v>
      </c>
      <c r="E32" s="195" t="s">
        <v>24</v>
      </c>
      <c r="F32" s="199" t="s">
        <v>881</v>
      </c>
      <c r="G32" s="83" t="s">
        <v>33</v>
      </c>
      <c r="H32" s="74" t="s">
        <v>43</v>
      </c>
      <c r="I32" s="82"/>
      <c r="J32" s="83"/>
      <c r="K32" s="81"/>
      <c r="L32" s="81"/>
      <c r="M32" s="81"/>
      <c r="N32" s="81"/>
      <c r="O32" s="83"/>
      <c r="P32" s="83"/>
      <c r="Q32" s="83"/>
    </row>
    <row r="33" spans="2:17" ht="102" x14ac:dyDescent="0.35">
      <c r="B33" s="228" t="s">
        <v>5</v>
      </c>
      <c r="C33" s="193"/>
      <c r="D33" s="194" t="s">
        <v>274</v>
      </c>
      <c r="E33" s="195" t="s">
        <v>24</v>
      </c>
      <c r="F33" s="212" t="s">
        <v>882</v>
      </c>
      <c r="G33" s="83" t="s">
        <v>33</v>
      </c>
      <c r="H33" s="74" t="s">
        <v>43</v>
      </c>
      <c r="I33" s="82"/>
      <c r="J33" s="83"/>
      <c r="K33" s="81"/>
      <c r="L33" s="81"/>
      <c r="M33" s="81"/>
      <c r="N33" s="81"/>
      <c r="O33" s="83"/>
      <c r="P33" s="83"/>
      <c r="Q33" s="83"/>
    </row>
    <row r="34" spans="2:17" ht="82" x14ac:dyDescent="0.35">
      <c r="B34" s="228" t="s">
        <v>5</v>
      </c>
      <c r="C34" s="189" t="s">
        <v>245</v>
      </c>
      <c r="D34" s="190" t="s">
        <v>275</v>
      </c>
      <c r="E34" s="191" t="s">
        <v>24</v>
      </c>
      <c r="F34" s="214" t="s">
        <v>883</v>
      </c>
      <c r="G34" s="79" t="s">
        <v>33</v>
      </c>
      <c r="H34" s="74" t="s">
        <v>43</v>
      </c>
      <c r="I34" s="78"/>
      <c r="J34" s="79"/>
      <c r="K34" s="77"/>
      <c r="L34" s="77"/>
      <c r="M34" s="77"/>
      <c r="N34" s="77"/>
      <c r="O34" s="79"/>
      <c r="P34" s="79"/>
      <c r="Q34" s="79"/>
    </row>
    <row r="35" spans="2:17" ht="71.5" x14ac:dyDescent="0.35">
      <c r="B35" s="228" t="s">
        <v>5</v>
      </c>
      <c r="C35" s="189"/>
      <c r="D35" s="190" t="s">
        <v>276</v>
      </c>
      <c r="E35" s="191" t="s">
        <v>24</v>
      </c>
      <c r="F35" s="214" t="s">
        <v>277</v>
      </c>
      <c r="G35" s="79" t="s">
        <v>33</v>
      </c>
      <c r="H35" s="74" t="s">
        <v>43</v>
      </c>
      <c r="I35" s="78"/>
      <c r="J35" s="79"/>
      <c r="K35" s="77"/>
      <c r="L35" s="77"/>
      <c r="M35" s="77"/>
      <c r="N35" s="77"/>
      <c r="O35" s="79"/>
      <c r="P35" s="79"/>
      <c r="Q35" s="79"/>
    </row>
    <row r="36" spans="2:17" ht="101.5" x14ac:dyDescent="0.35">
      <c r="B36" s="228" t="s">
        <v>5</v>
      </c>
      <c r="C36" s="193" t="s">
        <v>246</v>
      </c>
      <c r="D36" s="194" t="s">
        <v>278</v>
      </c>
      <c r="E36" s="195" t="s">
        <v>24</v>
      </c>
      <c r="F36" s="212" t="s">
        <v>884</v>
      </c>
      <c r="G36" s="83" t="s">
        <v>33</v>
      </c>
      <c r="H36" s="75" t="s">
        <v>43</v>
      </c>
      <c r="I36" s="82"/>
      <c r="J36" s="83"/>
      <c r="K36" s="81"/>
      <c r="L36" s="81"/>
      <c r="M36" s="81"/>
      <c r="N36" s="81"/>
      <c r="O36" s="83"/>
      <c r="P36" s="83"/>
      <c r="Q36" s="83"/>
    </row>
    <row r="37" spans="2:17" ht="82" x14ac:dyDescent="0.35">
      <c r="B37" s="228" t="s">
        <v>5</v>
      </c>
      <c r="C37" s="193"/>
      <c r="D37" s="194" t="s">
        <v>279</v>
      </c>
      <c r="E37" s="195" t="s">
        <v>24</v>
      </c>
      <c r="F37" s="212" t="s">
        <v>885</v>
      </c>
      <c r="G37" s="83" t="s">
        <v>33</v>
      </c>
      <c r="H37" s="75" t="s">
        <v>43</v>
      </c>
      <c r="I37" s="82"/>
      <c r="J37" s="83"/>
      <c r="K37" s="81"/>
      <c r="L37" s="81"/>
      <c r="M37" s="81"/>
      <c r="N37" s="81"/>
      <c r="O37" s="83"/>
      <c r="P37" s="83"/>
      <c r="Q37" s="83"/>
    </row>
    <row r="38" spans="2:17" ht="82" x14ac:dyDescent="0.35">
      <c r="B38" s="228" t="s">
        <v>5</v>
      </c>
      <c r="C38" s="193"/>
      <c r="D38" s="194" t="s">
        <v>280</v>
      </c>
      <c r="E38" s="195" t="s">
        <v>24</v>
      </c>
      <c r="F38" s="199" t="s">
        <v>886</v>
      </c>
      <c r="G38" s="83" t="s">
        <v>33</v>
      </c>
      <c r="H38" s="75" t="s">
        <v>43</v>
      </c>
      <c r="I38" s="82"/>
      <c r="J38" s="83"/>
      <c r="K38" s="81"/>
      <c r="L38" s="81"/>
      <c r="M38" s="81"/>
      <c r="N38" s="81"/>
      <c r="O38" s="83"/>
      <c r="P38" s="83"/>
      <c r="Q38" s="83"/>
    </row>
    <row r="39" spans="2:17" ht="112" x14ac:dyDescent="0.35">
      <c r="B39" s="228" t="s">
        <v>5</v>
      </c>
      <c r="C39" s="193"/>
      <c r="D39" s="194" t="s">
        <v>281</v>
      </c>
      <c r="E39" s="195" t="s">
        <v>24</v>
      </c>
      <c r="F39" s="199" t="s">
        <v>887</v>
      </c>
      <c r="G39" s="83" t="s">
        <v>33</v>
      </c>
      <c r="H39" s="75" t="s">
        <v>43</v>
      </c>
      <c r="I39" s="82"/>
      <c r="J39" s="83"/>
      <c r="K39" s="81"/>
      <c r="L39" s="81"/>
      <c r="M39" s="81"/>
      <c r="N39" s="81"/>
      <c r="O39" s="83"/>
      <c r="P39" s="83"/>
      <c r="Q39" s="83"/>
    </row>
    <row r="40" spans="2:17" ht="141.5" x14ac:dyDescent="0.35">
      <c r="B40" s="228" t="s">
        <v>5</v>
      </c>
      <c r="C40" s="193"/>
      <c r="D40" s="194" t="s">
        <v>282</v>
      </c>
      <c r="E40" s="195" t="s">
        <v>24</v>
      </c>
      <c r="F40" s="212" t="s">
        <v>888</v>
      </c>
      <c r="G40" s="83" t="s">
        <v>33</v>
      </c>
      <c r="H40" s="75" t="s">
        <v>43</v>
      </c>
      <c r="I40" s="82"/>
      <c r="J40" s="83"/>
      <c r="K40" s="81"/>
      <c r="L40" s="81"/>
      <c r="M40" s="81"/>
      <c r="N40" s="81"/>
      <c r="O40" s="83"/>
      <c r="P40" s="83"/>
      <c r="Q40" s="83"/>
    </row>
    <row r="41" spans="2:17" ht="84" x14ac:dyDescent="0.35">
      <c r="B41" s="228" t="s">
        <v>5</v>
      </c>
      <c r="C41" s="193"/>
      <c r="D41" s="194" t="s">
        <v>283</v>
      </c>
      <c r="E41" s="195" t="s">
        <v>24</v>
      </c>
      <c r="F41" s="212" t="s">
        <v>889</v>
      </c>
      <c r="G41" s="83" t="s">
        <v>33</v>
      </c>
      <c r="H41" s="75" t="s">
        <v>43</v>
      </c>
      <c r="I41" s="84"/>
      <c r="J41" s="83"/>
      <c r="K41" s="81"/>
      <c r="L41" s="81"/>
      <c r="M41" s="81"/>
      <c r="N41" s="81"/>
      <c r="O41" s="83"/>
      <c r="P41" s="83"/>
      <c r="Q41" s="83"/>
    </row>
    <row r="42" spans="2:17" ht="161.5" x14ac:dyDescent="0.35">
      <c r="B42" s="228" t="s">
        <v>5</v>
      </c>
      <c r="C42" s="193"/>
      <c r="D42" s="194" t="s">
        <v>284</v>
      </c>
      <c r="E42" s="195" t="s">
        <v>24</v>
      </c>
      <c r="F42" s="212" t="s">
        <v>890</v>
      </c>
      <c r="G42" s="83" t="s">
        <v>33</v>
      </c>
      <c r="H42" s="75" t="s">
        <v>43</v>
      </c>
      <c r="I42" s="82"/>
      <c r="J42" s="83"/>
      <c r="K42" s="81"/>
      <c r="L42" s="81"/>
      <c r="M42" s="81"/>
      <c r="N42" s="81"/>
      <c r="O42" s="83"/>
      <c r="P42" s="83"/>
      <c r="Q42" s="83"/>
    </row>
    <row r="43" spans="2:17" ht="52.5" x14ac:dyDescent="0.35">
      <c r="B43" s="228" t="s">
        <v>5</v>
      </c>
      <c r="C43" s="193"/>
      <c r="D43" s="194" t="s">
        <v>285</v>
      </c>
      <c r="E43" s="195" t="s">
        <v>24</v>
      </c>
      <c r="F43" s="212" t="s">
        <v>891</v>
      </c>
      <c r="G43" s="83" t="s">
        <v>33</v>
      </c>
      <c r="H43" s="75" t="s">
        <v>43</v>
      </c>
      <c r="I43" s="82"/>
      <c r="J43" s="83"/>
      <c r="K43" s="81"/>
      <c r="L43" s="81"/>
      <c r="M43" s="81"/>
      <c r="N43" s="81"/>
      <c r="O43" s="83"/>
      <c r="P43" s="83"/>
      <c r="Q43" s="83"/>
    </row>
    <row r="44" spans="2:17" ht="84" x14ac:dyDescent="0.35">
      <c r="B44" s="228" t="s">
        <v>5</v>
      </c>
      <c r="C44" s="193"/>
      <c r="D44" s="194" t="s">
        <v>640</v>
      </c>
      <c r="E44" s="195" t="s">
        <v>24</v>
      </c>
      <c r="F44" s="212" t="s">
        <v>892</v>
      </c>
      <c r="G44" s="83" t="s">
        <v>33</v>
      </c>
      <c r="H44" s="75" t="s">
        <v>43</v>
      </c>
      <c r="I44" s="82"/>
      <c r="J44" s="83"/>
      <c r="K44" s="81"/>
      <c r="L44" s="81"/>
      <c r="M44" s="81"/>
      <c r="N44" s="81"/>
      <c r="O44" s="83"/>
      <c r="P44" s="83"/>
      <c r="Q44" s="83"/>
    </row>
    <row r="45" spans="2:17" ht="122" x14ac:dyDescent="0.35">
      <c r="B45" s="228" t="s">
        <v>5</v>
      </c>
      <c r="C45" s="193"/>
      <c r="D45" s="194" t="s">
        <v>641</v>
      </c>
      <c r="E45" s="195" t="s">
        <v>24</v>
      </c>
      <c r="F45" s="212" t="s">
        <v>893</v>
      </c>
      <c r="G45" s="83" t="s">
        <v>33</v>
      </c>
      <c r="H45" s="75" t="s">
        <v>43</v>
      </c>
      <c r="I45" s="82"/>
      <c r="J45" s="83"/>
      <c r="K45" s="81"/>
      <c r="L45" s="81"/>
      <c r="M45" s="81"/>
      <c r="N45" s="81"/>
      <c r="O45" s="83"/>
      <c r="P45" s="83"/>
      <c r="Q45" s="83"/>
    </row>
    <row r="46" spans="2:17" ht="111.5" x14ac:dyDescent="0.35">
      <c r="B46" s="228" t="s">
        <v>5</v>
      </c>
      <c r="C46" s="189" t="s">
        <v>286</v>
      </c>
      <c r="D46" s="190" t="s">
        <v>287</v>
      </c>
      <c r="E46" s="191" t="s">
        <v>24</v>
      </c>
      <c r="F46" s="206" t="s">
        <v>894</v>
      </c>
      <c r="G46" s="79" t="s">
        <v>33</v>
      </c>
      <c r="H46" s="74" t="s">
        <v>43</v>
      </c>
      <c r="I46" s="78"/>
      <c r="J46" s="79"/>
      <c r="K46" s="77"/>
      <c r="L46" s="77"/>
      <c r="M46" s="77"/>
      <c r="N46" s="77"/>
      <c r="O46" s="79"/>
      <c r="P46" s="79"/>
      <c r="Q46" s="79"/>
    </row>
    <row r="47" spans="2:17" ht="91.5" x14ac:dyDescent="0.35">
      <c r="B47" s="228" t="s">
        <v>5</v>
      </c>
      <c r="C47" s="189"/>
      <c r="D47" s="190" t="s">
        <v>288</v>
      </c>
      <c r="E47" s="191" t="s">
        <v>24</v>
      </c>
      <c r="F47" s="213" t="s">
        <v>895</v>
      </c>
      <c r="G47" s="79" t="s">
        <v>33</v>
      </c>
      <c r="H47" s="74" t="s">
        <v>43</v>
      </c>
      <c r="I47" s="78"/>
      <c r="J47" s="79"/>
      <c r="K47" s="77"/>
      <c r="L47" s="77"/>
      <c r="M47" s="77"/>
      <c r="N47" s="77"/>
      <c r="O47" s="79"/>
      <c r="P47" s="79"/>
      <c r="Q47" s="79"/>
    </row>
    <row r="48" spans="2:17" ht="111.5" x14ac:dyDescent="0.35">
      <c r="B48" s="228" t="s">
        <v>5</v>
      </c>
      <c r="C48" s="189"/>
      <c r="D48" s="190" t="s">
        <v>289</v>
      </c>
      <c r="E48" s="191" t="s">
        <v>24</v>
      </c>
      <c r="F48" s="206" t="s">
        <v>896</v>
      </c>
      <c r="G48" s="79" t="s">
        <v>33</v>
      </c>
      <c r="H48" s="74" t="s">
        <v>43</v>
      </c>
      <c r="I48" s="78"/>
      <c r="J48" s="79"/>
      <c r="K48" s="77"/>
      <c r="L48" s="77"/>
      <c r="M48" s="77"/>
      <c r="N48" s="77"/>
      <c r="O48" s="79"/>
      <c r="P48" s="79"/>
      <c r="Q48" s="79"/>
    </row>
    <row r="49" spans="2:17" ht="122" x14ac:dyDescent="0.35">
      <c r="B49" s="228" t="s">
        <v>5</v>
      </c>
      <c r="C49" s="189"/>
      <c r="D49" s="190" t="s">
        <v>290</v>
      </c>
      <c r="E49" s="191" t="s">
        <v>24</v>
      </c>
      <c r="F49" s="213" t="s">
        <v>897</v>
      </c>
      <c r="G49" s="79" t="s">
        <v>33</v>
      </c>
      <c r="H49" s="74" t="s">
        <v>43</v>
      </c>
      <c r="I49" s="78"/>
      <c r="J49" s="79"/>
      <c r="K49" s="77"/>
      <c r="L49" s="77"/>
      <c r="M49" s="77"/>
      <c r="N49" s="77"/>
      <c r="O49" s="79"/>
      <c r="P49" s="79"/>
      <c r="Q49" s="79"/>
    </row>
    <row r="50" spans="2:17" ht="131.5" x14ac:dyDescent="0.35">
      <c r="B50" s="228" t="s">
        <v>5</v>
      </c>
      <c r="C50" s="189"/>
      <c r="D50" s="190" t="s">
        <v>291</v>
      </c>
      <c r="E50" s="191" t="s">
        <v>24</v>
      </c>
      <c r="F50" s="206" t="s">
        <v>898</v>
      </c>
      <c r="G50" s="79" t="s">
        <v>33</v>
      </c>
      <c r="H50" s="74" t="s">
        <v>43</v>
      </c>
      <c r="I50" s="78"/>
      <c r="J50" s="79"/>
      <c r="K50" s="77"/>
      <c r="L50" s="77"/>
      <c r="M50" s="77"/>
      <c r="N50" s="77"/>
      <c r="O50" s="79"/>
      <c r="P50" s="79"/>
      <c r="Q50" s="79"/>
    </row>
    <row r="51" spans="2:17" ht="151.5" x14ac:dyDescent="0.35">
      <c r="B51" s="228" t="s">
        <v>5</v>
      </c>
      <c r="C51" s="189"/>
      <c r="D51" s="190" t="s">
        <v>292</v>
      </c>
      <c r="E51" s="191" t="s">
        <v>24</v>
      </c>
      <c r="F51" s="213" t="s">
        <v>899</v>
      </c>
      <c r="G51" s="79" t="s">
        <v>33</v>
      </c>
      <c r="H51" s="74" t="s">
        <v>43</v>
      </c>
      <c r="I51" s="78"/>
      <c r="J51" s="79"/>
      <c r="K51" s="77"/>
      <c r="L51" s="77"/>
      <c r="M51" s="77"/>
      <c r="N51" s="77"/>
      <c r="O51" s="79"/>
      <c r="P51" s="79"/>
      <c r="Q51" s="79"/>
    </row>
    <row r="52" spans="2:17" ht="63" x14ac:dyDescent="0.35">
      <c r="B52" s="228" t="s">
        <v>5</v>
      </c>
      <c r="C52" s="193" t="s">
        <v>293</v>
      </c>
      <c r="D52" s="194" t="s">
        <v>294</v>
      </c>
      <c r="E52" s="195" t="s">
        <v>25</v>
      </c>
      <c r="F52" s="212" t="s">
        <v>900</v>
      </c>
      <c r="G52" s="83" t="s">
        <v>33</v>
      </c>
      <c r="H52" s="75" t="s">
        <v>43</v>
      </c>
      <c r="I52" s="82"/>
      <c r="J52" s="83"/>
      <c r="K52" s="81"/>
      <c r="L52" s="81"/>
      <c r="M52" s="81"/>
      <c r="N52" s="81"/>
      <c r="O52" s="83"/>
      <c r="P52" s="83"/>
      <c r="Q52" s="83"/>
    </row>
    <row r="53" spans="2:17" ht="63" x14ac:dyDescent="0.35">
      <c r="B53" s="228" t="s">
        <v>5</v>
      </c>
      <c r="C53" s="193"/>
      <c r="D53" s="194" t="s">
        <v>295</v>
      </c>
      <c r="E53" s="195" t="s">
        <v>25</v>
      </c>
      <c r="F53" s="212" t="s">
        <v>901</v>
      </c>
      <c r="G53" s="83" t="s">
        <v>33</v>
      </c>
      <c r="H53" s="75" t="s">
        <v>43</v>
      </c>
      <c r="I53" s="82"/>
      <c r="J53" s="83"/>
      <c r="K53" s="81"/>
      <c r="L53" s="81"/>
      <c r="M53" s="81"/>
      <c r="N53" s="81"/>
      <c r="O53" s="83"/>
      <c r="P53" s="83"/>
      <c r="Q53" s="83"/>
    </row>
    <row r="54" spans="2:17" ht="63" x14ac:dyDescent="0.35">
      <c r="B54" s="228" t="s">
        <v>5</v>
      </c>
      <c r="C54" s="193"/>
      <c r="D54" s="194" t="s">
        <v>296</v>
      </c>
      <c r="E54" s="195" t="s">
        <v>25</v>
      </c>
      <c r="F54" s="212" t="s">
        <v>902</v>
      </c>
      <c r="G54" s="83" t="s">
        <v>33</v>
      </c>
      <c r="H54" s="75" t="s">
        <v>43</v>
      </c>
      <c r="I54" s="82"/>
      <c r="J54" s="83"/>
      <c r="K54" s="81"/>
      <c r="L54" s="81"/>
      <c r="M54" s="81"/>
      <c r="N54" s="81"/>
      <c r="O54" s="83"/>
      <c r="P54" s="83"/>
      <c r="Q54" s="83"/>
    </row>
    <row r="55" spans="2:17" ht="63" x14ac:dyDescent="0.35">
      <c r="B55" s="228" t="s">
        <v>5</v>
      </c>
      <c r="C55" s="193"/>
      <c r="D55" s="194" t="s">
        <v>297</v>
      </c>
      <c r="E55" s="195" t="s">
        <v>25</v>
      </c>
      <c r="F55" s="212" t="s">
        <v>903</v>
      </c>
      <c r="G55" s="83" t="s">
        <v>33</v>
      </c>
      <c r="H55" s="75" t="s">
        <v>43</v>
      </c>
      <c r="I55" s="82"/>
      <c r="J55" s="83"/>
      <c r="K55" s="81"/>
      <c r="L55" s="81"/>
      <c r="M55" s="81"/>
      <c r="N55" s="81"/>
      <c r="O55" s="83"/>
      <c r="P55" s="83"/>
      <c r="Q55" s="83"/>
    </row>
    <row r="56" spans="2:17" ht="52.5" x14ac:dyDescent="0.35">
      <c r="B56" s="228" t="s">
        <v>5</v>
      </c>
      <c r="C56" s="193"/>
      <c r="D56" s="194" t="s">
        <v>298</v>
      </c>
      <c r="E56" s="195" t="s">
        <v>25</v>
      </c>
      <c r="F56" s="212" t="s">
        <v>904</v>
      </c>
      <c r="G56" s="83" t="s">
        <v>33</v>
      </c>
      <c r="H56" s="75" t="s">
        <v>43</v>
      </c>
      <c r="I56" s="82"/>
      <c r="J56" s="83"/>
      <c r="K56" s="81"/>
      <c r="L56" s="81"/>
      <c r="M56" s="81"/>
      <c r="N56" s="81"/>
      <c r="O56" s="83"/>
      <c r="P56" s="83"/>
      <c r="Q56" s="83"/>
    </row>
    <row r="57" spans="2:17" ht="163" x14ac:dyDescent="0.35">
      <c r="B57" s="228" t="s">
        <v>5</v>
      </c>
      <c r="C57" s="189" t="s">
        <v>299</v>
      </c>
      <c r="D57" s="190" t="s">
        <v>300</v>
      </c>
      <c r="E57" s="191" t="s">
        <v>24</v>
      </c>
      <c r="F57" s="213" t="s">
        <v>905</v>
      </c>
      <c r="G57" s="79" t="s">
        <v>33</v>
      </c>
      <c r="H57" s="74" t="s">
        <v>43</v>
      </c>
      <c r="I57" s="78"/>
      <c r="J57" s="79"/>
      <c r="K57" s="77"/>
      <c r="L57" s="77"/>
      <c r="M57" s="77"/>
      <c r="N57" s="77"/>
      <c r="O57" s="79"/>
      <c r="P57" s="79"/>
      <c r="Q57" s="79"/>
    </row>
    <row r="58" spans="2:17" ht="132.5" x14ac:dyDescent="0.35">
      <c r="B58" s="228" t="s">
        <v>5</v>
      </c>
      <c r="C58" s="189"/>
      <c r="D58" s="190" t="s">
        <v>301</v>
      </c>
      <c r="E58" s="191" t="s">
        <v>24</v>
      </c>
      <c r="F58" s="213" t="s">
        <v>906</v>
      </c>
      <c r="G58" s="79" t="s">
        <v>33</v>
      </c>
      <c r="H58" s="74" t="s">
        <v>43</v>
      </c>
      <c r="I58" s="78"/>
      <c r="J58" s="79"/>
      <c r="K58" s="77"/>
      <c r="L58" s="77"/>
      <c r="M58" s="77"/>
      <c r="N58" s="77"/>
      <c r="O58" s="79"/>
      <c r="P58" s="79"/>
      <c r="Q58" s="79"/>
    </row>
    <row r="59" spans="2:17" ht="122" x14ac:dyDescent="0.35">
      <c r="B59" s="228" t="s">
        <v>5</v>
      </c>
      <c r="C59" s="189"/>
      <c r="D59" s="190" t="s">
        <v>302</v>
      </c>
      <c r="E59" s="191" t="s">
        <v>24</v>
      </c>
      <c r="F59" s="215" t="s">
        <v>907</v>
      </c>
      <c r="G59" s="79" t="s">
        <v>33</v>
      </c>
      <c r="H59" s="74" t="s">
        <v>43</v>
      </c>
      <c r="I59" s="78"/>
      <c r="J59" s="79"/>
      <c r="K59" s="77"/>
      <c r="L59" s="77"/>
      <c r="M59" s="77"/>
      <c r="N59" s="77"/>
      <c r="O59" s="79"/>
      <c r="P59" s="79"/>
      <c r="Q59" s="79"/>
    </row>
    <row r="60" spans="2:17" ht="122" x14ac:dyDescent="0.35">
      <c r="B60" s="228" t="s">
        <v>5</v>
      </c>
      <c r="C60" s="189"/>
      <c r="D60" s="190" t="s">
        <v>303</v>
      </c>
      <c r="E60" s="191" t="s">
        <v>24</v>
      </c>
      <c r="F60" s="206" t="s">
        <v>908</v>
      </c>
      <c r="G60" s="79" t="s">
        <v>33</v>
      </c>
      <c r="H60" s="74" t="s">
        <v>43</v>
      </c>
      <c r="I60" s="78"/>
      <c r="J60" s="79"/>
      <c r="K60" s="77"/>
      <c r="L60" s="77"/>
      <c r="M60" s="77"/>
      <c r="N60" s="77"/>
      <c r="O60" s="79"/>
      <c r="P60" s="79"/>
      <c r="Q60" s="79"/>
    </row>
    <row r="61" spans="2:17" ht="122" x14ac:dyDescent="0.35">
      <c r="B61" s="228" t="s">
        <v>5</v>
      </c>
      <c r="C61" s="189"/>
      <c r="D61" s="190" t="s">
        <v>304</v>
      </c>
      <c r="E61" s="191" t="s">
        <v>24</v>
      </c>
      <c r="F61" s="206" t="s">
        <v>909</v>
      </c>
      <c r="G61" s="79" t="s">
        <v>33</v>
      </c>
      <c r="H61" s="74" t="s">
        <v>43</v>
      </c>
      <c r="I61" s="78"/>
      <c r="J61" s="79"/>
      <c r="K61" s="77"/>
      <c r="L61" s="77"/>
      <c r="M61" s="77"/>
      <c r="N61" s="77"/>
      <c r="O61" s="79"/>
      <c r="P61" s="79"/>
      <c r="Q61" s="79"/>
    </row>
    <row r="62" spans="2:17" ht="21" x14ac:dyDescent="0.35">
      <c r="B62" s="229" t="s">
        <v>39</v>
      </c>
      <c r="C62" s="193" t="s">
        <v>910</v>
      </c>
      <c r="D62" s="194" t="s">
        <v>305</v>
      </c>
      <c r="E62" s="195" t="s">
        <v>24</v>
      </c>
      <c r="F62" s="216" t="s">
        <v>911</v>
      </c>
      <c r="G62" s="83" t="s">
        <v>33</v>
      </c>
      <c r="H62" s="74" t="s">
        <v>43</v>
      </c>
      <c r="I62" s="82"/>
      <c r="J62" s="83"/>
      <c r="K62" s="81"/>
      <c r="L62" s="81"/>
      <c r="M62" s="81"/>
      <c r="N62" s="81"/>
      <c r="O62" s="83"/>
      <c r="P62" s="83"/>
      <c r="Q62" s="83"/>
    </row>
    <row r="63" spans="2:17" ht="32" thickBot="1" x14ac:dyDescent="0.4">
      <c r="B63" s="229" t="s">
        <v>39</v>
      </c>
      <c r="C63" s="189" t="s">
        <v>912</v>
      </c>
      <c r="D63" s="190" t="s">
        <v>306</v>
      </c>
      <c r="E63" s="191" t="s">
        <v>24</v>
      </c>
      <c r="F63" s="217" t="s">
        <v>913</v>
      </c>
      <c r="G63" s="79" t="s">
        <v>33</v>
      </c>
      <c r="H63" s="74" t="s">
        <v>43</v>
      </c>
      <c r="I63" s="78"/>
      <c r="J63" s="79"/>
      <c r="K63" s="77"/>
      <c r="L63" s="77"/>
      <c r="M63" s="77"/>
      <c r="N63" s="77"/>
      <c r="O63" s="79"/>
      <c r="P63" s="79"/>
      <c r="Q63" s="79"/>
    </row>
    <row r="64" spans="2:17" ht="42.5" thickTop="1" x14ac:dyDescent="0.35">
      <c r="B64" s="228" t="s">
        <v>3</v>
      </c>
      <c r="C64" s="193" t="s">
        <v>307</v>
      </c>
      <c r="D64" s="194" t="s">
        <v>308</v>
      </c>
      <c r="E64" s="195" t="s">
        <v>24</v>
      </c>
      <c r="F64" s="216" t="s">
        <v>309</v>
      </c>
      <c r="G64" s="83" t="s">
        <v>33</v>
      </c>
      <c r="H64" s="75" t="s">
        <v>43</v>
      </c>
      <c r="I64" s="82"/>
      <c r="J64" s="83"/>
      <c r="K64" s="81"/>
      <c r="L64" s="81"/>
      <c r="M64" s="81"/>
      <c r="N64" s="81"/>
      <c r="O64" s="83"/>
      <c r="P64" s="83"/>
      <c r="Q64" s="83"/>
    </row>
    <row r="65" spans="2:17" ht="42" x14ac:dyDescent="0.35">
      <c r="B65" s="228" t="s">
        <v>3</v>
      </c>
      <c r="C65" s="193"/>
      <c r="D65" s="194" t="s">
        <v>314</v>
      </c>
      <c r="E65" s="195" t="s">
        <v>24</v>
      </c>
      <c r="F65" s="216" t="s">
        <v>310</v>
      </c>
      <c r="G65" s="83" t="s">
        <v>33</v>
      </c>
      <c r="H65" s="75" t="s">
        <v>43</v>
      </c>
      <c r="I65" s="82"/>
      <c r="J65" s="83"/>
      <c r="K65" s="81"/>
      <c r="L65" s="81"/>
      <c r="M65" s="81"/>
      <c r="N65" s="81"/>
      <c r="O65" s="83"/>
      <c r="P65" s="83"/>
      <c r="Q65" s="83"/>
    </row>
    <row r="66" spans="2:17" ht="31.5" x14ac:dyDescent="0.35">
      <c r="B66" s="228" t="s">
        <v>3</v>
      </c>
      <c r="C66" s="193"/>
      <c r="D66" s="194" t="s">
        <v>315</v>
      </c>
      <c r="E66" s="195" t="s">
        <v>24</v>
      </c>
      <c r="F66" s="216" t="s">
        <v>622</v>
      </c>
      <c r="G66" s="83" t="s">
        <v>33</v>
      </c>
      <c r="H66" s="75" t="s">
        <v>43</v>
      </c>
      <c r="I66" s="82"/>
      <c r="J66" s="83"/>
      <c r="K66" s="81"/>
      <c r="L66" s="81"/>
      <c r="M66" s="81"/>
      <c r="N66" s="81"/>
      <c r="O66" s="83"/>
      <c r="P66" s="83"/>
      <c r="Q66" s="83"/>
    </row>
    <row r="67" spans="2:17" ht="42" x14ac:dyDescent="0.35">
      <c r="B67" s="228" t="s">
        <v>3</v>
      </c>
      <c r="C67" s="193"/>
      <c r="D67" s="194" t="s">
        <v>316</v>
      </c>
      <c r="E67" s="195" t="s">
        <v>24</v>
      </c>
      <c r="F67" s="216" t="s">
        <v>311</v>
      </c>
      <c r="G67" s="83" t="s">
        <v>33</v>
      </c>
      <c r="H67" s="75" t="s">
        <v>43</v>
      </c>
      <c r="I67" s="82"/>
      <c r="J67" s="83"/>
      <c r="K67" s="81"/>
      <c r="L67" s="81"/>
      <c r="M67" s="81"/>
      <c r="N67" s="81"/>
      <c r="O67" s="83"/>
      <c r="P67" s="83"/>
      <c r="Q67" s="83"/>
    </row>
    <row r="68" spans="2:17" ht="42" x14ac:dyDescent="0.35">
      <c r="B68" s="228" t="s">
        <v>3</v>
      </c>
      <c r="C68" s="193"/>
      <c r="D68" s="194" t="s">
        <v>317</v>
      </c>
      <c r="E68" s="195" t="s">
        <v>24</v>
      </c>
      <c r="F68" s="216" t="s">
        <v>312</v>
      </c>
      <c r="G68" s="83" t="s">
        <v>33</v>
      </c>
      <c r="H68" s="75" t="s">
        <v>43</v>
      </c>
      <c r="I68" s="82"/>
      <c r="J68" s="83"/>
      <c r="K68" s="81"/>
      <c r="L68" s="81"/>
      <c r="M68" s="81"/>
      <c r="N68" s="81"/>
      <c r="O68" s="83"/>
      <c r="P68" s="83"/>
      <c r="Q68" s="83"/>
    </row>
    <row r="69" spans="2:17" ht="42" x14ac:dyDescent="0.35">
      <c r="B69" s="228" t="s">
        <v>3</v>
      </c>
      <c r="C69" s="193"/>
      <c r="D69" s="194" t="s">
        <v>318</v>
      </c>
      <c r="E69" s="195" t="s">
        <v>24</v>
      </c>
      <c r="F69" s="216" t="s">
        <v>313</v>
      </c>
      <c r="G69" s="83" t="s">
        <v>33</v>
      </c>
      <c r="H69" s="75" t="s">
        <v>43</v>
      </c>
      <c r="I69" s="82"/>
      <c r="J69" s="83"/>
      <c r="K69" s="81"/>
      <c r="L69" s="81"/>
      <c r="M69" s="81"/>
      <c r="N69" s="81"/>
      <c r="O69" s="83"/>
      <c r="P69" s="83"/>
      <c r="Q69" s="83"/>
    </row>
    <row r="70" spans="2:17" ht="82" x14ac:dyDescent="0.35">
      <c r="B70" s="228" t="s">
        <v>3</v>
      </c>
      <c r="C70" s="189" t="s">
        <v>324</v>
      </c>
      <c r="D70" s="190" t="s">
        <v>319</v>
      </c>
      <c r="E70" s="191" t="s">
        <v>25</v>
      </c>
      <c r="F70" s="214" t="s">
        <v>914</v>
      </c>
      <c r="G70" s="79" t="s">
        <v>33</v>
      </c>
      <c r="H70" s="74" t="s">
        <v>43</v>
      </c>
      <c r="I70" s="78"/>
      <c r="J70" s="79"/>
      <c r="K70" s="77"/>
      <c r="L70" s="77"/>
      <c r="M70" s="77"/>
      <c r="N70" s="77"/>
      <c r="O70" s="79"/>
      <c r="P70" s="79"/>
      <c r="Q70" s="79"/>
    </row>
    <row r="71" spans="2:17" ht="82" x14ac:dyDescent="0.35">
      <c r="B71" s="228" t="s">
        <v>3</v>
      </c>
      <c r="C71" s="189"/>
      <c r="D71" s="190" t="s">
        <v>320</v>
      </c>
      <c r="E71" s="191" t="s">
        <v>25</v>
      </c>
      <c r="F71" s="214" t="s">
        <v>915</v>
      </c>
      <c r="G71" s="79" t="s">
        <v>33</v>
      </c>
      <c r="H71" s="74" t="s">
        <v>43</v>
      </c>
      <c r="I71" s="78"/>
      <c r="J71" s="79"/>
      <c r="K71" s="77"/>
      <c r="L71" s="77"/>
      <c r="M71" s="77"/>
      <c r="N71" s="77"/>
      <c r="O71" s="79"/>
      <c r="P71" s="79"/>
      <c r="Q71" s="79"/>
    </row>
    <row r="72" spans="2:17" ht="82" x14ac:dyDescent="0.35">
      <c r="B72" s="228" t="s">
        <v>3</v>
      </c>
      <c r="C72" s="189"/>
      <c r="D72" s="190" t="s">
        <v>321</v>
      </c>
      <c r="E72" s="191" t="s">
        <v>25</v>
      </c>
      <c r="F72" s="214" t="s">
        <v>916</v>
      </c>
      <c r="G72" s="79" t="s">
        <v>33</v>
      </c>
      <c r="H72" s="74" t="s">
        <v>43</v>
      </c>
      <c r="I72" s="78"/>
      <c r="J72" s="79"/>
      <c r="K72" s="77"/>
      <c r="L72" s="77"/>
      <c r="M72" s="77"/>
      <c r="N72" s="77"/>
      <c r="O72" s="79"/>
      <c r="P72" s="79"/>
      <c r="Q72" s="79"/>
    </row>
    <row r="73" spans="2:17" ht="82" x14ac:dyDescent="0.35">
      <c r="B73" s="228" t="s">
        <v>3</v>
      </c>
      <c r="C73" s="189"/>
      <c r="D73" s="190" t="s">
        <v>322</v>
      </c>
      <c r="E73" s="191" t="s">
        <v>25</v>
      </c>
      <c r="F73" s="214" t="s">
        <v>917</v>
      </c>
      <c r="G73" s="79" t="s">
        <v>33</v>
      </c>
      <c r="H73" s="74" t="s">
        <v>43</v>
      </c>
      <c r="I73" s="78"/>
      <c r="J73" s="79"/>
      <c r="K73" s="77"/>
      <c r="L73" s="77"/>
      <c r="M73" s="77"/>
      <c r="N73" s="77"/>
      <c r="O73" s="79"/>
      <c r="P73" s="79"/>
      <c r="Q73" s="79"/>
    </row>
    <row r="74" spans="2:17" ht="42" x14ac:dyDescent="0.35">
      <c r="B74" s="228" t="s">
        <v>3</v>
      </c>
      <c r="C74" s="189"/>
      <c r="D74" s="190" t="s">
        <v>323</v>
      </c>
      <c r="E74" s="191" t="s">
        <v>25</v>
      </c>
      <c r="F74" s="209" t="s">
        <v>918</v>
      </c>
      <c r="G74" s="79" t="s">
        <v>33</v>
      </c>
      <c r="H74" s="74" t="s">
        <v>43</v>
      </c>
      <c r="I74" s="78"/>
      <c r="J74" s="79"/>
      <c r="K74" s="77"/>
      <c r="L74" s="77"/>
      <c r="M74" s="77"/>
      <c r="N74" s="77"/>
      <c r="O74" s="79"/>
      <c r="P74" s="79"/>
      <c r="Q74" s="79"/>
    </row>
    <row r="75" spans="2:17" ht="82.5" x14ac:dyDescent="0.35">
      <c r="B75" s="228" t="s">
        <v>3</v>
      </c>
      <c r="C75" s="193" t="s">
        <v>919</v>
      </c>
      <c r="D75" s="194" t="s">
        <v>325</v>
      </c>
      <c r="E75" s="195" t="s">
        <v>25</v>
      </c>
      <c r="F75" s="218" t="s">
        <v>920</v>
      </c>
      <c r="G75" s="83" t="s">
        <v>33</v>
      </c>
      <c r="H75" s="75" t="s">
        <v>43</v>
      </c>
      <c r="I75" s="82"/>
      <c r="J75" s="83"/>
      <c r="K75" s="81"/>
      <c r="L75" s="81"/>
      <c r="M75" s="81"/>
      <c r="N75" s="81"/>
      <c r="O75" s="83"/>
      <c r="P75" s="83"/>
      <c r="Q75" s="83"/>
    </row>
    <row r="76" spans="2:17" ht="93" x14ac:dyDescent="0.35">
      <c r="B76" s="228" t="s">
        <v>3</v>
      </c>
      <c r="C76" s="199"/>
      <c r="D76" s="194" t="s">
        <v>326</v>
      </c>
      <c r="E76" s="195" t="s">
        <v>25</v>
      </c>
      <c r="F76" s="219" t="s">
        <v>921</v>
      </c>
      <c r="G76" s="83" t="s">
        <v>33</v>
      </c>
      <c r="H76" s="75" t="s">
        <v>43</v>
      </c>
      <c r="I76" s="82"/>
      <c r="J76" s="83"/>
      <c r="K76" s="81"/>
      <c r="L76" s="81"/>
      <c r="M76" s="81"/>
      <c r="N76" s="81"/>
      <c r="O76" s="83"/>
      <c r="P76" s="83"/>
      <c r="Q76" s="83"/>
    </row>
    <row r="77" spans="2:17" ht="82.5" x14ac:dyDescent="0.35">
      <c r="B77" s="228" t="s">
        <v>3</v>
      </c>
      <c r="C77" s="199"/>
      <c r="D77" s="194" t="s">
        <v>327</v>
      </c>
      <c r="E77" s="195" t="s">
        <v>25</v>
      </c>
      <c r="F77" s="219" t="s">
        <v>922</v>
      </c>
      <c r="G77" s="83" t="s">
        <v>33</v>
      </c>
      <c r="H77" s="75" t="s">
        <v>43</v>
      </c>
      <c r="I77" s="82"/>
      <c r="J77" s="83"/>
      <c r="K77" s="81"/>
      <c r="L77" s="81"/>
      <c r="M77" s="81"/>
      <c r="N77" s="81"/>
      <c r="O77" s="83"/>
      <c r="P77" s="83"/>
      <c r="Q77" s="83"/>
    </row>
    <row r="78" spans="2:17" ht="52.5" x14ac:dyDescent="0.35">
      <c r="B78" s="228" t="s">
        <v>3</v>
      </c>
      <c r="C78" s="199"/>
      <c r="D78" s="194" t="s">
        <v>328</v>
      </c>
      <c r="E78" s="195" t="s">
        <v>25</v>
      </c>
      <c r="F78" s="219" t="s">
        <v>923</v>
      </c>
      <c r="G78" s="83" t="s">
        <v>33</v>
      </c>
      <c r="H78" s="75" t="s">
        <v>43</v>
      </c>
      <c r="I78" s="82"/>
      <c r="J78" s="83"/>
      <c r="K78" s="81"/>
      <c r="L78" s="81"/>
      <c r="M78" s="81"/>
      <c r="N78" s="81"/>
      <c r="O78" s="83"/>
      <c r="P78" s="83"/>
      <c r="Q78" s="83"/>
    </row>
    <row r="79" spans="2:17" ht="71.5" x14ac:dyDescent="0.35">
      <c r="B79" s="229" t="s">
        <v>6</v>
      </c>
      <c r="C79" s="189" t="s">
        <v>329</v>
      </c>
      <c r="D79" s="190" t="s">
        <v>330</v>
      </c>
      <c r="E79" s="191" t="s">
        <v>24</v>
      </c>
      <c r="F79" s="220" t="s">
        <v>331</v>
      </c>
      <c r="G79" s="79" t="s">
        <v>33</v>
      </c>
      <c r="H79" s="74" t="s">
        <v>43</v>
      </c>
      <c r="I79" s="78"/>
      <c r="J79" s="79"/>
      <c r="K79" s="77"/>
      <c r="L79" s="77"/>
      <c r="M79" s="77"/>
      <c r="N79" s="77"/>
      <c r="O79" s="79"/>
      <c r="P79" s="79"/>
      <c r="Q79" s="79"/>
    </row>
    <row r="80" spans="2:17" ht="131.5" x14ac:dyDescent="0.35">
      <c r="B80" s="229" t="s">
        <v>6</v>
      </c>
      <c r="C80" s="189"/>
      <c r="D80" s="190" t="s">
        <v>332</v>
      </c>
      <c r="E80" s="191" t="s">
        <v>24</v>
      </c>
      <c r="F80" s="220" t="s">
        <v>924</v>
      </c>
      <c r="G80" s="79" t="s">
        <v>33</v>
      </c>
      <c r="H80" s="74" t="s">
        <v>43</v>
      </c>
      <c r="I80" s="78"/>
      <c r="J80" s="79"/>
      <c r="K80" s="77"/>
      <c r="L80" s="77"/>
      <c r="M80" s="77"/>
      <c r="N80" s="77"/>
      <c r="O80" s="79"/>
      <c r="P80" s="79"/>
      <c r="Q80" s="79"/>
    </row>
    <row r="81" spans="2:17" ht="111.5" x14ac:dyDescent="0.35">
      <c r="B81" s="229" t="s">
        <v>6</v>
      </c>
      <c r="C81" s="189"/>
      <c r="D81" s="190" t="s">
        <v>333</v>
      </c>
      <c r="E81" s="191" t="s">
        <v>24</v>
      </c>
      <c r="F81" s="220" t="s">
        <v>623</v>
      </c>
      <c r="G81" s="79" t="s">
        <v>33</v>
      </c>
      <c r="H81" s="74" t="s">
        <v>43</v>
      </c>
      <c r="I81" s="78"/>
      <c r="J81" s="79"/>
      <c r="K81" s="77"/>
      <c r="L81" s="77"/>
      <c r="M81" s="77"/>
      <c r="N81" s="77"/>
      <c r="O81" s="79"/>
      <c r="P81" s="79"/>
      <c r="Q81" s="79"/>
    </row>
    <row r="82" spans="2:17" ht="40" x14ac:dyDescent="0.35">
      <c r="B82" s="229" t="s">
        <v>6</v>
      </c>
      <c r="C82" s="193" t="s">
        <v>334</v>
      </c>
      <c r="D82" s="194" t="s">
        <v>335</v>
      </c>
      <c r="E82" s="195" t="s">
        <v>24</v>
      </c>
      <c r="F82" s="218" t="s">
        <v>336</v>
      </c>
      <c r="G82" s="83" t="s">
        <v>33</v>
      </c>
      <c r="H82" s="74" t="s">
        <v>43</v>
      </c>
      <c r="I82" s="82"/>
      <c r="J82" s="83"/>
      <c r="K82" s="81"/>
      <c r="L82" s="81"/>
      <c r="M82" s="81"/>
      <c r="N82" s="81"/>
      <c r="O82" s="83"/>
      <c r="P82" s="83"/>
      <c r="Q82" s="83"/>
    </row>
    <row r="83" spans="2:17" ht="81.5" x14ac:dyDescent="0.35">
      <c r="B83" s="229" t="s">
        <v>6</v>
      </c>
      <c r="C83" s="193"/>
      <c r="D83" s="194" t="s">
        <v>338</v>
      </c>
      <c r="E83" s="195" t="s">
        <v>24</v>
      </c>
      <c r="F83" s="221" t="s">
        <v>624</v>
      </c>
      <c r="G83" s="83" t="s">
        <v>33</v>
      </c>
      <c r="H83" s="74" t="s">
        <v>43</v>
      </c>
      <c r="I83" s="82"/>
      <c r="J83" s="83"/>
      <c r="K83" s="81"/>
      <c r="L83" s="81"/>
      <c r="M83" s="81"/>
      <c r="N83" s="81"/>
      <c r="O83" s="83"/>
      <c r="P83" s="83"/>
      <c r="Q83" s="83"/>
    </row>
    <row r="84" spans="2:17" ht="71.5" x14ac:dyDescent="0.35">
      <c r="B84" s="229" t="s">
        <v>6</v>
      </c>
      <c r="C84" s="193"/>
      <c r="D84" s="194" t="s">
        <v>339</v>
      </c>
      <c r="E84" s="195" t="s">
        <v>24</v>
      </c>
      <c r="F84" s="221" t="s">
        <v>337</v>
      </c>
      <c r="G84" s="83" t="s">
        <v>33</v>
      </c>
      <c r="H84" s="74" t="s">
        <v>43</v>
      </c>
      <c r="I84" s="82"/>
      <c r="J84" s="83"/>
      <c r="K84" s="81"/>
      <c r="L84" s="81"/>
      <c r="M84" s="81"/>
      <c r="N84" s="81"/>
      <c r="O84" s="83"/>
      <c r="P84" s="83"/>
      <c r="Q84" s="83"/>
    </row>
    <row r="85" spans="2:17" ht="81.5" x14ac:dyDescent="0.35">
      <c r="B85" s="229" t="s">
        <v>6</v>
      </c>
      <c r="C85" s="189" t="s">
        <v>340</v>
      </c>
      <c r="D85" s="190" t="s">
        <v>341</v>
      </c>
      <c r="E85" s="191" t="s">
        <v>24</v>
      </c>
      <c r="F85" s="220" t="s">
        <v>625</v>
      </c>
      <c r="G85" s="79" t="s">
        <v>33</v>
      </c>
      <c r="H85" s="74" t="s">
        <v>43</v>
      </c>
      <c r="I85" s="78"/>
      <c r="J85" s="79"/>
      <c r="K85" s="77"/>
      <c r="L85" s="77"/>
      <c r="M85" s="77"/>
      <c r="N85" s="77"/>
      <c r="O85" s="79"/>
      <c r="P85" s="79"/>
      <c r="Q85" s="79"/>
    </row>
    <row r="86" spans="2:17" ht="42" x14ac:dyDescent="0.35">
      <c r="B86" s="229" t="s">
        <v>6</v>
      </c>
      <c r="C86" s="189"/>
      <c r="D86" s="190" t="s">
        <v>342</v>
      </c>
      <c r="E86" s="191" t="s">
        <v>24</v>
      </c>
      <c r="F86" s="222" t="s">
        <v>925</v>
      </c>
      <c r="G86" s="79" t="s">
        <v>33</v>
      </c>
      <c r="H86" s="74" t="s">
        <v>43</v>
      </c>
      <c r="I86" s="78"/>
      <c r="J86" s="79"/>
      <c r="K86" s="77"/>
      <c r="L86" s="77"/>
      <c r="M86" s="77"/>
      <c r="N86" s="77"/>
      <c r="O86" s="79"/>
      <c r="P86" s="79"/>
      <c r="Q86" s="79"/>
    </row>
    <row r="87" spans="2:17" ht="31.5" x14ac:dyDescent="0.35">
      <c r="B87" s="229" t="s">
        <v>6</v>
      </c>
      <c r="C87" s="201" t="s">
        <v>343</v>
      </c>
      <c r="D87" s="202" t="s">
        <v>344</v>
      </c>
      <c r="E87" s="203" t="s">
        <v>24</v>
      </c>
      <c r="F87" s="198" t="s">
        <v>343</v>
      </c>
      <c r="G87" s="83" t="s">
        <v>33</v>
      </c>
      <c r="H87" s="74" t="s">
        <v>43</v>
      </c>
      <c r="I87" s="82"/>
      <c r="J87" s="83"/>
      <c r="K87" s="81"/>
      <c r="L87" s="81"/>
      <c r="M87" s="81"/>
      <c r="N87" s="81"/>
      <c r="O87" s="83"/>
      <c r="P87" s="83"/>
      <c r="Q87" s="83"/>
    </row>
    <row r="88" spans="2:17" ht="61.5" x14ac:dyDescent="0.35">
      <c r="B88" s="229" t="s">
        <v>6</v>
      </c>
      <c r="C88" s="189" t="s">
        <v>349</v>
      </c>
      <c r="D88" s="190" t="s">
        <v>345</v>
      </c>
      <c r="E88" s="191" t="s">
        <v>25</v>
      </c>
      <c r="F88" s="220" t="s">
        <v>351</v>
      </c>
      <c r="G88" s="79" t="s">
        <v>33</v>
      </c>
      <c r="H88" s="74" t="s">
        <v>43</v>
      </c>
      <c r="I88" s="78"/>
      <c r="J88" s="79"/>
      <c r="K88" s="77"/>
      <c r="L88" s="77"/>
      <c r="M88" s="77"/>
      <c r="N88" s="77"/>
      <c r="O88" s="79"/>
      <c r="P88" s="79"/>
      <c r="Q88" s="79"/>
    </row>
    <row r="89" spans="2:17" ht="62" x14ac:dyDescent="0.35">
      <c r="B89" s="229" t="s">
        <v>6</v>
      </c>
      <c r="C89" s="189"/>
      <c r="D89" s="190" t="s">
        <v>346</v>
      </c>
      <c r="E89" s="191" t="s">
        <v>25</v>
      </c>
      <c r="F89" s="220" t="s">
        <v>626</v>
      </c>
      <c r="G89" s="79" t="s">
        <v>33</v>
      </c>
      <c r="H89" s="74" t="s">
        <v>43</v>
      </c>
      <c r="I89" s="78"/>
      <c r="J89" s="79"/>
      <c r="K89" s="77"/>
      <c r="L89" s="77"/>
      <c r="M89" s="77"/>
      <c r="N89" s="77"/>
      <c r="O89" s="79"/>
      <c r="P89" s="79"/>
      <c r="Q89" s="79"/>
    </row>
    <row r="90" spans="2:17" ht="31.5" x14ac:dyDescent="0.35">
      <c r="B90" s="229" t="s">
        <v>6</v>
      </c>
      <c r="C90" s="193" t="s">
        <v>352</v>
      </c>
      <c r="D90" s="194" t="s">
        <v>347</v>
      </c>
      <c r="E90" s="195" t="s">
        <v>25</v>
      </c>
      <c r="F90" s="218" t="s">
        <v>354</v>
      </c>
      <c r="G90" s="83" t="s">
        <v>33</v>
      </c>
      <c r="H90" s="75" t="s">
        <v>43</v>
      </c>
      <c r="I90" s="82"/>
      <c r="J90" s="83"/>
      <c r="K90" s="81"/>
      <c r="L90" s="81"/>
      <c r="M90" s="81"/>
      <c r="N90" s="81"/>
      <c r="O90" s="83"/>
      <c r="P90" s="83"/>
      <c r="Q90" s="83"/>
    </row>
    <row r="91" spans="2:17" ht="31.5" x14ac:dyDescent="0.35">
      <c r="B91" s="229" t="s">
        <v>6</v>
      </c>
      <c r="C91" s="193"/>
      <c r="D91" s="194" t="s">
        <v>348</v>
      </c>
      <c r="E91" s="195" t="s">
        <v>25</v>
      </c>
      <c r="F91" s="218" t="s">
        <v>355</v>
      </c>
      <c r="G91" s="83" t="s">
        <v>33</v>
      </c>
      <c r="H91" s="75" t="s">
        <v>43</v>
      </c>
      <c r="I91" s="82"/>
      <c r="J91" s="83"/>
      <c r="K91" s="81"/>
      <c r="L91" s="81"/>
      <c r="M91" s="81"/>
      <c r="N91" s="81"/>
      <c r="O91" s="83"/>
      <c r="P91" s="83"/>
      <c r="Q91" s="83"/>
    </row>
    <row r="92" spans="2:17" ht="42" x14ac:dyDescent="0.35">
      <c r="B92" s="229" t="s">
        <v>6</v>
      </c>
      <c r="C92" s="201" t="s">
        <v>365</v>
      </c>
      <c r="D92" s="202" t="s">
        <v>350</v>
      </c>
      <c r="E92" s="203" t="s">
        <v>24</v>
      </c>
      <c r="F92" s="198" t="s">
        <v>366</v>
      </c>
      <c r="G92" s="79" t="s">
        <v>33</v>
      </c>
      <c r="H92" s="74" t="s">
        <v>43</v>
      </c>
      <c r="I92" s="78"/>
      <c r="J92" s="79"/>
      <c r="K92" s="77"/>
      <c r="L92" s="77"/>
      <c r="M92" s="77"/>
      <c r="N92" s="77"/>
      <c r="O92" s="79"/>
      <c r="P92" s="79"/>
      <c r="Q92" s="79"/>
    </row>
    <row r="93" spans="2:17" ht="71.5" x14ac:dyDescent="0.35">
      <c r="B93" s="229" t="s">
        <v>6</v>
      </c>
      <c r="C93" s="193" t="s">
        <v>367</v>
      </c>
      <c r="D93" s="194" t="s">
        <v>353</v>
      </c>
      <c r="E93" s="195" t="s">
        <v>24</v>
      </c>
      <c r="F93" s="200" t="s">
        <v>627</v>
      </c>
      <c r="G93" s="83" t="s">
        <v>33</v>
      </c>
      <c r="H93" s="74" t="s">
        <v>43</v>
      </c>
      <c r="I93" s="82"/>
      <c r="J93" s="83"/>
      <c r="K93" s="81"/>
      <c r="L93" s="81"/>
      <c r="M93" s="81"/>
      <c r="N93" s="81"/>
      <c r="O93" s="83"/>
      <c r="P93" s="83"/>
      <c r="Q93" s="83"/>
    </row>
    <row r="94" spans="2:17" ht="61.5" x14ac:dyDescent="0.35">
      <c r="B94" s="229" t="s">
        <v>6</v>
      </c>
      <c r="C94" s="193"/>
      <c r="D94" s="194" t="s">
        <v>356</v>
      </c>
      <c r="E94" s="195" t="s">
        <v>24</v>
      </c>
      <c r="F94" s="221" t="s">
        <v>368</v>
      </c>
      <c r="G94" s="83" t="s">
        <v>33</v>
      </c>
      <c r="H94" s="74" t="s">
        <v>43</v>
      </c>
      <c r="I94" s="82"/>
      <c r="J94" s="83"/>
      <c r="K94" s="81"/>
      <c r="L94" s="81"/>
      <c r="M94" s="81"/>
      <c r="N94" s="81"/>
      <c r="O94" s="83"/>
      <c r="P94" s="83"/>
      <c r="Q94" s="83"/>
    </row>
    <row r="95" spans="2:17" ht="42" x14ac:dyDescent="0.35">
      <c r="B95" s="229" t="s">
        <v>6</v>
      </c>
      <c r="C95" s="189" t="s">
        <v>369</v>
      </c>
      <c r="D95" s="190" t="s">
        <v>357</v>
      </c>
      <c r="E95" s="191" t="s">
        <v>24</v>
      </c>
      <c r="F95" s="222" t="s">
        <v>370</v>
      </c>
      <c r="G95" s="79" t="s">
        <v>33</v>
      </c>
      <c r="H95" s="74" t="s">
        <v>43</v>
      </c>
      <c r="I95" s="78"/>
      <c r="J95" s="79"/>
      <c r="K95" s="77"/>
      <c r="L95" s="77"/>
      <c r="M95" s="77"/>
      <c r="N95" s="77"/>
      <c r="O95" s="79"/>
      <c r="P95" s="79"/>
      <c r="Q95" s="79"/>
    </row>
    <row r="96" spans="2:17" ht="112" x14ac:dyDescent="0.35">
      <c r="B96" s="229" t="s">
        <v>6</v>
      </c>
      <c r="C96" s="193" t="s">
        <v>371</v>
      </c>
      <c r="D96" s="194" t="s">
        <v>358</v>
      </c>
      <c r="E96" s="195" t="s">
        <v>24</v>
      </c>
      <c r="F96" s="199" t="s">
        <v>926</v>
      </c>
      <c r="G96" s="83" t="s">
        <v>33</v>
      </c>
      <c r="H96" s="74" t="s">
        <v>43</v>
      </c>
      <c r="I96" s="82"/>
      <c r="J96" s="83"/>
      <c r="K96" s="81"/>
      <c r="L96" s="81"/>
      <c r="M96" s="81"/>
      <c r="N96" s="81"/>
      <c r="O96" s="83"/>
      <c r="P96" s="83"/>
      <c r="Q96" s="83"/>
    </row>
    <row r="97" spans="2:17" ht="21" x14ac:dyDescent="0.35">
      <c r="B97" s="229" t="s">
        <v>6</v>
      </c>
      <c r="C97" s="189" t="s">
        <v>372</v>
      </c>
      <c r="D97" s="190" t="s">
        <v>359</v>
      </c>
      <c r="E97" s="191" t="s">
        <v>24</v>
      </c>
      <c r="F97" s="222" t="s">
        <v>373</v>
      </c>
      <c r="G97" s="79" t="s">
        <v>33</v>
      </c>
      <c r="H97" s="74" t="s">
        <v>43</v>
      </c>
      <c r="I97" s="78"/>
      <c r="J97" s="79"/>
      <c r="K97" s="77"/>
      <c r="L97" s="77"/>
      <c r="M97" s="77"/>
      <c r="N97" s="77"/>
      <c r="O97" s="79"/>
      <c r="P97" s="79"/>
      <c r="Q97" s="79"/>
    </row>
    <row r="98" spans="2:17" ht="71" x14ac:dyDescent="0.35">
      <c r="B98" s="229" t="s">
        <v>6</v>
      </c>
      <c r="C98" s="189"/>
      <c r="D98" s="190" t="s">
        <v>360</v>
      </c>
      <c r="E98" s="191" t="s">
        <v>24</v>
      </c>
      <c r="F98" s="222" t="s">
        <v>628</v>
      </c>
      <c r="G98" s="79" t="s">
        <v>33</v>
      </c>
      <c r="H98" s="74" t="s">
        <v>43</v>
      </c>
      <c r="I98" s="78"/>
      <c r="J98" s="79"/>
      <c r="K98" s="77"/>
      <c r="L98" s="77"/>
      <c r="M98" s="77"/>
      <c r="N98" s="77"/>
      <c r="O98" s="79"/>
      <c r="P98" s="79"/>
      <c r="Q98" s="79"/>
    </row>
    <row r="99" spans="2:17" ht="61" x14ac:dyDescent="0.35">
      <c r="B99" s="229" t="s">
        <v>6</v>
      </c>
      <c r="C99" s="189"/>
      <c r="D99" s="190" t="s">
        <v>927</v>
      </c>
      <c r="E99" s="191" t="s">
        <v>24</v>
      </c>
      <c r="F99" s="222" t="s">
        <v>629</v>
      </c>
      <c r="G99" s="79" t="s">
        <v>33</v>
      </c>
      <c r="H99" s="74" t="s">
        <v>43</v>
      </c>
      <c r="I99" s="78"/>
      <c r="J99" s="79"/>
      <c r="K99" s="77"/>
      <c r="L99" s="77"/>
      <c r="M99" s="77"/>
      <c r="N99" s="77"/>
      <c r="O99" s="79"/>
      <c r="P99" s="79"/>
      <c r="Q99" s="79"/>
    </row>
    <row r="100" spans="2:17" ht="71" x14ac:dyDescent="0.3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61" x14ac:dyDescent="0.35">
      <c r="B101" s="229" t="s">
        <v>6</v>
      </c>
      <c r="C101" s="193"/>
      <c r="D101" s="194" t="s">
        <v>362</v>
      </c>
      <c r="E101" s="195" t="s">
        <v>24</v>
      </c>
      <c r="F101" s="218" t="s">
        <v>631</v>
      </c>
      <c r="G101" s="83" t="s">
        <v>33</v>
      </c>
      <c r="H101" s="75" t="s">
        <v>43</v>
      </c>
      <c r="I101" s="82"/>
      <c r="J101" s="83"/>
      <c r="K101" s="81"/>
      <c r="L101" s="81"/>
      <c r="M101" s="81"/>
      <c r="N101" s="81"/>
      <c r="O101" s="83"/>
      <c r="P101" s="83"/>
      <c r="Q101" s="83"/>
    </row>
    <row r="102" spans="2:17" ht="91" x14ac:dyDescent="0.3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91.5" x14ac:dyDescent="0.3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1" x14ac:dyDescent="0.3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21" x14ac:dyDescent="0.35">
      <c r="B105" s="228" t="s">
        <v>9</v>
      </c>
      <c r="C105" s="189" t="s">
        <v>378</v>
      </c>
      <c r="D105" s="190" t="s">
        <v>379</v>
      </c>
      <c r="E105" s="191" t="s">
        <v>24</v>
      </c>
      <c r="F105" s="222" t="s">
        <v>380</v>
      </c>
      <c r="G105" s="79" t="s">
        <v>33</v>
      </c>
      <c r="H105" s="75" t="s">
        <v>43</v>
      </c>
      <c r="I105" s="78"/>
      <c r="J105" s="79"/>
      <c r="K105" s="77"/>
      <c r="L105" s="77"/>
      <c r="M105" s="77"/>
      <c r="N105" s="77"/>
      <c r="O105" s="79"/>
      <c r="P105" s="79"/>
      <c r="Q105" s="79"/>
    </row>
    <row r="106" spans="2:17" ht="41" x14ac:dyDescent="0.35">
      <c r="B106" s="228" t="s">
        <v>9</v>
      </c>
      <c r="C106" s="193" t="s">
        <v>929</v>
      </c>
      <c r="D106" s="194" t="s">
        <v>381</v>
      </c>
      <c r="E106" s="195" t="s">
        <v>24</v>
      </c>
      <c r="F106" s="221" t="s">
        <v>930</v>
      </c>
      <c r="G106" s="83" t="s">
        <v>33</v>
      </c>
      <c r="H106" s="75" t="s">
        <v>43</v>
      </c>
      <c r="I106" s="82"/>
      <c r="J106" s="83"/>
      <c r="K106" s="81"/>
      <c r="L106" s="81"/>
      <c r="M106" s="81"/>
      <c r="N106" s="81"/>
      <c r="O106" s="83"/>
      <c r="P106" s="83"/>
      <c r="Q106" s="83"/>
    </row>
    <row r="107" spans="2:17" ht="31.5" x14ac:dyDescent="0.35">
      <c r="B107" s="228" t="s">
        <v>9</v>
      </c>
      <c r="C107" s="189" t="s">
        <v>931</v>
      </c>
      <c r="D107" s="190" t="s">
        <v>382</v>
      </c>
      <c r="E107" s="191" t="s">
        <v>24</v>
      </c>
      <c r="F107" s="222" t="s">
        <v>932</v>
      </c>
      <c r="G107" s="79" t="s">
        <v>33</v>
      </c>
      <c r="H107" s="75" t="s">
        <v>43</v>
      </c>
      <c r="I107" s="78"/>
      <c r="J107" s="79"/>
      <c r="K107" s="77"/>
      <c r="L107" s="77"/>
      <c r="M107" s="77"/>
      <c r="N107" s="77"/>
      <c r="O107" s="79"/>
      <c r="P107" s="79"/>
      <c r="Q107" s="79"/>
    </row>
    <row r="108" spans="2:17" ht="31.5" x14ac:dyDescent="0.3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0" x14ac:dyDescent="0.3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21" x14ac:dyDescent="0.3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2" x14ac:dyDescent="0.3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82" x14ac:dyDescent="0.3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82" x14ac:dyDescent="0.3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71.5" x14ac:dyDescent="0.3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61.5" x14ac:dyDescent="0.3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92.5" x14ac:dyDescent="0.3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61" x14ac:dyDescent="0.3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61" x14ac:dyDescent="0.3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61" x14ac:dyDescent="0.3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61" x14ac:dyDescent="0.3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61" x14ac:dyDescent="0.3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1.5" x14ac:dyDescent="0.3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21" x14ac:dyDescent="0.35">
      <c r="B123" s="229" t="s">
        <v>398</v>
      </c>
      <c r="C123" s="189" t="s">
        <v>404</v>
      </c>
      <c r="D123" s="190" t="s">
        <v>403</v>
      </c>
      <c r="E123" s="191" t="s">
        <v>24</v>
      </c>
      <c r="F123" s="222" t="s">
        <v>948</v>
      </c>
      <c r="G123" s="79" t="s">
        <v>33</v>
      </c>
      <c r="H123" s="75" t="s">
        <v>43</v>
      </c>
      <c r="I123" s="78"/>
      <c r="J123" s="79"/>
      <c r="K123" s="77"/>
      <c r="L123" s="77"/>
      <c r="M123" s="77"/>
      <c r="N123" s="77"/>
      <c r="O123" s="79"/>
      <c r="P123" s="79"/>
      <c r="Q123" s="79"/>
    </row>
    <row r="124" spans="2:17" ht="111.5" x14ac:dyDescent="0.3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71.5" x14ac:dyDescent="0.3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61" x14ac:dyDescent="0.3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41" x14ac:dyDescent="0.35">
      <c r="B127" s="228" t="s">
        <v>8</v>
      </c>
      <c r="C127" s="189" t="s">
        <v>410</v>
      </c>
      <c r="D127" s="190" t="s">
        <v>411</v>
      </c>
      <c r="E127" s="191" t="s">
        <v>24</v>
      </c>
      <c r="F127" s="220" t="s">
        <v>632</v>
      </c>
      <c r="G127" s="79" t="s">
        <v>33</v>
      </c>
      <c r="H127" s="75" t="s">
        <v>43</v>
      </c>
      <c r="I127" s="78"/>
      <c r="J127" s="79"/>
      <c r="K127" s="77"/>
      <c r="L127" s="77"/>
      <c r="M127" s="77"/>
      <c r="N127" s="77"/>
      <c r="O127" s="79"/>
      <c r="P127" s="79"/>
      <c r="Q127" s="79"/>
    </row>
    <row r="128" spans="2:17" ht="51.5" x14ac:dyDescent="0.35">
      <c r="B128" s="228" t="s">
        <v>8</v>
      </c>
      <c r="C128" s="189"/>
      <c r="D128" s="190" t="s">
        <v>412</v>
      </c>
      <c r="E128" s="191" t="s">
        <v>24</v>
      </c>
      <c r="F128" s="200" t="s">
        <v>633</v>
      </c>
      <c r="G128" s="79" t="s">
        <v>33</v>
      </c>
      <c r="H128" s="75" t="s">
        <v>43</v>
      </c>
      <c r="I128" s="78"/>
      <c r="J128" s="79"/>
      <c r="K128" s="77"/>
      <c r="L128" s="77"/>
      <c r="M128" s="77"/>
      <c r="N128" s="77"/>
      <c r="O128" s="79"/>
      <c r="P128" s="79"/>
      <c r="Q128" s="79"/>
    </row>
    <row r="129" spans="2:17" ht="81.5" x14ac:dyDescent="0.35">
      <c r="B129" s="228" t="s">
        <v>8</v>
      </c>
      <c r="C129" s="193" t="s">
        <v>950</v>
      </c>
      <c r="D129" s="194" t="s">
        <v>413</v>
      </c>
      <c r="E129" s="195" t="s">
        <v>24</v>
      </c>
      <c r="F129" s="197" t="s">
        <v>951</v>
      </c>
      <c r="G129" s="83" t="s">
        <v>33</v>
      </c>
      <c r="H129" s="75" t="s">
        <v>43</v>
      </c>
      <c r="I129" s="82"/>
      <c r="J129" s="83"/>
      <c r="K129" s="81"/>
      <c r="L129" s="81"/>
      <c r="M129" s="81"/>
      <c r="N129" s="81"/>
      <c r="O129" s="83"/>
      <c r="P129" s="83"/>
      <c r="Q129" s="83"/>
    </row>
    <row r="130" spans="2:17" ht="30" x14ac:dyDescent="0.35">
      <c r="B130" s="228" t="s">
        <v>8</v>
      </c>
      <c r="C130" s="193"/>
      <c r="D130" s="194" t="s">
        <v>415</v>
      </c>
      <c r="E130" s="195" t="s">
        <v>24</v>
      </c>
      <c r="F130" s="199" t="s">
        <v>414</v>
      </c>
      <c r="G130" s="83" t="s">
        <v>33</v>
      </c>
      <c r="H130" s="75" t="s">
        <v>43</v>
      </c>
      <c r="I130" s="82"/>
      <c r="J130" s="83"/>
      <c r="K130" s="81"/>
      <c r="L130" s="81"/>
      <c r="M130" s="81"/>
      <c r="N130" s="81"/>
      <c r="O130" s="83"/>
      <c r="P130" s="83"/>
      <c r="Q130" s="83"/>
    </row>
    <row r="131" spans="2:17" ht="101" x14ac:dyDescent="0.35">
      <c r="B131" s="228" t="s">
        <v>8</v>
      </c>
      <c r="C131" s="189" t="s">
        <v>416</v>
      </c>
      <c r="D131" s="190" t="s">
        <v>417</v>
      </c>
      <c r="E131" s="191" t="s">
        <v>24</v>
      </c>
      <c r="F131" s="220" t="s">
        <v>634</v>
      </c>
      <c r="G131" s="79" t="s">
        <v>33</v>
      </c>
      <c r="H131" s="75" t="s">
        <v>43</v>
      </c>
      <c r="I131" s="78"/>
      <c r="J131" s="79"/>
      <c r="K131" s="77"/>
      <c r="L131" s="77"/>
      <c r="M131" s="77"/>
      <c r="N131" s="77"/>
      <c r="O131" s="79"/>
      <c r="P131" s="79"/>
      <c r="Q131" s="79"/>
    </row>
    <row r="132" spans="2:17" ht="31.5" x14ac:dyDescent="0.3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31.5" x14ac:dyDescent="0.3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2" x14ac:dyDescent="0.35">
      <c r="B134" s="228" t="s">
        <v>8</v>
      </c>
      <c r="C134" s="199"/>
      <c r="D134" s="194" t="s">
        <v>956</v>
      </c>
      <c r="E134" s="204"/>
      <c r="F134" s="219" t="s">
        <v>957</v>
      </c>
      <c r="G134" s="83" t="s">
        <v>33</v>
      </c>
      <c r="H134" s="75" t="s">
        <v>43</v>
      </c>
      <c r="I134" s="82"/>
      <c r="J134" s="83"/>
      <c r="K134" s="81"/>
      <c r="L134" s="81"/>
      <c r="M134" s="81"/>
      <c r="N134" s="81"/>
      <c r="O134" s="83"/>
      <c r="P134" s="83"/>
      <c r="Q134" s="83"/>
    </row>
    <row r="135" spans="2:17" ht="21" x14ac:dyDescent="0.3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1" x14ac:dyDescent="0.3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31.5" x14ac:dyDescent="0.3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101.5" x14ac:dyDescent="0.3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71" x14ac:dyDescent="0.3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41" x14ac:dyDescent="0.35">
      <c r="B140" s="229" t="s">
        <v>419</v>
      </c>
      <c r="C140" s="193" t="s">
        <v>431</v>
      </c>
      <c r="D140" s="193" t="s">
        <v>432</v>
      </c>
      <c r="E140" s="204" t="s">
        <v>24</v>
      </c>
      <c r="F140" s="221" t="s">
        <v>433</v>
      </c>
      <c r="G140" s="83" t="s">
        <v>33</v>
      </c>
      <c r="H140" s="75" t="s">
        <v>43</v>
      </c>
      <c r="I140" s="82"/>
      <c r="J140" s="83"/>
      <c r="K140" s="81"/>
      <c r="L140" s="81"/>
      <c r="M140" s="81"/>
      <c r="N140" s="81"/>
      <c r="O140" s="83"/>
      <c r="P140" s="83"/>
      <c r="Q140" s="83"/>
    </row>
    <row r="141" spans="2:17" ht="21" x14ac:dyDescent="0.3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1.5" x14ac:dyDescent="0.3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71.5" x14ac:dyDescent="0.3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1.5" x14ac:dyDescent="0.3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42" x14ac:dyDescent="0.3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2" x14ac:dyDescent="0.3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1.5" x14ac:dyDescent="0.35">
      <c r="B147" s="229" t="s">
        <v>419</v>
      </c>
      <c r="C147" s="206" t="s">
        <v>446</v>
      </c>
      <c r="D147" s="206" t="s">
        <v>644</v>
      </c>
      <c r="E147" s="205" t="s">
        <v>24</v>
      </c>
      <c r="F147" s="213" t="s">
        <v>962</v>
      </c>
      <c r="G147" s="79" t="s">
        <v>33</v>
      </c>
      <c r="H147" s="74" t="s">
        <v>43</v>
      </c>
      <c r="I147" s="78"/>
      <c r="J147" s="79"/>
      <c r="K147" s="77"/>
      <c r="L147" s="77"/>
      <c r="M147" s="77"/>
      <c r="N147" s="77"/>
      <c r="O147" s="79"/>
      <c r="P147" s="79"/>
      <c r="Q147" s="79"/>
    </row>
    <row r="148" spans="2:17" ht="42" x14ac:dyDescent="0.35">
      <c r="B148" s="228" t="s">
        <v>448</v>
      </c>
      <c r="C148" s="199" t="s">
        <v>449</v>
      </c>
      <c r="D148" s="199" t="s">
        <v>450</v>
      </c>
      <c r="E148" s="204" t="s">
        <v>24</v>
      </c>
      <c r="F148" s="219" t="s">
        <v>963</v>
      </c>
      <c r="G148" s="83" t="s">
        <v>33</v>
      </c>
      <c r="H148" s="75" t="s">
        <v>43</v>
      </c>
      <c r="I148" s="82"/>
      <c r="J148" s="83"/>
      <c r="K148" s="81"/>
      <c r="L148" s="81"/>
      <c r="M148" s="81"/>
      <c r="N148" s="81"/>
      <c r="O148" s="83"/>
      <c r="P148" s="83"/>
      <c r="Q148" s="83"/>
    </row>
    <row r="149" spans="2:17" ht="42" x14ac:dyDescent="0.35">
      <c r="B149" s="228" t="s">
        <v>448</v>
      </c>
      <c r="C149" s="199"/>
      <c r="D149" s="199" t="s">
        <v>451</v>
      </c>
      <c r="E149" s="204" t="s">
        <v>24</v>
      </c>
      <c r="F149" s="219" t="s">
        <v>964</v>
      </c>
      <c r="G149" s="83" t="s">
        <v>33</v>
      </c>
      <c r="H149" s="75" t="s">
        <v>43</v>
      </c>
      <c r="I149" s="82"/>
      <c r="J149" s="83"/>
      <c r="K149" s="81"/>
      <c r="L149" s="81"/>
      <c r="M149" s="81"/>
      <c r="N149" s="81"/>
      <c r="O149" s="83"/>
      <c r="P149" s="83"/>
      <c r="Q149" s="83"/>
    </row>
    <row r="150" spans="2:17" ht="52.5" x14ac:dyDescent="0.35">
      <c r="B150" s="228" t="s">
        <v>448</v>
      </c>
      <c r="C150" s="199"/>
      <c r="D150" s="199" t="s">
        <v>452</v>
      </c>
      <c r="E150" s="204" t="s">
        <v>24</v>
      </c>
      <c r="F150" s="219" t="s">
        <v>965</v>
      </c>
      <c r="G150" s="83" t="s">
        <v>33</v>
      </c>
      <c r="H150" s="75" t="s">
        <v>43</v>
      </c>
      <c r="I150" s="82"/>
      <c r="J150" s="83"/>
      <c r="K150" s="81"/>
      <c r="L150" s="81"/>
      <c r="M150" s="81"/>
      <c r="N150" s="81"/>
      <c r="O150" s="83"/>
      <c r="P150" s="83"/>
      <c r="Q150" s="83"/>
    </row>
    <row r="151" spans="2:17" ht="141" x14ac:dyDescent="0.35">
      <c r="B151" s="228" t="s">
        <v>448</v>
      </c>
      <c r="C151" s="206" t="s">
        <v>966</v>
      </c>
      <c r="D151" s="206" t="s">
        <v>453</v>
      </c>
      <c r="E151" s="205" t="s">
        <v>24</v>
      </c>
      <c r="F151" s="211" t="s">
        <v>967</v>
      </c>
      <c r="G151" s="79" t="s">
        <v>33</v>
      </c>
      <c r="H151" s="74" t="s">
        <v>43</v>
      </c>
      <c r="I151" s="78"/>
      <c r="J151" s="79"/>
      <c r="K151" s="77"/>
      <c r="L151" s="77"/>
      <c r="M151" s="77"/>
      <c r="N151" s="77"/>
      <c r="O151" s="79"/>
      <c r="P151" s="79"/>
      <c r="Q151" s="79"/>
    </row>
    <row r="152" spans="2:17" ht="61.5" x14ac:dyDescent="0.35">
      <c r="B152" s="228" t="s">
        <v>448</v>
      </c>
      <c r="C152" s="199" t="s">
        <v>454</v>
      </c>
      <c r="D152" s="199" t="s">
        <v>455</v>
      </c>
      <c r="E152" s="204" t="s">
        <v>24</v>
      </c>
      <c r="F152" s="219" t="s">
        <v>968</v>
      </c>
      <c r="G152" s="83" t="s">
        <v>33</v>
      </c>
      <c r="H152" s="75" t="s">
        <v>43</v>
      </c>
      <c r="I152" s="82"/>
      <c r="J152" s="83"/>
      <c r="K152" s="81"/>
      <c r="L152" s="81"/>
      <c r="M152" s="81"/>
      <c r="N152" s="81"/>
      <c r="O152" s="83"/>
      <c r="P152" s="83"/>
      <c r="Q152" s="83"/>
    </row>
    <row r="153" spans="2:17" ht="61.5" x14ac:dyDescent="0.35">
      <c r="B153" s="228" t="s">
        <v>448</v>
      </c>
      <c r="C153" s="199"/>
      <c r="D153" s="199" t="s">
        <v>457</v>
      </c>
      <c r="E153" s="204" t="s">
        <v>24</v>
      </c>
      <c r="F153" s="219" t="s">
        <v>969</v>
      </c>
      <c r="G153" s="83" t="s">
        <v>33</v>
      </c>
      <c r="H153" s="75" t="s">
        <v>43</v>
      </c>
      <c r="I153" s="82"/>
      <c r="J153" s="83"/>
      <c r="K153" s="81"/>
      <c r="L153" s="81"/>
      <c r="M153" s="81"/>
      <c r="N153" s="81"/>
      <c r="O153" s="83"/>
      <c r="P153" s="83"/>
      <c r="Q153" s="83"/>
    </row>
    <row r="154" spans="2:17" ht="31.5" x14ac:dyDescent="0.35">
      <c r="B154" s="228" t="s">
        <v>448</v>
      </c>
      <c r="C154" s="199"/>
      <c r="D154" s="199" t="s">
        <v>458</v>
      </c>
      <c r="E154" s="204" t="s">
        <v>24</v>
      </c>
      <c r="F154" s="219" t="s">
        <v>456</v>
      </c>
      <c r="G154" s="83" t="s">
        <v>33</v>
      </c>
      <c r="H154" s="75" t="s">
        <v>43</v>
      </c>
      <c r="I154" s="82"/>
      <c r="J154" s="83"/>
      <c r="K154" s="81"/>
      <c r="L154" s="81"/>
      <c r="M154" s="81"/>
      <c r="N154" s="81"/>
      <c r="O154" s="83"/>
      <c r="P154" s="83"/>
      <c r="Q154" s="83"/>
    </row>
    <row r="155" spans="2:17" ht="31.5" x14ac:dyDescent="0.35">
      <c r="B155" s="228" t="s">
        <v>448</v>
      </c>
      <c r="C155" s="206" t="s">
        <v>460</v>
      </c>
      <c r="D155" s="206" t="s">
        <v>459</v>
      </c>
      <c r="E155" s="205" t="s">
        <v>24</v>
      </c>
      <c r="F155" s="211" t="s">
        <v>461</v>
      </c>
      <c r="G155" s="79" t="s">
        <v>33</v>
      </c>
      <c r="H155" s="74" t="s">
        <v>43</v>
      </c>
      <c r="I155" s="78"/>
      <c r="J155" s="79"/>
      <c r="K155" s="77"/>
      <c r="L155" s="77"/>
      <c r="M155" s="77"/>
      <c r="N155" s="77"/>
      <c r="O155" s="79"/>
      <c r="P155" s="79"/>
      <c r="Q155" s="79"/>
    </row>
    <row r="156" spans="2:17" ht="31.5" x14ac:dyDescent="0.35">
      <c r="B156" s="228" t="s">
        <v>448</v>
      </c>
      <c r="C156" s="206"/>
      <c r="D156" s="206" t="s">
        <v>970</v>
      </c>
      <c r="E156" s="205" t="s">
        <v>24</v>
      </c>
      <c r="F156" s="222" t="s">
        <v>462</v>
      </c>
      <c r="G156" s="79" t="s">
        <v>33</v>
      </c>
      <c r="H156" s="74" t="s">
        <v>43</v>
      </c>
      <c r="I156" s="78"/>
      <c r="J156" s="79"/>
      <c r="K156" s="77"/>
      <c r="L156" s="77"/>
      <c r="M156" s="77"/>
      <c r="N156" s="77"/>
      <c r="O156" s="79"/>
      <c r="P156" s="79"/>
      <c r="Q156" s="79"/>
    </row>
    <row r="157" spans="2:17" ht="42" x14ac:dyDescent="0.35">
      <c r="B157" s="229" t="s">
        <v>463</v>
      </c>
      <c r="C157" s="199" t="s">
        <v>464</v>
      </c>
      <c r="D157" s="199" t="s">
        <v>465</v>
      </c>
      <c r="E157" s="204" t="s">
        <v>24</v>
      </c>
      <c r="F157" s="230" t="s">
        <v>466</v>
      </c>
      <c r="G157" s="83" t="s">
        <v>33</v>
      </c>
      <c r="H157" s="75" t="s">
        <v>43</v>
      </c>
      <c r="I157" s="82"/>
      <c r="J157" s="83"/>
      <c r="K157" s="81"/>
      <c r="L157" s="81"/>
      <c r="M157" s="81"/>
      <c r="N157" s="81"/>
      <c r="O157" s="83"/>
      <c r="P157" s="83"/>
      <c r="Q157" s="83"/>
    </row>
    <row r="158" spans="2:17" ht="42" x14ac:dyDescent="0.35">
      <c r="B158" s="229" t="s">
        <v>463</v>
      </c>
      <c r="C158" s="199"/>
      <c r="D158" s="199" t="s">
        <v>467</v>
      </c>
      <c r="E158" s="204" t="s">
        <v>24</v>
      </c>
      <c r="F158" s="219" t="s">
        <v>469</v>
      </c>
      <c r="G158" s="83" t="s">
        <v>33</v>
      </c>
      <c r="H158" s="75" t="s">
        <v>43</v>
      </c>
      <c r="I158" s="82"/>
      <c r="J158" s="83"/>
      <c r="K158" s="81"/>
      <c r="L158" s="81"/>
      <c r="M158" s="81"/>
      <c r="N158" s="81"/>
      <c r="O158" s="83"/>
      <c r="P158" s="83"/>
      <c r="Q158" s="83"/>
    </row>
    <row r="159" spans="2:17" ht="81" x14ac:dyDescent="0.35">
      <c r="B159" s="229" t="s">
        <v>463</v>
      </c>
      <c r="C159" s="199"/>
      <c r="D159" s="199" t="s">
        <v>468</v>
      </c>
      <c r="E159" s="204" t="s">
        <v>24</v>
      </c>
      <c r="F159" s="226" t="s">
        <v>470</v>
      </c>
      <c r="G159" s="83" t="s">
        <v>33</v>
      </c>
      <c r="H159" s="75" t="s">
        <v>43</v>
      </c>
      <c r="I159" s="82"/>
      <c r="J159" s="83"/>
      <c r="K159" s="81"/>
      <c r="L159" s="81"/>
      <c r="M159" s="81"/>
      <c r="N159" s="81"/>
      <c r="O159" s="83"/>
      <c r="P159" s="83"/>
      <c r="Q159" s="83"/>
    </row>
    <row r="160" spans="2:17" ht="31.5" x14ac:dyDescent="0.35">
      <c r="B160" s="229" t="s">
        <v>463</v>
      </c>
      <c r="C160" s="206" t="s">
        <v>471</v>
      </c>
      <c r="D160" s="206" t="s">
        <v>473</v>
      </c>
      <c r="E160" s="205" t="s">
        <v>24</v>
      </c>
      <c r="F160" s="192" t="s">
        <v>475</v>
      </c>
      <c r="G160" s="79" t="s">
        <v>33</v>
      </c>
      <c r="H160" s="75" t="s">
        <v>43</v>
      </c>
      <c r="I160" s="78"/>
      <c r="J160" s="79"/>
      <c r="K160" s="77"/>
      <c r="L160" s="77"/>
      <c r="M160" s="77"/>
      <c r="N160" s="77"/>
      <c r="O160" s="79"/>
      <c r="P160" s="79"/>
      <c r="Q160" s="79"/>
    </row>
    <row r="161" spans="2:17" ht="31.5" x14ac:dyDescent="0.35">
      <c r="B161" s="229" t="s">
        <v>463</v>
      </c>
      <c r="C161" s="199" t="s">
        <v>472</v>
      </c>
      <c r="D161" s="199" t="s">
        <v>474</v>
      </c>
      <c r="E161" s="204" t="s">
        <v>24</v>
      </c>
      <c r="F161" s="219" t="s">
        <v>472</v>
      </c>
      <c r="G161" s="83" t="s">
        <v>33</v>
      </c>
      <c r="H161" s="75" t="s">
        <v>43</v>
      </c>
      <c r="I161" s="82"/>
      <c r="J161" s="83"/>
      <c r="K161" s="81"/>
      <c r="L161" s="81"/>
      <c r="M161" s="81"/>
      <c r="N161" s="81"/>
      <c r="O161" s="83"/>
      <c r="P161" s="83"/>
      <c r="Q161" s="83"/>
    </row>
    <row r="162" spans="2:17" ht="52.5" x14ac:dyDescent="0.35">
      <c r="B162" s="229" t="s">
        <v>463</v>
      </c>
      <c r="C162" s="206" t="s">
        <v>826</v>
      </c>
      <c r="D162" s="206" t="s">
        <v>477</v>
      </c>
      <c r="E162" s="205" t="s">
        <v>25</v>
      </c>
      <c r="F162" s="211" t="s">
        <v>971</v>
      </c>
      <c r="G162" s="79" t="s">
        <v>33</v>
      </c>
      <c r="H162" s="74" t="s">
        <v>43</v>
      </c>
      <c r="I162" s="78"/>
      <c r="J162" s="79"/>
      <c r="K162" s="77"/>
      <c r="L162" s="77"/>
      <c r="M162" s="77"/>
      <c r="N162" s="77"/>
      <c r="O162" s="79"/>
      <c r="P162" s="79"/>
      <c r="Q162" s="79"/>
    </row>
    <row r="163" spans="2:17" ht="112.5" x14ac:dyDescent="0.35">
      <c r="B163" s="229" t="s">
        <v>463</v>
      </c>
      <c r="C163" s="206"/>
      <c r="D163" s="206" t="s">
        <v>479</v>
      </c>
      <c r="E163" s="205" t="s">
        <v>25</v>
      </c>
      <c r="F163" s="211" t="s">
        <v>972</v>
      </c>
      <c r="G163" s="79" t="s">
        <v>33</v>
      </c>
      <c r="H163" s="74" t="s">
        <v>43</v>
      </c>
      <c r="I163" s="78"/>
      <c r="J163" s="79"/>
      <c r="K163" s="77"/>
      <c r="L163" s="77"/>
      <c r="M163" s="77"/>
      <c r="N163" s="77"/>
      <c r="O163" s="79"/>
      <c r="P163" s="79"/>
      <c r="Q163" s="79"/>
    </row>
    <row r="164" spans="2:17" ht="112.5" x14ac:dyDescent="0.35">
      <c r="B164" s="229" t="s">
        <v>463</v>
      </c>
      <c r="C164" s="206"/>
      <c r="D164" s="206" t="s">
        <v>480</v>
      </c>
      <c r="E164" s="205" t="s">
        <v>25</v>
      </c>
      <c r="F164" s="211" t="s">
        <v>973</v>
      </c>
      <c r="G164" s="79" t="s">
        <v>33</v>
      </c>
      <c r="H164" s="74" t="s">
        <v>43</v>
      </c>
      <c r="I164" s="78"/>
      <c r="J164" s="79"/>
      <c r="K164" s="77"/>
      <c r="L164" s="77"/>
      <c r="M164" s="77"/>
      <c r="N164" s="77"/>
      <c r="O164" s="79"/>
      <c r="P164" s="79"/>
      <c r="Q164" s="79"/>
    </row>
    <row r="165" spans="2:17" ht="63" x14ac:dyDescent="0.35">
      <c r="B165" s="229" t="s">
        <v>463</v>
      </c>
      <c r="C165" s="199" t="s">
        <v>476</v>
      </c>
      <c r="D165" s="199" t="s">
        <v>478</v>
      </c>
      <c r="E165" s="204" t="s">
        <v>25</v>
      </c>
      <c r="F165" s="219" t="s">
        <v>483</v>
      </c>
      <c r="G165" s="83" t="s">
        <v>33</v>
      </c>
      <c r="H165" s="75" t="s">
        <v>43</v>
      </c>
      <c r="I165" s="82"/>
      <c r="J165" s="83"/>
      <c r="K165" s="81"/>
      <c r="L165" s="81"/>
      <c r="M165" s="81"/>
      <c r="N165" s="81"/>
      <c r="O165" s="83"/>
      <c r="P165" s="83"/>
      <c r="Q165" s="83"/>
    </row>
    <row r="166" spans="2:17" ht="52.5" x14ac:dyDescent="0.35">
      <c r="B166" s="229" t="s">
        <v>463</v>
      </c>
      <c r="C166" s="199"/>
      <c r="D166" s="199" t="s">
        <v>481</v>
      </c>
      <c r="E166" s="204" t="s">
        <v>25</v>
      </c>
      <c r="F166" s="219" t="s">
        <v>484</v>
      </c>
      <c r="G166" s="83" t="s">
        <v>33</v>
      </c>
      <c r="H166" s="75" t="s">
        <v>43</v>
      </c>
      <c r="I166" s="82"/>
      <c r="J166" s="83"/>
      <c r="K166" s="81"/>
      <c r="L166" s="81"/>
      <c r="M166" s="81"/>
      <c r="N166" s="81"/>
      <c r="O166" s="83"/>
      <c r="P166" s="83"/>
      <c r="Q166" s="83"/>
    </row>
    <row r="167" spans="2:17" ht="73.5" x14ac:dyDescent="0.35">
      <c r="B167" s="229" t="s">
        <v>463</v>
      </c>
      <c r="C167" s="199"/>
      <c r="D167" s="199" t="s">
        <v>482</v>
      </c>
      <c r="E167" s="204" t="s">
        <v>25</v>
      </c>
      <c r="F167" s="219" t="s">
        <v>485</v>
      </c>
      <c r="G167" s="83" t="s">
        <v>33</v>
      </c>
      <c r="H167" s="75" t="s">
        <v>43</v>
      </c>
      <c r="I167" s="82"/>
      <c r="J167" s="83"/>
      <c r="K167" s="81"/>
      <c r="L167" s="81"/>
      <c r="M167" s="81"/>
      <c r="N167" s="81"/>
      <c r="O167" s="83"/>
      <c r="P167" s="83"/>
      <c r="Q167" s="83"/>
    </row>
    <row r="168" spans="2:17" ht="91.5" x14ac:dyDescent="0.35">
      <c r="B168" s="229" t="s">
        <v>463</v>
      </c>
      <c r="C168" s="206" t="s">
        <v>486</v>
      </c>
      <c r="D168" s="206" t="s">
        <v>488</v>
      </c>
      <c r="E168" s="205" t="s">
        <v>24</v>
      </c>
      <c r="F168" s="211" t="s">
        <v>974</v>
      </c>
      <c r="G168" s="79" t="s">
        <v>33</v>
      </c>
      <c r="H168" s="74" t="s">
        <v>43</v>
      </c>
      <c r="I168" s="78"/>
      <c r="J168" s="79"/>
      <c r="K168" s="77"/>
      <c r="L168" s="77"/>
      <c r="M168" s="77"/>
      <c r="N168" s="77"/>
      <c r="O168" s="79"/>
      <c r="P168" s="79"/>
      <c r="Q168" s="79"/>
    </row>
    <row r="169" spans="2:17" ht="51" x14ac:dyDescent="0.35">
      <c r="B169" s="229" t="s">
        <v>463</v>
      </c>
      <c r="C169" s="199" t="s">
        <v>487</v>
      </c>
      <c r="D169" s="199" t="s">
        <v>489</v>
      </c>
      <c r="E169" s="204" t="s">
        <v>24</v>
      </c>
      <c r="F169" s="192" t="s">
        <v>975</v>
      </c>
      <c r="G169" s="83" t="s">
        <v>33</v>
      </c>
      <c r="H169" s="74" t="s">
        <v>43</v>
      </c>
      <c r="I169" s="82"/>
      <c r="J169" s="83"/>
      <c r="K169" s="81"/>
      <c r="L169" s="81"/>
      <c r="M169" s="81"/>
      <c r="N169" s="81"/>
      <c r="O169" s="83"/>
      <c r="P169" s="83"/>
      <c r="Q169" s="83"/>
    </row>
    <row r="170" spans="2:17" ht="81" x14ac:dyDescent="0.35">
      <c r="B170" s="229" t="s">
        <v>463</v>
      </c>
      <c r="C170" s="206" t="s">
        <v>976</v>
      </c>
      <c r="D170" s="206" t="s">
        <v>490</v>
      </c>
      <c r="E170" s="205" t="s">
        <v>24</v>
      </c>
      <c r="F170" s="207" t="s">
        <v>977</v>
      </c>
      <c r="G170" s="79" t="s">
        <v>33</v>
      </c>
      <c r="H170" s="74" t="s">
        <v>43</v>
      </c>
      <c r="I170" s="78"/>
      <c r="J170" s="79"/>
      <c r="K170" s="77"/>
      <c r="L170" s="77"/>
      <c r="M170" s="77"/>
      <c r="N170" s="77"/>
      <c r="O170" s="79"/>
      <c r="P170" s="79"/>
      <c r="Q170" s="79"/>
    </row>
    <row r="171" spans="2:17" ht="42" x14ac:dyDescent="0.35">
      <c r="B171" s="229" t="s">
        <v>463</v>
      </c>
      <c r="C171" s="199" t="s">
        <v>498</v>
      </c>
      <c r="D171" s="199" t="s">
        <v>491</v>
      </c>
      <c r="E171" s="204" t="s">
        <v>24</v>
      </c>
      <c r="F171" s="219" t="s">
        <v>497</v>
      </c>
      <c r="G171" s="83" t="s">
        <v>33</v>
      </c>
      <c r="H171" s="75" t="s">
        <v>43</v>
      </c>
      <c r="I171" s="82"/>
      <c r="J171" s="83"/>
      <c r="K171" s="81"/>
      <c r="L171" s="81"/>
      <c r="M171" s="81"/>
      <c r="N171" s="81"/>
      <c r="O171" s="83"/>
      <c r="P171" s="83"/>
      <c r="Q171" s="83"/>
    </row>
    <row r="172" spans="2:17" ht="42" x14ac:dyDescent="0.35">
      <c r="B172" s="229" t="s">
        <v>463</v>
      </c>
      <c r="C172" s="199"/>
      <c r="D172" s="199" t="s">
        <v>978</v>
      </c>
      <c r="E172" s="204" t="s">
        <v>24</v>
      </c>
      <c r="F172" s="219" t="s">
        <v>500</v>
      </c>
      <c r="G172" s="83" t="s">
        <v>33</v>
      </c>
      <c r="H172" s="75" t="s">
        <v>43</v>
      </c>
      <c r="I172" s="82"/>
      <c r="J172" s="83"/>
      <c r="K172" s="81"/>
      <c r="L172" s="81"/>
      <c r="M172" s="81"/>
      <c r="N172" s="81"/>
      <c r="O172" s="83"/>
      <c r="P172" s="83"/>
      <c r="Q172" s="83"/>
    </row>
    <row r="173" spans="2:17" ht="42" x14ac:dyDescent="0.35">
      <c r="B173" s="229" t="s">
        <v>463</v>
      </c>
      <c r="C173" s="199"/>
      <c r="D173" s="199" t="s">
        <v>979</v>
      </c>
      <c r="E173" s="204" t="s">
        <v>24</v>
      </c>
      <c r="F173" s="219" t="s">
        <v>501</v>
      </c>
      <c r="G173" s="83" t="s">
        <v>33</v>
      </c>
      <c r="H173" s="75" t="s">
        <v>43</v>
      </c>
      <c r="I173" s="82"/>
      <c r="J173" s="83"/>
      <c r="K173" s="81"/>
      <c r="L173" s="81"/>
      <c r="M173" s="81"/>
      <c r="N173" s="81"/>
      <c r="O173" s="83"/>
      <c r="P173" s="83"/>
      <c r="Q173" s="83"/>
    </row>
    <row r="174" spans="2:17" ht="42" x14ac:dyDescent="0.35">
      <c r="B174" s="229" t="s">
        <v>463</v>
      </c>
      <c r="C174" s="199"/>
      <c r="D174" s="199" t="s">
        <v>980</v>
      </c>
      <c r="E174" s="204" t="s">
        <v>24</v>
      </c>
      <c r="F174" s="219" t="s">
        <v>502</v>
      </c>
      <c r="G174" s="83" t="s">
        <v>33</v>
      </c>
      <c r="H174" s="75" t="s">
        <v>43</v>
      </c>
      <c r="I174" s="82"/>
      <c r="J174" s="83"/>
      <c r="K174" s="81"/>
      <c r="L174" s="81"/>
      <c r="M174" s="81"/>
      <c r="N174" s="81"/>
      <c r="O174" s="83"/>
      <c r="P174" s="83"/>
      <c r="Q174" s="83"/>
    </row>
    <row r="175" spans="2:17" ht="52.5" x14ac:dyDescent="0.35">
      <c r="B175" s="229" t="s">
        <v>463</v>
      </c>
      <c r="C175" s="206" t="s">
        <v>503</v>
      </c>
      <c r="D175" s="206" t="s">
        <v>492</v>
      </c>
      <c r="E175" s="205" t="s">
        <v>24</v>
      </c>
      <c r="F175" s="211" t="s">
        <v>504</v>
      </c>
      <c r="G175" s="79" t="s">
        <v>33</v>
      </c>
      <c r="H175" s="74" t="s">
        <v>43</v>
      </c>
      <c r="I175" s="78"/>
      <c r="J175" s="79"/>
      <c r="K175" s="77"/>
      <c r="L175" s="77"/>
      <c r="M175" s="77"/>
      <c r="N175" s="77"/>
      <c r="O175" s="79"/>
      <c r="P175" s="79"/>
      <c r="Q175" s="79"/>
    </row>
    <row r="176" spans="2:17" ht="52.5" x14ac:dyDescent="0.35">
      <c r="B176" s="229" t="s">
        <v>463</v>
      </c>
      <c r="C176" s="206"/>
      <c r="D176" s="206" t="s">
        <v>981</v>
      </c>
      <c r="E176" s="205" t="s">
        <v>24</v>
      </c>
      <c r="F176" s="211" t="s">
        <v>505</v>
      </c>
      <c r="G176" s="79" t="s">
        <v>33</v>
      </c>
      <c r="H176" s="74" t="s">
        <v>43</v>
      </c>
      <c r="I176" s="78"/>
      <c r="J176" s="79"/>
      <c r="K176" s="77"/>
      <c r="L176" s="77"/>
      <c r="M176" s="77"/>
      <c r="N176" s="77"/>
      <c r="O176" s="79"/>
      <c r="P176" s="79"/>
      <c r="Q176" s="79"/>
    </row>
    <row r="177" spans="2:17" ht="42" x14ac:dyDescent="0.35">
      <c r="B177" s="229" t="s">
        <v>463</v>
      </c>
      <c r="C177" s="206"/>
      <c r="D177" s="206" t="s">
        <v>982</v>
      </c>
      <c r="E177" s="205" t="s">
        <v>24</v>
      </c>
      <c r="F177" s="211" t="s">
        <v>506</v>
      </c>
      <c r="G177" s="79" t="s">
        <v>33</v>
      </c>
      <c r="H177" s="74" t="s">
        <v>43</v>
      </c>
      <c r="I177" s="78"/>
      <c r="J177" s="79"/>
      <c r="K177" s="77"/>
      <c r="L177" s="77"/>
      <c r="M177" s="77"/>
      <c r="N177" s="77"/>
      <c r="O177" s="79"/>
      <c r="P177" s="79"/>
      <c r="Q177" s="79"/>
    </row>
    <row r="178" spans="2:17" ht="42" x14ac:dyDescent="0.35">
      <c r="B178" s="229" t="s">
        <v>463</v>
      </c>
      <c r="C178" s="206"/>
      <c r="D178" s="206" t="s">
        <v>983</v>
      </c>
      <c r="E178" s="205" t="s">
        <v>24</v>
      </c>
      <c r="F178" s="222" t="s">
        <v>507</v>
      </c>
      <c r="G178" s="79" t="s">
        <v>33</v>
      </c>
      <c r="H178" s="74" t="s">
        <v>43</v>
      </c>
      <c r="I178" s="78"/>
      <c r="J178" s="79"/>
      <c r="K178" s="77"/>
      <c r="L178" s="77"/>
      <c r="M178" s="77"/>
      <c r="N178" s="77"/>
      <c r="O178" s="79"/>
      <c r="P178" s="79"/>
      <c r="Q178" s="79"/>
    </row>
    <row r="179" spans="2:17" ht="73.5" x14ac:dyDescent="0.35">
      <c r="B179" s="229" t="s">
        <v>463</v>
      </c>
      <c r="C179" s="199" t="s">
        <v>984</v>
      </c>
      <c r="D179" s="199" t="s">
        <v>493</v>
      </c>
      <c r="E179" s="204" t="s">
        <v>25</v>
      </c>
      <c r="F179" s="198" t="s">
        <v>985</v>
      </c>
      <c r="G179" s="83" t="s">
        <v>33</v>
      </c>
      <c r="H179" s="74" t="s">
        <v>43</v>
      </c>
      <c r="I179" s="82"/>
      <c r="J179" s="83"/>
      <c r="K179" s="81"/>
      <c r="L179" s="81"/>
      <c r="M179" s="81"/>
      <c r="N179" s="81"/>
      <c r="O179" s="83"/>
      <c r="P179" s="83"/>
      <c r="Q179" s="83"/>
    </row>
    <row r="180" spans="2:17" ht="73.5" x14ac:dyDescent="0.35">
      <c r="B180" s="229" t="s">
        <v>463</v>
      </c>
      <c r="C180" s="199"/>
      <c r="D180" s="199" t="s">
        <v>986</v>
      </c>
      <c r="E180" s="204" t="s">
        <v>25</v>
      </c>
      <c r="F180" s="218" t="s">
        <v>987</v>
      </c>
      <c r="G180" s="86" t="s">
        <v>33</v>
      </c>
      <c r="H180" s="75" t="s">
        <v>43</v>
      </c>
      <c r="I180" s="81"/>
      <c r="J180" s="86"/>
      <c r="K180" s="81"/>
      <c r="L180" s="81"/>
      <c r="M180" s="81"/>
      <c r="N180" s="81"/>
      <c r="O180" s="86"/>
      <c r="P180" s="86"/>
      <c r="Q180" s="86"/>
    </row>
    <row r="181" spans="2:17" ht="111.5" x14ac:dyDescent="0.35">
      <c r="B181" s="229" t="s">
        <v>463</v>
      </c>
      <c r="C181" s="206" t="s">
        <v>988</v>
      </c>
      <c r="D181" s="206" t="s">
        <v>494</v>
      </c>
      <c r="E181" s="205" t="s">
        <v>25</v>
      </c>
      <c r="F181" s="222" t="s">
        <v>989</v>
      </c>
      <c r="G181" s="85" t="s">
        <v>33</v>
      </c>
      <c r="H181" s="75" t="s">
        <v>43</v>
      </c>
      <c r="I181" s="77"/>
      <c r="J181" s="85"/>
      <c r="K181" s="77"/>
      <c r="L181" s="77"/>
      <c r="M181" s="77"/>
      <c r="N181" s="77"/>
      <c r="O181" s="85"/>
      <c r="P181" s="85"/>
      <c r="Q181" s="85"/>
    </row>
    <row r="182" spans="2:17" ht="52.5" x14ac:dyDescent="0.35">
      <c r="B182" s="229" t="s">
        <v>463</v>
      </c>
      <c r="C182" s="199" t="s">
        <v>990</v>
      </c>
      <c r="D182" s="199" t="s">
        <v>495</v>
      </c>
      <c r="E182" s="204" t="s">
        <v>25</v>
      </c>
      <c r="F182" s="218" t="s">
        <v>991</v>
      </c>
      <c r="G182" s="86" t="s">
        <v>33</v>
      </c>
      <c r="H182" s="75" t="s">
        <v>43</v>
      </c>
      <c r="I182" s="81"/>
      <c r="J182" s="86"/>
      <c r="K182" s="81"/>
      <c r="L182" s="81"/>
      <c r="M182" s="81"/>
      <c r="N182" s="81"/>
      <c r="O182" s="86"/>
      <c r="P182" s="86"/>
      <c r="Q182" s="86"/>
    </row>
    <row r="183" spans="2:17" ht="42" x14ac:dyDescent="0.35">
      <c r="B183" s="229" t="s">
        <v>463</v>
      </c>
      <c r="C183" s="199"/>
      <c r="D183" s="199" t="s">
        <v>992</v>
      </c>
      <c r="E183" s="204" t="s">
        <v>25</v>
      </c>
      <c r="F183" s="218" t="s">
        <v>993</v>
      </c>
      <c r="G183" s="86" t="s">
        <v>33</v>
      </c>
      <c r="H183" s="75" t="s">
        <v>43</v>
      </c>
      <c r="I183" s="81"/>
      <c r="J183" s="86"/>
      <c r="K183" s="81"/>
      <c r="L183" s="81"/>
      <c r="M183" s="81"/>
      <c r="N183" s="81"/>
      <c r="O183" s="86"/>
      <c r="P183" s="86"/>
      <c r="Q183" s="86"/>
    </row>
    <row r="184" spans="2:17" ht="142" x14ac:dyDescent="0.35">
      <c r="B184" s="229" t="s">
        <v>463</v>
      </c>
      <c r="C184" s="199"/>
      <c r="D184" s="199" t="s">
        <v>994</v>
      </c>
      <c r="E184" s="204" t="s">
        <v>25</v>
      </c>
      <c r="F184" s="218" t="s">
        <v>995</v>
      </c>
      <c r="G184" s="86" t="s">
        <v>33</v>
      </c>
      <c r="H184" s="75" t="s">
        <v>43</v>
      </c>
      <c r="I184" s="81"/>
      <c r="J184" s="86"/>
      <c r="K184" s="81"/>
      <c r="L184" s="81"/>
      <c r="M184" s="81"/>
      <c r="N184" s="81"/>
      <c r="O184" s="86"/>
      <c r="P184" s="86"/>
      <c r="Q184" s="86"/>
    </row>
    <row r="185" spans="2:17" ht="122" x14ac:dyDescent="0.35">
      <c r="B185" s="229" t="s">
        <v>463</v>
      </c>
      <c r="C185" s="206" t="s">
        <v>996</v>
      </c>
      <c r="D185" s="206" t="s">
        <v>496</v>
      </c>
      <c r="E185" s="205" t="s">
        <v>25</v>
      </c>
      <c r="F185" s="222" t="s">
        <v>997</v>
      </c>
      <c r="G185" s="85" t="s">
        <v>33</v>
      </c>
      <c r="H185" s="74" t="s">
        <v>43</v>
      </c>
      <c r="I185" s="77"/>
      <c r="J185" s="85"/>
      <c r="K185" s="77"/>
      <c r="L185" s="77"/>
      <c r="M185" s="77"/>
      <c r="N185" s="77"/>
      <c r="O185" s="85"/>
      <c r="P185" s="85"/>
      <c r="Q185" s="85"/>
    </row>
    <row r="186" spans="2:17" ht="112" x14ac:dyDescent="0.35">
      <c r="B186" s="229" t="s">
        <v>463</v>
      </c>
      <c r="C186" s="206"/>
      <c r="D186" s="206" t="s">
        <v>499</v>
      </c>
      <c r="E186" s="205" t="s">
        <v>25</v>
      </c>
      <c r="F186" s="222" t="s">
        <v>998</v>
      </c>
      <c r="G186" s="85" t="s">
        <v>33</v>
      </c>
      <c r="H186" s="74" t="s">
        <v>43</v>
      </c>
      <c r="I186" s="77"/>
      <c r="J186" s="85"/>
      <c r="K186" s="77"/>
      <c r="L186" s="77"/>
      <c r="M186" s="77"/>
      <c r="N186" s="77"/>
      <c r="O186" s="85"/>
      <c r="P186" s="85"/>
      <c r="Q186" s="85"/>
    </row>
    <row r="187" spans="2:17" ht="111" x14ac:dyDescent="0.35">
      <c r="B187" s="228" t="s">
        <v>4</v>
      </c>
      <c r="C187" s="199" t="s">
        <v>508</v>
      </c>
      <c r="D187" s="199" t="s">
        <v>509</v>
      </c>
      <c r="E187" s="204" t="s">
        <v>24</v>
      </c>
      <c r="F187" s="199" t="s">
        <v>999</v>
      </c>
      <c r="G187" s="86" t="s">
        <v>33</v>
      </c>
      <c r="H187" s="75" t="s">
        <v>43</v>
      </c>
      <c r="I187" s="81"/>
      <c r="J187" s="86"/>
      <c r="K187" s="81"/>
      <c r="L187" s="81"/>
      <c r="M187" s="81"/>
      <c r="N187" s="81"/>
      <c r="O187" s="86"/>
      <c r="P187" s="86"/>
      <c r="Q187" s="86"/>
    </row>
    <row r="188" spans="2:17" ht="61.5" x14ac:dyDescent="0.35">
      <c r="B188" s="228" t="s">
        <v>4</v>
      </c>
      <c r="C188" s="199"/>
      <c r="D188" s="199" t="s">
        <v>510</v>
      </c>
      <c r="E188" s="204" t="s">
        <v>24</v>
      </c>
      <c r="F188" s="199" t="s">
        <v>1000</v>
      </c>
      <c r="G188" s="86" t="s">
        <v>33</v>
      </c>
      <c r="H188" s="75" t="s">
        <v>43</v>
      </c>
      <c r="I188" s="81"/>
      <c r="J188" s="86"/>
      <c r="K188" s="81"/>
      <c r="L188" s="81"/>
      <c r="M188" s="81"/>
      <c r="N188" s="81"/>
      <c r="O188" s="86"/>
      <c r="P188" s="86"/>
      <c r="Q188" s="86"/>
    </row>
    <row r="189" spans="2:17" ht="132" x14ac:dyDescent="0.35">
      <c r="B189" s="228" t="s">
        <v>4</v>
      </c>
      <c r="C189" s="199"/>
      <c r="D189" s="199" t="s">
        <v>511</v>
      </c>
      <c r="E189" s="204" t="s">
        <v>24</v>
      </c>
      <c r="F189" s="199" t="s">
        <v>1001</v>
      </c>
      <c r="G189" s="86" t="s">
        <v>33</v>
      </c>
      <c r="H189" s="75" t="s">
        <v>43</v>
      </c>
      <c r="I189" s="82"/>
      <c r="J189" s="86"/>
      <c r="K189" s="88"/>
      <c r="L189" s="88"/>
      <c r="M189" s="88"/>
      <c r="N189" s="88"/>
      <c r="O189" s="86"/>
      <c r="P189" s="86"/>
      <c r="Q189" s="86"/>
    </row>
    <row r="190" spans="2:17" ht="31.5" x14ac:dyDescent="0.35">
      <c r="B190" s="228" t="s">
        <v>4</v>
      </c>
      <c r="C190" s="206" t="s">
        <v>512</v>
      </c>
      <c r="D190" s="206" t="s">
        <v>514</v>
      </c>
      <c r="E190" s="205" t="s">
        <v>24</v>
      </c>
      <c r="F190" s="211" t="s">
        <v>1002</v>
      </c>
      <c r="G190" s="85" t="s">
        <v>33</v>
      </c>
      <c r="H190" s="74" t="s">
        <v>43</v>
      </c>
      <c r="I190" s="78"/>
      <c r="J190" s="85"/>
      <c r="K190" s="87"/>
      <c r="L190" s="87"/>
      <c r="M190" s="87"/>
      <c r="N190" s="87"/>
      <c r="O190" s="85"/>
      <c r="P190" s="85"/>
      <c r="Q190" s="85"/>
    </row>
    <row r="191" spans="2:17" ht="31.5" x14ac:dyDescent="0.35">
      <c r="B191" s="228" t="s">
        <v>4</v>
      </c>
      <c r="C191" s="206"/>
      <c r="D191" s="206" t="s">
        <v>516</v>
      </c>
      <c r="E191" s="205" t="s">
        <v>24</v>
      </c>
      <c r="F191" s="211" t="s">
        <v>520</v>
      </c>
      <c r="G191" s="85" t="s">
        <v>33</v>
      </c>
      <c r="H191" s="74" t="s">
        <v>43</v>
      </c>
      <c r="I191" s="78"/>
      <c r="J191" s="85"/>
      <c r="K191" s="87"/>
      <c r="L191" s="87"/>
      <c r="M191" s="87"/>
      <c r="N191" s="87"/>
      <c r="O191" s="85"/>
      <c r="P191" s="85"/>
      <c r="Q191" s="85"/>
    </row>
    <row r="192" spans="2:17" ht="31.5" x14ac:dyDescent="0.35">
      <c r="B192" s="228" t="s">
        <v>4</v>
      </c>
      <c r="C192" s="206"/>
      <c r="D192" s="206" t="s">
        <v>517</v>
      </c>
      <c r="E192" s="205" t="s">
        <v>24</v>
      </c>
      <c r="F192" s="211" t="s">
        <v>1003</v>
      </c>
      <c r="G192" s="85" t="s">
        <v>33</v>
      </c>
      <c r="H192" s="74" t="s">
        <v>43</v>
      </c>
      <c r="I192" s="87"/>
      <c r="J192" s="85"/>
      <c r="K192" s="87"/>
      <c r="L192" s="87"/>
      <c r="M192" s="87"/>
      <c r="N192" s="87"/>
      <c r="O192" s="85"/>
      <c r="P192" s="85"/>
      <c r="Q192" s="85"/>
    </row>
    <row r="193" spans="2:17" ht="31.5" x14ac:dyDescent="0.35">
      <c r="B193" s="228" t="s">
        <v>4</v>
      </c>
      <c r="C193" s="206"/>
      <c r="D193" s="206" t="s">
        <v>518</v>
      </c>
      <c r="E193" s="205" t="s">
        <v>24</v>
      </c>
      <c r="F193" s="211" t="s">
        <v>1004</v>
      </c>
      <c r="G193" s="85" t="s">
        <v>33</v>
      </c>
      <c r="H193" s="74" t="s">
        <v>43</v>
      </c>
      <c r="I193" s="87"/>
      <c r="J193" s="85"/>
      <c r="K193" s="87"/>
      <c r="L193" s="87"/>
      <c r="M193" s="87"/>
      <c r="N193" s="87"/>
      <c r="O193" s="85"/>
      <c r="P193" s="85"/>
      <c r="Q193" s="85"/>
    </row>
    <row r="194" spans="2:17" ht="121.5" x14ac:dyDescent="0.35">
      <c r="B194" s="228" t="s">
        <v>4</v>
      </c>
      <c r="C194" s="206"/>
      <c r="D194" s="206" t="s">
        <v>1005</v>
      </c>
      <c r="E194" s="205" t="s">
        <v>24</v>
      </c>
      <c r="F194" s="211" t="s">
        <v>1006</v>
      </c>
      <c r="G194" s="85" t="s">
        <v>33</v>
      </c>
      <c r="H194" s="74" t="s">
        <v>43</v>
      </c>
      <c r="I194" s="87"/>
      <c r="J194" s="85"/>
      <c r="K194" s="87"/>
      <c r="L194" s="87"/>
      <c r="M194" s="87"/>
      <c r="N194" s="87"/>
      <c r="O194" s="85"/>
      <c r="P194" s="85"/>
      <c r="Q194" s="85"/>
    </row>
    <row r="195" spans="2:17" ht="42" x14ac:dyDescent="0.35">
      <c r="B195" s="228" t="s">
        <v>4</v>
      </c>
      <c r="C195" s="206"/>
      <c r="D195" s="206" t="s">
        <v>1007</v>
      </c>
      <c r="E195" s="205" t="s">
        <v>24</v>
      </c>
      <c r="F195" s="211" t="s">
        <v>1008</v>
      </c>
      <c r="G195" s="85" t="s">
        <v>33</v>
      </c>
      <c r="H195" s="74" t="s">
        <v>43</v>
      </c>
      <c r="I195" s="87"/>
      <c r="J195" s="85"/>
      <c r="K195" s="87"/>
      <c r="L195" s="87"/>
      <c r="M195" s="87"/>
      <c r="N195" s="87"/>
      <c r="O195" s="85"/>
      <c r="P195" s="85"/>
      <c r="Q195" s="85"/>
    </row>
    <row r="196" spans="2:17" ht="50" x14ac:dyDescent="0.35">
      <c r="B196" s="228" t="s">
        <v>4</v>
      </c>
      <c r="C196" s="199" t="s">
        <v>513</v>
      </c>
      <c r="D196" s="199" t="s">
        <v>515</v>
      </c>
      <c r="E196" s="204" t="s">
        <v>25</v>
      </c>
      <c r="F196" s="219" t="s">
        <v>521</v>
      </c>
      <c r="G196" s="86" t="s">
        <v>33</v>
      </c>
      <c r="H196" s="75" t="s">
        <v>43</v>
      </c>
      <c r="I196" s="88"/>
      <c r="J196" s="86"/>
      <c r="K196" s="88"/>
      <c r="L196" s="88"/>
      <c r="M196" s="88"/>
      <c r="N196" s="88"/>
      <c r="O196" s="86"/>
      <c r="P196" s="86"/>
      <c r="Q196" s="86"/>
    </row>
    <row r="197" spans="2:17" ht="31.5" x14ac:dyDescent="0.35">
      <c r="B197" s="228" t="s">
        <v>4</v>
      </c>
      <c r="C197" s="199"/>
      <c r="D197" s="199" t="s">
        <v>519</v>
      </c>
      <c r="E197" s="204" t="s">
        <v>25</v>
      </c>
      <c r="F197" s="219" t="s">
        <v>522</v>
      </c>
      <c r="G197" s="86" t="s">
        <v>33</v>
      </c>
      <c r="H197" s="75" t="s">
        <v>43</v>
      </c>
      <c r="I197" s="88"/>
      <c r="J197" s="86"/>
      <c r="K197" s="88"/>
      <c r="L197" s="88"/>
      <c r="M197" s="88"/>
      <c r="N197" s="88"/>
      <c r="O197" s="86"/>
      <c r="P197" s="86"/>
      <c r="Q197" s="86"/>
    </row>
    <row r="198" spans="2:17" ht="30" x14ac:dyDescent="0.35">
      <c r="B198" s="228" t="s">
        <v>4</v>
      </c>
      <c r="C198" s="206" t="s">
        <v>1009</v>
      </c>
      <c r="D198" s="206" t="s">
        <v>524</v>
      </c>
      <c r="E198" s="205" t="s">
        <v>24</v>
      </c>
      <c r="F198" s="211" t="s">
        <v>523</v>
      </c>
      <c r="G198" s="85" t="s">
        <v>33</v>
      </c>
      <c r="H198" s="74" t="s">
        <v>43</v>
      </c>
      <c r="I198" s="87"/>
      <c r="J198" s="85"/>
      <c r="K198" s="87"/>
      <c r="L198" s="87"/>
      <c r="M198" s="87"/>
      <c r="N198" s="87"/>
      <c r="O198" s="85"/>
      <c r="P198" s="85"/>
      <c r="Q198" s="85"/>
    </row>
    <row r="199" spans="2:17" ht="132.5" x14ac:dyDescent="0.35">
      <c r="B199" s="228" t="s">
        <v>4</v>
      </c>
      <c r="C199" s="206"/>
      <c r="D199" s="206" t="s">
        <v>1010</v>
      </c>
      <c r="E199" s="205" t="s">
        <v>24</v>
      </c>
      <c r="F199" s="211" t="s">
        <v>1011</v>
      </c>
      <c r="G199" s="85" t="s">
        <v>33</v>
      </c>
      <c r="H199" s="74" t="s">
        <v>43</v>
      </c>
      <c r="I199" s="87"/>
      <c r="J199" s="85"/>
      <c r="K199" s="87"/>
      <c r="L199" s="87"/>
      <c r="M199" s="87"/>
      <c r="N199" s="87"/>
      <c r="O199" s="85"/>
      <c r="P199" s="85"/>
      <c r="Q199" s="85"/>
    </row>
    <row r="200" spans="2:17" ht="132.5" x14ac:dyDescent="0.35">
      <c r="B200" s="228" t="s">
        <v>4</v>
      </c>
      <c r="C200" s="206"/>
      <c r="D200" s="206" t="s">
        <v>1012</v>
      </c>
      <c r="E200" s="205" t="s">
        <v>24</v>
      </c>
      <c r="F200" s="211" t="s">
        <v>1013</v>
      </c>
      <c r="G200" s="85" t="s">
        <v>33</v>
      </c>
      <c r="H200" s="74" t="s">
        <v>43</v>
      </c>
      <c r="I200" s="87"/>
      <c r="J200" s="85"/>
      <c r="K200" s="87"/>
      <c r="L200" s="87"/>
      <c r="M200" s="87"/>
      <c r="N200" s="87"/>
      <c r="O200" s="85"/>
      <c r="P200" s="85"/>
      <c r="Q200" s="85"/>
    </row>
    <row r="201" spans="2:17" ht="111.5" x14ac:dyDescent="0.35">
      <c r="B201" s="228" t="s">
        <v>4</v>
      </c>
      <c r="C201" s="199" t="s">
        <v>1014</v>
      </c>
      <c r="D201" s="199" t="s">
        <v>525</v>
      </c>
      <c r="E201" s="204" t="s">
        <v>24</v>
      </c>
      <c r="F201" s="192" t="s">
        <v>1015</v>
      </c>
      <c r="G201" s="86" t="s">
        <v>33</v>
      </c>
      <c r="H201" s="75" t="s">
        <v>43</v>
      </c>
      <c r="I201" s="88"/>
      <c r="J201" s="86"/>
      <c r="K201" s="88"/>
      <c r="L201" s="88"/>
      <c r="M201" s="88"/>
      <c r="N201" s="88"/>
      <c r="O201" s="86"/>
      <c r="P201" s="86"/>
      <c r="Q201" s="86"/>
    </row>
    <row r="202" spans="2:17" ht="21" x14ac:dyDescent="0.35">
      <c r="B202" s="228" t="s">
        <v>4</v>
      </c>
      <c r="C202" s="206" t="s">
        <v>1016</v>
      </c>
      <c r="D202" s="206" t="s">
        <v>526</v>
      </c>
      <c r="E202" s="205" t="s">
        <v>24</v>
      </c>
      <c r="F202" s="192" t="s">
        <v>1017</v>
      </c>
      <c r="G202" s="85" t="s">
        <v>33</v>
      </c>
      <c r="H202" s="74" t="s">
        <v>43</v>
      </c>
      <c r="I202" s="87"/>
      <c r="J202" s="85"/>
      <c r="K202" s="87"/>
      <c r="L202" s="87"/>
      <c r="M202" s="87"/>
      <c r="N202" s="87"/>
      <c r="O202" s="85"/>
      <c r="P202" s="85"/>
      <c r="Q202" s="85"/>
    </row>
    <row r="203" spans="2:17" ht="31.5" x14ac:dyDescent="0.35">
      <c r="B203" s="228" t="s">
        <v>4</v>
      </c>
      <c r="C203" s="199" t="s">
        <v>1018</v>
      </c>
      <c r="D203" s="199" t="s">
        <v>527</v>
      </c>
      <c r="E203" s="204" t="s">
        <v>24</v>
      </c>
      <c r="F203" s="219" t="s">
        <v>1018</v>
      </c>
      <c r="G203" s="86" t="s">
        <v>33</v>
      </c>
      <c r="H203" s="75" t="s">
        <v>43</v>
      </c>
      <c r="I203" s="88"/>
      <c r="J203" s="86"/>
      <c r="K203" s="88"/>
      <c r="L203" s="88"/>
      <c r="M203" s="88"/>
      <c r="N203" s="88"/>
      <c r="O203" s="86"/>
      <c r="P203" s="86"/>
      <c r="Q203" s="86"/>
    </row>
    <row r="204" spans="2:17" ht="42" x14ac:dyDescent="0.35">
      <c r="B204" s="228" t="s">
        <v>4</v>
      </c>
      <c r="C204" s="206" t="s">
        <v>1019</v>
      </c>
      <c r="D204" s="206" t="s">
        <v>528</v>
      </c>
      <c r="E204" s="205" t="s">
        <v>24</v>
      </c>
      <c r="F204" s="211" t="s">
        <v>1020</v>
      </c>
      <c r="G204" s="85" t="s">
        <v>33</v>
      </c>
      <c r="H204" s="74" t="s">
        <v>43</v>
      </c>
      <c r="I204" s="78"/>
      <c r="J204" s="85"/>
      <c r="K204" s="87"/>
      <c r="L204" s="87"/>
      <c r="M204" s="87"/>
      <c r="N204" s="87"/>
      <c r="O204" s="85"/>
      <c r="P204" s="85"/>
      <c r="Q204" s="85"/>
    </row>
    <row r="205" spans="2:17" ht="21" x14ac:dyDescent="0.35">
      <c r="B205" s="228" t="s">
        <v>4</v>
      </c>
      <c r="C205" s="206"/>
      <c r="D205" s="206" t="s">
        <v>529</v>
      </c>
      <c r="E205" s="205" t="s">
        <v>24</v>
      </c>
      <c r="F205" s="211" t="s">
        <v>1021</v>
      </c>
      <c r="G205" s="85" t="s">
        <v>33</v>
      </c>
      <c r="H205" s="74" t="s">
        <v>43</v>
      </c>
      <c r="I205" s="78"/>
      <c r="J205" s="85"/>
      <c r="K205" s="87"/>
      <c r="L205" s="87"/>
      <c r="M205" s="87"/>
      <c r="N205" s="87"/>
      <c r="O205" s="85"/>
      <c r="P205" s="85"/>
      <c r="Q205" s="85"/>
    </row>
    <row r="206" spans="2:17" ht="21" x14ac:dyDescent="0.35">
      <c r="B206" s="228" t="s">
        <v>4</v>
      </c>
      <c r="C206" s="206"/>
      <c r="D206" s="206" t="s">
        <v>530</v>
      </c>
      <c r="E206" s="205" t="s">
        <v>24</v>
      </c>
      <c r="F206" s="211" t="s">
        <v>1022</v>
      </c>
      <c r="G206" s="85" t="s">
        <v>33</v>
      </c>
      <c r="H206" s="74" t="s">
        <v>43</v>
      </c>
      <c r="I206" s="87"/>
      <c r="J206" s="85"/>
      <c r="K206" s="87"/>
      <c r="L206" s="87"/>
      <c r="M206" s="87"/>
      <c r="N206" s="87"/>
      <c r="O206" s="85"/>
      <c r="P206" s="85"/>
      <c r="Q206" s="85"/>
    </row>
    <row r="207" spans="2:17" ht="141" x14ac:dyDescent="0.35">
      <c r="B207" s="228" t="s">
        <v>4</v>
      </c>
      <c r="C207" s="199" t="s">
        <v>531</v>
      </c>
      <c r="D207" s="199" t="s">
        <v>532</v>
      </c>
      <c r="E207" s="204" t="s">
        <v>24</v>
      </c>
      <c r="F207" s="199" t="s">
        <v>1023</v>
      </c>
      <c r="G207" s="86" t="s">
        <v>33</v>
      </c>
      <c r="H207" s="75" t="s">
        <v>43</v>
      </c>
      <c r="I207" s="88"/>
      <c r="J207" s="86"/>
      <c r="K207" s="88"/>
      <c r="L207" s="88"/>
      <c r="M207" s="88"/>
      <c r="N207" s="88"/>
      <c r="O207" s="86"/>
      <c r="P207" s="86"/>
      <c r="Q207" s="86"/>
    </row>
    <row r="208" spans="2:17" ht="171.5" x14ac:dyDescent="0.35">
      <c r="B208" s="228" t="s">
        <v>4</v>
      </c>
      <c r="C208" s="199"/>
      <c r="D208" s="199" t="s">
        <v>533</v>
      </c>
      <c r="E208" s="204" t="s">
        <v>24</v>
      </c>
      <c r="F208" s="199" t="s">
        <v>1024</v>
      </c>
      <c r="G208" s="86" t="s">
        <v>33</v>
      </c>
      <c r="H208" s="75" t="s">
        <v>43</v>
      </c>
      <c r="I208" s="88"/>
      <c r="J208" s="86"/>
      <c r="K208" s="88"/>
      <c r="L208" s="88"/>
      <c r="M208" s="88"/>
      <c r="N208" s="88"/>
      <c r="O208" s="86"/>
      <c r="P208" s="86"/>
      <c r="Q208" s="86"/>
    </row>
    <row r="209" spans="2:17" ht="91.5" x14ac:dyDescent="0.35">
      <c r="B209" s="228" t="s">
        <v>4</v>
      </c>
      <c r="C209" s="206" t="s">
        <v>1025</v>
      </c>
      <c r="D209" s="206" t="s">
        <v>534</v>
      </c>
      <c r="E209" s="205" t="s">
        <v>24</v>
      </c>
      <c r="F209" s="206" t="s">
        <v>1026</v>
      </c>
      <c r="G209" s="85" t="s">
        <v>33</v>
      </c>
      <c r="H209" s="74" t="s">
        <v>43</v>
      </c>
      <c r="I209" s="87"/>
      <c r="J209" s="85"/>
      <c r="K209" s="87"/>
      <c r="L209" s="87"/>
      <c r="M209" s="87"/>
      <c r="N209" s="87"/>
      <c r="O209" s="85"/>
      <c r="P209" s="85"/>
      <c r="Q209" s="85"/>
    </row>
    <row r="210" spans="2:17" ht="91.5" x14ac:dyDescent="0.35">
      <c r="B210" s="228" t="s">
        <v>4</v>
      </c>
      <c r="C210" s="206"/>
      <c r="D210" s="206" t="s">
        <v>535</v>
      </c>
      <c r="E210" s="205" t="s">
        <v>24</v>
      </c>
      <c r="F210" s="213" t="s">
        <v>1027</v>
      </c>
      <c r="G210" s="85" t="s">
        <v>33</v>
      </c>
      <c r="H210" s="74" t="s">
        <v>43</v>
      </c>
      <c r="I210" s="87"/>
      <c r="J210" s="85"/>
      <c r="K210" s="87"/>
      <c r="L210" s="87"/>
      <c r="M210" s="87"/>
      <c r="N210" s="87"/>
      <c r="O210" s="85"/>
      <c r="P210" s="85"/>
      <c r="Q210" s="85"/>
    </row>
    <row r="211" spans="2:17" ht="81.5" x14ac:dyDescent="0.35">
      <c r="B211" s="228" t="s">
        <v>4</v>
      </c>
      <c r="C211" s="206"/>
      <c r="D211" s="206" t="s">
        <v>536</v>
      </c>
      <c r="E211" s="205" t="s">
        <v>24</v>
      </c>
      <c r="F211" s="206" t="s">
        <v>1028</v>
      </c>
      <c r="G211" s="85" t="s">
        <v>33</v>
      </c>
      <c r="H211" s="74" t="s">
        <v>43</v>
      </c>
      <c r="I211" s="87"/>
      <c r="J211" s="85"/>
      <c r="K211" s="87"/>
      <c r="L211" s="87"/>
      <c r="M211" s="87"/>
      <c r="N211" s="87"/>
      <c r="O211" s="85"/>
      <c r="P211" s="85"/>
      <c r="Q211" s="85"/>
    </row>
    <row r="212" spans="2:17" ht="71.5" x14ac:dyDescent="0.35">
      <c r="B212" s="228" t="s">
        <v>4</v>
      </c>
      <c r="C212" s="206"/>
      <c r="D212" s="206" t="s">
        <v>537</v>
      </c>
      <c r="E212" s="205" t="s">
        <v>24</v>
      </c>
      <c r="F212" s="206" t="s">
        <v>1029</v>
      </c>
      <c r="G212" s="85" t="s">
        <v>33</v>
      </c>
      <c r="H212" s="74" t="s">
        <v>43</v>
      </c>
      <c r="I212" s="87"/>
      <c r="J212" s="85"/>
      <c r="K212" s="87"/>
      <c r="L212" s="87"/>
      <c r="M212" s="87"/>
      <c r="N212" s="87"/>
      <c r="O212" s="85"/>
      <c r="P212" s="85"/>
      <c r="Q212" s="85"/>
    </row>
    <row r="213" spans="2:17" ht="111.5" x14ac:dyDescent="0.35">
      <c r="B213" s="228" t="s">
        <v>4</v>
      </c>
      <c r="C213" s="206"/>
      <c r="D213" s="206" t="s">
        <v>538</v>
      </c>
      <c r="E213" s="205" t="s">
        <v>24</v>
      </c>
      <c r="F213" s="213" t="s">
        <v>1030</v>
      </c>
      <c r="G213" s="85" t="s">
        <v>33</v>
      </c>
      <c r="H213" s="74" t="s">
        <v>43</v>
      </c>
      <c r="I213" s="78"/>
      <c r="J213" s="85"/>
      <c r="K213" s="87"/>
      <c r="L213" s="87"/>
      <c r="M213" s="87"/>
      <c r="N213" s="87"/>
      <c r="O213" s="85"/>
      <c r="P213" s="85"/>
      <c r="Q213" s="85"/>
    </row>
    <row r="214" spans="2:17" ht="71.5" x14ac:dyDescent="0.35">
      <c r="B214" s="228" t="s">
        <v>4</v>
      </c>
      <c r="C214" s="206"/>
      <c r="D214" s="206" t="s">
        <v>539</v>
      </c>
      <c r="E214" s="205" t="s">
        <v>24</v>
      </c>
      <c r="F214" s="206" t="s">
        <v>1031</v>
      </c>
      <c r="G214" s="85" t="s">
        <v>33</v>
      </c>
      <c r="H214" s="74" t="s">
        <v>43</v>
      </c>
      <c r="I214" s="78"/>
      <c r="J214" s="85"/>
      <c r="K214" s="87"/>
      <c r="L214" s="87"/>
      <c r="M214" s="87"/>
      <c r="N214" s="87"/>
      <c r="O214" s="85"/>
      <c r="P214" s="85"/>
      <c r="Q214" s="85"/>
    </row>
    <row r="215" spans="2:17" ht="102" x14ac:dyDescent="0.35">
      <c r="B215" s="228" t="s">
        <v>4</v>
      </c>
      <c r="C215" s="206"/>
      <c r="D215" s="206" t="s">
        <v>540</v>
      </c>
      <c r="E215" s="205" t="s">
        <v>24</v>
      </c>
      <c r="F215" s="206" t="s">
        <v>1032</v>
      </c>
      <c r="G215" s="85" t="s">
        <v>33</v>
      </c>
      <c r="H215" s="74" t="s">
        <v>43</v>
      </c>
      <c r="I215" s="78"/>
      <c r="J215" s="85"/>
      <c r="K215" s="87"/>
      <c r="L215" s="87"/>
      <c r="M215" s="87"/>
      <c r="N215" s="87"/>
      <c r="O215" s="85"/>
      <c r="P215" s="85"/>
      <c r="Q215" s="85"/>
    </row>
    <row r="216" spans="2:17" ht="31.5" x14ac:dyDescent="0.35">
      <c r="B216" s="228" t="s">
        <v>4</v>
      </c>
      <c r="C216" s="199" t="s">
        <v>541</v>
      </c>
      <c r="D216" s="199" t="s">
        <v>542</v>
      </c>
      <c r="E216" s="204" t="s">
        <v>25</v>
      </c>
      <c r="F216" s="219" t="s">
        <v>546</v>
      </c>
      <c r="G216" s="86" t="s">
        <v>33</v>
      </c>
      <c r="H216" s="75" t="s">
        <v>43</v>
      </c>
      <c r="I216" s="82"/>
      <c r="J216" s="86"/>
      <c r="K216" s="88"/>
      <c r="L216" s="88"/>
      <c r="M216" s="88"/>
      <c r="N216" s="88"/>
      <c r="O216" s="86"/>
      <c r="P216" s="86"/>
      <c r="Q216" s="86"/>
    </row>
    <row r="217" spans="2:17" ht="31.5" x14ac:dyDescent="0.35">
      <c r="B217" s="228" t="s">
        <v>4</v>
      </c>
      <c r="C217" s="199"/>
      <c r="D217" s="199" t="s">
        <v>544</v>
      </c>
      <c r="E217" s="204" t="s">
        <v>25</v>
      </c>
      <c r="F217" s="219" t="s">
        <v>636</v>
      </c>
      <c r="G217" s="86" t="s">
        <v>33</v>
      </c>
      <c r="H217" s="75" t="s">
        <v>43</v>
      </c>
      <c r="I217" s="82"/>
      <c r="J217" s="86"/>
      <c r="K217" s="88"/>
      <c r="L217" s="88"/>
      <c r="M217" s="88"/>
      <c r="N217" s="88"/>
      <c r="O217" s="86"/>
      <c r="P217" s="86"/>
      <c r="Q217" s="86"/>
    </row>
    <row r="218" spans="2:17" ht="132.5" x14ac:dyDescent="0.35">
      <c r="B218" s="228" t="s">
        <v>4</v>
      </c>
      <c r="C218" s="206" t="s">
        <v>1033</v>
      </c>
      <c r="D218" s="206" t="s">
        <v>543</v>
      </c>
      <c r="E218" s="205" t="s">
        <v>25</v>
      </c>
      <c r="F218" s="225" t="s">
        <v>1034</v>
      </c>
      <c r="G218" s="85" t="s">
        <v>33</v>
      </c>
      <c r="H218" s="74" t="s">
        <v>43</v>
      </c>
      <c r="I218" s="78"/>
      <c r="J218" s="85"/>
      <c r="K218" s="87"/>
      <c r="L218" s="87"/>
      <c r="M218" s="87"/>
      <c r="N218" s="87"/>
      <c r="O218" s="85"/>
      <c r="P218" s="85"/>
      <c r="Q218" s="85"/>
    </row>
    <row r="219" spans="2:17" ht="92" x14ac:dyDescent="0.35">
      <c r="B219" s="228" t="s">
        <v>4</v>
      </c>
      <c r="C219" s="206"/>
      <c r="D219" s="206" t="s">
        <v>545</v>
      </c>
      <c r="E219" s="205" t="s">
        <v>25</v>
      </c>
      <c r="F219" s="225" t="s">
        <v>1035</v>
      </c>
      <c r="G219" s="85" t="s">
        <v>33</v>
      </c>
      <c r="H219" s="74" t="s">
        <v>43</v>
      </c>
      <c r="I219" s="87"/>
      <c r="J219" s="85"/>
      <c r="K219" s="87"/>
      <c r="L219" s="87"/>
      <c r="M219" s="87"/>
      <c r="N219" s="87"/>
      <c r="O219" s="85"/>
      <c r="P219" s="85"/>
      <c r="Q219" s="85"/>
    </row>
    <row r="220" spans="2:17" ht="101.5" x14ac:dyDescent="0.35">
      <c r="B220" s="228" t="s">
        <v>4</v>
      </c>
      <c r="C220" s="199" t="s">
        <v>1036</v>
      </c>
      <c r="D220" s="199" t="s">
        <v>547</v>
      </c>
      <c r="E220" s="204" t="s">
        <v>25</v>
      </c>
      <c r="F220" s="219" t="s">
        <v>1037</v>
      </c>
      <c r="G220" s="86" t="s">
        <v>33</v>
      </c>
      <c r="H220" s="75" t="s">
        <v>43</v>
      </c>
      <c r="I220" s="88"/>
      <c r="J220" s="86"/>
      <c r="K220" s="88"/>
      <c r="L220" s="88"/>
      <c r="M220" s="88"/>
      <c r="N220" s="88"/>
      <c r="O220" s="86"/>
      <c r="P220" s="86"/>
      <c r="Q220" s="86"/>
    </row>
    <row r="221" spans="2:17" ht="71" x14ac:dyDescent="0.35">
      <c r="B221" s="229" t="s">
        <v>7</v>
      </c>
      <c r="C221" s="206" t="s">
        <v>548</v>
      </c>
      <c r="D221" s="206" t="s">
        <v>549</v>
      </c>
      <c r="E221" s="205" t="s">
        <v>25</v>
      </c>
      <c r="F221" s="231" t="s">
        <v>550</v>
      </c>
      <c r="G221" s="85" t="s">
        <v>33</v>
      </c>
      <c r="H221" s="75" t="s">
        <v>43</v>
      </c>
      <c r="I221" s="87"/>
      <c r="J221" s="85"/>
      <c r="K221" s="87"/>
      <c r="L221" s="87"/>
      <c r="M221" s="87"/>
      <c r="N221" s="87"/>
      <c r="O221" s="85"/>
      <c r="P221" s="85"/>
      <c r="Q221" s="85"/>
    </row>
    <row r="222" spans="2:17" ht="71.5" x14ac:dyDescent="0.35">
      <c r="B222" s="229" t="s">
        <v>7</v>
      </c>
      <c r="C222" s="199" t="s">
        <v>551</v>
      </c>
      <c r="D222" s="199" t="s">
        <v>552</v>
      </c>
      <c r="E222" s="204" t="s">
        <v>25</v>
      </c>
      <c r="F222" s="219" t="s">
        <v>1038</v>
      </c>
      <c r="G222" s="86" t="s">
        <v>33</v>
      </c>
      <c r="H222" s="75" t="s">
        <v>43</v>
      </c>
      <c r="I222" s="88"/>
      <c r="J222" s="86"/>
      <c r="K222" s="88"/>
      <c r="L222" s="88"/>
      <c r="M222" s="88"/>
      <c r="N222" s="88"/>
      <c r="O222" s="86"/>
      <c r="P222" s="86"/>
      <c r="Q222" s="86"/>
    </row>
    <row r="223" spans="2:17" ht="21" x14ac:dyDescent="0.35">
      <c r="B223" s="229" t="s">
        <v>7</v>
      </c>
      <c r="C223" s="206" t="s">
        <v>553</v>
      </c>
      <c r="D223" s="206" t="s">
        <v>554</v>
      </c>
      <c r="E223" s="205" t="s">
        <v>25</v>
      </c>
      <c r="F223" s="211" t="s">
        <v>559</v>
      </c>
      <c r="G223" s="85" t="s">
        <v>33</v>
      </c>
      <c r="H223" s="74" t="s">
        <v>43</v>
      </c>
      <c r="I223" s="78"/>
      <c r="J223" s="85"/>
      <c r="K223" s="87"/>
      <c r="L223" s="87"/>
      <c r="M223" s="87"/>
      <c r="N223" s="87"/>
      <c r="O223" s="85"/>
      <c r="P223" s="85"/>
      <c r="Q223" s="85"/>
    </row>
    <row r="224" spans="2:17" x14ac:dyDescent="0.35">
      <c r="B224" s="229" t="s">
        <v>7</v>
      </c>
      <c r="C224" s="206"/>
      <c r="D224" s="206" t="s">
        <v>556</v>
      </c>
      <c r="E224" s="205" t="s">
        <v>25</v>
      </c>
      <c r="F224" s="211" t="s">
        <v>560</v>
      </c>
      <c r="G224" s="85" t="s">
        <v>33</v>
      </c>
      <c r="H224" s="74" t="s">
        <v>43</v>
      </c>
      <c r="I224" s="78"/>
      <c r="J224" s="85"/>
      <c r="K224" s="87"/>
      <c r="L224" s="87"/>
      <c r="M224" s="87"/>
      <c r="N224" s="87"/>
      <c r="O224" s="85"/>
      <c r="P224" s="85"/>
      <c r="Q224" s="85"/>
    </row>
    <row r="225" spans="2:17" ht="21" x14ac:dyDescent="0.35">
      <c r="B225" s="229" t="s">
        <v>7</v>
      </c>
      <c r="C225" s="206"/>
      <c r="D225" s="206" t="s">
        <v>1039</v>
      </c>
      <c r="E225" s="205" t="s">
        <v>25</v>
      </c>
      <c r="F225" s="211" t="s">
        <v>561</v>
      </c>
      <c r="G225" s="85" t="s">
        <v>33</v>
      </c>
      <c r="H225" s="74" t="s">
        <v>43</v>
      </c>
      <c r="I225" s="78"/>
      <c r="J225" s="85"/>
      <c r="K225" s="87"/>
      <c r="L225" s="87"/>
      <c r="M225" s="87"/>
      <c r="N225" s="87"/>
      <c r="O225" s="85"/>
      <c r="P225" s="85"/>
      <c r="Q225" s="85"/>
    </row>
    <row r="226" spans="2:17" ht="31.5" x14ac:dyDescent="0.35">
      <c r="B226" s="229" t="s">
        <v>7</v>
      </c>
      <c r="C226" s="199" t="s">
        <v>562</v>
      </c>
      <c r="D226" s="199" t="s">
        <v>555</v>
      </c>
      <c r="E226" s="204" t="s">
        <v>25</v>
      </c>
      <c r="F226" s="219" t="s">
        <v>568</v>
      </c>
      <c r="G226" s="86" t="s">
        <v>33</v>
      </c>
      <c r="H226" s="75" t="s">
        <v>43</v>
      </c>
      <c r="I226" s="82"/>
      <c r="J226" s="86"/>
      <c r="K226" s="88"/>
      <c r="L226" s="88"/>
      <c r="M226" s="88"/>
      <c r="N226" s="88"/>
      <c r="O226" s="86"/>
      <c r="P226" s="86"/>
      <c r="Q226" s="86"/>
    </row>
    <row r="227" spans="2:17" ht="31.5" x14ac:dyDescent="0.35">
      <c r="B227" s="229" t="s">
        <v>7</v>
      </c>
      <c r="C227" s="199"/>
      <c r="D227" s="199" t="s">
        <v>557</v>
      </c>
      <c r="E227" s="204" t="s">
        <v>25</v>
      </c>
      <c r="F227" s="219" t="s">
        <v>569</v>
      </c>
      <c r="G227" s="86" t="s">
        <v>33</v>
      </c>
      <c r="H227" s="75" t="s">
        <v>43</v>
      </c>
      <c r="I227" s="82"/>
      <c r="J227" s="86"/>
      <c r="K227" s="88"/>
      <c r="L227" s="88"/>
      <c r="M227" s="88"/>
      <c r="N227" s="88"/>
      <c r="O227" s="86"/>
      <c r="P227" s="86"/>
      <c r="Q227" s="86"/>
    </row>
    <row r="228" spans="2:17" ht="42" x14ac:dyDescent="0.35">
      <c r="B228" s="229" t="s">
        <v>7</v>
      </c>
      <c r="C228" s="199"/>
      <c r="D228" s="199" t="s">
        <v>558</v>
      </c>
      <c r="E228" s="204" t="s">
        <v>25</v>
      </c>
      <c r="F228" s="219" t="s">
        <v>570</v>
      </c>
      <c r="G228" s="86" t="s">
        <v>33</v>
      </c>
      <c r="H228" s="75" t="s">
        <v>43</v>
      </c>
      <c r="I228" s="82"/>
      <c r="J228" s="86"/>
      <c r="K228" s="88"/>
      <c r="L228" s="88"/>
      <c r="M228" s="88"/>
      <c r="N228" s="88"/>
      <c r="O228" s="86"/>
      <c r="P228" s="86"/>
      <c r="Q228" s="86"/>
    </row>
    <row r="229" spans="2:17" ht="31.5" x14ac:dyDescent="0.35">
      <c r="B229" s="229" t="s">
        <v>7</v>
      </c>
      <c r="C229" s="206" t="s">
        <v>563</v>
      </c>
      <c r="D229" s="206" t="s">
        <v>564</v>
      </c>
      <c r="E229" s="205" t="s">
        <v>25</v>
      </c>
      <c r="F229" s="211" t="s">
        <v>571</v>
      </c>
      <c r="G229" s="85" t="s">
        <v>33</v>
      </c>
      <c r="H229" s="74" t="s">
        <v>43</v>
      </c>
      <c r="I229" s="78"/>
      <c r="J229" s="85"/>
      <c r="K229" s="87"/>
      <c r="L229" s="87"/>
      <c r="M229" s="87"/>
      <c r="N229" s="87"/>
      <c r="O229" s="85"/>
      <c r="P229" s="85"/>
      <c r="Q229" s="85"/>
    </row>
    <row r="230" spans="2:17" ht="31.5" x14ac:dyDescent="0.35">
      <c r="B230" s="229" t="s">
        <v>7</v>
      </c>
      <c r="C230" s="206"/>
      <c r="D230" s="206" t="s">
        <v>566</v>
      </c>
      <c r="E230" s="205" t="s">
        <v>25</v>
      </c>
      <c r="F230" s="211" t="s">
        <v>572</v>
      </c>
      <c r="G230" s="85" t="s">
        <v>33</v>
      </c>
      <c r="H230" s="74" t="s">
        <v>43</v>
      </c>
      <c r="I230" s="78"/>
      <c r="J230" s="85"/>
      <c r="K230" s="87"/>
      <c r="L230" s="87"/>
      <c r="M230" s="87"/>
      <c r="N230" s="87"/>
      <c r="O230" s="85"/>
      <c r="P230" s="85"/>
      <c r="Q230" s="85"/>
    </row>
    <row r="231" spans="2:17" ht="42" x14ac:dyDescent="0.35">
      <c r="B231" s="229" t="s">
        <v>7</v>
      </c>
      <c r="C231" s="206"/>
      <c r="D231" s="206" t="s">
        <v>567</v>
      </c>
      <c r="E231" s="205" t="s">
        <v>25</v>
      </c>
      <c r="F231" s="211" t="s">
        <v>573</v>
      </c>
      <c r="G231" s="85" t="s">
        <v>33</v>
      </c>
      <c r="H231" s="74" t="s">
        <v>43</v>
      </c>
      <c r="I231" s="78"/>
      <c r="J231" s="85"/>
      <c r="K231" s="87"/>
      <c r="L231" s="87"/>
      <c r="M231" s="87"/>
      <c r="N231" s="87"/>
      <c r="O231" s="85"/>
      <c r="P231" s="85"/>
      <c r="Q231" s="85"/>
    </row>
    <row r="232" spans="2:17" ht="183" x14ac:dyDescent="0.35">
      <c r="B232" s="229" t="s">
        <v>7</v>
      </c>
      <c r="C232" s="199" t="s">
        <v>1040</v>
      </c>
      <c r="D232" s="199" t="s">
        <v>565</v>
      </c>
      <c r="E232" s="204" t="s">
        <v>24</v>
      </c>
      <c r="F232" s="226" t="s">
        <v>1041</v>
      </c>
      <c r="G232" s="86" t="s">
        <v>33</v>
      </c>
      <c r="H232" s="75" t="s">
        <v>43</v>
      </c>
      <c r="I232" s="88"/>
      <c r="J232" s="86"/>
      <c r="K232" s="88"/>
      <c r="L232" s="88"/>
      <c r="M232" s="88"/>
      <c r="N232" s="88"/>
      <c r="O232" s="86"/>
      <c r="P232" s="86"/>
      <c r="Q232" s="86"/>
    </row>
    <row r="233" spans="2:17" ht="40" x14ac:dyDescent="0.35">
      <c r="B233" s="229" t="s">
        <v>7</v>
      </c>
      <c r="C233" s="206" t="s">
        <v>1042</v>
      </c>
      <c r="D233" s="206" t="s">
        <v>574</v>
      </c>
      <c r="E233" s="205" t="s">
        <v>24</v>
      </c>
      <c r="F233" s="211" t="s">
        <v>1043</v>
      </c>
      <c r="G233" s="85" t="s">
        <v>33</v>
      </c>
      <c r="H233" s="74" t="s">
        <v>43</v>
      </c>
      <c r="I233" s="87"/>
      <c r="J233" s="85"/>
      <c r="K233" s="87"/>
      <c r="L233" s="87"/>
      <c r="M233" s="87"/>
      <c r="N233" s="87"/>
      <c r="O233" s="85"/>
      <c r="P233" s="85"/>
      <c r="Q233" s="85"/>
    </row>
    <row r="234" spans="2:17" ht="82" x14ac:dyDescent="0.35">
      <c r="B234" s="229" t="s">
        <v>7</v>
      </c>
      <c r="C234" s="206"/>
      <c r="D234" s="206" t="s">
        <v>1044</v>
      </c>
      <c r="E234" s="205" t="s">
        <v>24</v>
      </c>
      <c r="F234" s="211" t="s">
        <v>1045</v>
      </c>
      <c r="G234" s="85" t="s">
        <v>33</v>
      </c>
      <c r="H234" s="74" t="s">
        <v>43</v>
      </c>
      <c r="I234" s="87"/>
      <c r="J234" s="85"/>
      <c r="K234" s="87"/>
      <c r="L234" s="87"/>
      <c r="M234" s="87"/>
      <c r="N234" s="87"/>
      <c r="O234" s="85"/>
      <c r="P234" s="85"/>
      <c r="Q234" s="85"/>
    </row>
    <row r="235" spans="2:17" ht="21" x14ac:dyDescent="0.35">
      <c r="B235" s="229" t="s">
        <v>7</v>
      </c>
      <c r="C235" s="199" t="s">
        <v>579</v>
      </c>
      <c r="D235" s="199" t="s">
        <v>575</v>
      </c>
      <c r="E235" s="204" t="s">
        <v>24</v>
      </c>
      <c r="F235" s="219" t="s">
        <v>581</v>
      </c>
      <c r="G235" s="86" t="s">
        <v>33</v>
      </c>
      <c r="H235" s="75" t="s">
        <v>43</v>
      </c>
      <c r="I235" s="88"/>
      <c r="J235" s="86"/>
      <c r="K235" s="88"/>
      <c r="L235" s="88"/>
      <c r="M235" s="88"/>
      <c r="N235" s="88"/>
      <c r="O235" s="86"/>
      <c r="P235" s="86"/>
      <c r="Q235" s="86"/>
    </row>
    <row r="236" spans="2:17" ht="21" x14ac:dyDescent="0.35">
      <c r="B236" s="229" t="s">
        <v>7</v>
      </c>
      <c r="C236" s="199"/>
      <c r="D236" s="199" t="s">
        <v>1046</v>
      </c>
      <c r="E236" s="204" t="s">
        <v>24</v>
      </c>
      <c r="F236" s="219" t="s">
        <v>582</v>
      </c>
      <c r="G236" s="86" t="s">
        <v>33</v>
      </c>
      <c r="H236" s="75" t="s">
        <v>43</v>
      </c>
      <c r="I236" s="88"/>
      <c r="J236" s="86"/>
      <c r="K236" s="88"/>
      <c r="L236" s="88"/>
      <c r="M236" s="88"/>
      <c r="N236" s="88"/>
      <c r="O236" s="86"/>
      <c r="P236" s="86"/>
      <c r="Q236" s="86"/>
    </row>
    <row r="237" spans="2:17" ht="81" x14ac:dyDescent="0.35">
      <c r="B237" s="229" t="s">
        <v>7</v>
      </c>
      <c r="C237" s="206" t="s">
        <v>580</v>
      </c>
      <c r="D237" s="206" t="s">
        <v>576</v>
      </c>
      <c r="E237" s="205" t="s">
        <v>24</v>
      </c>
      <c r="F237" s="220" t="s">
        <v>583</v>
      </c>
      <c r="G237" s="85" t="s">
        <v>33</v>
      </c>
      <c r="H237" s="75" t="s">
        <v>43</v>
      </c>
      <c r="I237" s="87"/>
      <c r="J237" s="85"/>
      <c r="K237" s="87"/>
      <c r="L237" s="87"/>
      <c r="M237" s="87"/>
      <c r="N237" s="87"/>
      <c r="O237" s="85"/>
      <c r="P237" s="85"/>
      <c r="Q237" s="85"/>
    </row>
    <row r="238" spans="2:17" ht="122" x14ac:dyDescent="0.35">
      <c r="B238" s="229" t="s">
        <v>7</v>
      </c>
      <c r="C238" s="199" t="s">
        <v>1047</v>
      </c>
      <c r="D238" s="199" t="s">
        <v>577</v>
      </c>
      <c r="E238" s="204" t="s">
        <v>24</v>
      </c>
      <c r="F238" s="226" t="s">
        <v>1048</v>
      </c>
      <c r="G238" s="86" t="s">
        <v>33</v>
      </c>
      <c r="H238" s="75" t="s">
        <v>43</v>
      </c>
      <c r="I238" s="88"/>
      <c r="J238" s="86"/>
      <c r="K238" s="88"/>
      <c r="L238" s="88"/>
      <c r="M238" s="88"/>
      <c r="N238" s="88"/>
      <c r="O238" s="86"/>
      <c r="P238" s="86"/>
      <c r="Q238" s="86"/>
    </row>
    <row r="239" spans="2:17" ht="50" x14ac:dyDescent="0.35">
      <c r="B239" s="229" t="s">
        <v>7</v>
      </c>
      <c r="C239" s="206" t="s">
        <v>1049</v>
      </c>
      <c r="D239" s="206" t="s">
        <v>578</v>
      </c>
      <c r="E239" s="205" t="s">
        <v>24</v>
      </c>
      <c r="F239" s="211" t="s">
        <v>1049</v>
      </c>
      <c r="G239" s="85" t="s">
        <v>33</v>
      </c>
      <c r="H239" s="75" t="s">
        <v>43</v>
      </c>
      <c r="I239" s="87"/>
      <c r="J239" s="85"/>
      <c r="K239" s="87"/>
      <c r="L239" s="87"/>
      <c r="M239" s="87"/>
      <c r="N239" s="87"/>
      <c r="O239" s="85"/>
      <c r="P239" s="85"/>
      <c r="Q239" s="85"/>
    </row>
    <row r="240" spans="2:17" ht="142" x14ac:dyDescent="0.35">
      <c r="B240" s="228" t="s">
        <v>584</v>
      </c>
      <c r="C240" s="199" t="s">
        <v>586</v>
      </c>
      <c r="D240" s="199" t="s">
        <v>585</v>
      </c>
      <c r="E240" s="204" t="s">
        <v>24</v>
      </c>
      <c r="F240" s="199" t="s">
        <v>1050</v>
      </c>
      <c r="G240" s="86" t="s">
        <v>33</v>
      </c>
      <c r="H240" s="75" t="s">
        <v>43</v>
      </c>
      <c r="I240" s="88"/>
      <c r="J240" s="86"/>
      <c r="K240" s="88"/>
      <c r="L240" s="88"/>
      <c r="M240" s="88"/>
      <c r="N240" s="88"/>
      <c r="O240" s="86"/>
      <c r="P240" s="86"/>
      <c r="Q240" s="86"/>
    </row>
    <row r="241" spans="2:17" ht="31.5" x14ac:dyDescent="0.35">
      <c r="B241" s="228" t="s">
        <v>584</v>
      </c>
      <c r="C241" s="199"/>
      <c r="D241" s="199" t="s">
        <v>588</v>
      </c>
      <c r="E241" s="204" t="s">
        <v>24</v>
      </c>
      <c r="F241" s="212" t="s">
        <v>587</v>
      </c>
      <c r="G241" s="86" t="s">
        <v>33</v>
      </c>
      <c r="H241" s="75" t="s">
        <v>43</v>
      </c>
      <c r="I241" s="88"/>
      <c r="J241" s="86"/>
      <c r="K241" s="88"/>
      <c r="L241" s="88"/>
      <c r="M241" s="88"/>
      <c r="N241" s="88"/>
      <c r="O241" s="86"/>
      <c r="P241" s="86"/>
      <c r="Q241" s="86"/>
    </row>
    <row r="242" spans="2:17" ht="111.5" x14ac:dyDescent="0.35">
      <c r="B242" s="228" t="s">
        <v>584</v>
      </c>
      <c r="C242" s="199"/>
      <c r="D242" s="199" t="s">
        <v>589</v>
      </c>
      <c r="E242" s="204" t="s">
        <v>24</v>
      </c>
      <c r="F242" s="199" t="s">
        <v>591</v>
      </c>
      <c r="G242" s="86" t="s">
        <v>33</v>
      </c>
      <c r="H242" s="75" t="s">
        <v>43</v>
      </c>
      <c r="I242" s="88"/>
      <c r="J242" s="86"/>
      <c r="K242" s="88"/>
      <c r="L242" s="88"/>
      <c r="M242" s="88"/>
      <c r="N242" s="88"/>
      <c r="O242" s="86"/>
      <c r="P242" s="86"/>
      <c r="Q242" s="86"/>
    </row>
    <row r="243" spans="2:17" ht="71.5" x14ac:dyDescent="0.35">
      <c r="B243" s="228" t="s">
        <v>584</v>
      </c>
      <c r="C243" s="199"/>
      <c r="D243" s="199" t="s">
        <v>590</v>
      </c>
      <c r="E243" s="204" t="s">
        <v>24</v>
      </c>
      <c r="F243" s="199" t="s">
        <v>592</v>
      </c>
      <c r="G243" s="86" t="s">
        <v>33</v>
      </c>
      <c r="H243" s="75" t="s">
        <v>43</v>
      </c>
      <c r="I243" s="88"/>
      <c r="J243" s="86"/>
      <c r="K243" s="88"/>
      <c r="L243" s="88"/>
      <c r="M243" s="88"/>
      <c r="N243" s="88"/>
      <c r="O243" s="86"/>
      <c r="P243" s="86"/>
      <c r="Q243" s="86"/>
    </row>
    <row r="244" spans="2:17" ht="40" x14ac:dyDescent="0.35">
      <c r="B244" s="228" t="s">
        <v>584</v>
      </c>
      <c r="C244" s="206" t="s">
        <v>595</v>
      </c>
      <c r="D244" s="206" t="s">
        <v>593</v>
      </c>
      <c r="E244" s="205" t="s">
        <v>24</v>
      </c>
      <c r="F244" s="211" t="s">
        <v>596</v>
      </c>
      <c r="G244" s="85" t="s">
        <v>33</v>
      </c>
      <c r="H244" s="74" t="s">
        <v>43</v>
      </c>
      <c r="I244" s="87"/>
      <c r="J244" s="85"/>
      <c r="K244" s="87"/>
      <c r="L244" s="87"/>
      <c r="M244" s="87"/>
      <c r="N244" s="87"/>
      <c r="O244" s="85"/>
      <c r="P244" s="85"/>
      <c r="Q244" s="85"/>
    </row>
    <row r="245" spans="2:17" ht="91.5" x14ac:dyDescent="0.35">
      <c r="B245" s="228" t="s">
        <v>584</v>
      </c>
      <c r="C245" s="199" t="s">
        <v>600</v>
      </c>
      <c r="D245" s="199" t="s">
        <v>594</v>
      </c>
      <c r="E245" s="204" t="s">
        <v>24</v>
      </c>
      <c r="F245" s="207" t="s">
        <v>605</v>
      </c>
      <c r="G245" s="86" t="s">
        <v>33</v>
      </c>
      <c r="H245" s="74" t="s">
        <v>43</v>
      </c>
      <c r="I245" s="88"/>
      <c r="J245" s="86"/>
      <c r="K245" s="88"/>
      <c r="L245" s="88"/>
      <c r="M245" s="88"/>
      <c r="N245" s="88"/>
      <c r="O245" s="86"/>
      <c r="P245" s="86"/>
      <c r="Q245" s="86"/>
    </row>
    <row r="246" spans="2:17" ht="61" x14ac:dyDescent="0.35">
      <c r="B246" s="228" t="s">
        <v>584</v>
      </c>
      <c r="C246" s="206" t="s">
        <v>601</v>
      </c>
      <c r="D246" s="206" t="s">
        <v>597</v>
      </c>
      <c r="E246" s="205" t="s">
        <v>24</v>
      </c>
      <c r="F246" s="207" t="s">
        <v>606</v>
      </c>
      <c r="G246" s="85" t="s">
        <v>33</v>
      </c>
      <c r="H246" s="74" t="s">
        <v>43</v>
      </c>
      <c r="I246" s="87"/>
      <c r="J246" s="85"/>
      <c r="K246" s="87"/>
      <c r="L246" s="87"/>
      <c r="M246" s="87"/>
      <c r="N246" s="87"/>
      <c r="O246" s="85"/>
      <c r="P246" s="85"/>
      <c r="Q246" s="85"/>
    </row>
    <row r="247" spans="2:17" ht="51.5" x14ac:dyDescent="0.35">
      <c r="B247" s="228" t="s">
        <v>584</v>
      </c>
      <c r="C247" s="199" t="s">
        <v>607</v>
      </c>
      <c r="D247" s="199" t="s">
        <v>598</v>
      </c>
      <c r="E247" s="204" t="s">
        <v>24</v>
      </c>
      <c r="F247" s="207" t="s">
        <v>610</v>
      </c>
      <c r="G247" s="86" t="s">
        <v>33</v>
      </c>
      <c r="H247" s="75" t="s">
        <v>43</v>
      </c>
      <c r="I247" s="88"/>
      <c r="J247" s="86"/>
      <c r="K247" s="88"/>
      <c r="L247" s="88"/>
      <c r="M247" s="88"/>
      <c r="N247" s="88"/>
      <c r="O247" s="86"/>
      <c r="P247" s="86"/>
      <c r="Q247" s="86"/>
    </row>
    <row r="248" spans="2:17" ht="61.5" x14ac:dyDescent="0.35">
      <c r="B248" s="228" t="s">
        <v>584</v>
      </c>
      <c r="C248" s="206" t="s">
        <v>611</v>
      </c>
      <c r="D248" s="206" t="s">
        <v>599</v>
      </c>
      <c r="E248" s="205" t="s">
        <v>24</v>
      </c>
      <c r="F248" s="207" t="s">
        <v>613</v>
      </c>
      <c r="G248" s="85" t="s">
        <v>33</v>
      </c>
      <c r="H248" s="74" t="s">
        <v>43</v>
      </c>
      <c r="I248" s="87"/>
      <c r="J248" s="85"/>
      <c r="K248" s="87"/>
      <c r="L248" s="87"/>
      <c r="M248" s="87"/>
      <c r="N248" s="87"/>
      <c r="O248" s="85"/>
      <c r="P248" s="85"/>
      <c r="Q248" s="85"/>
    </row>
    <row r="249" spans="2:17" ht="82.5" x14ac:dyDescent="0.35">
      <c r="B249" s="228" t="s">
        <v>584</v>
      </c>
      <c r="C249" s="199" t="s">
        <v>614</v>
      </c>
      <c r="D249" s="199" t="s">
        <v>602</v>
      </c>
      <c r="E249" s="204" t="s">
        <v>24</v>
      </c>
      <c r="F249" s="212" t="s">
        <v>1051</v>
      </c>
      <c r="G249" s="86" t="s">
        <v>33</v>
      </c>
      <c r="H249" s="75" t="s">
        <v>43</v>
      </c>
      <c r="I249" s="88"/>
      <c r="J249" s="86"/>
      <c r="K249" s="88"/>
      <c r="L249" s="88"/>
      <c r="M249" s="88"/>
      <c r="N249" s="88"/>
      <c r="O249" s="86"/>
      <c r="P249" s="86"/>
      <c r="Q249" s="86"/>
    </row>
    <row r="250" spans="2:17" ht="72" x14ac:dyDescent="0.35">
      <c r="B250" s="228" t="s">
        <v>584</v>
      </c>
      <c r="C250" s="199"/>
      <c r="D250" s="199" t="s">
        <v>1052</v>
      </c>
      <c r="E250" s="204" t="s">
        <v>24</v>
      </c>
      <c r="F250" s="226" t="s">
        <v>615</v>
      </c>
      <c r="G250" s="86" t="s">
        <v>33</v>
      </c>
      <c r="H250" s="75" t="s">
        <v>43</v>
      </c>
      <c r="I250" s="82"/>
      <c r="J250" s="86"/>
      <c r="K250" s="88"/>
      <c r="L250" s="88"/>
      <c r="M250" s="88"/>
      <c r="N250" s="88"/>
      <c r="O250" s="86"/>
      <c r="P250" s="86"/>
      <c r="Q250" s="86"/>
    </row>
    <row r="251" spans="2:17" ht="72" x14ac:dyDescent="0.35">
      <c r="B251" s="228" t="s">
        <v>584</v>
      </c>
      <c r="C251" s="199"/>
      <c r="D251" s="199" t="s">
        <v>1053</v>
      </c>
      <c r="E251" s="204" t="s">
        <v>24</v>
      </c>
      <c r="F251" s="226" t="s">
        <v>616</v>
      </c>
      <c r="G251" s="86" t="s">
        <v>33</v>
      </c>
      <c r="H251" s="75" t="s">
        <v>43</v>
      </c>
      <c r="I251" s="82"/>
      <c r="J251" s="86"/>
      <c r="K251" s="88"/>
      <c r="L251" s="88"/>
      <c r="M251" s="88"/>
      <c r="N251" s="88"/>
      <c r="O251" s="86"/>
      <c r="P251" s="86"/>
      <c r="Q251" s="86"/>
    </row>
    <row r="252" spans="2:17" ht="101.5" x14ac:dyDescent="0.35">
      <c r="B252" s="228" t="s">
        <v>584</v>
      </c>
      <c r="C252" s="206" t="s">
        <v>617</v>
      </c>
      <c r="D252" s="206" t="s">
        <v>603</v>
      </c>
      <c r="E252" s="205" t="s">
        <v>24</v>
      </c>
      <c r="F252" s="225" t="s">
        <v>618</v>
      </c>
      <c r="G252" s="85" t="s">
        <v>33</v>
      </c>
      <c r="H252" s="74" t="s">
        <v>43</v>
      </c>
      <c r="I252" s="87"/>
      <c r="J252" s="85"/>
      <c r="K252" s="87"/>
      <c r="L252" s="87"/>
      <c r="M252" s="87"/>
      <c r="N252" s="87"/>
      <c r="O252" s="85"/>
      <c r="P252" s="85"/>
      <c r="Q252" s="85"/>
    </row>
    <row r="253" spans="2:17" ht="101.5" x14ac:dyDescent="0.35">
      <c r="B253" s="228" t="s">
        <v>584</v>
      </c>
      <c r="C253" s="206"/>
      <c r="D253" s="206" t="s">
        <v>1054</v>
      </c>
      <c r="E253" s="205" t="s">
        <v>24</v>
      </c>
      <c r="F253" s="225" t="s">
        <v>619</v>
      </c>
      <c r="G253" s="85" t="s">
        <v>33</v>
      </c>
      <c r="H253" s="74" t="s">
        <v>43</v>
      </c>
      <c r="I253" s="87"/>
      <c r="J253" s="85"/>
      <c r="K253" s="87"/>
      <c r="L253" s="87"/>
      <c r="M253" s="87"/>
      <c r="N253" s="87"/>
      <c r="O253" s="85"/>
      <c r="P253" s="85"/>
      <c r="Q253" s="85"/>
    </row>
    <row r="254" spans="2:17" ht="71" x14ac:dyDescent="0.35">
      <c r="B254" s="228" t="s">
        <v>584</v>
      </c>
      <c r="C254" s="199" t="s">
        <v>1055</v>
      </c>
      <c r="D254" s="199" t="s">
        <v>604</v>
      </c>
      <c r="E254" s="204" t="s">
        <v>25</v>
      </c>
      <c r="F254" s="219" t="s">
        <v>1056</v>
      </c>
      <c r="G254" s="86" t="s">
        <v>33</v>
      </c>
      <c r="H254" s="75" t="s">
        <v>43</v>
      </c>
      <c r="I254" s="88"/>
      <c r="J254" s="86"/>
      <c r="K254" s="88"/>
      <c r="L254" s="88"/>
      <c r="M254" s="88"/>
      <c r="N254" s="88"/>
      <c r="O254" s="86"/>
      <c r="P254" s="86"/>
      <c r="Q254" s="86"/>
    </row>
    <row r="255" spans="2:17" ht="63" x14ac:dyDescent="0.35">
      <c r="B255" s="228" t="s">
        <v>584</v>
      </c>
      <c r="C255" s="206" t="s">
        <v>1057</v>
      </c>
      <c r="D255" s="206" t="s">
        <v>608</v>
      </c>
      <c r="E255" s="205" t="s">
        <v>24</v>
      </c>
      <c r="F255" s="211" t="s">
        <v>1058</v>
      </c>
      <c r="G255" s="85" t="s">
        <v>33</v>
      </c>
      <c r="H255" s="74" t="s">
        <v>43</v>
      </c>
      <c r="I255" s="87"/>
      <c r="J255" s="85"/>
      <c r="K255" s="87"/>
      <c r="L255" s="87"/>
      <c r="M255" s="87"/>
      <c r="N255" s="87"/>
      <c r="O255" s="85"/>
      <c r="P255" s="85"/>
      <c r="Q255" s="85"/>
    </row>
    <row r="256" spans="2:17" ht="63" x14ac:dyDescent="0.35">
      <c r="B256" s="228" t="s">
        <v>584</v>
      </c>
      <c r="C256" s="206"/>
      <c r="D256" s="206" t="s">
        <v>1059</v>
      </c>
      <c r="E256" s="205" t="s">
        <v>24</v>
      </c>
      <c r="F256" s="211" t="s">
        <v>1060</v>
      </c>
      <c r="G256" s="85" t="s">
        <v>33</v>
      </c>
      <c r="H256" s="74" t="s">
        <v>43</v>
      </c>
      <c r="I256" s="87"/>
      <c r="J256" s="85"/>
      <c r="K256" s="87"/>
      <c r="L256" s="87"/>
      <c r="M256" s="87"/>
      <c r="N256" s="87"/>
      <c r="O256" s="85"/>
      <c r="P256" s="85"/>
      <c r="Q256" s="85"/>
    </row>
    <row r="257" spans="2:17" ht="122" x14ac:dyDescent="0.35">
      <c r="B257" s="228" t="s">
        <v>584</v>
      </c>
      <c r="C257" s="199" t="s">
        <v>1061</v>
      </c>
      <c r="D257" s="199" t="s">
        <v>609</v>
      </c>
      <c r="E257" s="204" t="s">
        <v>24</v>
      </c>
      <c r="F257" s="192" t="s">
        <v>1062</v>
      </c>
      <c r="G257" s="86" t="s">
        <v>33</v>
      </c>
      <c r="H257" s="75" t="s">
        <v>43</v>
      </c>
      <c r="I257" s="88"/>
      <c r="J257" s="86"/>
      <c r="K257" s="88"/>
      <c r="L257" s="88"/>
      <c r="M257" s="88"/>
      <c r="N257" s="88"/>
      <c r="O257" s="86"/>
      <c r="P257" s="86"/>
      <c r="Q257" s="86"/>
    </row>
    <row r="258" spans="2:17" ht="42" x14ac:dyDescent="0.35">
      <c r="B258" s="228" t="s">
        <v>584</v>
      </c>
      <c r="C258" s="206" t="s">
        <v>1063</v>
      </c>
      <c r="D258" s="206" t="s">
        <v>612</v>
      </c>
      <c r="E258" s="205" t="s">
        <v>24</v>
      </c>
      <c r="F258" s="211" t="s">
        <v>1064</v>
      </c>
      <c r="G258" s="85" t="s">
        <v>33</v>
      </c>
      <c r="H258" s="74" t="s">
        <v>43</v>
      </c>
      <c r="I258" s="87"/>
      <c r="J258" s="85"/>
      <c r="K258" s="87"/>
      <c r="L258" s="87"/>
      <c r="M258" s="87"/>
      <c r="N258" s="87"/>
      <c r="O258" s="85"/>
      <c r="P258" s="85"/>
      <c r="Q258" s="85"/>
    </row>
    <row r="259" spans="2:17" ht="52.5" x14ac:dyDescent="0.35">
      <c r="B259" s="228" t="s">
        <v>584</v>
      </c>
      <c r="C259" s="206"/>
      <c r="D259" s="206" t="s">
        <v>1065</v>
      </c>
      <c r="E259" s="205" t="s">
        <v>24</v>
      </c>
      <c r="F259" s="211" t="s">
        <v>1066</v>
      </c>
      <c r="G259" s="85" t="s">
        <v>33</v>
      </c>
      <c r="H259" s="74" t="s">
        <v>43</v>
      </c>
      <c r="I259" s="87"/>
      <c r="J259" s="85"/>
      <c r="K259" s="87"/>
      <c r="L259" s="87"/>
      <c r="M259" s="87"/>
      <c r="N259" s="87"/>
      <c r="O259" s="85"/>
      <c r="P259" s="85"/>
      <c r="Q259" s="85"/>
    </row>
    <row r="260" spans="2:17" ht="42" x14ac:dyDescent="0.35">
      <c r="B260" s="228" t="s">
        <v>584</v>
      </c>
      <c r="C260" s="206"/>
      <c r="D260" s="206" t="s">
        <v>1067</v>
      </c>
      <c r="E260" s="205" t="s">
        <v>24</v>
      </c>
      <c r="F260" s="211" t="s">
        <v>1068</v>
      </c>
      <c r="G260" s="85" t="s">
        <v>33</v>
      </c>
      <c r="H260" s="74" t="s">
        <v>43</v>
      </c>
      <c r="I260" s="87"/>
      <c r="J260" s="85"/>
      <c r="K260" s="87"/>
      <c r="L260" s="87"/>
      <c r="M260" s="87"/>
      <c r="N260" s="87"/>
      <c r="O260" s="85"/>
      <c r="P260" s="85"/>
      <c r="Q260" s="85"/>
    </row>
    <row r="261" spans="2:17" x14ac:dyDescent="0.35">
      <c r="H261" s="142">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2:9" x14ac:dyDescent="0.35">
      <c r="F273" s="73"/>
    </row>
    <row r="274" spans="2:9" x14ac:dyDescent="0.35">
      <c r="F274" s="73"/>
    </row>
    <row r="275" spans="2:9" x14ac:dyDescent="0.35">
      <c r="B275" s="135"/>
      <c r="C275" s="135"/>
      <c r="D275" s="135"/>
      <c r="F275" s="73"/>
      <c r="G275" s="135"/>
      <c r="H275" s="135"/>
      <c r="I275" s="135"/>
    </row>
    <row r="276" spans="2:9" x14ac:dyDescent="0.35">
      <c r="B276" s="135"/>
      <c r="C276" s="135"/>
      <c r="D276" s="135"/>
      <c r="F276" s="73"/>
      <c r="G276" s="135"/>
      <c r="H276" s="135"/>
      <c r="I276" s="135"/>
    </row>
    <row r="277" spans="2:9" x14ac:dyDescent="0.35">
      <c r="B277" s="135"/>
      <c r="C277" s="135"/>
      <c r="D277" s="135"/>
      <c r="F277" s="73"/>
      <c r="G277" s="135"/>
      <c r="H277" s="135"/>
      <c r="I277" s="135"/>
    </row>
    <row r="278" spans="2:9" x14ac:dyDescent="0.35">
      <c r="B278" s="135"/>
      <c r="C278" s="135"/>
      <c r="D278" s="135"/>
      <c r="F278" s="73"/>
      <c r="G278" s="135"/>
      <c r="H278" s="135"/>
      <c r="I278" s="135"/>
    </row>
    <row r="279" spans="2:9" x14ac:dyDescent="0.35">
      <c r="B279" s="135"/>
      <c r="C279" s="135"/>
      <c r="D279" s="135"/>
      <c r="F279" s="73"/>
      <c r="G279" s="135"/>
      <c r="H279" s="135"/>
      <c r="I279" s="135"/>
    </row>
    <row r="280" spans="2:9" x14ac:dyDescent="0.35">
      <c r="B280" s="135"/>
      <c r="C280" s="135"/>
      <c r="D280" s="135"/>
      <c r="F280" s="73"/>
      <c r="G280" s="135"/>
      <c r="H280" s="135"/>
      <c r="I280" s="135"/>
    </row>
    <row r="281" spans="2:9" x14ac:dyDescent="0.35">
      <c r="B281" s="135"/>
      <c r="C281" s="135"/>
      <c r="D281" s="135"/>
      <c r="F281" s="73"/>
      <c r="G281" s="135"/>
      <c r="H281" s="135"/>
      <c r="I281" s="135"/>
    </row>
    <row r="282" spans="2:9" x14ac:dyDescent="0.35">
      <c r="B282" s="135"/>
      <c r="C282" s="135"/>
      <c r="D282" s="135"/>
      <c r="F282" s="73"/>
      <c r="G282" s="135"/>
      <c r="H282" s="135"/>
      <c r="I282" s="135"/>
    </row>
    <row r="283" spans="2:9" x14ac:dyDescent="0.35">
      <c r="B283" s="135"/>
      <c r="C283" s="135"/>
      <c r="D283" s="135"/>
      <c r="F283" s="73"/>
      <c r="G283" s="135"/>
      <c r="H283" s="135"/>
      <c r="I283" s="135"/>
    </row>
    <row r="284" spans="2:9" x14ac:dyDescent="0.35">
      <c r="B284" s="135"/>
      <c r="C284" s="135"/>
      <c r="D284" s="135"/>
      <c r="F284" s="73"/>
      <c r="G284" s="135"/>
      <c r="H284" s="135"/>
      <c r="I284" s="135"/>
    </row>
    <row r="285" spans="2:9" x14ac:dyDescent="0.35">
      <c r="B285" s="135"/>
      <c r="C285" s="135"/>
      <c r="D285" s="135"/>
      <c r="F285" s="73"/>
      <c r="G285" s="135"/>
      <c r="H285" s="135"/>
      <c r="I285" s="135"/>
    </row>
    <row r="286" spans="2:9" x14ac:dyDescent="0.35">
      <c r="B286" s="135"/>
      <c r="C286" s="135"/>
      <c r="D286" s="135"/>
      <c r="F286" s="73"/>
      <c r="G286" s="135"/>
      <c r="H286" s="135"/>
      <c r="I286" s="135"/>
    </row>
    <row r="287" spans="2:9" x14ac:dyDescent="0.35">
      <c r="B287" s="135"/>
      <c r="C287" s="135"/>
      <c r="D287" s="135"/>
      <c r="F287" s="73"/>
      <c r="G287" s="135"/>
      <c r="H287" s="135"/>
      <c r="I287" s="135"/>
    </row>
    <row r="288" spans="2:9" x14ac:dyDescent="0.35">
      <c r="B288" s="135"/>
      <c r="C288" s="135"/>
      <c r="D288" s="135"/>
      <c r="F288" s="73"/>
      <c r="G288" s="135"/>
      <c r="H288" s="135"/>
      <c r="I288" s="135"/>
    </row>
    <row r="289" spans="2:9" x14ac:dyDescent="0.35">
      <c r="B289" s="135"/>
      <c r="C289" s="135"/>
      <c r="D289" s="135"/>
      <c r="F289" s="73"/>
      <c r="G289" s="135"/>
      <c r="H289" s="135"/>
      <c r="I289" s="135"/>
    </row>
    <row r="290" spans="2:9" x14ac:dyDescent="0.35">
      <c r="B290" s="135"/>
      <c r="C290" s="135"/>
      <c r="D290" s="135"/>
      <c r="F290" s="73"/>
      <c r="G290" s="135"/>
      <c r="H290" s="135"/>
      <c r="I290" s="135"/>
    </row>
    <row r="291" spans="2:9" x14ac:dyDescent="0.35">
      <c r="B291" s="135"/>
      <c r="C291" s="135"/>
      <c r="D291" s="135"/>
      <c r="F291" s="73"/>
      <c r="G291" s="135"/>
      <c r="H291" s="135"/>
      <c r="I291" s="135"/>
    </row>
    <row r="292" spans="2:9" x14ac:dyDescent="0.35">
      <c r="B292" s="135"/>
      <c r="C292" s="135"/>
      <c r="D292" s="135"/>
      <c r="F292" s="73"/>
      <c r="G292" s="135"/>
      <c r="H292" s="135"/>
      <c r="I292" s="135"/>
    </row>
    <row r="293" spans="2:9" x14ac:dyDescent="0.35">
      <c r="B293" s="135"/>
      <c r="C293" s="135"/>
      <c r="D293" s="135"/>
      <c r="F293" s="73"/>
      <c r="G293" s="135"/>
      <c r="H293" s="135"/>
      <c r="I293" s="135"/>
    </row>
    <row r="294" spans="2:9" x14ac:dyDescent="0.35">
      <c r="B294" s="135"/>
      <c r="C294" s="135"/>
      <c r="D294" s="135"/>
      <c r="F294" s="73"/>
      <c r="G294" s="135"/>
      <c r="H294" s="135"/>
      <c r="I294" s="135"/>
    </row>
    <row r="295" spans="2:9" x14ac:dyDescent="0.35">
      <c r="B295" s="135"/>
      <c r="C295" s="135"/>
      <c r="D295" s="135"/>
      <c r="F295" s="73"/>
      <c r="G295" s="135"/>
      <c r="H295" s="135"/>
      <c r="I295" s="135"/>
    </row>
    <row r="296" spans="2:9" x14ac:dyDescent="0.35">
      <c r="B296" s="135"/>
      <c r="C296" s="135"/>
      <c r="D296" s="135"/>
      <c r="F296" s="73"/>
      <c r="G296" s="135"/>
      <c r="H296" s="135"/>
      <c r="I296" s="135"/>
    </row>
    <row r="297" spans="2:9" x14ac:dyDescent="0.35">
      <c r="B297" s="135"/>
      <c r="C297" s="135"/>
      <c r="D297" s="135"/>
      <c r="F297" s="73"/>
      <c r="G297" s="135"/>
      <c r="H297" s="135"/>
      <c r="I297" s="135"/>
    </row>
    <row r="298" spans="2:9" x14ac:dyDescent="0.35">
      <c r="B298" s="135"/>
      <c r="C298" s="135"/>
      <c r="D298" s="135"/>
      <c r="F298" s="73"/>
      <c r="G298" s="135"/>
      <c r="H298" s="135"/>
      <c r="I298" s="135"/>
    </row>
    <row r="299" spans="2:9" x14ac:dyDescent="0.35">
      <c r="B299" s="135"/>
      <c r="C299" s="135"/>
      <c r="D299" s="135"/>
      <c r="F299" s="73"/>
      <c r="G299" s="135"/>
      <c r="H299" s="135"/>
      <c r="I299" s="135"/>
    </row>
    <row r="300" spans="2:9" x14ac:dyDescent="0.35">
      <c r="B300" s="135"/>
      <c r="C300" s="135"/>
      <c r="D300" s="135"/>
      <c r="F300" s="73"/>
      <c r="G300" s="135"/>
      <c r="H300" s="135"/>
      <c r="I300" s="135"/>
    </row>
    <row r="301" spans="2:9" x14ac:dyDescent="0.35">
      <c r="B301" s="135"/>
      <c r="C301" s="135"/>
      <c r="D301" s="135"/>
      <c r="F301" s="73"/>
      <c r="G301" s="135"/>
      <c r="H301" s="135"/>
      <c r="I301" s="135"/>
    </row>
    <row r="302" spans="2:9" x14ac:dyDescent="0.35">
      <c r="B302" s="135"/>
      <c r="C302" s="135"/>
      <c r="D302" s="135"/>
      <c r="F302" s="73"/>
      <c r="G302" s="135"/>
      <c r="H302" s="135"/>
      <c r="I302" s="135"/>
    </row>
    <row r="303" spans="2:9" x14ac:dyDescent="0.35">
      <c r="B303" s="135"/>
      <c r="C303" s="135"/>
      <c r="D303" s="135"/>
      <c r="F303" s="73"/>
      <c r="G303" s="135"/>
      <c r="H303" s="135"/>
      <c r="I303" s="135"/>
    </row>
    <row r="304" spans="2:9" x14ac:dyDescent="0.35">
      <c r="B304" s="135"/>
      <c r="C304" s="135"/>
      <c r="D304" s="135"/>
      <c r="F304" s="73"/>
      <c r="G304" s="135"/>
      <c r="H304" s="135"/>
      <c r="I304" s="135"/>
    </row>
    <row r="305" spans="2:9" x14ac:dyDescent="0.35">
      <c r="B305" s="135"/>
      <c r="C305" s="135"/>
      <c r="D305" s="135"/>
      <c r="F305" s="73"/>
      <c r="G305" s="135"/>
      <c r="H305" s="135"/>
      <c r="I305" s="135"/>
    </row>
    <row r="306" spans="2:9" x14ac:dyDescent="0.35">
      <c r="B306" s="135"/>
      <c r="C306" s="135"/>
      <c r="D306" s="135"/>
      <c r="F306" s="73"/>
      <c r="G306" s="135"/>
      <c r="H306" s="135"/>
      <c r="I306" s="135"/>
    </row>
    <row r="307" spans="2:9" x14ac:dyDescent="0.35">
      <c r="B307" s="135"/>
      <c r="C307" s="135"/>
      <c r="D307" s="135"/>
      <c r="F307" s="73"/>
      <c r="G307" s="135"/>
      <c r="H307" s="135"/>
      <c r="I307" s="135"/>
    </row>
    <row r="308" spans="2:9" x14ac:dyDescent="0.35">
      <c r="B308" s="135"/>
      <c r="C308" s="135"/>
      <c r="D308" s="135"/>
      <c r="F308" s="73"/>
      <c r="G308" s="135"/>
      <c r="H308" s="135"/>
      <c r="I308" s="135"/>
    </row>
    <row r="309" spans="2:9" x14ac:dyDescent="0.35">
      <c r="B309" s="135"/>
      <c r="C309" s="135"/>
      <c r="D309" s="135"/>
      <c r="F309" s="73"/>
      <c r="G309" s="135"/>
      <c r="H309" s="135"/>
      <c r="I309" s="135"/>
    </row>
    <row r="310" spans="2:9" x14ac:dyDescent="0.35">
      <c r="B310" s="135"/>
      <c r="C310" s="135"/>
      <c r="D310" s="135"/>
      <c r="F310" s="73"/>
      <c r="G310" s="135"/>
      <c r="H310" s="135"/>
      <c r="I310" s="135"/>
    </row>
    <row r="311" spans="2:9" x14ac:dyDescent="0.35">
      <c r="B311" s="135"/>
      <c r="C311" s="135"/>
      <c r="D311" s="135"/>
      <c r="F311" s="73"/>
      <c r="G311" s="135"/>
      <c r="H311" s="135"/>
      <c r="I311" s="135"/>
    </row>
    <row r="312" spans="2:9" x14ac:dyDescent="0.35">
      <c r="B312" s="135"/>
      <c r="C312" s="135"/>
      <c r="D312" s="135"/>
      <c r="F312" s="73"/>
      <c r="G312" s="135"/>
      <c r="H312" s="135"/>
      <c r="I312" s="135"/>
    </row>
    <row r="313" spans="2:9" x14ac:dyDescent="0.35">
      <c r="B313" s="135"/>
      <c r="C313" s="135"/>
      <c r="D313" s="135"/>
      <c r="F313" s="73"/>
      <c r="G313" s="135"/>
      <c r="H313" s="135"/>
      <c r="I313" s="135"/>
    </row>
    <row r="314" spans="2:9" x14ac:dyDescent="0.35">
      <c r="B314" s="135"/>
      <c r="C314" s="135"/>
      <c r="D314" s="135"/>
      <c r="F314" s="73"/>
      <c r="G314" s="135"/>
      <c r="H314" s="135"/>
      <c r="I314" s="135"/>
    </row>
    <row r="315" spans="2:9" x14ac:dyDescent="0.35">
      <c r="B315" s="135"/>
      <c r="C315" s="135"/>
      <c r="D315" s="135"/>
      <c r="F315" s="73"/>
      <c r="G315" s="135"/>
      <c r="H315" s="135"/>
      <c r="I315" s="135"/>
    </row>
    <row r="316" spans="2:9" x14ac:dyDescent="0.35">
      <c r="B316" s="135"/>
      <c r="C316" s="135"/>
      <c r="D316" s="135"/>
      <c r="F316" s="73"/>
      <c r="G316" s="135"/>
      <c r="H316" s="135"/>
      <c r="I316" s="135"/>
    </row>
    <row r="317" spans="2:9" x14ac:dyDescent="0.35">
      <c r="B317" s="135"/>
      <c r="C317" s="135"/>
      <c r="D317" s="135"/>
      <c r="F317" s="73"/>
      <c r="G317" s="135"/>
      <c r="H317" s="135"/>
      <c r="I317" s="135"/>
    </row>
    <row r="318" spans="2:9" x14ac:dyDescent="0.35">
      <c r="B318" s="135"/>
      <c r="C318" s="135"/>
      <c r="D318" s="135"/>
      <c r="F318" s="73"/>
      <c r="G318" s="135"/>
      <c r="H318" s="135"/>
      <c r="I318" s="135"/>
    </row>
    <row r="319" spans="2:9" x14ac:dyDescent="0.35">
      <c r="B319" s="135"/>
      <c r="C319" s="135"/>
      <c r="D319" s="135"/>
      <c r="F319" s="73"/>
      <c r="G319" s="135"/>
      <c r="H319" s="135"/>
      <c r="I319" s="135"/>
    </row>
    <row r="320" spans="2:9" x14ac:dyDescent="0.35">
      <c r="B320" s="135"/>
      <c r="C320" s="135"/>
      <c r="D320" s="135"/>
      <c r="F320" s="73"/>
      <c r="G320" s="135"/>
      <c r="H320" s="135"/>
      <c r="I320" s="135"/>
    </row>
    <row r="321" spans="2:9" x14ac:dyDescent="0.35">
      <c r="B321" s="135"/>
      <c r="C321" s="135"/>
      <c r="D321" s="135"/>
      <c r="F321" s="73"/>
      <c r="G321" s="135"/>
      <c r="H321" s="135"/>
      <c r="I321" s="135"/>
    </row>
    <row r="322" spans="2:9" x14ac:dyDescent="0.35">
      <c r="B322" s="135"/>
      <c r="C322" s="135"/>
      <c r="D322" s="135"/>
      <c r="F322" s="73"/>
      <c r="G322" s="135"/>
      <c r="H322" s="135"/>
      <c r="I322" s="135"/>
    </row>
    <row r="323" spans="2:9" x14ac:dyDescent="0.35">
      <c r="B323" s="135"/>
      <c r="C323" s="135"/>
      <c r="D323" s="135"/>
      <c r="F323" s="73"/>
      <c r="G323" s="135"/>
      <c r="H323" s="135"/>
      <c r="I323" s="135"/>
    </row>
    <row r="324" spans="2:9" x14ac:dyDescent="0.35">
      <c r="B324" s="135"/>
      <c r="C324" s="135"/>
      <c r="D324" s="135"/>
      <c r="F324" s="73"/>
      <c r="G324" s="135"/>
      <c r="H324" s="135"/>
      <c r="I324" s="135"/>
    </row>
    <row r="325" spans="2:9" x14ac:dyDescent="0.35">
      <c r="B325" s="135"/>
      <c r="C325" s="135"/>
      <c r="D325" s="135"/>
      <c r="F325" s="73"/>
      <c r="G325" s="135"/>
      <c r="H325" s="135"/>
      <c r="I325" s="135"/>
    </row>
    <row r="326" spans="2:9" x14ac:dyDescent="0.35">
      <c r="B326" s="135"/>
      <c r="C326" s="135"/>
      <c r="D326" s="135"/>
      <c r="F326" s="73"/>
      <c r="G326" s="135"/>
      <c r="H326" s="135"/>
      <c r="I326" s="135"/>
    </row>
    <row r="327" spans="2:9" x14ac:dyDescent="0.35">
      <c r="B327" s="135"/>
      <c r="C327" s="135"/>
      <c r="D327" s="135"/>
      <c r="F327" s="73"/>
      <c r="G327" s="135"/>
      <c r="H327" s="135"/>
      <c r="I327" s="135"/>
    </row>
    <row r="328" spans="2:9" x14ac:dyDescent="0.35">
      <c r="B328" s="135"/>
      <c r="C328" s="135"/>
      <c r="D328" s="135"/>
      <c r="F328" s="73"/>
      <c r="G328" s="135"/>
      <c r="H328" s="135"/>
      <c r="I328" s="135"/>
    </row>
    <row r="329" spans="2:9" x14ac:dyDescent="0.35">
      <c r="B329" s="135"/>
      <c r="C329" s="135"/>
      <c r="D329" s="135"/>
      <c r="F329" s="73"/>
      <c r="G329" s="135"/>
      <c r="H329" s="135"/>
      <c r="I329" s="135"/>
    </row>
    <row r="330" spans="2:9" x14ac:dyDescent="0.35">
      <c r="B330" s="135"/>
      <c r="C330" s="135"/>
      <c r="D330" s="135"/>
      <c r="F330" s="73"/>
      <c r="G330" s="135"/>
      <c r="H330" s="135"/>
      <c r="I330" s="135"/>
    </row>
    <row r="331" spans="2:9" x14ac:dyDescent="0.35">
      <c r="B331" s="135"/>
      <c r="C331" s="135"/>
      <c r="D331" s="135"/>
      <c r="F331" s="73"/>
      <c r="G331" s="135"/>
      <c r="H331" s="135"/>
      <c r="I331" s="135"/>
    </row>
    <row r="332" spans="2:9" x14ac:dyDescent="0.35">
      <c r="B332" s="135"/>
      <c r="C332" s="135"/>
      <c r="D332" s="135"/>
      <c r="F332" s="73"/>
      <c r="G332" s="135"/>
      <c r="H332" s="135"/>
      <c r="I332" s="135"/>
    </row>
    <row r="333" spans="2:9" x14ac:dyDescent="0.35">
      <c r="B333" s="135"/>
      <c r="C333" s="135"/>
      <c r="D333" s="135"/>
      <c r="F333" s="73"/>
      <c r="G333" s="135"/>
      <c r="H333" s="135"/>
      <c r="I333" s="135"/>
    </row>
    <row r="334" spans="2:9" x14ac:dyDescent="0.35">
      <c r="B334" s="135"/>
      <c r="C334" s="135"/>
      <c r="D334" s="135"/>
      <c r="F334" s="73"/>
      <c r="G334" s="135"/>
      <c r="H334" s="135"/>
      <c r="I334" s="135"/>
    </row>
    <row r="335" spans="2:9" x14ac:dyDescent="0.35">
      <c r="B335" s="135"/>
      <c r="C335" s="135"/>
      <c r="D335" s="135"/>
      <c r="F335" s="73"/>
      <c r="G335" s="135"/>
      <c r="H335" s="135"/>
      <c r="I335" s="135"/>
    </row>
    <row r="336" spans="2:9" x14ac:dyDescent="0.35">
      <c r="B336" s="135"/>
      <c r="C336" s="135"/>
      <c r="D336" s="135"/>
      <c r="F336" s="73"/>
      <c r="G336" s="135"/>
      <c r="H336" s="135"/>
      <c r="I336" s="135"/>
    </row>
    <row r="337" spans="2:9" x14ac:dyDescent="0.35">
      <c r="B337" s="135"/>
      <c r="C337" s="135"/>
      <c r="D337" s="135"/>
      <c r="F337" s="73"/>
      <c r="G337" s="135"/>
      <c r="H337" s="135"/>
      <c r="I337" s="135"/>
    </row>
    <row r="338" spans="2:9" x14ac:dyDescent="0.35">
      <c r="B338" s="135"/>
      <c r="C338" s="135"/>
      <c r="D338" s="135"/>
      <c r="F338" s="73"/>
      <c r="G338" s="135"/>
      <c r="H338" s="135"/>
      <c r="I338" s="135"/>
    </row>
    <row r="339" spans="2:9" x14ac:dyDescent="0.35">
      <c r="B339" s="135"/>
      <c r="C339" s="135"/>
      <c r="D339" s="135"/>
      <c r="F339" s="73"/>
      <c r="G339" s="135"/>
      <c r="H339" s="135"/>
      <c r="I339" s="135"/>
    </row>
    <row r="340" spans="2:9" x14ac:dyDescent="0.35">
      <c r="B340" s="135"/>
      <c r="C340" s="135"/>
      <c r="D340" s="135"/>
      <c r="F340" s="73"/>
      <c r="G340" s="135"/>
      <c r="H340" s="135"/>
      <c r="I340" s="135"/>
    </row>
    <row r="341" spans="2:9" x14ac:dyDescent="0.35">
      <c r="B341" s="135"/>
      <c r="C341" s="135"/>
      <c r="D341" s="135"/>
      <c r="F341" s="73"/>
      <c r="G341" s="135"/>
      <c r="H341" s="135"/>
      <c r="I341" s="135"/>
    </row>
    <row r="342" spans="2:9" x14ac:dyDescent="0.35">
      <c r="B342" s="135"/>
      <c r="C342" s="135"/>
      <c r="D342" s="135"/>
      <c r="F342" s="73"/>
      <c r="G342" s="135"/>
      <c r="H342" s="135"/>
      <c r="I342" s="135"/>
    </row>
    <row r="343" spans="2:9" x14ac:dyDescent="0.35">
      <c r="B343" s="135"/>
      <c r="C343" s="135"/>
      <c r="D343" s="135"/>
      <c r="F343" s="73"/>
      <c r="G343" s="135"/>
      <c r="H343" s="135"/>
      <c r="I343" s="135"/>
    </row>
    <row r="344" spans="2:9" x14ac:dyDescent="0.35">
      <c r="B344" s="135"/>
      <c r="C344" s="135"/>
      <c r="D344" s="135"/>
      <c r="F344" s="73"/>
      <c r="G344" s="135"/>
      <c r="H344" s="135"/>
      <c r="I344" s="135"/>
    </row>
    <row r="345" spans="2:9" x14ac:dyDescent="0.35">
      <c r="B345" s="135"/>
      <c r="C345" s="135"/>
      <c r="D345" s="135"/>
      <c r="F345" s="73"/>
      <c r="G345" s="135"/>
      <c r="H345" s="135"/>
      <c r="I345" s="135"/>
    </row>
    <row r="346" spans="2:9" x14ac:dyDescent="0.35">
      <c r="B346" s="135"/>
      <c r="C346" s="135"/>
      <c r="D346" s="135"/>
      <c r="F346" s="73"/>
      <c r="G346" s="135"/>
      <c r="H346" s="135"/>
      <c r="I346" s="135"/>
    </row>
    <row r="347" spans="2:9" x14ac:dyDescent="0.35">
      <c r="B347" s="135"/>
      <c r="C347" s="135"/>
      <c r="D347" s="135"/>
      <c r="F347" s="73"/>
      <c r="G347" s="135"/>
      <c r="H347" s="135"/>
      <c r="I347" s="135"/>
    </row>
    <row r="348" spans="2:9" x14ac:dyDescent="0.35">
      <c r="B348" s="135"/>
      <c r="C348" s="135"/>
      <c r="D348" s="135"/>
      <c r="F348" s="73"/>
      <c r="G348" s="135"/>
      <c r="H348" s="135"/>
      <c r="I348" s="135"/>
    </row>
    <row r="349" spans="2:9" x14ac:dyDescent="0.35">
      <c r="B349" s="135"/>
      <c r="C349" s="135"/>
      <c r="D349" s="135"/>
      <c r="F349" s="73"/>
      <c r="G349" s="135"/>
      <c r="H349" s="135"/>
      <c r="I349" s="135"/>
    </row>
    <row r="350" spans="2:9" x14ac:dyDescent="0.35">
      <c r="B350" s="135"/>
      <c r="C350" s="135"/>
      <c r="D350" s="135"/>
      <c r="F350" s="73"/>
      <c r="G350" s="135"/>
      <c r="H350" s="135"/>
      <c r="I350" s="135"/>
    </row>
    <row r="351" spans="2:9" x14ac:dyDescent="0.35">
      <c r="B351" s="135"/>
      <c r="C351" s="135"/>
      <c r="D351" s="135"/>
      <c r="F351" s="73"/>
      <c r="G351" s="135"/>
      <c r="H351" s="135"/>
      <c r="I351" s="135"/>
    </row>
    <row r="352" spans="2:9" x14ac:dyDescent="0.35">
      <c r="B352" s="135"/>
      <c r="C352" s="135"/>
      <c r="D352" s="135"/>
      <c r="F352" s="73"/>
      <c r="G352" s="135"/>
      <c r="H352" s="135"/>
      <c r="I352" s="135"/>
    </row>
    <row r="353" spans="2:9" x14ac:dyDescent="0.35">
      <c r="B353" s="135"/>
      <c r="C353" s="135"/>
      <c r="D353" s="135"/>
      <c r="F353" s="73"/>
      <c r="G353" s="135"/>
      <c r="H353" s="135"/>
      <c r="I353" s="135"/>
    </row>
    <row r="354" spans="2:9" x14ac:dyDescent="0.35">
      <c r="B354" s="135"/>
      <c r="C354" s="135"/>
      <c r="D354" s="135"/>
      <c r="F354" s="73"/>
      <c r="G354" s="135"/>
      <c r="H354" s="135"/>
      <c r="I354" s="135"/>
    </row>
    <row r="355" spans="2:9" x14ac:dyDescent="0.35">
      <c r="B355" s="135"/>
      <c r="C355" s="135"/>
      <c r="D355" s="135"/>
      <c r="F355" s="73"/>
      <c r="G355" s="135"/>
      <c r="H355" s="135"/>
      <c r="I355" s="135"/>
    </row>
    <row r="356" spans="2:9" x14ac:dyDescent="0.35">
      <c r="B356" s="135"/>
      <c r="C356" s="135"/>
      <c r="D356" s="135"/>
      <c r="F356" s="73"/>
      <c r="G356" s="135"/>
      <c r="H356" s="135"/>
      <c r="I356" s="135"/>
    </row>
    <row r="357" spans="2:9" x14ac:dyDescent="0.35">
      <c r="B357" s="135"/>
      <c r="C357" s="135"/>
      <c r="D357" s="135"/>
      <c r="F357" s="73"/>
      <c r="G357" s="135"/>
      <c r="H357" s="135"/>
      <c r="I357" s="135"/>
    </row>
    <row r="358" spans="2:9" x14ac:dyDescent="0.35">
      <c r="B358" s="135"/>
      <c r="C358" s="135"/>
      <c r="D358" s="135"/>
      <c r="F358" s="73"/>
      <c r="G358" s="135"/>
      <c r="H358" s="135"/>
      <c r="I358" s="135"/>
    </row>
    <row r="359" spans="2:9" x14ac:dyDescent="0.35">
      <c r="B359" s="135"/>
      <c r="C359" s="135"/>
      <c r="D359" s="135"/>
      <c r="F359" s="73"/>
      <c r="G359" s="135"/>
      <c r="H359" s="135"/>
      <c r="I359" s="135"/>
    </row>
    <row r="360" spans="2:9" x14ac:dyDescent="0.35">
      <c r="B360" s="135"/>
      <c r="C360" s="135"/>
      <c r="D360" s="135"/>
      <c r="F360" s="73"/>
      <c r="G360" s="135"/>
      <c r="H360" s="135"/>
      <c r="I360" s="135"/>
    </row>
    <row r="361" spans="2:9" x14ac:dyDescent="0.35">
      <c r="B361" s="135"/>
      <c r="C361" s="135"/>
      <c r="D361" s="135"/>
      <c r="F361" s="73"/>
      <c r="G361" s="135"/>
      <c r="H361" s="135"/>
      <c r="I361" s="135"/>
    </row>
    <row r="362" spans="2:9" x14ac:dyDescent="0.35">
      <c r="B362" s="135"/>
      <c r="C362" s="135"/>
      <c r="D362" s="135"/>
      <c r="F362" s="73"/>
      <c r="G362" s="135"/>
      <c r="H362" s="135"/>
      <c r="I362" s="135"/>
    </row>
    <row r="363" spans="2:9" x14ac:dyDescent="0.35">
      <c r="B363" s="135"/>
      <c r="C363" s="135"/>
      <c r="D363" s="135"/>
      <c r="F363" s="73"/>
      <c r="G363" s="135"/>
      <c r="H363" s="135"/>
      <c r="I363" s="135"/>
    </row>
    <row r="364" spans="2:9" x14ac:dyDescent="0.35">
      <c r="B364" s="135"/>
      <c r="C364" s="135"/>
      <c r="D364" s="135"/>
      <c r="F364" s="73"/>
      <c r="G364" s="135"/>
      <c r="H364" s="135"/>
      <c r="I364" s="135"/>
    </row>
    <row r="365" spans="2:9" x14ac:dyDescent="0.35">
      <c r="B365" s="135"/>
      <c r="C365" s="135"/>
      <c r="D365" s="135"/>
      <c r="F365" s="73"/>
      <c r="G365" s="135"/>
      <c r="H365" s="135"/>
      <c r="I365" s="135"/>
    </row>
    <row r="366" spans="2:9" x14ac:dyDescent="0.35">
      <c r="B366" s="135"/>
      <c r="C366" s="135"/>
      <c r="D366" s="135"/>
      <c r="F366" s="73"/>
      <c r="G366" s="135"/>
      <c r="H366" s="135"/>
      <c r="I366" s="135"/>
    </row>
    <row r="367" spans="2:9" x14ac:dyDescent="0.35">
      <c r="B367" s="135"/>
      <c r="C367" s="135"/>
      <c r="D367" s="135"/>
      <c r="F367" s="73"/>
      <c r="G367" s="135"/>
      <c r="H367" s="135"/>
      <c r="I367" s="135"/>
    </row>
    <row r="368" spans="2:9" x14ac:dyDescent="0.35">
      <c r="B368" s="135"/>
      <c r="C368" s="135"/>
      <c r="D368" s="135"/>
      <c r="F368" s="73"/>
      <c r="G368" s="135"/>
      <c r="H368" s="135"/>
      <c r="I368" s="135"/>
    </row>
    <row r="369" spans="2:9" x14ac:dyDescent="0.35">
      <c r="B369" s="135"/>
      <c r="C369" s="135"/>
      <c r="D369" s="135"/>
      <c r="F369" s="73"/>
      <c r="G369" s="135"/>
      <c r="H369" s="135"/>
      <c r="I369" s="135"/>
    </row>
    <row r="370" spans="2:9" x14ac:dyDescent="0.35">
      <c r="B370" s="135"/>
      <c r="C370" s="135"/>
      <c r="D370" s="135"/>
      <c r="F370" s="73"/>
      <c r="G370" s="135"/>
      <c r="H370" s="135"/>
      <c r="I370" s="135"/>
    </row>
    <row r="371" spans="2:9" x14ac:dyDescent="0.35">
      <c r="B371" s="135"/>
      <c r="C371" s="135"/>
      <c r="D371" s="135"/>
      <c r="F371" s="73"/>
      <c r="G371" s="135"/>
      <c r="H371" s="135"/>
      <c r="I371" s="135"/>
    </row>
    <row r="372" spans="2:9" x14ac:dyDescent="0.35">
      <c r="B372" s="135"/>
      <c r="C372" s="135"/>
      <c r="D372" s="135"/>
      <c r="F372" s="73"/>
      <c r="G372" s="135"/>
      <c r="H372" s="135"/>
      <c r="I372" s="135"/>
    </row>
    <row r="373" spans="2:9" x14ac:dyDescent="0.35">
      <c r="B373" s="135"/>
      <c r="C373" s="135"/>
      <c r="D373" s="135"/>
      <c r="F373" s="73"/>
      <c r="G373" s="135"/>
      <c r="H373" s="135"/>
      <c r="I373" s="135"/>
    </row>
    <row r="374" spans="2:9" x14ac:dyDescent="0.35">
      <c r="B374" s="135"/>
      <c r="C374" s="135"/>
      <c r="D374" s="135"/>
      <c r="F374" s="73"/>
      <c r="G374" s="135"/>
      <c r="H374" s="135"/>
      <c r="I374" s="135"/>
    </row>
    <row r="375" spans="2:9" x14ac:dyDescent="0.35">
      <c r="B375" s="135"/>
      <c r="C375" s="135"/>
      <c r="D375" s="135"/>
      <c r="F375" s="73"/>
      <c r="G375" s="135"/>
      <c r="H375" s="135"/>
      <c r="I375" s="135"/>
    </row>
    <row r="376" spans="2:9" x14ac:dyDescent="0.35">
      <c r="B376" s="135"/>
      <c r="C376" s="135"/>
      <c r="D376" s="135"/>
      <c r="F376" s="73"/>
      <c r="G376" s="135"/>
      <c r="H376" s="135"/>
      <c r="I376" s="135"/>
    </row>
    <row r="377" spans="2:9" x14ac:dyDescent="0.35">
      <c r="B377" s="135"/>
      <c r="C377" s="135"/>
      <c r="D377" s="135"/>
      <c r="F377" s="73"/>
      <c r="G377" s="135"/>
      <c r="H377" s="135"/>
      <c r="I377" s="135"/>
    </row>
    <row r="378" spans="2:9" x14ac:dyDescent="0.35">
      <c r="B378" s="135"/>
      <c r="C378" s="135"/>
      <c r="D378" s="135"/>
      <c r="F378" s="73"/>
      <c r="G378" s="135"/>
      <c r="H378" s="135"/>
      <c r="I378" s="135"/>
    </row>
    <row r="379" spans="2:9" x14ac:dyDescent="0.35">
      <c r="B379" s="135"/>
      <c r="C379" s="135"/>
      <c r="D379" s="135"/>
      <c r="F379" s="73"/>
      <c r="G379" s="135"/>
      <c r="H379" s="135"/>
      <c r="I379" s="135"/>
    </row>
    <row r="380" spans="2:9" x14ac:dyDescent="0.35">
      <c r="B380" s="135"/>
      <c r="C380" s="135"/>
      <c r="D380" s="135"/>
      <c r="F380" s="73"/>
      <c r="G380" s="135"/>
      <c r="H380" s="135"/>
      <c r="I380" s="135"/>
    </row>
    <row r="381" spans="2:9" x14ac:dyDescent="0.35">
      <c r="B381" s="135"/>
      <c r="C381" s="135"/>
      <c r="D381" s="135"/>
      <c r="F381" s="73"/>
      <c r="G381" s="135"/>
      <c r="H381" s="135"/>
      <c r="I381" s="135"/>
    </row>
    <row r="382" spans="2:9" x14ac:dyDescent="0.35">
      <c r="B382" s="135"/>
      <c r="C382" s="135"/>
      <c r="D382" s="135"/>
      <c r="F382" s="73"/>
      <c r="G382" s="135"/>
      <c r="H382" s="135"/>
      <c r="I382" s="135"/>
    </row>
    <row r="383" spans="2:9" x14ac:dyDescent="0.35">
      <c r="B383" s="135"/>
      <c r="C383" s="135"/>
      <c r="D383" s="135"/>
      <c r="F383" s="73"/>
      <c r="G383" s="135"/>
      <c r="H383" s="135"/>
      <c r="I383" s="135"/>
    </row>
    <row r="384" spans="2:9" x14ac:dyDescent="0.35">
      <c r="B384" s="135"/>
      <c r="C384" s="135"/>
      <c r="D384" s="135"/>
      <c r="F384" s="73"/>
      <c r="G384" s="135"/>
      <c r="H384" s="135"/>
      <c r="I384" s="135"/>
    </row>
    <row r="385" spans="2:9" x14ac:dyDescent="0.35">
      <c r="B385" s="135"/>
      <c r="C385" s="135"/>
      <c r="D385" s="135"/>
      <c r="F385" s="73"/>
      <c r="G385" s="135"/>
      <c r="H385" s="135"/>
      <c r="I385" s="135"/>
    </row>
    <row r="386" spans="2:9" x14ac:dyDescent="0.35">
      <c r="B386" s="135"/>
      <c r="C386" s="135"/>
      <c r="D386" s="135"/>
      <c r="F386" s="73"/>
      <c r="G386" s="135"/>
      <c r="H386" s="135"/>
      <c r="I386" s="135"/>
    </row>
    <row r="387" spans="2:9" x14ac:dyDescent="0.35">
      <c r="B387" s="135"/>
      <c r="C387" s="135"/>
      <c r="D387" s="135"/>
      <c r="F387" s="73"/>
      <c r="G387" s="135"/>
      <c r="H387" s="135"/>
      <c r="I387" s="135"/>
    </row>
    <row r="388" spans="2:9" x14ac:dyDescent="0.35">
      <c r="B388" s="135"/>
      <c r="C388" s="135"/>
      <c r="D388" s="135"/>
      <c r="F388" s="73"/>
      <c r="G388" s="135"/>
      <c r="H388" s="135"/>
      <c r="I388" s="135"/>
    </row>
    <row r="389" spans="2:9" x14ac:dyDescent="0.35">
      <c r="B389" s="135"/>
      <c r="C389" s="135"/>
      <c r="D389" s="135"/>
      <c r="F389" s="73"/>
      <c r="G389" s="135"/>
      <c r="H389" s="135"/>
      <c r="I389" s="135"/>
    </row>
    <row r="390" spans="2:9" x14ac:dyDescent="0.35">
      <c r="B390" s="135"/>
      <c r="C390" s="135"/>
      <c r="D390" s="135"/>
      <c r="F390" s="73"/>
      <c r="G390" s="135"/>
      <c r="H390" s="135"/>
      <c r="I390" s="135"/>
    </row>
    <row r="391" spans="2:9" x14ac:dyDescent="0.35">
      <c r="B391" s="135"/>
      <c r="C391" s="135"/>
      <c r="D391" s="135"/>
      <c r="F391" s="73"/>
      <c r="G391" s="135"/>
      <c r="H391" s="135"/>
      <c r="I391" s="135"/>
    </row>
    <row r="392" spans="2:9" x14ac:dyDescent="0.35">
      <c r="B392" s="135"/>
      <c r="C392" s="135"/>
      <c r="D392" s="135"/>
      <c r="F392" s="73"/>
      <c r="G392" s="135"/>
      <c r="H392" s="135"/>
      <c r="I392" s="135"/>
    </row>
    <row r="393" spans="2:9" x14ac:dyDescent="0.35">
      <c r="B393" s="135"/>
      <c r="C393" s="135"/>
      <c r="D393" s="135"/>
      <c r="F393" s="73"/>
      <c r="G393" s="135"/>
      <c r="H393" s="135"/>
      <c r="I393" s="135"/>
    </row>
    <row r="394" spans="2:9" x14ac:dyDescent="0.35">
      <c r="B394" s="135"/>
      <c r="C394" s="135"/>
      <c r="D394" s="135"/>
      <c r="F394" s="73"/>
      <c r="G394" s="135"/>
      <c r="H394" s="135"/>
      <c r="I394" s="135"/>
    </row>
    <row r="395" spans="2:9" x14ac:dyDescent="0.35">
      <c r="B395" s="135"/>
      <c r="C395" s="135"/>
      <c r="D395" s="135"/>
      <c r="F395" s="73"/>
      <c r="G395" s="135"/>
      <c r="H395" s="135"/>
      <c r="I395" s="135"/>
    </row>
    <row r="396" spans="2:9" x14ac:dyDescent="0.35">
      <c r="B396" s="135"/>
      <c r="C396" s="135"/>
      <c r="D396" s="135"/>
      <c r="F396" s="73"/>
      <c r="G396" s="135"/>
      <c r="H396" s="135"/>
      <c r="I396" s="135"/>
    </row>
    <row r="397" spans="2:9" x14ac:dyDescent="0.35">
      <c r="B397" s="135"/>
      <c r="C397" s="135"/>
      <c r="D397" s="135"/>
      <c r="F397" s="73"/>
      <c r="G397" s="135"/>
      <c r="H397" s="135"/>
      <c r="I397" s="135"/>
    </row>
    <row r="398" spans="2:9" x14ac:dyDescent="0.35">
      <c r="B398" s="135"/>
      <c r="C398" s="135"/>
      <c r="D398" s="135"/>
      <c r="F398" s="73"/>
      <c r="G398" s="135"/>
      <c r="H398" s="135"/>
      <c r="I398" s="135"/>
    </row>
    <row r="399" spans="2:9" x14ac:dyDescent="0.35">
      <c r="B399" s="135"/>
      <c r="C399" s="135"/>
      <c r="D399" s="135"/>
      <c r="F399" s="73"/>
      <c r="G399" s="135"/>
      <c r="H399" s="135"/>
      <c r="I399" s="135"/>
    </row>
    <row r="400" spans="2:9" x14ac:dyDescent="0.35">
      <c r="B400" s="135"/>
      <c r="C400" s="135"/>
      <c r="D400" s="135"/>
      <c r="F400" s="73"/>
      <c r="G400" s="135"/>
      <c r="H400" s="135"/>
      <c r="I400" s="135"/>
    </row>
    <row r="401" spans="2:9" x14ac:dyDescent="0.35">
      <c r="B401" s="135"/>
      <c r="C401" s="135"/>
      <c r="D401" s="135"/>
      <c r="F401" s="73"/>
      <c r="G401" s="135"/>
      <c r="H401" s="135"/>
      <c r="I401" s="135"/>
    </row>
    <row r="402" spans="2:9" x14ac:dyDescent="0.35">
      <c r="B402" s="135"/>
      <c r="C402" s="135"/>
      <c r="D402" s="135"/>
      <c r="F402" s="73"/>
      <c r="G402" s="135"/>
      <c r="H402" s="135"/>
      <c r="I402" s="135"/>
    </row>
    <row r="403" spans="2:9" x14ac:dyDescent="0.35">
      <c r="B403" s="135"/>
      <c r="C403" s="135"/>
      <c r="D403" s="135"/>
      <c r="F403" s="73"/>
      <c r="G403" s="135"/>
      <c r="H403" s="135"/>
      <c r="I403" s="135"/>
    </row>
    <row r="404" spans="2:9" x14ac:dyDescent="0.35">
      <c r="B404" s="135"/>
      <c r="C404" s="135"/>
      <c r="D404" s="135"/>
      <c r="F404" s="73"/>
      <c r="G404" s="135"/>
      <c r="H404" s="135"/>
      <c r="I404" s="135"/>
    </row>
    <row r="405" spans="2:9" x14ac:dyDescent="0.35">
      <c r="B405" s="135"/>
      <c r="C405" s="135"/>
      <c r="D405" s="135"/>
      <c r="F405" s="73"/>
      <c r="G405" s="135"/>
      <c r="H405" s="135"/>
      <c r="I405" s="135"/>
    </row>
    <row r="406" spans="2:9" x14ac:dyDescent="0.35">
      <c r="B406" s="135"/>
      <c r="C406" s="135"/>
      <c r="D406" s="135"/>
      <c r="F406" s="73"/>
      <c r="G406" s="135"/>
      <c r="H406" s="135"/>
      <c r="I406" s="135"/>
    </row>
    <row r="407" spans="2:9" x14ac:dyDescent="0.35">
      <c r="B407" s="135"/>
      <c r="C407" s="135"/>
      <c r="D407" s="135"/>
      <c r="F407" s="73"/>
      <c r="G407" s="135"/>
      <c r="H407" s="135"/>
      <c r="I407" s="135"/>
    </row>
    <row r="408" spans="2:9" x14ac:dyDescent="0.35">
      <c r="B408" s="135"/>
      <c r="C408" s="135"/>
      <c r="D408" s="135"/>
      <c r="F408" s="73"/>
      <c r="G408" s="135"/>
      <c r="H408" s="135"/>
      <c r="I408" s="135"/>
    </row>
    <row r="409" spans="2:9" x14ac:dyDescent="0.35">
      <c r="B409" s="135"/>
      <c r="C409" s="135"/>
      <c r="D409" s="135"/>
      <c r="F409" s="73"/>
      <c r="G409" s="135"/>
      <c r="H409" s="135"/>
      <c r="I409" s="135"/>
    </row>
    <row r="410" spans="2:9" x14ac:dyDescent="0.35">
      <c r="B410" s="135"/>
      <c r="C410" s="135"/>
      <c r="D410" s="135"/>
      <c r="F410" s="73"/>
      <c r="G410" s="135"/>
      <c r="H410" s="135"/>
      <c r="I410" s="135"/>
    </row>
    <row r="411" spans="2:9" x14ac:dyDescent="0.35">
      <c r="B411" s="135"/>
      <c r="C411" s="135"/>
      <c r="D411" s="135"/>
      <c r="F411" s="73"/>
      <c r="G411" s="135"/>
      <c r="H411" s="135"/>
      <c r="I411" s="135"/>
    </row>
    <row r="412" spans="2:9" x14ac:dyDescent="0.35">
      <c r="B412" s="135"/>
      <c r="C412" s="135"/>
      <c r="D412" s="135"/>
      <c r="F412" s="73"/>
      <c r="G412" s="135"/>
      <c r="H412" s="135"/>
      <c r="I412" s="135"/>
    </row>
    <row r="413" spans="2:9" x14ac:dyDescent="0.35">
      <c r="B413" s="135"/>
      <c r="C413" s="135"/>
      <c r="D413" s="135"/>
      <c r="F413" s="73"/>
      <c r="G413" s="135"/>
      <c r="H413" s="135"/>
      <c r="I413" s="135"/>
    </row>
    <row r="414" spans="2:9" x14ac:dyDescent="0.35">
      <c r="B414" s="135"/>
      <c r="C414" s="135"/>
      <c r="D414" s="135"/>
      <c r="F414" s="73"/>
      <c r="G414" s="135"/>
      <c r="H414" s="135"/>
      <c r="I414" s="135"/>
    </row>
    <row r="415" spans="2:9" x14ac:dyDescent="0.35">
      <c r="B415" s="135"/>
      <c r="C415" s="135"/>
      <c r="D415" s="135"/>
      <c r="F415" s="73"/>
      <c r="G415" s="135"/>
      <c r="H415" s="135"/>
      <c r="I415" s="135"/>
    </row>
    <row r="416" spans="2:9" x14ac:dyDescent="0.35">
      <c r="B416" s="135"/>
      <c r="C416" s="135"/>
      <c r="D416" s="135"/>
      <c r="F416" s="73"/>
      <c r="G416" s="135"/>
      <c r="H416" s="135"/>
      <c r="I416" s="135"/>
    </row>
    <row r="417" spans="2:9" x14ac:dyDescent="0.35">
      <c r="B417" s="135"/>
      <c r="C417" s="135"/>
      <c r="D417" s="135"/>
      <c r="F417" s="73"/>
      <c r="G417" s="135"/>
      <c r="H417" s="135"/>
      <c r="I417" s="135"/>
    </row>
    <row r="418" spans="2:9" x14ac:dyDescent="0.35">
      <c r="B418" s="135"/>
      <c r="C418" s="135"/>
      <c r="D418" s="135"/>
      <c r="F418" s="73"/>
      <c r="G418" s="135"/>
      <c r="H418" s="135"/>
      <c r="I418" s="135"/>
    </row>
    <row r="419" spans="2:9" x14ac:dyDescent="0.35">
      <c r="B419" s="135"/>
      <c r="C419" s="135"/>
      <c r="D419" s="135"/>
      <c r="F419" s="73"/>
      <c r="G419" s="135"/>
      <c r="H419" s="135"/>
      <c r="I419" s="135"/>
    </row>
    <row r="420" spans="2:9" x14ac:dyDescent="0.35">
      <c r="B420" s="135"/>
      <c r="C420" s="135"/>
      <c r="D420" s="135"/>
      <c r="F420" s="73"/>
      <c r="G420" s="135"/>
      <c r="H420" s="135"/>
      <c r="I420" s="135"/>
    </row>
    <row r="421" spans="2:9" x14ac:dyDescent="0.35">
      <c r="B421" s="135"/>
      <c r="C421" s="135"/>
      <c r="D421" s="135"/>
      <c r="F421" s="73"/>
      <c r="G421" s="135"/>
      <c r="H421" s="135"/>
      <c r="I421" s="135"/>
    </row>
    <row r="422" spans="2:9" x14ac:dyDescent="0.35">
      <c r="B422" s="135"/>
      <c r="C422" s="135"/>
      <c r="D422" s="135"/>
      <c r="F422" s="73"/>
      <c r="G422" s="135"/>
      <c r="H422" s="135"/>
      <c r="I422" s="135"/>
    </row>
    <row r="423" spans="2:9" x14ac:dyDescent="0.35">
      <c r="B423" s="135"/>
      <c r="C423" s="135"/>
      <c r="D423" s="135"/>
      <c r="F423" s="73"/>
      <c r="G423" s="135"/>
      <c r="H423" s="135"/>
      <c r="I423" s="135"/>
    </row>
    <row r="424" spans="2:9" x14ac:dyDescent="0.35">
      <c r="B424" s="135"/>
      <c r="C424" s="135"/>
      <c r="D424" s="135"/>
      <c r="F424" s="73"/>
      <c r="G424" s="135"/>
      <c r="H424" s="135"/>
      <c r="I424" s="135"/>
    </row>
    <row r="425" spans="2:9" x14ac:dyDescent="0.35">
      <c r="B425" s="135"/>
      <c r="C425" s="135"/>
      <c r="D425" s="135"/>
      <c r="F425" s="73"/>
      <c r="G425" s="135"/>
      <c r="H425" s="135"/>
      <c r="I425" s="135"/>
    </row>
    <row r="426" spans="2:9" x14ac:dyDescent="0.35">
      <c r="B426" s="135"/>
      <c r="C426" s="135"/>
      <c r="D426" s="135"/>
      <c r="F426" s="73"/>
      <c r="G426" s="135"/>
      <c r="H426" s="135"/>
      <c r="I426" s="135"/>
    </row>
    <row r="427" spans="2:9" x14ac:dyDescent="0.35">
      <c r="B427" s="135"/>
      <c r="C427" s="135"/>
      <c r="D427" s="135"/>
      <c r="F427" s="73"/>
      <c r="G427" s="135"/>
      <c r="H427" s="135"/>
      <c r="I427" s="135"/>
    </row>
    <row r="428" spans="2:9" x14ac:dyDescent="0.35">
      <c r="B428" s="135"/>
      <c r="C428" s="135"/>
      <c r="D428" s="135"/>
      <c r="F428" s="73"/>
      <c r="G428" s="135"/>
      <c r="H428" s="135"/>
      <c r="I428" s="135"/>
    </row>
    <row r="429" spans="2:9" x14ac:dyDescent="0.35">
      <c r="B429" s="135"/>
      <c r="C429" s="135"/>
      <c r="D429" s="135"/>
      <c r="F429" s="73"/>
      <c r="G429" s="135"/>
      <c r="H429" s="135"/>
      <c r="I429" s="135"/>
    </row>
    <row r="430" spans="2:9" x14ac:dyDescent="0.35">
      <c r="B430" s="135"/>
      <c r="C430" s="135"/>
      <c r="D430" s="135"/>
      <c r="F430" s="73"/>
      <c r="G430" s="135"/>
      <c r="H430" s="135"/>
      <c r="I430" s="135"/>
    </row>
    <row r="431" spans="2:9" x14ac:dyDescent="0.35">
      <c r="B431" s="135"/>
      <c r="C431" s="135"/>
      <c r="D431" s="135"/>
      <c r="F431" s="73"/>
      <c r="G431" s="135"/>
      <c r="H431" s="135"/>
      <c r="I431" s="135"/>
    </row>
    <row r="432" spans="2:9" x14ac:dyDescent="0.35">
      <c r="B432" s="135"/>
      <c r="C432" s="135"/>
      <c r="D432" s="135"/>
      <c r="F432" s="73"/>
      <c r="G432" s="135"/>
      <c r="H432" s="135"/>
      <c r="I432" s="135"/>
    </row>
    <row r="433" spans="2:9" x14ac:dyDescent="0.35">
      <c r="B433" s="135"/>
      <c r="C433" s="135"/>
      <c r="D433" s="135"/>
      <c r="F433" s="73"/>
      <c r="G433" s="135"/>
      <c r="H433" s="135"/>
      <c r="I433" s="135"/>
    </row>
    <row r="434" spans="2:9" x14ac:dyDescent="0.35">
      <c r="B434" s="135"/>
      <c r="C434" s="135"/>
      <c r="D434" s="135"/>
      <c r="F434" s="73"/>
      <c r="G434" s="135"/>
      <c r="H434" s="135"/>
      <c r="I434" s="135"/>
    </row>
    <row r="435" spans="2:9" x14ac:dyDescent="0.35">
      <c r="B435" s="135"/>
      <c r="C435" s="135"/>
      <c r="D435" s="135"/>
      <c r="F435" s="73"/>
      <c r="G435" s="135"/>
      <c r="H435" s="135"/>
      <c r="I435" s="135"/>
    </row>
    <row r="436" spans="2:9" x14ac:dyDescent="0.35">
      <c r="B436" s="135"/>
      <c r="C436" s="135"/>
      <c r="D436" s="135"/>
      <c r="F436" s="73"/>
      <c r="G436" s="135"/>
      <c r="H436" s="135"/>
      <c r="I436" s="135"/>
    </row>
    <row r="437" spans="2:9" x14ac:dyDescent="0.35">
      <c r="B437" s="135"/>
      <c r="C437" s="135"/>
      <c r="D437" s="135"/>
      <c r="F437" s="73"/>
      <c r="G437" s="135"/>
      <c r="H437" s="135"/>
      <c r="I437" s="135"/>
    </row>
    <row r="438" spans="2:9" x14ac:dyDescent="0.35">
      <c r="B438" s="135"/>
      <c r="C438" s="135"/>
      <c r="D438" s="135"/>
      <c r="F438" s="73"/>
      <c r="G438" s="135"/>
      <c r="H438" s="135"/>
      <c r="I438" s="135"/>
    </row>
    <row r="439" spans="2:9" x14ac:dyDescent="0.35">
      <c r="B439" s="135"/>
      <c r="C439" s="135"/>
      <c r="D439" s="135"/>
      <c r="F439" s="73"/>
      <c r="G439" s="135"/>
      <c r="H439" s="135"/>
      <c r="I439" s="135"/>
    </row>
    <row r="440" spans="2:9" x14ac:dyDescent="0.35">
      <c r="B440" s="135"/>
      <c r="C440" s="135"/>
      <c r="D440" s="135"/>
      <c r="F440" s="73"/>
      <c r="G440" s="135"/>
      <c r="H440" s="135"/>
      <c r="I440" s="135"/>
    </row>
    <row r="441" spans="2:9" x14ac:dyDescent="0.35">
      <c r="B441" s="135"/>
      <c r="C441" s="135"/>
      <c r="D441" s="135"/>
      <c r="F441" s="73"/>
      <c r="G441" s="135"/>
      <c r="H441" s="135"/>
      <c r="I441" s="135"/>
    </row>
    <row r="442" spans="2:9" x14ac:dyDescent="0.35">
      <c r="B442" s="135"/>
      <c r="C442" s="135"/>
      <c r="D442" s="135"/>
      <c r="F442" s="73"/>
      <c r="G442" s="135"/>
      <c r="H442" s="135"/>
      <c r="I442" s="135"/>
    </row>
    <row r="443" spans="2:9" x14ac:dyDescent="0.35">
      <c r="B443" s="135"/>
      <c r="C443" s="135"/>
      <c r="D443" s="135"/>
      <c r="F443" s="73"/>
      <c r="G443" s="135"/>
      <c r="H443" s="135"/>
      <c r="I443" s="135"/>
    </row>
    <row r="444" spans="2:9" x14ac:dyDescent="0.35">
      <c r="B444" s="135"/>
      <c r="C444" s="135"/>
      <c r="D444" s="135"/>
      <c r="F444" s="73"/>
      <c r="G444" s="135"/>
      <c r="H444" s="135"/>
      <c r="I444" s="135"/>
    </row>
    <row r="445" spans="2:9" x14ac:dyDescent="0.35">
      <c r="B445" s="135"/>
      <c r="C445" s="135"/>
      <c r="D445" s="135"/>
      <c r="F445" s="73"/>
      <c r="G445" s="135"/>
      <c r="H445" s="135"/>
      <c r="I445" s="135"/>
    </row>
    <row r="446" spans="2:9" x14ac:dyDescent="0.35">
      <c r="B446" s="135"/>
      <c r="C446" s="135"/>
      <c r="D446" s="135"/>
      <c r="F446" s="73"/>
      <c r="G446" s="135"/>
      <c r="H446" s="135"/>
      <c r="I446" s="135"/>
    </row>
    <row r="447" spans="2:9" x14ac:dyDescent="0.35">
      <c r="B447" s="135"/>
      <c r="C447" s="135"/>
      <c r="D447" s="135"/>
      <c r="F447" s="73"/>
      <c r="G447" s="135"/>
      <c r="H447" s="135"/>
      <c r="I447" s="135"/>
    </row>
    <row r="448" spans="2:9" x14ac:dyDescent="0.35">
      <c r="B448" s="135"/>
      <c r="C448" s="135"/>
      <c r="D448" s="135"/>
      <c r="F448" s="73"/>
      <c r="G448" s="135"/>
      <c r="H448" s="135"/>
      <c r="I448" s="135"/>
    </row>
    <row r="449" spans="2:9" x14ac:dyDescent="0.35">
      <c r="B449" s="135"/>
      <c r="C449" s="135"/>
      <c r="D449" s="135"/>
      <c r="F449" s="73"/>
      <c r="G449" s="135"/>
      <c r="H449" s="135"/>
      <c r="I449" s="135"/>
    </row>
    <row r="450" spans="2:9" x14ac:dyDescent="0.35">
      <c r="B450" s="135"/>
      <c r="C450" s="135"/>
      <c r="D450" s="135"/>
      <c r="F450" s="73"/>
      <c r="G450" s="135"/>
      <c r="H450" s="135"/>
      <c r="I450" s="135"/>
    </row>
    <row r="451" spans="2:9" x14ac:dyDescent="0.35">
      <c r="B451" s="135"/>
      <c r="C451" s="135"/>
      <c r="D451" s="135"/>
      <c r="F451" s="73"/>
      <c r="G451" s="135"/>
      <c r="H451" s="135"/>
      <c r="I451" s="135"/>
    </row>
    <row r="452" spans="2:9" x14ac:dyDescent="0.35">
      <c r="B452" s="135"/>
      <c r="C452" s="135"/>
      <c r="D452" s="135"/>
      <c r="F452" s="73"/>
      <c r="G452" s="135"/>
      <c r="H452" s="135"/>
      <c r="I452" s="135"/>
    </row>
    <row r="453" spans="2:9" x14ac:dyDescent="0.35">
      <c r="B453" s="135"/>
      <c r="C453" s="135"/>
      <c r="D453" s="135"/>
      <c r="F453" s="73"/>
      <c r="G453" s="135"/>
      <c r="H453" s="135"/>
      <c r="I453" s="135"/>
    </row>
    <row r="454" spans="2:9" x14ac:dyDescent="0.35">
      <c r="B454" s="135"/>
      <c r="C454" s="135"/>
      <c r="D454" s="135"/>
      <c r="F454" s="73"/>
      <c r="G454" s="135"/>
      <c r="H454" s="135"/>
      <c r="I454" s="135"/>
    </row>
    <row r="455" spans="2:9" x14ac:dyDescent="0.35">
      <c r="B455" s="135"/>
      <c r="C455" s="135"/>
      <c r="D455" s="135"/>
      <c r="F455" s="73"/>
      <c r="G455" s="135"/>
      <c r="H455" s="135"/>
      <c r="I455" s="135"/>
    </row>
    <row r="456" spans="2:9" x14ac:dyDescent="0.35">
      <c r="B456" s="135"/>
      <c r="C456" s="135"/>
      <c r="D456" s="135"/>
      <c r="F456" s="73"/>
      <c r="G456" s="135"/>
      <c r="H456" s="135"/>
      <c r="I456" s="135"/>
    </row>
    <row r="457" spans="2:9" x14ac:dyDescent="0.35">
      <c r="B457" s="135"/>
      <c r="C457" s="135"/>
      <c r="D457" s="135"/>
      <c r="F457" s="73"/>
      <c r="G457" s="135"/>
      <c r="H457" s="135"/>
      <c r="I457" s="135"/>
    </row>
    <row r="458" spans="2:9" x14ac:dyDescent="0.35">
      <c r="B458" s="135"/>
      <c r="C458" s="135"/>
      <c r="D458" s="135"/>
      <c r="F458" s="73"/>
      <c r="G458" s="135"/>
      <c r="H458" s="135"/>
      <c r="I458" s="135"/>
    </row>
    <row r="459" spans="2:9" x14ac:dyDescent="0.35">
      <c r="B459" s="135"/>
      <c r="C459" s="135"/>
      <c r="D459" s="135"/>
      <c r="F459" s="73"/>
      <c r="G459" s="135"/>
      <c r="H459" s="135"/>
      <c r="I459" s="135"/>
    </row>
    <row r="460" spans="2:9" x14ac:dyDescent="0.35">
      <c r="B460" s="135"/>
      <c r="C460" s="135"/>
      <c r="D460" s="135"/>
      <c r="F460" s="73"/>
      <c r="G460" s="135"/>
      <c r="H460" s="135"/>
      <c r="I460" s="135"/>
    </row>
    <row r="461" spans="2:9" x14ac:dyDescent="0.35">
      <c r="B461" s="135"/>
      <c r="C461" s="135"/>
      <c r="D461" s="135"/>
      <c r="F461" s="73"/>
      <c r="G461" s="135"/>
      <c r="H461" s="135"/>
      <c r="I461" s="135"/>
    </row>
    <row r="462" spans="2:9" x14ac:dyDescent="0.35">
      <c r="B462" s="135"/>
      <c r="C462" s="135"/>
      <c r="D462" s="135"/>
      <c r="F462" s="73"/>
      <c r="G462" s="135"/>
      <c r="H462" s="135"/>
      <c r="I462" s="135"/>
    </row>
    <row r="463" spans="2:9" x14ac:dyDescent="0.35">
      <c r="B463" s="135"/>
      <c r="C463" s="135"/>
      <c r="D463" s="135"/>
      <c r="F463" s="73"/>
      <c r="G463" s="135"/>
      <c r="H463" s="135"/>
      <c r="I463" s="135"/>
    </row>
    <row r="464" spans="2:9" x14ac:dyDescent="0.35">
      <c r="B464" s="135"/>
      <c r="C464" s="135"/>
      <c r="D464" s="135"/>
      <c r="F464" s="73"/>
      <c r="G464" s="135"/>
      <c r="H464" s="135"/>
      <c r="I464" s="135"/>
    </row>
    <row r="465" spans="2:9" x14ac:dyDescent="0.35">
      <c r="B465" s="135"/>
      <c r="C465" s="135"/>
      <c r="D465" s="135"/>
      <c r="F465" s="73"/>
      <c r="G465" s="135"/>
      <c r="H465" s="135"/>
      <c r="I465" s="135"/>
    </row>
    <row r="466" spans="2:9" x14ac:dyDescent="0.35">
      <c r="B466" s="135"/>
      <c r="C466" s="135"/>
      <c r="D466" s="135"/>
      <c r="F466" s="73"/>
      <c r="G466" s="135"/>
      <c r="H466" s="135"/>
      <c r="I466" s="135"/>
    </row>
    <row r="467" spans="2:9" x14ac:dyDescent="0.35">
      <c r="B467" s="135"/>
      <c r="C467" s="135"/>
      <c r="D467" s="135"/>
      <c r="F467" s="73"/>
      <c r="G467" s="135"/>
      <c r="H467" s="135"/>
      <c r="I467" s="135"/>
    </row>
    <row r="468" spans="2:9" x14ac:dyDescent="0.35">
      <c r="B468" s="135"/>
      <c r="C468" s="135"/>
      <c r="D468" s="135"/>
      <c r="F468" s="73"/>
      <c r="G468" s="135"/>
      <c r="H468" s="135"/>
      <c r="I468" s="135"/>
    </row>
    <row r="469" spans="2:9" x14ac:dyDescent="0.35">
      <c r="B469" s="135"/>
      <c r="C469" s="135"/>
      <c r="D469" s="135"/>
      <c r="F469" s="73"/>
      <c r="G469" s="135"/>
      <c r="H469" s="135"/>
      <c r="I469" s="135"/>
    </row>
    <row r="470" spans="2:9" x14ac:dyDescent="0.35">
      <c r="B470" s="135"/>
      <c r="C470" s="135"/>
      <c r="D470" s="135"/>
      <c r="F470" s="73"/>
      <c r="G470" s="135"/>
      <c r="H470" s="135"/>
      <c r="I470" s="135"/>
    </row>
    <row r="471" spans="2:9" x14ac:dyDescent="0.35">
      <c r="B471" s="135"/>
      <c r="C471" s="135"/>
      <c r="D471" s="135"/>
      <c r="F471" s="73"/>
      <c r="G471" s="135"/>
      <c r="H471" s="135"/>
      <c r="I471" s="135"/>
    </row>
    <row r="472" spans="2:9" x14ac:dyDescent="0.35">
      <c r="B472" s="135"/>
      <c r="C472" s="135"/>
      <c r="D472" s="135"/>
      <c r="F472" s="73"/>
      <c r="G472" s="135"/>
      <c r="H472" s="135"/>
      <c r="I472" s="135"/>
    </row>
    <row r="473" spans="2:9" x14ac:dyDescent="0.35">
      <c r="B473" s="135"/>
      <c r="C473" s="135"/>
      <c r="D473" s="135"/>
      <c r="F473" s="73"/>
      <c r="G473" s="135"/>
      <c r="H473" s="135"/>
      <c r="I473" s="135"/>
    </row>
    <row r="474" spans="2:9" x14ac:dyDescent="0.35">
      <c r="B474" s="135"/>
      <c r="C474" s="135"/>
      <c r="D474" s="135"/>
      <c r="F474" s="73"/>
      <c r="G474" s="135"/>
      <c r="H474" s="135"/>
      <c r="I474" s="135"/>
    </row>
    <row r="475" spans="2:9" x14ac:dyDescent="0.35">
      <c r="B475" s="135"/>
      <c r="C475" s="135"/>
      <c r="D475" s="135"/>
      <c r="F475" s="73"/>
      <c r="G475" s="135"/>
      <c r="H475" s="135"/>
      <c r="I475" s="135"/>
    </row>
    <row r="476" spans="2:9" x14ac:dyDescent="0.35">
      <c r="B476" s="135"/>
      <c r="C476" s="135"/>
      <c r="D476" s="135"/>
      <c r="F476" s="73"/>
      <c r="G476" s="135"/>
      <c r="H476" s="135"/>
      <c r="I476" s="135"/>
    </row>
    <row r="477" spans="2:9" x14ac:dyDescent="0.35">
      <c r="B477" s="135"/>
      <c r="C477" s="135"/>
      <c r="D477" s="135"/>
      <c r="F477" s="73"/>
      <c r="G477" s="135"/>
      <c r="H477" s="135"/>
      <c r="I477" s="135"/>
    </row>
    <row r="478" spans="2:9" x14ac:dyDescent="0.35">
      <c r="B478" s="135"/>
      <c r="C478" s="135"/>
      <c r="D478" s="135"/>
      <c r="F478" s="73"/>
      <c r="G478" s="135"/>
      <c r="H478" s="135"/>
      <c r="I478" s="135"/>
    </row>
    <row r="479" spans="2:9" x14ac:dyDescent="0.35">
      <c r="B479" s="135"/>
      <c r="C479" s="135"/>
      <c r="D479" s="135"/>
      <c r="F479" s="73"/>
      <c r="G479" s="135"/>
      <c r="H479" s="135"/>
      <c r="I479" s="135"/>
    </row>
    <row r="480" spans="2:9" x14ac:dyDescent="0.35">
      <c r="B480" s="135"/>
      <c r="C480" s="135"/>
      <c r="D480" s="135"/>
      <c r="F480" s="73"/>
      <c r="G480" s="135"/>
      <c r="H480" s="135"/>
      <c r="I480" s="135"/>
    </row>
    <row r="481" spans="2:9" x14ac:dyDescent="0.35">
      <c r="B481" s="135"/>
      <c r="C481" s="135"/>
      <c r="D481" s="135"/>
      <c r="F481" s="73"/>
      <c r="G481" s="135"/>
      <c r="H481" s="135"/>
      <c r="I481" s="135"/>
    </row>
    <row r="482" spans="2:9" x14ac:dyDescent="0.35">
      <c r="B482" s="135"/>
      <c r="C482" s="135"/>
      <c r="D482" s="135"/>
      <c r="F482" s="73"/>
      <c r="G482" s="135"/>
      <c r="H482" s="135"/>
      <c r="I482" s="135"/>
    </row>
    <row r="483" spans="2:9" x14ac:dyDescent="0.35">
      <c r="B483" s="135"/>
      <c r="C483" s="135"/>
      <c r="D483" s="135"/>
      <c r="F483" s="73"/>
      <c r="G483" s="135"/>
      <c r="H483" s="135"/>
      <c r="I483" s="135"/>
    </row>
    <row r="484" spans="2:9" x14ac:dyDescent="0.35">
      <c r="B484" s="135"/>
      <c r="C484" s="135"/>
      <c r="D484" s="135"/>
      <c r="F484" s="73"/>
      <c r="G484" s="135"/>
      <c r="H484" s="135"/>
      <c r="I484" s="135"/>
    </row>
    <row r="485" spans="2:9" x14ac:dyDescent="0.35">
      <c r="B485" s="135"/>
      <c r="C485" s="135"/>
      <c r="D485" s="135"/>
      <c r="F485" s="73"/>
      <c r="G485" s="135"/>
      <c r="H485" s="135"/>
      <c r="I485" s="135"/>
    </row>
    <row r="486" spans="2:9" x14ac:dyDescent="0.35">
      <c r="B486" s="135"/>
      <c r="C486" s="135"/>
      <c r="D486" s="135"/>
      <c r="F486" s="73"/>
      <c r="G486" s="135"/>
      <c r="H486" s="135"/>
      <c r="I486" s="135"/>
    </row>
    <row r="487" spans="2:9" x14ac:dyDescent="0.35">
      <c r="B487" s="135"/>
      <c r="C487" s="135"/>
      <c r="D487" s="135"/>
      <c r="F487" s="73"/>
      <c r="G487" s="135"/>
      <c r="H487" s="135"/>
      <c r="I487" s="135"/>
    </row>
    <row r="488" spans="2:9" x14ac:dyDescent="0.35">
      <c r="B488" s="135"/>
      <c r="C488" s="135"/>
      <c r="D488" s="135"/>
      <c r="F488" s="73"/>
      <c r="G488" s="135"/>
      <c r="H488" s="135"/>
      <c r="I488" s="135"/>
    </row>
    <row r="489" spans="2:9" x14ac:dyDescent="0.35">
      <c r="B489" s="135"/>
      <c r="C489" s="135"/>
      <c r="D489" s="135"/>
      <c r="F489" s="73"/>
      <c r="G489" s="135"/>
      <c r="H489" s="135"/>
      <c r="I489" s="135"/>
    </row>
    <row r="490" spans="2:9" x14ac:dyDescent="0.35">
      <c r="B490" s="135"/>
      <c r="C490" s="135"/>
      <c r="D490" s="135"/>
      <c r="F490" s="73"/>
      <c r="G490" s="135"/>
      <c r="H490" s="135"/>
      <c r="I490" s="135"/>
    </row>
    <row r="491" spans="2:9" x14ac:dyDescent="0.35">
      <c r="B491" s="135"/>
      <c r="C491" s="135"/>
      <c r="D491" s="135"/>
      <c r="F491" s="73"/>
      <c r="G491" s="135"/>
      <c r="H491" s="135"/>
      <c r="I491" s="135"/>
    </row>
    <row r="492" spans="2:9" x14ac:dyDescent="0.35">
      <c r="B492" s="135"/>
      <c r="C492" s="135"/>
      <c r="D492" s="135"/>
      <c r="F492" s="73"/>
      <c r="G492" s="135"/>
      <c r="H492" s="135"/>
      <c r="I492" s="135"/>
    </row>
    <row r="493" spans="2:9" x14ac:dyDescent="0.35">
      <c r="B493" s="135"/>
      <c r="C493" s="135"/>
      <c r="D493" s="135"/>
      <c r="F493" s="73"/>
      <c r="G493" s="135"/>
      <c r="H493" s="135"/>
      <c r="I493" s="135"/>
    </row>
    <row r="494" spans="2:9" x14ac:dyDescent="0.35">
      <c r="B494" s="135"/>
      <c r="C494" s="135"/>
      <c r="D494" s="135"/>
      <c r="F494" s="73"/>
      <c r="G494" s="135"/>
      <c r="H494" s="135"/>
      <c r="I494" s="135"/>
    </row>
    <row r="495" spans="2:9" x14ac:dyDescent="0.35">
      <c r="B495" s="135"/>
      <c r="C495" s="135"/>
      <c r="D495" s="135"/>
      <c r="F495" s="73"/>
      <c r="G495" s="135"/>
      <c r="H495" s="135"/>
      <c r="I495" s="135"/>
    </row>
    <row r="496" spans="2:9" x14ac:dyDescent="0.35">
      <c r="B496" s="135"/>
      <c r="C496" s="135"/>
      <c r="D496" s="135"/>
      <c r="F496" s="73"/>
      <c r="G496" s="135"/>
      <c r="H496" s="135"/>
      <c r="I496" s="135"/>
    </row>
    <row r="497" spans="2:9" x14ac:dyDescent="0.35">
      <c r="B497" s="135"/>
      <c r="C497" s="135"/>
      <c r="D497" s="135"/>
      <c r="F497" s="73"/>
      <c r="G497" s="135"/>
      <c r="H497" s="135"/>
      <c r="I497" s="135"/>
    </row>
    <row r="498" spans="2:9" x14ac:dyDescent="0.35">
      <c r="B498" s="135"/>
      <c r="C498" s="135"/>
      <c r="D498" s="135"/>
      <c r="F498" s="73"/>
      <c r="G498" s="135"/>
      <c r="H498" s="135"/>
      <c r="I498" s="135"/>
    </row>
    <row r="499" spans="2:9" x14ac:dyDescent="0.35">
      <c r="B499" s="135"/>
      <c r="C499" s="135"/>
      <c r="D499" s="135"/>
      <c r="F499" s="73"/>
      <c r="G499" s="135"/>
      <c r="H499" s="135"/>
      <c r="I499" s="135"/>
    </row>
    <row r="500" spans="2:9" x14ac:dyDescent="0.35">
      <c r="B500" s="135"/>
      <c r="C500" s="135"/>
      <c r="D500" s="135"/>
      <c r="F500" s="73"/>
      <c r="G500" s="135"/>
      <c r="H500" s="135"/>
      <c r="I500" s="135"/>
    </row>
    <row r="501" spans="2:9" x14ac:dyDescent="0.35">
      <c r="B501" s="135"/>
      <c r="C501" s="135"/>
      <c r="D501" s="135"/>
      <c r="F501" s="73"/>
      <c r="G501" s="135"/>
      <c r="H501" s="135"/>
      <c r="I501" s="135"/>
    </row>
    <row r="502" spans="2:9" x14ac:dyDescent="0.35">
      <c r="B502" s="135"/>
      <c r="C502" s="135"/>
      <c r="D502" s="135"/>
      <c r="F502" s="73"/>
      <c r="G502" s="135"/>
      <c r="H502" s="135"/>
      <c r="I502" s="135"/>
    </row>
    <row r="503" spans="2:9" x14ac:dyDescent="0.35">
      <c r="B503" s="135"/>
      <c r="C503" s="135"/>
      <c r="D503" s="135"/>
      <c r="F503" s="73"/>
      <c r="G503" s="135"/>
      <c r="H503" s="135"/>
      <c r="I503" s="135"/>
    </row>
    <row r="504" spans="2:9" x14ac:dyDescent="0.35">
      <c r="B504" s="135"/>
      <c r="C504" s="135"/>
      <c r="D504" s="135"/>
      <c r="F504" s="73"/>
      <c r="G504" s="135"/>
      <c r="H504" s="135"/>
      <c r="I504" s="135"/>
    </row>
    <row r="505" spans="2:9" x14ac:dyDescent="0.35">
      <c r="B505" s="135"/>
      <c r="C505" s="135"/>
      <c r="D505" s="135"/>
      <c r="F505" s="73"/>
      <c r="G505" s="135"/>
      <c r="H505" s="135"/>
      <c r="I505" s="135"/>
    </row>
    <row r="506" spans="2:9" x14ac:dyDescent="0.35">
      <c r="B506" s="135"/>
      <c r="C506" s="135"/>
      <c r="D506" s="135"/>
      <c r="F506" s="73"/>
      <c r="G506" s="135"/>
      <c r="H506" s="135"/>
      <c r="I506" s="135"/>
    </row>
    <row r="507" spans="2:9" x14ac:dyDescent="0.35">
      <c r="B507" s="135"/>
      <c r="C507" s="135"/>
      <c r="D507" s="135"/>
      <c r="F507" s="73"/>
      <c r="G507" s="135"/>
      <c r="H507" s="135"/>
      <c r="I507" s="135"/>
    </row>
    <row r="508" spans="2:9" x14ac:dyDescent="0.35">
      <c r="B508" s="135"/>
      <c r="C508" s="135"/>
      <c r="D508" s="135"/>
      <c r="F508" s="73"/>
      <c r="G508" s="135"/>
      <c r="H508" s="135"/>
      <c r="I508" s="135"/>
    </row>
    <row r="509" spans="2:9" x14ac:dyDescent="0.35">
      <c r="B509" s="135"/>
      <c r="C509" s="135"/>
      <c r="D509" s="135"/>
      <c r="F509" s="73"/>
      <c r="G509" s="135"/>
      <c r="H509" s="135"/>
      <c r="I509" s="135"/>
    </row>
    <row r="510" spans="2:9" x14ac:dyDescent="0.35">
      <c r="B510" s="135"/>
      <c r="C510" s="135"/>
      <c r="D510" s="135"/>
      <c r="F510" s="73"/>
      <c r="G510" s="135"/>
      <c r="H510" s="135"/>
      <c r="I510" s="135"/>
    </row>
    <row r="511" spans="2:9" x14ac:dyDescent="0.35">
      <c r="B511" s="135"/>
      <c r="C511" s="135"/>
      <c r="D511" s="135"/>
      <c r="F511" s="73"/>
      <c r="G511" s="135"/>
      <c r="H511" s="135"/>
      <c r="I511" s="135"/>
    </row>
    <row r="512" spans="2:9" x14ac:dyDescent="0.35">
      <c r="B512" s="135"/>
      <c r="C512" s="135"/>
      <c r="D512" s="135"/>
      <c r="F512" s="73"/>
      <c r="G512" s="135"/>
      <c r="H512" s="135"/>
      <c r="I512" s="135"/>
    </row>
    <row r="513" spans="2:9" x14ac:dyDescent="0.35">
      <c r="B513" s="135"/>
      <c r="C513" s="135"/>
      <c r="D513" s="135"/>
      <c r="F513" s="73"/>
      <c r="G513" s="135"/>
      <c r="H513" s="135"/>
      <c r="I513" s="135"/>
    </row>
    <row r="514" spans="2:9" x14ac:dyDescent="0.35">
      <c r="B514" s="135"/>
      <c r="C514" s="135"/>
      <c r="D514" s="135"/>
      <c r="F514" s="73"/>
      <c r="G514" s="135"/>
      <c r="H514" s="135"/>
      <c r="I514" s="135"/>
    </row>
    <row r="515" spans="2:9" x14ac:dyDescent="0.35">
      <c r="B515" s="135"/>
      <c r="C515" s="135"/>
      <c r="D515" s="135"/>
      <c r="F515" s="73"/>
      <c r="G515" s="135"/>
      <c r="H515" s="135"/>
      <c r="I515" s="135"/>
    </row>
    <row r="516" spans="2:9" x14ac:dyDescent="0.35">
      <c r="B516" s="135"/>
      <c r="C516" s="135"/>
      <c r="D516" s="135"/>
      <c r="F516" s="73"/>
      <c r="G516" s="135"/>
      <c r="H516" s="135"/>
      <c r="I516" s="135"/>
    </row>
    <row r="517" spans="2:9" x14ac:dyDescent="0.35">
      <c r="B517" s="135"/>
      <c r="C517" s="135"/>
      <c r="D517" s="135"/>
      <c r="F517" s="73"/>
      <c r="G517" s="135"/>
      <c r="H517" s="135"/>
      <c r="I517" s="135"/>
    </row>
    <row r="518" spans="2:9" x14ac:dyDescent="0.35">
      <c r="B518" s="135"/>
      <c r="C518" s="135"/>
      <c r="D518" s="135"/>
      <c r="F518" s="73"/>
      <c r="G518" s="135"/>
      <c r="H518" s="135"/>
      <c r="I518" s="135"/>
    </row>
    <row r="519" spans="2:9" x14ac:dyDescent="0.35">
      <c r="B519" s="135"/>
      <c r="C519" s="135"/>
      <c r="D519" s="135"/>
      <c r="F519" s="73"/>
      <c r="G519" s="135"/>
      <c r="H519" s="135"/>
      <c r="I519" s="135"/>
    </row>
    <row r="520" spans="2:9" x14ac:dyDescent="0.35">
      <c r="B520" s="135"/>
      <c r="C520" s="135"/>
      <c r="D520" s="135"/>
      <c r="F520" s="73"/>
      <c r="G520" s="135"/>
      <c r="H520" s="135"/>
      <c r="I520" s="135"/>
    </row>
    <row r="521" spans="2:9" x14ac:dyDescent="0.35">
      <c r="B521" s="135"/>
      <c r="C521" s="135"/>
      <c r="D521" s="135"/>
      <c r="F521" s="73"/>
      <c r="G521" s="135"/>
      <c r="H521" s="135"/>
      <c r="I521" s="135"/>
    </row>
    <row r="522" spans="2:9" x14ac:dyDescent="0.35">
      <c r="B522" s="135"/>
      <c r="C522" s="135"/>
      <c r="D522" s="135"/>
      <c r="F522" s="73"/>
      <c r="G522" s="135"/>
      <c r="H522" s="135"/>
      <c r="I522" s="135"/>
    </row>
    <row r="523" spans="2:9" x14ac:dyDescent="0.35">
      <c r="B523" s="135"/>
      <c r="C523" s="135"/>
      <c r="D523" s="135"/>
      <c r="F523" s="73"/>
      <c r="G523" s="135"/>
      <c r="H523" s="135"/>
      <c r="I523" s="135"/>
    </row>
    <row r="524" spans="2:9" x14ac:dyDescent="0.35">
      <c r="B524" s="135"/>
      <c r="C524" s="135"/>
      <c r="D524" s="135"/>
      <c r="F524" s="73"/>
      <c r="G524" s="135"/>
      <c r="H524" s="135"/>
      <c r="I524" s="135"/>
    </row>
    <row r="525" spans="2:9" x14ac:dyDescent="0.35">
      <c r="B525" s="135"/>
      <c r="C525" s="135"/>
      <c r="D525" s="135"/>
      <c r="F525" s="73"/>
      <c r="G525" s="135"/>
      <c r="H525" s="135"/>
      <c r="I525" s="135"/>
    </row>
    <row r="526" spans="2:9" x14ac:dyDescent="0.35">
      <c r="B526" s="135"/>
      <c r="C526" s="135"/>
      <c r="D526" s="135"/>
      <c r="F526" s="73"/>
      <c r="G526" s="135"/>
      <c r="H526" s="135"/>
      <c r="I526" s="135"/>
    </row>
    <row r="527" spans="2:9" x14ac:dyDescent="0.35">
      <c r="B527" s="135"/>
      <c r="C527" s="135"/>
      <c r="D527" s="135"/>
      <c r="F527" s="73"/>
      <c r="G527" s="135"/>
      <c r="H527" s="135"/>
      <c r="I527" s="135"/>
    </row>
    <row r="528" spans="2:9" x14ac:dyDescent="0.35">
      <c r="B528" s="135"/>
      <c r="C528" s="135"/>
      <c r="D528" s="135"/>
      <c r="F528" s="73"/>
      <c r="G528" s="135"/>
      <c r="H528" s="135"/>
      <c r="I528" s="135"/>
    </row>
    <row r="529" spans="2:9" x14ac:dyDescent="0.35">
      <c r="B529" s="135"/>
      <c r="C529" s="135"/>
      <c r="D529" s="135"/>
      <c r="F529" s="73"/>
      <c r="G529" s="135"/>
      <c r="H529" s="135"/>
      <c r="I529" s="135"/>
    </row>
    <row r="530" spans="2:9" x14ac:dyDescent="0.35">
      <c r="B530" s="135"/>
      <c r="C530" s="135"/>
      <c r="D530" s="135"/>
      <c r="F530" s="73"/>
      <c r="G530" s="135"/>
      <c r="H530" s="135"/>
      <c r="I530" s="135"/>
    </row>
    <row r="531" spans="2:9" x14ac:dyDescent="0.35">
      <c r="B531" s="135"/>
      <c r="C531" s="135"/>
      <c r="D531" s="135"/>
      <c r="F531" s="73"/>
      <c r="G531" s="135"/>
      <c r="H531" s="135"/>
      <c r="I531" s="135"/>
    </row>
    <row r="532" spans="2:9" x14ac:dyDescent="0.35">
      <c r="B532" s="135"/>
      <c r="C532" s="135"/>
      <c r="D532" s="135"/>
      <c r="F532" s="73"/>
      <c r="G532" s="135"/>
      <c r="H532" s="135"/>
      <c r="I532" s="135"/>
    </row>
    <row r="533" spans="2:9" x14ac:dyDescent="0.35">
      <c r="B533" s="135"/>
      <c r="C533" s="135"/>
      <c r="D533" s="135"/>
      <c r="F533" s="73"/>
      <c r="G533" s="135"/>
      <c r="H533" s="135"/>
      <c r="I533" s="135"/>
    </row>
    <row r="534" spans="2:9" x14ac:dyDescent="0.35">
      <c r="B534" s="135"/>
      <c r="C534" s="135"/>
      <c r="D534" s="135"/>
      <c r="F534" s="73"/>
      <c r="G534" s="135"/>
      <c r="H534" s="135"/>
      <c r="I534" s="135"/>
    </row>
    <row r="535" spans="2:9" x14ac:dyDescent="0.35">
      <c r="B535" s="135"/>
      <c r="C535" s="135"/>
      <c r="D535" s="135"/>
      <c r="F535" s="73"/>
      <c r="G535" s="135"/>
      <c r="H535" s="135"/>
      <c r="I535" s="135"/>
    </row>
    <row r="536" spans="2:9" x14ac:dyDescent="0.35">
      <c r="B536" s="135"/>
      <c r="C536" s="135"/>
      <c r="D536" s="135"/>
      <c r="F536" s="73"/>
      <c r="G536" s="135"/>
      <c r="H536" s="135"/>
      <c r="I536" s="135"/>
    </row>
    <row r="537" spans="2:9" x14ac:dyDescent="0.35">
      <c r="B537" s="135"/>
      <c r="C537" s="135"/>
      <c r="D537" s="135"/>
      <c r="F537" s="73"/>
      <c r="G537" s="135"/>
      <c r="H537" s="135"/>
      <c r="I537" s="135"/>
    </row>
    <row r="538" spans="2:9" x14ac:dyDescent="0.35">
      <c r="B538" s="135"/>
      <c r="C538" s="135"/>
      <c r="D538" s="135"/>
      <c r="F538" s="73"/>
      <c r="G538" s="135"/>
      <c r="H538" s="135"/>
      <c r="I538" s="135"/>
    </row>
    <row r="539" spans="2:9" x14ac:dyDescent="0.35">
      <c r="B539" s="135"/>
      <c r="C539" s="135"/>
      <c r="D539" s="135"/>
      <c r="F539" s="73"/>
      <c r="G539" s="135"/>
      <c r="H539" s="135"/>
      <c r="I539" s="135"/>
    </row>
    <row r="540" spans="2:9" x14ac:dyDescent="0.35">
      <c r="B540" s="135"/>
      <c r="C540" s="135"/>
      <c r="D540" s="135"/>
      <c r="F540" s="73"/>
      <c r="G540" s="135"/>
      <c r="H540" s="135"/>
      <c r="I540" s="135"/>
    </row>
    <row r="541" spans="2:9" x14ac:dyDescent="0.35">
      <c r="B541" s="135"/>
      <c r="C541" s="135"/>
      <c r="D541" s="135"/>
      <c r="F541" s="73"/>
      <c r="G541" s="135"/>
      <c r="H541" s="135"/>
      <c r="I541" s="135"/>
    </row>
    <row r="542" spans="2:9" x14ac:dyDescent="0.35">
      <c r="B542" s="135"/>
      <c r="C542" s="135"/>
      <c r="D542" s="135"/>
      <c r="F542" s="73"/>
      <c r="G542" s="135"/>
      <c r="H542" s="135"/>
      <c r="I542" s="135"/>
    </row>
    <row r="543" spans="2:9" x14ac:dyDescent="0.35">
      <c r="B543" s="135"/>
      <c r="C543" s="135"/>
      <c r="D543" s="135"/>
      <c r="F543" s="73"/>
      <c r="G543" s="135"/>
      <c r="H543" s="135"/>
      <c r="I543" s="135"/>
    </row>
    <row r="544" spans="2:9" x14ac:dyDescent="0.35">
      <c r="B544" s="135"/>
      <c r="C544" s="135"/>
      <c r="D544" s="135"/>
      <c r="F544" s="73"/>
      <c r="G544" s="135"/>
      <c r="H544" s="135"/>
      <c r="I544" s="135"/>
    </row>
    <row r="545" spans="2:9" x14ac:dyDescent="0.35">
      <c r="B545" s="135"/>
      <c r="C545" s="135"/>
      <c r="D545" s="135"/>
      <c r="F545" s="73"/>
      <c r="G545" s="135"/>
      <c r="H545" s="135"/>
      <c r="I545" s="135"/>
    </row>
    <row r="546" spans="2:9" x14ac:dyDescent="0.35">
      <c r="B546" s="135"/>
      <c r="C546" s="135"/>
      <c r="D546" s="135"/>
      <c r="F546" s="73"/>
      <c r="G546" s="135"/>
      <c r="H546" s="135"/>
      <c r="I546" s="135"/>
    </row>
    <row r="547" spans="2:9" x14ac:dyDescent="0.35">
      <c r="B547" s="135"/>
      <c r="C547" s="135"/>
      <c r="D547" s="135"/>
      <c r="F547" s="73"/>
      <c r="G547" s="135"/>
      <c r="H547" s="135"/>
      <c r="I547" s="135"/>
    </row>
    <row r="548" spans="2:9" x14ac:dyDescent="0.35">
      <c r="B548" s="135"/>
      <c r="C548" s="135"/>
      <c r="D548" s="135"/>
      <c r="F548" s="73"/>
      <c r="G548" s="135"/>
      <c r="H548" s="135"/>
      <c r="I548" s="135"/>
    </row>
    <row r="549" spans="2:9" x14ac:dyDescent="0.35">
      <c r="B549" s="135"/>
      <c r="C549" s="135"/>
      <c r="D549" s="135"/>
      <c r="F549" s="73"/>
      <c r="G549" s="135"/>
      <c r="H549" s="135"/>
      <c r="I549" s="135"/>
    </row>
    <row r="550" spans="2:9" x14ac:dyDescent="0.35">
      <c r="B550" s="135"/>
      <c r="C550" s="135"/>
      <c r="D550" s="135"/>
      <c r="F550" s="73"/>
      <c r="G550" s="135"/>
      <c r="H550" s="135"/>
      <c r="I550" s="135"/>
    </row>
    <row r="551" spans="2:9" x14ac:dyDescent="0.35">
      <c r="B551" s="135"/>
      <c r="C551" s="135"/>
      <c r="D551" s="135"/>
      <c r="F551" s="73"/>
      <c r="G551" s="135"/>
      <c r="H551" s="135"/>
      <c r="I551" s="135"/>
    </row>
    <row r="552" spans="2:9" x14ac:dyDescent="0.35">
      <c r="B552" s="135"/>
      <c r="C552" s="135"/>
      <c r="D552" s="135"/>
      <c r="F552" s="73"/>
      <c r="G552" s="135"/>
      <c r="H552" s="135"/>
      <c r="I552" s="135"/>
    </row>
    <row r="553" spans="2:9" x14ac:dyDescent="0.35">
      <c r="B553" s="135"/>
      <c r="C553" s="135"/>
      <c r="D553" s="135"/>
      <c r="F553" s="73"/>
      <c r="G553" s="135"/>
      <c r="H553" s="135"/>
      <c r="I553" s="135"/>
    </row>
    <row r="554" spans="2:9" x14ac:dyDescent="0.35">
      <c r="B554" s="135"/>
      <c r="C554" s="135"/>
      <c r="D554" s="135"/>
      <c r="F554" s="73"/>
      <c r="G554" s="135"/>
      <c r="H554" s="135"/>
      <c r="I554" s="135"/>
    </row>
    <row r="555" spans="2:9" x14ac:dyDescent="0.35">
      <c r="B555" s="135"/>
      <c r="C555" s="135"/>
      <c r="D555" s="135"/>
      <c r="F555" s="73"/>
      <c r="G555" s="135"/>
      <c r="H555" s="135"/>
      <c r="I555" s="135"/>
    </row>
    <row r="556" spans="2:9" x14ac:dyDescent="0.35">
      <c r="B556" s="135"/>
      <c r="C556" s="135"/>
      <c r="D556" s="135"/>
      <c r="F556" s="73"/>
      <c r="G556" s="135"/>
      <c r="H556" s="135"/>
      <c r="I556" s="135"/>
    </row>
    <row r="557" spans="2:9" x14ac:dyDescent="0.35">
      <c r="B557" s="135"/>
      <c r="C557" s="135"/>
      <c r="D557" s="135"/>
      <c r="F557" s="73"/>
      <c r="G557" s="135"/>
      <c r="H557" s="135"/>
      <c r="I557" s="135"/>
    </row>
    <row r="558" spans="2:9" x14ac:dyDescent="0.35">
      <c r="B558" s="135"/>
      <c r="C558" s="135"/>
      <c r="D558" s="135"/>
      <c r="F558" s="73"/>
      <c r="G558" s="135"/>
      <c r="H558" s="135"/>
      <c r="I558" s="135"/>
    </row>
    <row r="559" spans="2:9" x14ac:dyDescent="0.35">
      <c r="B559" s="135"/>
      <c r="C559" s="135"/>
      <c r="D559" s="135"/>
      <c r="F559" s="73"/>
      <c r="G559" s="135"/>
      <c r="H559" s="135"/>
      <c r="I559" s="135"/>
    </row>
    <row r="560" spans="2:9" x14ac:dyDescent="0.35">
      <c r="B560" s="135"/>
      <c r="C560" s="135"/>
      <c r="D560" s="135"/>
      <c r="F560" s="73"/>
      <c r="G560" s="135"/>
      <c r="H560" s="135"/>
      <c r="I560" s="135"/>
    </row>
    <row r="561" spans="2:9" x14ac:dyDescent="0.35">
      <c r="B561" s="135"/>
      <c r="C561" s="135"/>
      <c r="D561" s="135"/>
      <c r="F561" s="73"/>
      <c r="G561" s="135"/>
      <c r="H561" s="135"/>
      <c r="I561" s="135"/>
    </row>
    <row r="562" spans="2:9" x14ac:dyDescent="0.35">
      <c r="B562" s="135"/>
      <c r="C562" s="135"/>
      <c r="D562" s="135"/>
      <c r="F562" s="73"/>
      <c r="G562" s="135"/>
      <c r="H562" s="135"/>
      <c r="I562" s="135"/>
    </row>
    <row r="563" spans="2:9" x14ac:dyDescent="0.35">
      <c r="B563" s="135"/>
      <c r="C563" s="135"/>
      <c r="D563" s="135"/>
      <c r="F563" s="73"/>
      <c r="G563" s="135"/>
      <c r="H563" s="135"/>
      <c r="I563" s="135"/>
    </row>
    <row r="564" spans="2:9" x14ac:dyDescent="0.35">
      <c r="B564" s="135"/>
      <c r="C564" s="135"/>
      <c r="D564" s="135"/>
      <c r="F564" s="73"/>
      <c r="G564" s="135"/>
      <c r="H564" s="135"/>
      <c r="I564" s="135"/>
    </row>
    <row r="565" spans="2:9" x14ac:dyDescent="0.35">
      <c r="B565" s="135"/>
      <c r="C565" s="135"/>
      <c r="D565" s="135"/>
      <c r="F565" s="73"/>
      <c r="G565" s="135"/>
      <c r="H565" s="135"/>
      <c r="I565" s="135"/>
    </row>
    <row r="566" spans="2:9" x14ac:dyDescent="0.35">
      <c r="B566" s="135"/>
      <c r="C566" s="135"/>
      <c r="D566" s="135"/>
      <c r="F566" s="73"/>
      <c r="G566" s="135"/>
      <c r="H566" s="135"/>
      <c r="I566" s="135"/>
    </row>
    <row r="567" spans="2:9" x14ac:dyDescent="0.35">
      <c r="B567" s="135"/>
      <c r="C567" s="135"/>
      <c r="D567" s="135"/>
      <c r="F567" s="73"/>
      <c r="G567" s="135"/>
      <c r="H567" s="135"/>
      <c r="I567" s="135"/>
    </row>
    <row r="568" spans="2:9" x14ac:dyDescent="0.35">
      <c r="B568" s="135"/>
      <c r="C568" s="135"/>
      <c r="D568" s="135"/>
      <c r="F568" s="73"/>
      <c r="G568" s="135"/>
      <c r="H568" s="135"/>
      <c r="I568" s="135"/>
    </row>
    <row r="569" spans="2:9" x14ac:dyDescent="0.35">
      <c r="B569" s="135"/>
      <c r="C569" s="135"/>
      <c r="D569" s="135"/>
      <c r="F569" s="73"/>
      <c r="G569" s="135"/>
      <c r="H569" s="135"/>
      <c r="I569" s="135"/>
    </row>
    <row r="570" spans="2:9" x14ac:dyDescent="0.35">
      <c r="B570" s="135"/>
      <c r="C570" s="135"/>
      <c r="D570" s="135"/>
      <c r="F570" s="73"/>
      <c r="G570" s="135"/>
      <c r="H570" s="135"/>
      <c r="I570" s="135"/>
    </row>
    <row r="571" spans="2:9" x14ac:dyDescent="0.35">
      <c r="B571" s="135"/>
      <c r="C571" s="135"/>
      <c r="D571" s="135"/>
      <c r="F571" s="73"/>
      <c r="G571" s="135"/>
      <c r="H571" s="135"/>
      <c r="I571" s="135"/>
    </row>
    <row r="572" spans="2:9" x14ac:dyDescent="0.35">
      <c r="B572" s="135"/>
      <c r="C572" s="135"/>
      <c r="D572" s="135"/>
      <c r="F572" s="73"/>
      <c r="G572" s="135"/>
      <c r="H572" s="135"/>
      <c r="I572" s="135"/>
    </row>
    <row r="573" spans="2:9" x14ac:dyDescent="0.35">
      <c r="B573" s="135"/>
      <c r="C573" s="135"/>
      <c r="D573" s="135"/>
      <c r="F573" s="73"/>
      <c r="G573" s="135"/>
      <c r="H573" s="135"/>
      <c r="I573" s="135"/>
    </row>
    <row r="574" spans="2:9" x14ac:dyDescent="0.35">
      <c r="B574" s="135"/>
      <c r="C574" s="135"/>
      <c r="D574" s="135"/>
      <c r="F574" s="73"/>
      <c r="G574" s="135"/>
      <c r="H574" s="135"/>
      <c r="I574" s="135"/>
    </row>
    <row r="575" spans="2:9" x14ac:dyDescent="0.35">
      <c r="B575" s="135"/>
      <c r="C575" s="135"/>
      <c r="D575" s="135"/>
      <c r="F575" s="73"/>
      <c r="G575" s="135"/>
      <c r="H575" s="135"/>
      <c r="I575" s="135"/>
    </row>
    <row r="576" spans="2:9" x14ac:dyDescent="0.35">
      <c r="B576" s="135"/>
      <c r="C576" s="135"/>
      <c r="D576" s="135"/>
      <c r="F576" s="73"/>
      <c r="G576" s="135"/>
      <c r="H576" s="135"/>
      <c r="I576" s="135"/>
    </row>
    <row r="577" spans="2:9" x14ac:dyDescent="0.35">
      <c r="B577" s="135"/>
      <c r="C577" s="135"/>
      <c r="D577" s="135"/>
      <c r="F577" s="73"/>
      <c r="G577" s="135"/>
      <c r="H577" s="135"/>
      <c r="I577" s="135"/>
    </row>
    <row r="578" spans="2:9" x14ac:dyDescent="0.35">
      <c r="B578" s="135"/>
      <c r="C578" s="135"/>
      <c r="D578" s="135"/>
      <c r="F578" s="73"/>
      <c r="G578" s="135"/>
      <c r="H578" s="135"/>
      <c r="I578" s="135"/>
    </row>
    <row r="579" spans="2:9" x14ac:dyDescent="0.35">
      <c r="B579" s="135"/>
      <c r="C579" s="135"/>
      <c r="D579" s="135"/>
      <c r="F579" s="73"/>
      <c r="G579" s="135"/>
      <c r="H579" s="135"/>
      <c r="I579" s="135"/>
    </row>
    <row r="580" spans="2:9" x14ac:dyDescent="0.35">
      <c r="B580" s="135"/>
      <c r="C580" s="135"/>
      <c r="D580" s="135"/>
      <c r="F580" s="73"/>
      <c r="G580" s="135"/>
      <c r="H580" s="135"/>
      <c r="I580" s="135"/>
    </row>
    <row r="581" spans="2:9" x14ac:dyDescent="0.35">
      <c r="B581" s="135"/>
      <c r="C581" s="135"/>
      <c r="D581" s="135"/>
      <c r="F581" s="73"/>
      <c r="G581" s="135"/>
      <c r="H581" s="135"/>
      <c r="I581" s="135"/>
    </row>
    <row r="582" spans="2:9" x14ac:dyDescent="0.35">
      <c r="B582" s="135"/>
      <c r="C582" s="135"/>
      <c r="D582" s="135"/>
      <c r="F582" s="73"/>
      <c r="G582" s="135"/>
      <c r="H582" s="135"/>
      <c r="I582" s="135"/>
    </row>
    <row r="583" spans="2:9" x14ac:dyDescent="0.35">
      <c r="B583" s="135"/>
      <c r="C583" s="135"/>
      <c r="D583" s="135"/>
      <c r="F583" s="73"/>
      <c r="G583" s="135"/>
      <c r="H583" s="135"/>
      <c r="I583" s="135"/>
    </row>
    <row r="584" spans="2:9" x14ac:dyDescent="0.35">
      <c r="B584" s="135"/>
      <c r="C584" s="135"/>
      <c r="D584" s="135"/>
      <c r="F584" s="73"/>
      <c r="G584" s="135"/>
      <c r="H584" s="135"/>
      <c r="I584" s="135"/>
    </row>
    <row r="585" spans="2:9" x14ac:dyDescent="0.35">
      <c r="B585" s="135"/>
      <c r="C585" s="135"/>
      <c r="D585" s="135"/>
      <c r="F585" s="73"/>
      <c r="G585" s="135"/>
      <c r="H585" s="135"/>
      <c r="I585" s="135"/>
    </row>
    <row r="586" spans="2:9" x14ac:dyDescent="0.35">
      <c r="B586" s="135"/>
      <c r="C586" s="135"/>
      <c r="D586" s="135"/>
      <c r="F586" s="73"/>
      <c r="G586" s="135"/>
      <c r="H586" s="135"/>
      <c r="I586" s="135"/>
    </row>
    <row r="587" spans="2:9" x14ac:dyDescent="0.35">
      <c r="B587" s="135"/>
      <c r="C587" s="135"/>
      <c r="D587" s="135"/>
      <c r="F587" s="73"/>
      <c r="G587" s="135"/>
      <c r="H587" s="135"/>
      <c r="I587" s="135"/>
    </row>
    <row r="588" spans="2:9" x14ac:dyDescent="0.35">
      <c r="B588" s="135"/>
      <c r="C588" s="135"/>
      <c r="D588" s="135"/>
      <c r="F588" s="73"/>
      <c r="G588" s="135"/>
      <c r="H588" s="135"/>
      <c r="I588" s="135"/>
    </row>
    <row r="589" spans="2:9" x14ac:dyDescent="0.35">
      <c r="B589" s="135"/>
      <c r="C589" s="135"/>
      <c r="D589" s="135"/>
      <c r="F589" s="73"/>
      <c r="G589" s="135"/>
      <c r="H589" s="135"/>
      <c r="I589" s="135"/>
    </row>
    <row r="590" spans="2:9" x14ac:dyDescent="0.35">
      <c r="B590" s="135"/>
      <c r="C590" s="135"/>
      <c r="D590" s="135"/>
      <c r="F590" s="73"/>
      <c r="G590" s="135"/>
      <c r="H590" s="135"/>
      <c r="I590" s="135"/>
    </row>
    <row r="591" spans="2:9" x14ac:dyDescent="0.35">
      <c r="B591" s="135"/>
      <c r="C591" s="135"/>
      <c r="D591" s="135"/>
      <c r="F591" s="73"/>
      <c r="G591" s="135"/>
      <c r="H591" s="135"/>
      <c r="I591" s="135"/>
    </row>
    <row r="592" spans="2:9" x14ac:dyDescent="0.35">
      <c r="B592" s="135"/>
      <c r="C592" s="135"/>
      <c r="D592" s="135"/>
      <c r="F592" s="73"/>
      <c r="G592" s="135"/>
      <c r="H592" s="135"/>
      <c r="I592" s="135"/>
    </row>
    <row r="593" spans="2:9" x14ac:dyDescent="0.35">
      <c r="B593" s="135"/>
      <c r="C593" s="135"/>
      <c r="D593" s="135"/>
      <c r="F593" s="73"/>
      <c r="G593" s="135"/>
      <c r="H593" s="135"/>
      <c r="I593" s="135"/>
    </row>
    <row r="594" spans="2:9" x14ac:dyDescent="0.35">
      <c r="B594" s="135"/>
      <c r="C594" s="135"/>
      <c r="D594" s="135"/>
      <c r="F594" s="73"/>
      <c r="G594" s="135"/>
      <c r="H594" s="135"/>
      <c r="I594" s="135"/>
    </row>
    <row r="595" spans="2:9" x14ac:dyDescent="0.35">
      <c r="B595" s="135"/>
      <c r="C595" s="135"/>
      <c r="D595" s="135"/>
      <c r="F595" s="73"/>
      <c r="G595" s="135"/>
      <c r="H595" s="135"/>
      <c r="I595" s="135"/>
    </row>
    <row r="596" spans="2:9" x14ac:dyDescent="0.35">
      <c r="B596" s="135"/>
      <c r="C596" s="135"/>
      <c r="D596" s="135"/>
      <c r="F596" s="73"/>
      <c r="G596" s="135"/>
      <c r="H596" s="135"/>
      <c r="I596" s="135"/>
    </row>
    <row r="597" spans="2:9" x14ac:dyDescent="0.35">
      <c r="B597" s="135"/>
      <c r="C597" s="135"/>
      <c r="D597" s="135"/>
      <c r="F597" s="73"/>
      <c r="G597" s="135"/>
      <c r="H597" s="135"/>
      <c r="I597" s="135"/>
    </row>
    <row r="598" spans="2:9" x14ac:dyDescent="0.35">
      <c r="B598" s="135"/>
      <c r="C598" s="135"/>
      <c r="D598" s="135"/>
      <c r="F598" s="73"/>
      <c r="G598" s="135"/>
      <c r="H598" s="135"/>
      <c r="I598" s="135"/>
    </row>
    <row r="599" spans="2:9" x14ac:dyDescent="0.35">
      <c r="B599" s="135"/>
      <c r="C599" s="135"/>
      <c r="D599" s="135"/>
      <c r="F599" s="73"/>
      <c r="G599" s="135"/>
      <c r="H599" s="135"/>
      <c r="I599" s="135"/>
    </row>
    <row r="600" spans="2:9" x14ac:dyDescent="0.35">
      <c r="B600" s="135"/>
      <c r="C600" s="135"/>
      <c r="D600" s="135"/>
      <c r="F600" s="73"/>
      <c r="G600" s="135"/>
      <c r="H600" s="135"/>
      <c r="I600" s="135"/>
    </row>
    <row r="601" spans="2:9" x14ac:dyDescent="0.35">
      <c r="B601" s="135"/>
      <c r="C601" s="135"/>
      <c r="D601" s="135"/>
      <c r="F601" s="73"/>
      <c r="G601" s="135"/>
      <c r="H601" s="135"/>
      <c r="I601" s="135"/>
    </row>
    <row r="602" spans="2:9" x14ac:dyDescent="0.35">
      <c r="B602" s="135"/>
      <c r="C602" s="135"/>
      <c r="D602" s="135"/>
      <c r="F602" s="73"/>
      <c r="G602" s="135"/>
      <c r="H602" s="135"/>
      <c r="I602" s="135"/>
    </row>
    <row r="603" spans="2:9" x14ac:dyDescent="0.35">
      <c r="B603" s="135"/>
      <c r="C603" s="135"/>
      <c r="D603" s="135"/>
      <c r="F603" s="73"/>
      <c r="G603" s="135"/>
      <c r="H603" s="135"/>
      <c r="I603" s="135"/>
    </row>
    <row r="604" spans="2:9" x14ac:dyDescent="0.35">
      <c r="B604" s="135"/>
      <c r="C604" s="135"/>
      <c r="D604" s="135"/>
      <c r="F604" s="73"/>
      <c r="G604" s="135"/>
      <c r="H604" s="135"/>
      <c r="I604" s="135"/>
    </row>
    <row r="605" spans="2:9" x14ac:dyDescent="0.35">
      <c r="B605" s="135"/>
      <c r="C605" s="135"/>
      <c r="D605" s="135"/>
      <c r="F605" s="73"/>
      <c r="G605" s="135"/>
      <c r="H605" s="135"/>
      <c r="I605" s="135"/>
    </row>
    <row r="606" spans="2:9" x14ac:dyDescent="0.35">
      <c r="B606" s="135"/>
      <c r="C606" s="135"/>
      <c r="D606" s="135"/>
      <c r="F606" s="73"/>
      <c r="G606" s="135"/>
      <c r="H606" s="135"/>
      <c r="I606" s="135"/>
    </row>
    <row r="607" spans="2:9" x14ac:dyDescent="0.35">
      <c r="B607" s="135"/>
      <c r="C607" s="135"/>
      <c r="D607" s="135"/>
      <c r="F607" s="73"/>
      <c r="G607" s="135"/>
      <c r="H607" s="135"/>
      <c r="I607" s="135"/>
    </row>
    <row r="608" spans="2:9" x14ac:dyDescent="0.35">
      <c r="B608" s="135"/>
      <c r="C608" s="135"/>
      <c r="D608" s="135"/>
      <c r="F608" s="73"/>
      <c r="G608" s="135"/>
      <c r="H608" s="135"/>
      <c r="I608" s="135"/>
    </row>
    <row r="609" spans="2:9" x14ac:dyDescent="0.35">
      <c r="B609" s="135"/>
      <c r="C609" s="135"/>
      <c r="D609" s="135"/>
      <c r="F609" s="73"/>
      <c r="G609" s="135"/>
      <c r="H609" s="135"/>
      <c r="I609" s="135"/>
    </row>
    <row r="610" spans="2:9" x14ac:dyDescent="0.35">
      <c r="B610" s="135"/>
      <c r="C610" s="135"/>
      <c r="D610" s="135"/>
      <c r="F610" s="73"/>
      <c r="G610" s="135"/>
      <c r="H610" s="135"/>
      <c r="I610" s="135"/>
    </row>
    <row r="611" spans="2:9" x14ac:dyDescent="0.35">
      <c r="B611" s="135"/>
      <c r="C611" s="135"/>
      <c r="D611" s="135"/>
      <c r="F611" s="73"/>
      <c r="G611" s="135"/>
      <c r="H611" s="135"/>
      <c r="I611" s="135"/>
    </row>
    <row r="612" spans="2:9" x14ac:dyDescent="0.35">
      <c r="B612" s="135"/>
      <c r="C612" s="135"/>
      <c r="D612" s="135"/>
      <c r="F612" s="73"/>
      <c r="G612" s="135"/>
      <c r="H612" s="135"/>
      <c r="I612" s="135"/>
    </row>
    <row r="613" spans="2:9" x14ac:dyDescent="0.35">
      <c r="B613" s="135"/>
      <c r="C613" s="135"/>
      <c r="D613" s="135"/>
      <c r="F613" s="73"/>
      <c r="G613" s="135"/>
      <c r="H613" s="135"/>
      <c r="I613" s="135"/>
    </row>
    <row r="614" spans="2:9" x14ac:dyDescent="0.35">
      <c r="B614" s="135"/>
      <c r="C614" s="135"/>
      <c r="D614" s="135"/>
      <c r="F614" s="73"/>
      <c r="G614" s="135"/>
      <c r="H614" s="135"/>
      <c r="I614" s="135"/>
    </row>
    <row r="615" spans="2:9" x14ac:dyDescent="0.35">
      <c r="B615" s="135"/>
      <c r="C615" s="135"/>
      <c r="D615" s="135"/>
      <c r="F615" s="73"/>
      <c r="G615" s="135"/>
      <c r="H615" s="135"/>
      <c r="I615" s="135"/>
    </row>
    <row r="616" spans="2:9" x14ac:dyDescent="0.35">
      <c r="B616" s="135"/>
      <c r="C616" s="135"/>
      <c r="D616" s="135"/>
      <c r="F616" s="73"/>
      <c r="G616" s="135"/>
      <c r="H616" s="135"/>
      <c r="I616" s="135"/>
    </row>
    <row r="617" spans="2:9" x14ac:dyDescent="0.35">
      <c r="B617" s="135"/>
      <c r="C617" s="135"/>
      <c r="D617" s="135"/>
      <c r="F617" s="73"/>
      <c r="G617" s="135"/>
      <c r="H617" s="135"/>
      <c r="I617" s="135"/>
    </row>
    <row r="618" spans="2:9" x14ac:dyDescent="0.35">
      <c r="B618" s="135"/>
      <c r="C618" s="135"/>
      <c r="D618" s="135"/>
      <c r="F618" s="73"/>
      <c r="G618" s="135"/>
      <c r="H618" s="135"/>
      <c r="I618" s="135"/>
    </row>
    <row r="619" spans="2:9" x14ac:dyDescent="0.35">
      <c r="B619" s="135"/>
      <c r="C619" s="135"/>
      <c r="D619" s="135"/>
      <c r="F619" s="73"/>
      <c r="G619" s="135"/>
      <c r="H619" s="135"/>
      <c r="I619" s="135"/>
    </row>
    <row r="620" spans="2:9" x14ac:dyDescent="0.35">
      <c r="B620" s="135"/>
      <c r="C620" s="135"/>
      <c r="D620" s="135"/>
      <c r="F620" s="73"/>
      <c r="G620" s="135"/>
      <c r="H620" s="135"/>
      <c r="I620" s="135"/>
    </row>
    <row r="621" spans="2:9" x14ac:dyDescent="0.35">
      <c r="B621" s="135"/>
      <c r="C621" s="135"/>
      <c r="D621" s="135"/>
      <c r="F621" s="73"/>
      <c r="G621" s="135"/>
      <c r="H621" s="135"/>
      <c r="I621" s="135"/>
    </row>
    <row r="622" spans="2:9" x14ac:dyDescent="0.35">
      <c r="B622" s="135"/>
      <c r="C622" s="135"/>
      <c r="D622" s="135"/>
      <c r="F622" s="73"/>
      <c r="G622" s="135"/>
      <c r="H622" s="135"/>
      <c r="I622" s="135"/>
    </row>
    <row r="623" spans="2:9" x14ac:dyDescent="0.35">
      <c r="B623" s="135"/>
      <c r="C623" s="135"/>
      <c r="D623" s="135"/>
      <c r="F623" s="73"/>
      <c r="G623" s="135"/>
      <c r="H623" s="135"/>
      <c r="I623" s="135"/>
    </row>
    <row r="624" spans="2:9" x14ac:dyDescent="0.35">
      <c r="B624" s="135"/>
      <c r="C624" s="135"/>
      <c r="D624" s="135"/>
      <c r="F624" s="73"/>
      <c r="G624" s="135"/>
      <c r="H624" s="135"/>
      <c r="I624" s="135"/>
    </row>
    <row r="625" spans="2:9" x14ac:dyDescent="0.35">
      <c r="B625" s="135"/>
      <c r="C625" s="135"/>
      <c r="D625" s="135"/>
      <c r="F625" s="73"/>
      <c r="G625" s="135"/>
      <c r="H625" s="135"/>
      <c r="I625" s="135"/>
    </row>
    <row r="626" spans="2:9" x14ac:dyDescent="0.35">
      <c r="B626" s="135"/>
      <c r="C626" s="135"/>
      <c r="D626" s="135"/>
      <c r="F626" s="73"/>
      <c r="G626" s="135"/>
      <c r="H626" s="135"/>
      <c r="I626" s="135"/>
    </row>
    <row r="627" spans="2:9" x14ac:dyDescent="0.35">
      <c r="B627" s="135"/>
      <c r="C627" s="135"/>
      <c r="D627" s="135"/>
      <c r="F627" s="73"/>
      <c r="G627" s="135"/>
      <c r="H627" s="135"/>
      <c r="I627" s="135"/>
    </row>
    <row r="628" spans="2:9" x14ac:dyDescent="0.35">
      <c r="B628" s="135"/>
      <c r="C628" s="135"/>
      <c r="D628" s="135"/>
      <c r="F628" s="73"/>
      <c r="G628" s="135"/>
      <c r="H628" s="135"/>
      <c r="I628" s="135"/>
    </row>
    <row r="629" spans="2:9" x14ac:dyDescent="0.35">
      <c r="B629" s="135"/>
      <c r="C629" s="135"/>
      <c r="D629" s="135"/>
      <c r="F629" s="73"/>
      <c r="G629" s="135"/>
      <c r="H629" s="135"/>
      <c r="I629" s="135"/>
    </row>
    <row r="630" spans="2:9" x14ac:dyDescent="0.35">
      <c r="B630" s="135"/>
      <c r="C630" s="135"/>
      <c r="D630" s="135"/>
      <c r="F630" s="73"/>
      <c r="G630" s="135"/>
      <c r="H630" s="135"/>
      <c r="I630" s="135"/>
    </row>
    <row r="631" spans="2:9" x14ac:dyDescent="0.35">
      <c r="B631" s="135"/>
      <c r="C631" s="135"/>
      <c r="D631" s="135"/>
      <c r="F631" s="73"/>
      <c r="G631" s="135"/>
      <c r="H631" s="135"/>
      <c r="I631" s="135"/>
    </row>
    <row r="632" spans="2:9" x14ac:dyDescent="0.35">
      <c r="B632" s="135"/>
      <c r="C632" s="135"/>
      <c r="D632" s="135"/>
      <c r="F632" s="73"/>
      <c r="G632" s="135"/>
      <c r="H632" s="135"/>
      <c r="I632" s="135"/>
    </row>
    <row r="633" spans="2:9" x14ac:dyDescent="0.35">
      <c r="B633" s="135"/>
      <c r="C633" s="135"/>
      <c r="D633" s="135"/>
      <c r="F633" s="73"/>
      <c r="G633" s="135"/>
      <c r="H633" s="135"/>
      <c r="I633" s="135"/>
    </row>
    <row r="634" spans="2:9" x14ac:dyDescent="0.35">
      <c r="B634" s="135"/>
      <c r="C634" s="135"/>
      <c r="D634" s="135"/>
      <c r="F634" s="73"/>
      <c r="G634" s="135"/>
      <c r="H634" s="135"/>
      <c r="I634" s="135"/>
    </row>
    <row r="635" spans="2:9" x14ac:dyDescent="0.35">
      <c r="B635" s="135"/>
      <c r="C635" s="135"/>
      <c r="D635" s="135"/>
      <c r="F635" s="73"/>
      <c r="G635" s="135"/>
      <c r="H635" s="135"/>
      <c r="I635" s="135"/>
    </row>
    <row r="636" spans="2:9" x14ac:dyDescent="0.35">
      <c r="B636" s="135"/>
      <c r="C636" s="135"/>
      <c r="D636" s="135"/>
      <c r="F636" s="73"/>
      <c r="G636" s="135"/>
      <c r="H636" s="135"/>
      <c r="I636" s="135"/>
    </row>
    <row r="637" spans="2:9" x14ac:dyDescent="0.35">
      <c r="B637" s="135"/>
      <c r="C637" s="135"/>
      <c r="D637" s="135"/>
      <c r="F637" s="73"/>
      <c r="G637" s="135"/>
      <c r="H637" s="135"/>
      <c r="I637" s="135"/>
    </row>
    <row r="638" spans="2:9" x14ac:dyDescent="0.35">
      <c r="B638" s="135"/>
      <c r="C638" s="135"/>
      <c r="D638" s="135"/>
      <c r="F638" s="73"/>
      <c r="G638" s="135"/>
      <c r="H638" s="135"/>
      <c r="I638" s="135"/>
    </row>
    <row r="639" spans="2:9" x14ac:dyDescent="0.35">
      <c r="B639" s="135"/>
      <c r="C639" s="135"/>
      <c r="D639" s="135"/>
      <c r="F639" s="73"/>
      <c r="G639" s="135"/>
      <c r="H639" s="135"/>
      <c r="I639" s="135"/>
    </row>
    <row r="640" spans="2:9" x14ac:dyDescent="0.35">
      <c r="B640" s="135"/>
      <c r="C640" s="135"/>
      <c r="D640" s="135"/>
      <c r="F640" s="73"/>
      <c r="G640" s="135"/>
      <c r="H640" s="135"/>
      <c r="I640" s="135"/>
    </row>
    <row r="641" spans="2:9" x14ac:dyDescent="0.35">
      <c r="B641" s="135"/>
      <c r="C641" s="135"/>
      <c r="D641" s="135"/>
      <c r="F641" s="73"/>
      <c r="G641" s="135"/>
      <c r="H641" s="135"/>
      <c r="I641" s="135"/>
    </row>
    <row r="642" spans="2:9" x14ac:dyDescent="0.35">
      <c r="B642" s="135"/>
      <c r="C642" s="135"/>
      <c r="D642" s="135"/>
      <c r="F642" s="73"/>
      <c r="G642" s="135"/>
      <c r="H642" s="135"/>
      <c r="I642" s="135"/>
    </row>
    <row r="643" spans="2:9" x14ac:dyDescent="0.35">
      <c r="B643" s="135"/>
      <c r="C643" s="135"/>
      <c r="D643" s="135"/>
      <c r="F643" s="73"/>
      <c r="G643" s="135"/>
      <c r="H643" s="135"/>
      <c r="I643" s="135"/>
    </row>
    <row r="644" spans="2:9" x14ac:dyDescent="0.35">
      <c r="B644" s="135"/>
      <c r="C644" s="135"/>
      <c r="D644" s="135"/>
      <c r="F644" s="73"/>
      <c r="G644" s="135"/>
      <c r="H644" s="135"/>
      <c r="I644" s="135"/>
    </row>
    <row r="645" spans="2:9" x14ac:dyDescent="0.35">
      <c r="B645" s="135"/>
      <c r="C645" s="135"/>
      <c r="D645" s="135"/>
      <c r="F645" s="73"/>
      <c r="G645" s="135"/>
      <c r="H645" s="135"/>
      <c r="I645" s="135"/>
    </row>
    <row r="646" spans="2:9" x14ac:dyDescent="0.35">
      <c r="B646" s="135"/>
      <c r="C646" s="135"/>
      <c r="D646" s="135"/>
      <c r="F646" s="73"/>
      <c r="G646" s="135"/>
      <c r="H646" s="135"/>
      <c r="I646" s="135"/>
    </row>
    <row r="647" spans="2:9" x14ac:dyDescent="0.35">
      <c r="B647" s="135"/>
      <c r="C647" s="135"/>
      <c r="D647" s="135"/>
      <c r="F647" s="73"/>
      <c r="G647" s="135"/>
      <c r="H647" s="135"/>
      <c r="I647" s="135"/>
    </row>
    <row r="648" spans="2:9" x14ac:dyDescent="0.35">
      <c r="B648" s="135"/>
      <c r="C648" s="135"/>
      <c r="D648" s="135"/>
      <c r="F648" s="73"/>
      <c r="G648" s="135"/>
      <c r="H648" s="135"/>
      <c r="I648" s="135"/>
    </row>
    <row r="649" spans="2:9" x14ac:dyDescent="0.35">
      <c r="B649" s="135"/>
      <c r="C649" s="135"/>
      <c r="D649" s="135"/>
      <c r="F649" s="73"/>
      <c r="G649" s="135"/>
      <c r="H649" s="135"/>
      <c r="I649" s="135"/>
    </row>
    <row r="650" spans="2:9" x14ac:dyDescent="0.35">
      <c r="B650" s="135"/>
      <c r="C650" s="135"/>
      <c r="D650" s="135"/>
      <c r="F650" s="73"/>
      <c r="G650" s="135"/>
      <c r="H650" s="135"/>
      <c r="I650" s="135"/>
    </row>
    <row r="651" spans="2:9" x14ac:dyDescent="0.35">
      <c r="B651" s="135"/>
      <c r="C651" s="135"/>
      <c r="D651" s="135"/>
      <c r="F651" s="73"/>
      <c r="G651" s="135"/>
      <c r="H651" s="135"/>
      <c r="I651" s="135"/>
    </row>
    <row r="652" spans="2:9" x14ac:dyDescent="0.35">
      <c r="B652" s="135"/>
      <c r="C652" s="135"/>
      <c r="D652" s="135"/>
      <c r="F652" s="73"/>
      <c r="G652" s="135"/>
      <c r="H652" s="135"/>
      <c r="I652" s="135"/>
    </row>
    <row r="653" spans="2:9" x14ac:dyDescent="0.35">
      <c r="B653" s="135"/>
      <c r="C653" s="135"/>
      <c r="D653" s="135"/>
      <c r="F653" s="73"/>
      <c r="G653" s="135"/>
      <c r="H653" s="135"/>
      <c r="I653" s="135"/>
    </row>
    <row r="654" spans="2:9" x14ac:dyDescent="0.35">
      <c r="B654" s="135"/>
      <c r="C654" s="135"/>
      <c r="D654" s="135"/>
      <c r="F654" s="73"/>
      <c r="G654" s="135"/>
      <c r="H654" s="135"/>
      <c r="I654" s="135"/>
    </row>
    <row r="655" spans="2:9" x14ac:dyDescent="0.35">
      <c r="B655" s="135"/>
      <c r="C655" s="135"/>
      <c r="D655" s="135"/>
      <c r="F655" s="73"/>
      <c r="G655" s="135"/>
      <c r="H655" s="135"/>
      <c r="I655" s="135"/>
    </row>
    <row r="656" spans="2:9" x14ac:dyDescent="0.35">
      <c r="B656" s="135"/>
      <c r="C656" s="135"/>
      <c r="D656" s="135"/>
      <c r="F656" s="73"/>
      <c r="G656" s="135"/>
      <c r="H656" s="135"/>
      <c r="I656" s="135"/>
    </row>
    <row r="657" spans="2:9" x14ac:dyDescent="0.35">
      <c r="B657" s="135"/>
      <c r="C657" s="135"/>
      <c r="D657" s="135"/>
      <c r="F657" s="73"/>
      <c r="G657" s="135"/>
      <c r="H657" s="135"/>
      <c r="I657" s="135"/>
    </row>
    <row r="658" spans="2:9" x14ac:dyDescent="0.35">
      <c r="B658" s="135"/>
      <c r="C658" s="135"/>
      <c r="D658" s="135"/>
      <c r="F658" s="73"/>
      <c r="G658" s="135"/>
      <c r="H658" s="135"/>
      <c r="I658" s="135"/>
    </row>
    <row r="659" spans="2:9" x14ac:dyDescent="0.35">
      <c r="B659" s="135"/>
      <c r="C659" s="135"/>
      <c r="D659" s="135"/>
      <c r="F659" s="73"/>
      <c r="G659" s="135"/>
      <c r="H659" s="135"/>
      <c r="I659" s="135"/>
    </row>
    <row r="660" spans="2:9" x14ac:dyDescent="0.35">
      <c r="B660" s="135"/>
      <c r="C660" s="135"/>
      <c r="D660" s="135"/>
      <c r="F660" s="73"/>
      <c r="G660" s="135"/>
      <c r="H660" s="135"/>
      <c r="I660" s="135"/>
    </row>
    <row r="661" spans="2:9" x14ac:dyDescent="0.35">
      <c r="B661" s="135"/>
      <c r="C661" s="135"/>
      <c r="D661" s="135"/>
      <c r="F661" s="73"/>
      <c r="G661" s="135"/>
      <c r="H661" s="135"/>
      <c r="I661" s="135"/>
    </row>
    <row r="662" spans="2:9" x14ac:dyDescent="0.35">
      <c r="B662" s="135"/>
      <c r="C662" s="135"/>
      <c r="D662" s="135"/>
      <c r="F662" s="73"/>
      <c r="G662" s="135"/>
      <c r="H662" s="135"/>
      <c r="I662" s="135"/>
    </row>
    <row r="663" spans="2:9" x14ac:dyDescent="0.35">
      <c r="B663" s="135"/>
      <c r="C663" s="135"/>
      <c r="D663" s="135"/>
      <c r="F663" s="73"/>
      <c r="G663" s="135"/>
      <c r="H663" s="135"/>
      <c r="I663" s="135"/>
    </row>
    <row r="664" spans="2:9" x14ac:dyDescent="0.35">
      <c r="B664" s="135"/>
      <c r="C664" s="135"/>
      <c r="D664" s="135"/>
      <c r="F664" s="73"/>
      <c r="G664" s="135"/>
      <c r="H664" s="135"/>
      <c r="I664" s="135"/>
    </row>
    <row r="665" spans="2:9" x14ac:dyDescent="0.35">
      <c r="B665" s="135"/>
      <c r="C665" s="135"/>
      <c r="D665" s="135"/>
      <c r="F665" s="73"/>
      <c r="G665" s="135"/>
      <c r="H665" s="135"/>
      <c r="I665" s="135"/>
    </row>
    <row r="666" spans="2:9" x14ac:dyDescent="0.35">
      <c r="B666" s="135"/>
      <c r="C666" s="135"/>
      <c r="D666" s="135"/>
      <c r="F666" s="73"/>
      <c r="G666" s="135"/>
      <c r="H666" s="135"/>
      <c r="I666" s="135"/>
    </row>
    <row r="667" spans="2:9" x14ac:dyDescent="0.35">
      <c r="B667" s="135"/>
      <c r="C667" s="135"/>
      <c r="D667" s="135"/>
      <c r="F667" s="73"/>
      <c r="G667" s="135"/>
      <c r="H667" s="135"/>
      <c r="I667" s="135"/>
    </row>
    <row r="668" spans="2:9" x14ac:dyDescent="0.35">
      <c r="B668" s="135"/>
      <c r="C668" s="135"/>
      <c r="D668" s="135"/>
      <c r="F668" s="73"/>
      <c r="G668" s="135"/>
      <c r="H668" s="135"/>
      <c r="I668" s="135"/>
    </row>
    <row r="669" spans="2:9" x14ac:dyDescent="0.35">
      <c r="B669" s="135"/>
      <c r="C669" s="135"/>
      <c r="D669" s="135"/>
      <c r="F669" s="73"/>
      <c r="G669" s="135"/>
      <c r="H669" s="135"/>
      <c r="I669" s="135"/>
    </row>
    <row r="670" spans="2:9" x14ac:dyDescent="0.35">
      <c r="B670" s="135"/>
      <c r="C670" s="135"/>
      <c r="D670" s="135"/>
      <c r="F670" s="73"/>
      <c r="G670" s="135"/>
      <c r="H670" s="135"/>
      <c r="I670" s="135"/>
    </row>
    <row r="671" spans="2:9" x14ac:dyDescent="0.35">
      <c r="B671" s="135"/>
      <c r="C671" s="135"/>
      <c r="D671" s="135"/>
      <c r="F671" s="73"/>
      <c r="G671" s="135"/>
      <c r="H671" s="135"/>
      <c r="I671" s="135"/>
    </row>
    <row r="672" spans="2:9" x14ac:dyDescent="0.35">
      <c r="B672" s="135"/>
      <c r="C672" s="135"/>
      <c r="D672" s="135"/>
      <c r="F672" s="73"/>
      <c r="G672" s="135"/>
      <c r="H672" s="135"/>
      <c r="I672" s="135"/>
    </row>
    <row r="673" spans="2:9" x14ac:dyDescent="0.35">
      <c r="B673" s="135"/>
      <c r="C673" s="135"/>
      <c r="D673" s="135"/>
      <c r="F673" s="73"/>
      <c r="G673" s="135"/>
      <c r="H673" s="135"/>
      <c r="I673" s="135"/>
    </row>
    <row r="674" spans="2:9" x14ac:dyDescent="0.35">
      <c r="B674" s="135"/>
      <c r="C674" s="135"/>
      <c r="D674" s="135"/>
      <c r="F674" s="73"/>
      <c r="G674" s="135"/>
      <c r="H674" s="135"/>
      <c r="I674" s="135"/>
    </row>
    <row r="675" spans="2:9" x14ac:dyDescent="0.35">
      <c r="B675" s="135"/>
      <c r="C675" s="135"/>
      <c r="D675" s="135"/>
      <c r="F675" s="73"/>
      <c r="G675" s="135"/>
      <c r="H675" s="135"/>
      <c r="I675" s="135"/>
    </row>
    <row r="676" spans="2:9" x14ac:dyDescent="0.35">
      <c r="B676" s="135"/>
      <c r="C676" s="135"/>
      <c r="D676" s="135"/>
      <c r="F676" s="73"/>
      <c r="G676" s="135"/>
      <c r="H676" s="135"/>
      <c r="I676" s="135"/>
    </row>
    <row r="677" spans="2:9" x14ac:dyDescent="0.35">
      <c r="B677" s="135"/>
      <c r="C677" s="135"/>
      <c r="D677" s="135"/>
      <c r="F677" s="73"/>
      <c r="G677" s="135"/>
      <c r="H677" s="135"/>
      <c r="I677" s="135"/>
    </row>
    <row r="678" spans="2:9" x14ac:dyDescent="0.35">
      <c r="B678" s="135"/>
      <c r="C678" s="135"/>
      <c r="D678" s="135"/>
      <c r="F678" s="73"/>
      <c r="G678" s="135"/>
      <c r="H678" s="135"/>
      <c r="I678" s="135"/>
    </row>
    <row r="679" spans="2:9" x14ac:dyDescent="0.35">
      <c r="B679" s="135"/>
      <c r="C679" s="135"/>
      <c r="D679" s="135"/>
      <c r="F679" s="73"/>
      <c r="G679" s="135"/>
      <c r="H679" s="135"/>
      <c r="I679" s="135"/>
    </row>
    <row r="680" spans="2:9" x14ac:dyDescent="0.35">
      <c r="B680" s="135"/>
      <c r="C680" s="135"/>
      <c r="D680" s="135"/>
      <c r="F680" s="73"/>
      <c r="G680" s="135"/>
      <c r="H680" s="135"/>
      <c r="I680" s="135"/>
    </row>
    <row r="681" spans="2:9" x14ac:dyDescent="0.35">
      <c r="B681" s="135"/>
      <c r="C681" s="135"/>
      <c r="D681" s="135"/>
      <c r="F681" s="73"/>
      <c r="G681" s="135"/>
      <c r="H681" s="135"/>
      <c r="I681" s="135"/>
    </row>
    <row r="682" spans="2:9" x14ac:dyDescent="0.35">
      <c r="B682" s="135"/>
      <c r="C682" s="135"/>
      <c r="D682" s="135"/>
      <c r="F682" s="73"/>
      <c r="G682" s="135"/>
      <c r="H682" s="135"/>
      <c r="I682" s="135"/>
    </row>
    <row r="683" spans="2:9" x14ac:dyDescent="0.35">
      <c r="B683" s="135"/>
      <c r="C683" s="135"/>
      <c r="D683" s="135"/>
      <c r="F683" s="73"/>
      <c r="G683" s="135"/>
      <c r="H683" s="135"/>
      <c r="I683" s="135"/>
    </row>
    <row r="684" spans="2:9" x14ac:dyDescent="0.35">
      <c r="B684" s="135"/>
      <c r="C684" s="135"/>
      <c r="D684" s="135"/>
      <c r="F684" s="73"/>
      <c r="G684" s="135"/>
      <c r="H684" s="135"/>
      <c r="I684" s="135"/>
    </row>
    <row r="685" spans="2:9" x14ac:dyDescent="0.35">
      <c r="B685" s="135"/>
      <c r="C685" s="135"/>
      <c r="D685" s="135"/>
      <c r="F685" s="73"/>
      <c r="G685" s="135"/>
      <c r="H685" s="135"/>
      <c r="I685" s="135"/>
    </row>
    <row r="686" spans="2:9" x14ac:dyDescent="0.35">
      <c r="B686" s="135"/>
      <c r="C686" s="135"/>
      <c r="D686" s="135"/>
      <c r="F686" s="73"/>
      <c r="G686" s="135"/>
      <c r="H686" s="135"/>
      <c r="I686" s="135"/>
    </row>
    <row r="687" spans="2:9" x14ac:dyDescent="0.35">
      <c r="B687" s="135"/>
      <c r="C687" s="135"/>
      <c r="D687" s="135"/>
      <c r="F687" s="73"/>
      <c r="G687" s="135"/>
      <c r="H687" s="135"/>
      <c r="I687" s="135"/>
    </row>
    <row r="688" spans="2:9" x14ac:dyDescent="0.35">
      <c r="B688" s="135"/>
      <c r="C688" s="135"/>
      <c r="D688" s="135"/>
      <c r="F688" s="73"/>
      <c r="G688" s="135"/>
      <c r="H688" s="135"/>
      <c r="I688" s="135"/>
    </row>
    <row r="689" spans="2:9" x14ac:dyDescent="0.35">
      <c r="B689" s="135"/>
      <c r="C689" s="135"/>
      <c r="D689" s="135"/>
      <c r="F689" s="73"/>
      <c r="G689" s="135"/>
      <c r="H689" s="135"/>
      <c r="I689" s="135"/>
    </row>
    <row r="690" spans="2:9" x14ac:dyDescent="0.35">
      <c r="B690" s="135"/>
      <c r="C690" s="135"/>
      <c r="D690" s="135"/>
      <c r="F690" s="73"/>
      <c r="G690" s="135"/>
      <c r="H690" s="135"/>
      <c r="I690" s="135"/>
    </row>
    <row r="691" spans="2:9" x14ac:dyDescent="0.35">
      <c r="B691" s="135"/>
      <c r="C691" s="135"/>
      <c r="D691" s="135"/>
      <c r="F691" s="73"/>
      <c r="G691" s="135"/>
      <c r="H691" s="135"/>
      <c r="I691" s="135"/>
    </row>
    <row r="692" spans="2:9" x14ac:dyDescent="0.35">
      <c r="B692" s="135"/>
      <c r="C692" s="135"/>
      <c r="D692" s="135"/>
      <c r="F692" s="73"/>
      <c r="G692" s="135"/>
      <c r="H692" s="135"/>
      <c r="I692" s="135"/>
    </row>
    <row r="693" spans="2:9" x14ac:dyDescent="0.35">
      <c r="B693" s="135"/>
      <c r="C693" s="135"/>
      <c r="D693" s="135"/>
      <c r="F693" s="73"/>
      <c r="G693" s="135"/>
      <c r="H693" s="135"/>
      <c r="I693" s="135"/>
    </row>
    <row r="694" spans="2:9" x14ac:dyDescent="0.35">
      <c r="B694" s="135"/>
      <c r="C694" s="135"/>
      <c r="D694" s="135"/>
      <c r="F694" s="73"/>
      <c r="G694" s="135"/>
      <c r="H694" s="135"/>
      <c r="I694" s="135"/>
    </row>
    <row r="695" spans="2:9" x14ac:dyDescent="0.35">
      <c r="B695" s="135"/>
      <c r="C695" s="135"/>
      <c r="D695" s="135"/>
      <c r="F695" s="73"/>
      <c r="G695" s="135"/>
      <c r="H695" s="135"/>
      <c r="I695" s="135"/>
    </row>
    <row r="696" spans="2:9" x14ac:dyDescent="0.35">
      <c r="B696" s="135"/>
      <c r="C696" s="135"/>
      <c r="D696" s="135"/>
      <c r="F696" s="73"/>
      <c r="G696" s="135"/>
      <c r="H696" s="135"/>
      <c r="I696" s="135"/>
    </row>
    <row r="697" spans="2:9" x14ac:dyDescent="0.35">
      <c r="B697" s="135"/>
      <c r="C697" s="135"/>
      <c r="D697" s="135"/>
      <c r="F697" s="73"/>
      <c r="G697" s="135"/>
      <c r="H697" s="135"/>
      <c r="I697" s="135"/>
    </row>
    <row r="698" spans="2:9" x14ac:dyDescent="0.35">
      <c r="B698" s="135"/>
      <c r="C698" s="135"/>
      <c r="D698" s="135"/>
      <c r="F698" s="73"/>
      <c r="G698" s="135"/>
      <c r="H698" s="135"/>
      <c r="I698" s="135"/>
    </row>
    <row r="699" spans="2:9" x14ac:dyDescent="0.35">
      <c r="B699" s="135"/>
      <c r="C699" s="135"/>
      <c r="D699" s="135"/>
      <c r="F699" s="73"/>
      <c r="G699" s="135"/>
      <c r="H699" s="135"/>
      <c r="I699" s="135"/>
    </row>
    <row r="700" spans="2:9" x14ac:dyDescent="0.35">
      <c r="B700" s="135"/>
      <c r="C700" s="135"/>
      <c r="D700" s="135"/>
      <c r="F700" s="73"/>
      <c r="G700" s="135"/>
      <c r="H700" s="135"/>
      <c r="I700" s="135"/>
    </row>
    <row r="701" spans="2:9" x14ac:dyDescent="0.35">
      <c r="B701" s="135"/>
      <c r="C701" s="135"/>
      <c r="D701" s="135"/>
      <c r="F701" s="73"/>
      <c r="G701" s="135"/>
      <c r="H701" s="135"/>
      <c r="I701" s="135"/>
    </row>
    <row r="702" spans="2:9" x14ac:dyDescent="0.35">
      <c r="B702" s="135"/>
      <c r="C702" s="135"/>
      <c r="D702" s="135"/>
      <c r="F702" s="73"/>
      <c r="G702" s="135"/>
      <c r="H702" s="135"/>
      <c r="I702" s="135"/>
    </row>
    <row r="703" spans="2:9" x14ac:dyDescent="0.35">
      <c r="B703" s="135"/>
      <c r="C703" s="135"/>
      <c r="D703" s="135"/>
      <c r="F703" s="73"/>
      <c r="G703" s="135"/>
      <c r="H703" s="135"/>
      <c r="I703" s="135"/>
    </row>
    <row r="704" spans="2:9" x14ac:dyDescent="0.35">
      <c r="B704" s="135"/>
      <c r="C704" s="135"/>
      <c r="D704" s="135"/>
      <c r="F704" s="73"/>
      <c r="G704" s="135"/>
      <c r="H704" s="135"/>
      <c r="I704" s="135"/>
    </row>
    <row r="705" spans="2:9" x14ac:dyDescent="0.35">
      <c r="B705" s="135"/>
      <c r="C705" s="135"/>
      <c r="D705" s="135"/>
      <c r="F705" s="73"/>
      <c r="G705" s="135"/>
      <c r="H705" s="135"/>
      <c r="I705" s="135"/>
    </row>
    <row r="706" spans="2:9" x14ac:dyDescent="0.35">
      <c r="B706" s="135"/>
      <c r="C706" s="135"/>
      <c r="D706" s="135"/>
      <c r="F706" s="73"/>
      <c r="G706" s="135"/>
      <c r="H706" s="135"/>
      <c r="I706" s="135"/>
    </row>
    <row r="707" spans="2:9" x14ac:dyDescent="0.35">
      <c r="B707" s="135"/>
      <c r="C707" s="135"/>
      <c r="D707" s="135"/>
      <c r="F707" s="73"/>
      <c r="G707" s="135"/>
      <c r="H707" s="135"/>
      <c r="I707" s="135"/>
    </row>
    <row r="708" spans="2:9" x14ac:dyDescent="0.35">
      <c r="B708" s="135"/>
      <c r="C708" s="135"/>
      <c r="D708" s="135"/>
      <c r="F708" s="73"/>
      <c r="G708" s="135"/>
      <c r="H708" s="135"/>
      <c r="I708" s="135"/>
    </row>
    <row r="709" spans="2:9" x14ac:dyDescent="0.35">
      <c r="B709" s="135"/>
      <c r="C709" s="135"/>
      <c r="D709" s="135"/>
      <c r="F709" s="73"/>
      <c r="G709" s="135"/>
      <c r="H709" s="135"/>
      <c r="I709" s="135"/>
    </row>
    <row r="710" spans="2:9" x14ac:dyDescent="0.35">
      <c r="B710" s="135"/>
      <c r="C710" s="135"/>
      <c r="D710" s="135"/>
      <c r="F710" s="73"/>
      <c r="G710" s="135"/>
      <c r="H710" s="135"/>
      <c r="I710" s="135"/>
    </row>
    <row r="711" spans="2:9" x14ac:dyDescent="0.35">
      <c r="B711" s="135"/>
      <c r="C711" s="135"/>
      <c r="D711" s="135"/>
      <c r="F711" s="73"/>
      <c r="G711" s="135"/>
      <c r="H711" s="135"/>
      <c r="I711" s="135"/>
    </row>
    <row r="712" spans="2:9" x14ac:dyDescent="0.35">
      <c r="B712" s="135"/>
      <c r="C712" s="135"/>
      <c r="D712" s="135"/>
      <c r="F712" s="73"/>
      <c r="G712" s="135"/>
      <c r="H712" s="135"/>
      <c r="I712" s="135"/>
    </row>
    <row r="713" spans="2:9" x14ac:dyDescent="0.35">
      <c r="B713" s="135"/>
      <c r="C713" s="135"/>
      <c r="D713" s="135"/>
      <c r="F713" s="73"/>
      <c r="G713" s="135"/>
      <c r="H713" s="135"/>
      <c r="I713" s="135"/>
    </row>
    <row r="714" spans="2:9" x14ac:dyDescent="0.35">
      <c r="B714" s="135"/>
      <c r="C714" s="135"/>
      <c r="D714" s="135"/>
      <c r="F714" s="73"/>
      <c r="G714" s="135"/>
      <c r="H714" s="135"/>
      <c r="I714" s="135"/>
    </row>
    <row r="715" spans="2:9" x14ac:dyDescent="0.35">
      <c r="B715" s="135"/>
      <c r="C715" s="135"/>
      <c r="D715" s="135"/>
      <c r="F715" s="73"/>
      <c r="G715" s="135"/>
      <c r="H715" s="135"/>
      <c r="I715" s="135"/>
    </row>
    <row r="716" spans="2:9" x14ac:dyDescent="0.35">
      <c r="B716" s="135"/>
      <c r="C716" s="135"/>
      <c r="D716" s="135"/>
      <c r="F716" s="73"/>
      <c r="G716" s="135"/>
      <c r="H716" s="135"/>
      <c r="I716" s="135"/>
    </row>
    <row r="717" spans="2:9" x14ac:dyDescent="0.35">
      <c r="B717" s="135"/>
      <c r="C717" s="135"/>
      <c r="D717" s="135"/>
      <c r="F717" s="73"/>
      <c r="G717" s="135"/>
      <c r="H717" s="135"/>
      <c r="I717" s="135"/>
    </row>
    <row r="718" spans="2:9" x14ac:dyDescent="0.35">
      <c r="B718" s="135"/>
      <c r="C718" s="135"/>
      <c r="D718" s="135"/>
      <c r="F718" s="73"/>
      <c r="G718" s="135"/>
      <c r="H718" s="135"/>
      <c r="I718" s="135"/>
    </row>
    <row r="719" spans="2:9" x14ac:dyDescent="0.35">
      <c r="B719" s="135"/>
      <c r="C719" s="135"/>
      <c r="D719" s="135"/>
      <c r="F719" s="73"/>
      <c r="G719" s="135"/>
      <c r="H719" s="135"/>
      <c r="I719" s="135"/>
    </row>
    <row r="720" spans="2:9" x14ac:dyDescent="0.35">
      <c r="B720" s="135"/>
      <c r="C720" s="135"/>
      <c r="D720" s="135"/>
      <c r="F720" s="73"/>
      <c r="G720" s="135"/>
      <c r="H720" s="135"/>
      <c r="I720" s="135"/>
    </row>
    <row r="721" spans="2:9" x14ac:dyDescent="0.35">
      <c r="B721" s="135"/>
      <c r="C721" s="135"/>
      <c r="D721" s="135"/>
      <c r="F721" s="73"/>
      <c r="G721" s="135"/>
      <c r="H721" s="135"/>
      <c r="I721" s="135"/>
    </row>
    <row r="722" spans="2:9" x14ac:dyDescent="0.35">
      <c r="B722" s="135"/>
      <c r="C722" s="135"/>
      <c r="D722" s="135"/>
      <c r="F722" s="73"/>
      <c r="G722" s="135"/>
      <c r="H722" s="135"/>
      <c r="I722" s="135"/>
    </row>
    <row r="723" spans="2:9" x14ac:dyDescent="0.35">
      <c r="B723" s="135"/>
      <c r="C723" s="135"/>
      <c r="D723" s="135"/>
      <c r="F723" s="73"/>
      <c r="G723" s="135"/>
      <c r="H723" s="135"/>
      <c r="I723" s="135"/>
    </row>
    <row r="724" spans="2:9" x14ac:dyDescent="0.35">
      <c r="B724" s="135"/>
      <c r="C724" s="135"/>
      <c r="D724" s="135"/>
      <c r="F724" s="73"/>
      <c r="G724" s="135"/>
      <c r="H724" s="135"/>
      <c r="I724" s="135"/>
    </row>
    <row r="725" spans="2:9" x14ac:dyDescent="0.35">
      <c r="B725" s="135"/>
      <c r="C725" s="135"/>
      <c r="D725" s="135"/>
      <c r="F725" s="73"/>
      <c r="G725" s="135"/>
      <c r="H725" s="135"/>
      <c r="I725" s="135"/>
    </row>
    <row r="726" spans="2:9" x14ac:dyDescent="0.35">
      <c r="B726" s="135"/>
      <c r="C726" s="135"/>
      <c r="D726" s="135"/>
      <c r="F726" s="73"/>
      <c r="G726" s="135"/>
      <c r="H726" s="135"/>
      <c r="I726" s="135"/>
    </row>
    <row r="727" spans="2:9" x14ac:dyDescent="0.35">
      <c r="B727" s="135"/>
      <c r="C727" s="135"/>
      <c r="D727" s="135"/>
      <c r="F727" s="73"/>
      <c r="G727" s="135"/>
      <c r="H727" s="135"/>
      <c r="I727" s="135"/>
    </row>
    <row r="728" spans="2:9" x14ac:dyDescent="0.35">
      <c r="B728" s="135"/>
      <c r="C728" s="135"/>
      <c r="D728" s="135"/>
      <c r="F728" s="73"/>
      <c r="G728" s="135"/>
      <c r="H728" s="135"/>
      <c r="I728" s="135"/>
    </row>
    <row r="729" spans="2:9" x14ac:dyDescent="0.35">
      <c r="B729" s="135"/>
      <c r="C729" s="135"/>
      <c r="D729" s="135"/>
      <c r="F729" s="73"/>
      <c r="G729" s="135"/>
      <c r="H729" s="135"/>
      <c r="I729" s="135"/>
    </row>
    <row r="730" spans="2:9" x14ac:dyDescent="0.35">
      <c r="B730" s="135"/>
      <c r="C730" s="135"/>
      <c r="D730" s="135"/>
      <c r="F730" s="73"/>
      <c r="G730" s="135"/>
      <c r="H730" s="135"/>
      <c r="I730" s="135"/>
    </row>
    <row r="731" spans="2:9" x14ac:dyDescent="0.35">
      <c r="B731" s="135"/>
      <c r="C731" s="135"/>
      <c r="D731" s="135"/>
      <c r="F731" s="73"/>
      <c r="G731" s="135"/>
      <c r="H731" s="135"/>
      <c r="I731" s="135"/>
    </row>
    <row r="732" spans="2:9" x14ac:dyDescent="0.35">
      <c r="B732" s="135"/>
      <c r="C732" s="135"/>
      <c r="D732" s="135"/>
      <c r="F732" s="73"/>
      <c r="G732" s="135"/>
      <c r="H732" s="135"/>
      <c r="I732" s="135"/>
    </row>
    <row r="733" spans="2:9" x14ac:dyDescent="0.35">
      <c r="B733" s="135"/>
      <c r="C733" s="135"/>
      <c r="D733" s="135"/>
      <c r="F733" s="73"/>
      <c r="G733" s="135"/>
      <c r="H733" s="135"/>
      <c r="I733" s="135"/>
    </row>
    <row r="734" spans="2:9" x14ac:dyDescent="0.35">
      <c r="B734" s="135"/>
      <c r="C734" s="135"/>
      <c r="D734" s="135"/>
      <c r="F734" s="73"/>
      <c r="G734" s="135"/>
      <c r="H734" s="135"/>
      <c r="I734" s="135"/>
    </row>
    <row r="735" spans="2:9" x14ac:dyDescent="0.35">
      <c r="B735" s="135"/>
      <c r="C735" s="135"/>
      <c r="D735" s="135"/>
      <c r="F735" s="73"/>
      <c r="G735" s="135"/>
      <c r="H735" s="135"/>
      <c r="I735" s="135"/>
    </row>
    <row r="736" spans="2:9" x14ac:dyDescent="0.35">
      <c r="B736" s="135"/>
      <c r="C736" s="135"/>
      <c r="D736" s="135"/>
      <c r="F736" s="73"/>
      <c r="G736" s="135"/>
      <c r="H736" s="135"/>
      <c r="I736" s="135"/>
    </row>
    <row r="737" spans="2:9" x14ac:dyDescent="0.35">
      <c r="B737" s="135"/>
      <c r="C737" s="135"/>
      <c r="D737" s="135"/>
      <c r="F737" s="73"/>
      <c r="G737" s="135"/>
      <c r="H737" s="135"/>
      <c r="I737" s="135"/>
    </row>
    <row r="738" spans="2:9" x14ac:dyDescent="0.35">
      <c r="B738" s="135"/>
      <c r="C738" s="135"/>
      <c r="D738" s="135"/>
      <c r="F738" s="73"/>
      <c r="G738" s="135"/>
      <c r="H738" s="135"/>
      <c r="I738" s="135"/>
    </row>
    <row r="739" spans="2:9" x14ac:dyDescent="0.35">
      <c r="B739" s="135"/>
      <c r="C739" s="135"/>
      <c r="D739" s="135"/>
      <c r="F739" s="73"/>
      <c r="G739" s="135"/>
      <c r="H739" s="135"/>
      <c r="I739" s="135"/>
    </row>
    <row r="740" spans="2:9" x14ac:dyDescent="0.35">
      <c r="B740" s="135"/>
      <c r="C740" s="135"/>
      <c r="D740" s="135"/>
      <c r="F740" s="73"/>
      <c r="G740" s="135"/>
      <c r="H740" s="135"/>
      <c r="I740" s="135"/>
    </row>
    <row r="741" spans="2:9" x14ac:dyDescent="0.35">
      <c r="B741" s="135"/>
      <c r="C741" s="135"/>
      <c r="D741" s="135"/>
      <c r="F741" s="73"/>
      <c r="G741" s="135"/>
      <c r="H741" s="135"/>
      <c r="I741" s="135"/>
    </row>
    <row r="742" spans="2:9" x14ac:dyDescent="0.35">
      <c r="B742" s="135"/>
      <c r="C742" s="135"/>
      <c r="D742" s="135"/>
      <c r="F742" s="73"/>
      <c r="G742" s="135"/>
      <c r="H742" s="135"/>
      <c r="I742" s="135"/>
    </row>
    <row r="743" spans="2:9" x14ac:dyDescent="0.35">
      <c r="B743" s="135"/>
      <c r="C743" s="135"/>
      <c r="D743" s="135"/>
      <c r="F743" s="73"/>
      <c r="G743" s="135"/>
      <c r="H743" s="135"/>
      <c r="I743" s="135"/>
    </row>
    <row r="744" spans="2:9" x14ac:dyDescent="0.35">
      <c r="B744" s="135"/>
      <c r="C744" s="135"/>
      <c r="D744" s="135"/>
      <c r="F744" s="73"/>
      <c r="G744" s="135"/>
      <c r="H744" s="135"/>
      <c r="I744" s="135"/>
    </row>
    <row r="745" spans="2:9" x14ac:dyDescent="0.35">
      <c r="B745" s="135"/>
      <c r="C745" s="135"/>
      <c r="D745" s="135"/>
      <c r="F745" s="73"/>
      <c r="G745" s="135"/>
      <c r="H745" s="135"/>
      <c r="I745" s="135"/>
    </row>
    <row r="746" spans="2:9" x14ac:dyDescent="0.35">
      <c r="B746" s="135"/>
      <c r="C746" s="135"/>
      <c r="D746" s="135"/>
      <c r="F746" s="73"/>
      <c r="G746" s="135"/>
      <c r="H746" s="135"/>
      <c r="I746" s="135"/>
    </row>
    <row r="747" spans="2:9" x14ac:dyDescent="0.35">
      <c r="B747" s="135"/>
      <c r="C747" s="135"/>
      <c r="D747" s="135"/>
      <c r="F747" s="73"/>
      <c r="G747" s="135"/>
      <c r="H747" s="135"/>
      <c r="I747" s="135"/>
    </row>
    <row r="748" spans="2:9" x14ac:dyDescent="0.35">
      <c r="B748" s="135"/>
      <c r="C748" s="135"/>
      <c r="D748" s="135"/>
      <c r="F748" s="73"/>
      <c r="G748" s="135"/>
      <c r="H748" s="135"/>
      <c r="I748" s="135"/>
    </row>
    <row r="749" spans="2:9" x14ac:dyDescent="0.35">
      <c r="B749" s="135"/>
      <c r="C749" s="135"/>
      <c r="D749" s="135"/>
      <c r="F749" s="73"/>
      <c r="G749" s="135"/>
      <c r="H749" s="135"/>
      <c r="I749" s="135"/>
    </row>
    <row r="750" spans="2:9" x14ac:dyDescent="0.35">
      <c r="B750" s="135"/>
      <c r="C750" s="135"/>
      <c r="D750" s="135"/>
      <c r="F750" s="73"/>
      <c r="G750" s="135"/>
      <c r="H750" s="135"/>
      <c r="I750" s="135"/>
    </row>
    <row r="751" spans="2:9" x14ac:dyDescent="0.35">
      <c r="B751" s="135"/>
      <c r="C751" s="135"/>
      <c r="D751" s="135"/>
      <c r="F751" s="73"/>
      <c r="G751" s="135"/>
      <c r="H751" s="135"/>
      <c r="I751" s="135"/>
    </row>
    <row r="752" spans="2:9" x14ac:dyDescent="0.35">
      <c r="B752" s="135"/>
      <c r="C752" s="135"/>
      <c r="D752" s="135"/>
      <c r="F752" s="73"/>
      <c r="G752" s="135"/>
      <c r="H752" s="135"/>
      <c r="I752" s="135"/>
    </row>
    <row r="753" spans="2:9" x14ac:dyDescent="0.35">
      <c r="B753" s="135"/>
      <c r="C753" s="135"/>
      <c r="D753" s="135"/>
      <c r="F753" s="73"/>
      <c r="G753" s="135"/>
      <c r="H753" s="135"/>
      <c r="I753" s="135"/>
    </row>
    <row r="754" spans="2:9" x14ac:dyDescent="0.35">
      <c r="B754" s="135"/>
      <c r="C754" s="135"/>
      <c r="D754" s="135"/>
      <c r="F754" s="73"/>
      <c r="G754" s="135"/>
      <c r="H754" s="135"/>
      <c r="I754" s="135"/>
    </row>
    <row r="755" spans="2:9" x14ac:dyDescent="0.35">
      <c r="B755" s="135"/>
      <c r="C755" s="135"/>
      <c r="D755" s="135"/>
      <c r="F755" s="73"/>
      <c r="G755" s="135"/>
      <c r="H755" s="135"/>
      <c r="I755" s="135"/>
    </row>
    <row r="756" spans="2:9" x14ac:dyDescent="0.35">
      <c r="B756" s="135"/>
      <c r="C756" s="135"/>
      <c r="D756" s="135"/>
      <c r="F756" s="73"/>
      <c r="G756" s="135"/>
      <c r="H756" s="135"/>
      <c r="I756" s="135"/>
    </row>
    <row r="757" spans="2:9" x14ac:dyDescent="0.35">
      <c r="B757" s="135"/>
      <c r="C757" s="135"/>
      <c r="D757" s="135"/>
      <c r="F757" s="73"/>
      <c r="G757" s="135"/>
      <c r="H757" s="135"/>
      <c r="I757" s="135"/>
    </row>
    <row r="758" spans="2:9" x14ac:dyDescent="0.35">
      <c r="B758" s="135"/>
      <c r="C758" s="135"/>
      <c r="D758" s="135"/>
      <c r="F758" s="73"/>
      <c r="G758" s="135"/>
      <c r="H758" s="135"/>
      <c r="I758" s="135"/>
    </row>
    <row r="759" spans="2:9" x14ac:dyDescent="0.35">
      <c r="B759" s="135"/>
      <c r="C759" s="135"/>
      <c r="D759" s="135"/>
      <c r="F759" s="73"/>
      <c r="G759" s="135"/>
      <c r="H759" s="135"/>
      <c r="I759" s="135"/>
    </row>
    <row r="760" spans="2:9" x14ac:dyDescent="0.35">
      <c r="B760" s="135"/>
      <c r="C760" s="135"/>
      <c r="D760" s="135"/>
      <c r="F760" s="73"/>
      <c r="G760" s="135"/>
      <c r="H760" s="135"/>
      <c r="I760" s="135"/>
    </row>
    <row r="761" spans="2:9" x14ac:dyDescent="0.35">
      <c r="B761" s="135"/>
      <c r="C761" s="135"/>
      <c r="D761" s="135"/>
      <c r="F761" s="73"/>
      <c r="G761" s="135"/>
      <c r="H761" s="135"/>
      <c r="I761" s="135"/>
    </row>
    <row r="762" spans="2:9" x14ac:dyDescent="0.35">
      <c r="B762" s="135"/>
      <c r="C762" s="135"/>
      <c r="D762" s="135"/>
      <c r="F762" s="73"/>
      <c r="G762" s="135"/>
      <c r="H762" s="135"/>
      <c r="I762" s="135"/>
    </row>
    <row r="763" spans="2:9" x14ac:dyDescent="0.35">
      <c r="B763" s="135"/>
      <c r="C763" s="135"/>
      <c r="D763" s="135"/>
      <c r="F763" s="73"/>
      <c r="G763" s="135"/>
      <c r="H763" s="135"/>
      <c r="I763" s="135"/>
    </row>
    <row r="764" spans="2:9" x14ac:dyDescent="0.35">
      <c r="B764" s="135"/>
      <c r="C764" s="135"/>
      <c r="D764" s="135"/>
      <c r="F764" s="73"/>
      <c r="G764" s="135"/>
      <c r="H764" s="135"/>
      <c r="I764" s="135"/>
    </row>
    <row r="765" spans="2:9" x14ac:dyDescent="0.35">
      <c r="B765" s="135"/>
      <c r="C765" s="135"/>
      <c r="D765" s="135"/>
      <c r="F765" s="73"/>
      <c r="G765" s="135"/>
      <c r="H765" s="135"/>
      <c r="I765" s="135"/>
    </row>
    <row r="766" spans="2:9" x14ac:dyDescent="0.35">
      <c r="B766" s="135"/>
      <c r="C766" s="135"/>
      <c r="D766" s="135"/>
      <c r="F766" s="73"/>
      <c r="G766" s="135"/>
      <c r="H766" s="135"/>
      <c r="I766" s="135"/>
    </row>
    <row r="767" spans="2:9" x14ac:dyDescent="0.35">
      <c r="B767" s="135"/>
      <c r="C767" s="135"/>
      <c r="D767" s="135"/>
      <c r="F767" s="73"/>
      <c r="G767" s="135"/>
      <c r="H767" s="135"/>
      <c r="I767" s="135"/>
    </row>
    <row r="768" spans="2:9" x14ac:dyDescent="0.35">
      <c r="B768" s="135"/>
      <c r="C768" s="135"/>
      <c r="D768" s="135"/>
      <c r="F768" s="73"/>
      <c r="G768" s="135"/>
      <c r="H768" s="135"/>
      <c r="I768" s="135"/>
    </row>
    <row r="769" spans="2:9" x14ac:dyDescent="0.35">
      <c r="B769" s="135"/>
      <c r="C769" s="135"/>
      <c r="D769" s="135"/>
      <c r="F769" s="73"/>
      <c r="G769" s="135"/>
      <c r="H769" s="135"/>
      <c r="I769" s="135"/>
    </row>
    <row r="770" spans="2:9" x14ac:dyDescent="0.35">
      <c r="B770" s="135"/>
      <c r="C770" s="135"/>
      <c r="D770" s="135"/>
      <c r="F770" s="73"/>
      <c r="G770" s="135"/>
      <c r="H770" s="135"/>
      <c r="I770" s="135"/>
    </row>
    <row r="771" spans="2:9" x14ac:dyDescent="0.35">
      <c r="B771" s="135"/>
      <c r="C771" s="135"/>
      <c r="D771" s="135"/>
      <c r="F771" s="73"/>
      <c r="G771" s="135"/>
      <c r="H771" s="135"/>
      <c r="I771" s="135"/>
    </row>
    <row r="772" spans="2:9" x14ac:dyDescent="0.35">
      <c r="B772" s="135"/>
      <c r="C772" s="135"/>
      <c r="D772" s="135"/>
      <c r="F772" s="73"/>
      <c r="G772" s="135"/>
      <c r="H772" s="135"/>
      <c r="I772" s="135"/>
    </row>
    <row r="773" spans="2:9" x14ac:dyDescent="0.35">
      <c r="B773" s="135"/>
      <c r="C773" s="135"/>
      <c r="D773" s="135"/>
      <c r="F773" s="73"/>
      <c r="G773" s="135"/>
      <c r="H773" s="135"/>
      <c r="I773" s="135"/>
    </row>
    <row r="774" spans="2:9" x14ac:dyDescent="0.35">
      <c r="B774" s="135"/>
      <c r="C774" s="135"/>
      <c r="D774" s="135"/>
      <c r="F774" s="73"/>
      <c r="G774" s="135"/>
      <c r="H774" s="135"/>
      <c r="I774" s="135"/>
    </row>
    <row r="775" spans="2:9" x14ac:dyDescent="0.35">
      <c r="B775" s="135"/>
      <c r="C775" s="135"/>
      <c r="D775" s="135"/>
      <c r="F775" s="73"/>
      <c r="G775" s="135"/>
      <c r="H775" s="135"/>
      <c r="I775" s="135"/>
    </row>
    <row r="776" spans="2:9" x14ac:dyDescent="0.35">
      <c r="B776" s="135"/>
      <c r="C776" s="135"/>
      <c r="D776" s="135"/>
      <c r="F776" s="73"/>
      <c r="G776" s="135"/>
      <c r="H776" s="135"/>
      <c r="I776" s="135"/>
    </row>
    <row r="777" spans="2:9" x14ac:dyDescent="0.35">
      <c r="B777" s="135"/>
      <c r="C777" s="135"/>
      <c r="D777" s="135"/>
      <c r="F777" s="73"/>
      <c r="G777" s="135"/>
      <c r="H777" s="135"/>
      <c r="I777" s="135"/>
    </row>
    <row r="778" spans="2:9" x14ac:dyDescent="0.35">
      <c r="B778" s="135"/>
      <c r="C778" s="135"/>
      <c r="D778" s="135"/>
      <c r="F778" s="73"/>
      <c r="G778" s="135"/>
      <c r="H778" s="135"/>
      <c r="I778" s="135"/>
    </row>
    <row r="779" spans="2:9" x14ac:dyDescent="0.35">
      <c r="B779" s="135"/>
      <c r="C779" s="135"/>
      <c r="D779" s="135"/>
      <c r="F779" s="73"/>
      <c r="G779" s="135"/>
      <c r="H779" s="135"/>
      <c r="I779" s="135"/>
    </row>
    <row r="780" spans="2:9" x14ac:dyDescent="0.35">
      <c r="B780" s="135"/>
      <c r="C780" s="135"/>
      <c r="D780" s="135"/>
      <c r="F780" s="73"/>
      <c r="G780" s="135"/>
      <c r="H780" s="135"/>
      <c r="I780" s="135"/>
    </row>
    <row r="781" spans="2:9" x14ac:dyDescent="0.35">
      <c r="B781" s="135"/>
      <c r="C781" s="135"/>
      <c r="D781" s="135"/>
      <c r="F781" s="73"/>
      <c r="G781" s="135"/>
      <c r="H781" s="135"/>
      <c r="I781" s="135"/>
    </row>
    <row r="782" spans="2:9" x14ac:dyDescent="0.35">
      <c r="B782" s="135"/>
      <c r="C782" s="135"/>
      <c r="D782" s="135"/>
      <c r="F782" s="73"/>
      <c r="G782" s="135"/>
      <c r="H782" s="135"/>
      <c r="I782" s="135"/>
    </row>
    <row r="783" spans="2:9" x14ac:dyDescent="0.35">
      <c r="B783" s="135"/>
      <c r="C783" s="135"/>
      <c r="D783" s="135"/>
      <c r="F783" s="73"/>
      <c r="G783" s="135"/>
      <c r="H783" s="135"/>
      <c r="I783" s="135"/>
    </row>
    <row r="784" spans="2:9" x14ac:dyDescent="0.35">
      <c r="B784" s="135"/>
      <c r="C784" s="135"/>
      <c r="D784" s="135"/>
      <c r="F784" s="73"/>
      <c r="G784" s="135"/>
      <c r="H784" s="135"/>
      <c r="I784" s="135"/>
    </row>
    <row r="785" spans="2:9" x14ac:dyDescent="0.35">
      <c r="B785" s="135"/>
      <c r="C785" s="135"/>
      <c r="D785" s="135"/>
      <c r="F785" s="73"/>
      <c r="G785" s="135"/>
      <c r="H785" s="135"/>
      <c r="I785" s="135"/>
    </row>
    <row r="786" spans="2:9" x14ac:dyDescent="0.35">
      <c r="B786" s="135"/>
      <c r="C786" s="135"/>
      <c r="D786" s="135"/>
      <c r="F786" s="73"/>
      <c r="G786" s="135"/>
      <c r="H786" s="135"/>
      <c r="I786" s="135"/>
    </row>
    <row r="787" spans="2:9" x14ac:dyDescent="0.35">
      <c r="B787" s="135"/>
      <c r="C787" s="135"/>
      <c r="D787" s="135"/>
      <c r="F787" s="73"/>
      <c r="G787" s="135"/>
      <c r="H787" s="135"/>
      <c r="I787" s="135"/>
    </row>
    <row r="788" spans="2:9" x14ac:dyDescent="0.35">
      <c r="B788" s="135"/>
      <c r="C788" s="135"/>
      <c r="D788" s="135"/>
      <c r="F788" s="73"/>
      <c r="G788" s="135"/>
      <c r="H788" s="135"/>
      <c r="I788" s="135"/>
    </row>
    <row r="789" spans="2:9" x14ac:dyDescent="0.35">
      <c r="B789" s="135"/>
      <c r="C789" s="135"/>
      <c r="D789" s="135"/>
      <c r="F789" s="73"/>
      <c r="G789" s="135"/>
      <c r="H789" s="135"/>
      <c r="I789" s="135"/>
    </row>
    <row r="790" spans="2:9" x14ac:dyDescent="0.35">
      <c r="B790" s="135"/>
      <c r="C790" s="135"/>
      <c r="D790" s="135"/>
      <c r="F790" s="73"/>
      <c r="G790" s="135"/>
      <c r="H790" s="135"/>
      <c r="I790" s="135"/>
    </row>
    <row r="791" spans="2:9" x14ac:dyDescent="0.35">
      <c r="B791" s="135"/>
      <c r="C791" s="135"/>
      <c r="D791" s="135"/>
      <c r="F791" s="73"/>
      <c r="G791" s="135"/>
      <c r="H791" s="135"/>
      <c r="I791" s="135"/>
    </row>
    <row r="792" spans="2:9" x14ac:dyDescent="0.35">
      <c r="B792" s="135"/>
      <c r="C792" s="135"/>
      <c r="D792" s="135"/>
      <c r="F792" s="73"/>
      <c r="G792" s="135"/>
      <c r="H792" s="135"/>
      <c r="I792" s="135"/>
    </row>
    <row r="793" spans="2:9" x14ac:dyDescent="0.35">
      <c r="B793" s="135"/>
      <c r="C793" s="135"/>
      <c r="D793" s="135"/>
      <c r="F793" s="73"/>
      <c r="G793" s="135"/>
      <c r="H793" s="135"/>
      <c r="I793" s="135"/>
    </row>
    <row r="794" spans="2:9" x14ac:dyDescent="0.35">
      <c r="B794" s="135"/>
      <c r="C794" s="135"/>
      <c r="D794" s="135"/>
      <c r="F794" s="73"/>
      <c r="G794" s="135"/>
      <c r="H794" s="135"/>
      <c r="I794" s="135"/>
    </row>
    <row r="795" spans="2:9" x14ac:dyDescent="0.35">
      <c r="B795" s="135"/>
      <c r="C795" s="135"/>
      <c r="D795" s="135"/>
      <c r="F795" s="73"/>
      <c r="G795" s="135"/>
      <c r="H795" s="135"/>
      <c r="I795" s="135"/>
    </row>
    <row r="796" spans="2:9" x14ac:dyDescent="0.35">
      <c r="B796" s="135"/>
      <c r="C796" s="135"/>
      <c r="D796" s="135"/>
      <c r="F796" s="73"/>
      <c r="G796" s="135"/>
      <c r="H796" s="135"/>
      <c r="I796" s="135"/>
    </row>
    <row r="797" spans="2:9" x14ac:dyDescent="0.35">
      <c r="B797" s="135"/>
      <c r="C797" s="135"/>
      <c r="D797" s="135"/>
      <c r="F797" s="73"/>
      <c r="G797" s="135"/>
      <c r="H797" s="135"/>
      <c r="I797" s="135"/>
    </row>
    <row r="798" spans="2:9" x14ac:dyDescent="0.35">
      <c r="B798" s="135"/>
      <c r="C798" s="135"/>
      <c r="D798" s="135"/>
      <c r="F798" s="73"/>
      <c r="G798" s="135"/>
      <c r="H798" s="135"/>
      <c r="I798" s="135"/>
    </row>
    <row r="799" spans="2:9" x14ac:dyDescent="0.35">
      <c r="B799" s="135"/>
      <c r="C799" s="135"/>
      <c r="D799" s="135"/>
      <c r="F799" s="73"/>
      <c r="G799" s="135"/>
      <c r="H799" s="135"/>
      <c r="I799" s="135"/>
    </row>
    <row r="800" spans="2:9" x14ac:dyDescent="0.35">
      <c r="B800" s="135"/>
      <c r="C800" s="135"/>
      <c r="D800" s="135"/>
      <c r="F800" s="73"/>
      <c r="G800" s="135"/>
      <c r="H800" s="135"/>
      <c r="I800" s="135"/>
    </row>
    <row r="801" spans="2:9" x14ac:dyDescent="0.35">
      <c r="B801" s="135"/>
      <c r="C801" s="135"/>
      <c r="D801" s="135"/>
      <c r="F801" s="73"/>
      <c r="G801" s="135"/>
      <c r="H801" s="135"/>
      <c r="I801" s="135"/>
    </row>
    <row r="802" spans="2:9" x14ac:dyDescent="0.35">
      <c r="B802" s="135"/>
      <c r="C802" s="135"/>
      <c r="D802" s="135"/>
      <c r="F802" s="73"/>
      <c r="G802" s="135"/>
      <c r="H802" s="135"/>
      <c r="I802" s="135"/>
    </row>
    <row r="803" spans="2:9" x14ac:dyDescent="0.35">
      <c r="B803" s="135"/>
      <c r="C803" s="135"/>
      <c r="D803" s="135"/>
      <c r="F803" s="73"/>
      <c r="G803" s="135"/>
      <c r="H803" s="135"/>
      <c r="I803" s="135"/>
    </row>
    <row r="804" spans="2:9" x14ac:dyDescent="0.35">
      <c r="B804" s="135"/>
      <c r="C804" s="135"/>
      <c r="D804" s="135"/>
      <c r="F804" s="73"/>
      <c r="G804" s="135"/>
      <c r="H804" s="135"/>
      <c r="I804" s="135"/>
    </row>
    <row r="805" spans="2:9" x14ac:dyDescent="0.35">
      <c r="B805" s="135"/>
      <c r="C805" s="135"/>
      <c r="D805" s="135"/>
      <c r="F805" s="73"/>
      <c r="G805" s="135"/>
      <c r="H805" s="135"/>
      <c r="I805" s="135"/>
    </row>
    <row r="806" spans="2:9" x14ac:dyDescent="0.35">
      <c r="B806" s="135"/>
      <c r="C806" s="135"/>
      <c r="D806" s="135"/>
      <c r="F806" s="73"/>
      <c r="G806" s="135"/>
      <c r="H806" s="135"/>
      <c r="I806" s="135"/>
    </row>
    <row r="807" spans="2:9" x14ac:dyDescent="0.35">
      <c r="B807" s="135"/>
      <c r="C807" s="135"/>
      <c r="D807" s="135"/>
      <c r="F807" s="73"/>
      <c r="G807" s="135"/>
      <c r="H807" s="135"/>
      <c r="I807" s="135"/>
    </row>
    <row r="808" spans="2:9" x14ac:dyDescent="0.35">
      <c r="B808" s="135"/>
      <c r="C808" s="135"/>
      <c r="D808" s="135"/>
      <c r="F808" s="73"/>
      <c r="G808" s="135"/>
      <c r="H808" s="135"/>
      <c r="I808" s="135"/>
    </row>
    <row r="809" spans="2:9" x14ac:dyDescent="0.35">
      <c r="B809" s="135"/>
      <c r="C809" s="135"/>
      <c r="D809" s="135"/>
      <c r="F809" s="73"/>
      <c r="G809" s="135"/>
      <c r="H809" s="135"/>
      <c r="I809" s="135"/>
    </row>
    <row r="810" spans="2:9" x14ac:dyDescent="0.35">
      <c r="B810" s="135"/>
      <c r="C810" s="135"/>
      <c r="D810" s="135"/>
      <c r="F810" s="73"/>
      <c r="G810" s="135"/>
      <c r="H810" s="135"/>
      <c r="I810" s="135"/>
    </row>
    <row r="811" spans="2:9" x14ac:dyDescent="0.35">
      <c r="B811" s="135"/>
      <c r="C811" s="135"/>
      <c r="D811" s="135"/>
      <c r="F811" s="73"/>
      <c r="G811" s="135"/>
      <c r="H811" s="135"/>
      <c r="I811" s="135"/>
    </row>
    <row r="812" spans="2:9" x14ac:dyDescent="0.35">
      <c r="B812" s="135"/>
      <c r="C812" s="135"/>
      <c r="D812" s="135"/>
      <c r="F812" s="73"/>
      <c r="G812" s="135"/>
      <c r="H812" s="135"/>
      <c r="I812" s="135"/>
    </row>
    <row r="813" spans="2:9" x14ac:dyDescent="0.35">
      <c r="B813" s="135"/>
      <c r="C813" s="135"/>
      <c r="D813" s="135"/>
      <c r="F813" s="73"/>
      <c r="G813" s="135"/>
      <c r="H813" s="135"/>
      <c r="I813" s="135"/>
    </row>
    <row r="814" spans="2:9" x14ac:dyDescent="0.35">
      <c r="B814" s="135"/>
      <c r="C814" s="135"/>
      <c r="D814" s="135"/>
      <c r="F814" s="73"/>
      <c r="G814" s="135"/>
      <c r="H814" s="135"/>
      <c r="I814" s="135"/>
    </row>
    <row r="815" spans="2:9" x14ac:dyDescent="0.35">
      <c r="B815" s="135"/>
      <c r="C815" s="135"/>
      <c r="D815" s="135"/>
      <c r="F815" s="73"/>
      <c r="G815" s="135"/>
      <c r="H815" s="135"/>
      <c r="I815" s="135"/>
    </row>
    <row r="816" spans="2:9" x14ac:dyDescent="0.35">
      <c r="B816" s="135"/>
      <c r="C816" s="135"/>
      <c r="D816" s="135"/>
      <c r="F816" s="73"/>
      <c r="G816" s="135"/>
      <c r="H816" s="135"/>
      <c r="I816" s="135"/>
    </row>
    <row r="817" spans="2:9" x14ac:dyDescent="0.35">
      <c r="B817" s="135"/>
      <c r="C817" s="135"/>
      <c r="D817" s="135"/>
      <c r="F817" s="73"/>
      <c r="G817" s="135"/>
      <c r="H817" s="135"/>
      <c r="I817" s="135"/>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R140" sqref="R140"/>
    </sheetView>
  </sheetViews>
  <sheetFormatPr baseColWidth="10" defaultColWidth="11.453125" defaultRowHeight="14.5" x14ac:dyDescent="0.35"/>
  <cols>
    <col min="1" max="1" width="3.7265625" style="95"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95" customWidth="1"/>
    <col min="11" max="11" width="11.453125" style="123"/>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95" customWidth="1"/>
    <col min="18" max="18" width="8.1796875" style="95" customWidth="1"/>
    <col min="19" max="19" width="3.7265625" style="95" customWidth="1"/>
    <col min="20" max="20" width="9.453125" style="12" bestFit="1" customWidth="1"/>
    <col min="21" max="21" width="3.7265625" style="95" customWidth="1"/>
    <col min="22" max="22" width="5.453125" style="12" customWidth="1"/>
    <col min="23" max="23" width="26.7265625" style="12" customWidth="1"/>
    <col min="24" max="24" width="3.7265625" style="95" customWidth="1"/>
    <col min="25" max="25" width="7.1796875" style="12" customWidth="1"/>
    <col min="26" max="26" width="19.81640625" style="12" bestFit="1" customWidth="1"/>
    <col min="27" max="27" width="3.7265625" style="95" customWidth="1"/>
    <col min="28" max="28" width="13.453125" style="12" bestFit="1" customWidth="1"/>
    <col min="29" max="29" width="83.54296875" style="12" bestFit="1" customWidth="1"/>
    <col min="30" max="31" width="4.453125" style="95" customWidth="1"/>
    <col min="32" max="32" width="6.453125" style="12" bestFit="1" customWidth="1"/>
    <col min="33" max="44" width="9.26953125" style="12" bestFit="1" customWidth="1"/>
    <col min="45" max="45" width="4.453125" style="95"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71" t="s">
        <v>40</v>
      </c>
      <c r="M1" s="271"/>
      <c r="N1" s="271"/>
      <c r="O1" s="271"/>
      <c r="P1" s="271"/>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01" t="str">
        <f>Modèle!B4</f>
        <v>Images</v>
      </c>
      <c r="C2" s="107" t="str">
        <f>Modèle!D4</f>
        <v>1.1.1</v>
      </c>
      <c r="D2" s="108" t="str">
        <f>Modèle!E4</f>
        <v>A</v>
      </c>
      <c r="E2" s="236">
        <f ca="1">COUNTIF(OFFSET(Synthèse!$G11,0,0,1,COUNTA(Synthèse!$10:$10)-6),"="&amp;$E$1)</f>
        <v>0</v>
      </c>
      <c r="F2" s="236">
        <f ca="1">COUNTIF(OFFSET(Synthèse!$G11,0,0,1,COUNTA(Synthèse!$10:$10)-6),"="&amp;$F$1)</f>
        <v>0</v>
      </c>
      <c r="G2" s="236">
        <f ca="1">COUNTIF(OFFSET(Synthèse!$G11,0,0,1,COUNTA(Synthèse!$10:$10)-6),"="&amp;$G$1)</f>
        <v>0</v>
      </c>
      <c r="H2" s="236">
        <f ca="1">COUNTIF(OFFSET(Synthèse!$G11,0,0,1,COUNTA(Synthèse!$10:$10)-6),"="&amp;$H$1)</f>
        <v>0</v>
      </c>
      <c r="I2" s="18">
        <f ca="1">SUM(E2:H2)</f>
        <v>0</v>
      </c>
      <c r="L2" s="250" t="s">
        <v>46</v>
      </c>
      <c r="M2" s="25" t="s">
        <v>11</v>
      </c>
      <c r="N2" s="25" t="s">
        <v>12</v>
      </c>
      <c r="O2" s="25" t="s">
        <v>43</v>
      </c>
      <c r="P2" s="25" t="s">
        <v>37</v>
      </c>
      <c r="Q2" s="12"/>
      <c r="R2" s="12"/>
      <c r="T2" s="23" t="s">
        <v>832</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35">
      <c r="B3" s="101" t="str">
        <f>Modèle!B5</f>
        <v>Images</v>
      </c>
      <c r="C3" s="107" t="str">
        <f>Modèle!D5</f>
        <v>1.1.2</v>
      </c>
      <c r="D3" s="108" t="str">
        <f>Modèle!E5</f>
        <v>A</v>
      </c>
      <c r="E3" s="236">
        <f ca="1">COUNTIF(OFFSET(Synthèse!$G12,0,0,1,COUNTA(Synthèse!$10:$10)-6),"="&amp;$E$1)</f>
        <v>0</v>
      </c>
      <c r="F3" s="236">
        <f ca="1">COUNTIF(OFFSET(Synthèse!$G12,0,0,1,COUNTA(Synthèse!$10:$10)-6),"="&amp;$F$1)</f>
        <v>0</v>
      </c>
      <c r="G3" s="236">
        <f ca="1">COUNTIF(OFFSET(Synthèse!$G12,0,0,1,COUNTA(Synthèse!$10:$10)-6),"="&amp;$G$1)</f>
        <v>0</v>
      </c>
      <c r="H3" s="236">
        <f ca="1">COUNTIF(OFFSET(Synthèse!$G12,0,0,1,COUNTA(Synthèse!$10:$10)-6),"="&amp;$H$1)</f>
        <v>0</v>
      </c>
      <c r="I3" s="18">
        <f t="shared" ref="I3:I66" ca="1" si="1">SUM(E3:H3)</f>
        <v>0</v>
      </c>
      <c r="J3" s="96"/>
      <c r="L3" s="233" t="s">
        <v>5</v>
      </c>
      <c r="M3" s="234">
        <f ca="1">SUMIF($D$2:$D$59,"&lt;&gt;AAA",E$2:E$59)</f>
        <v>0</v>
      </c>
      <c r="N3" s="234">
        <f ca="1">SUMIF($D$2:$D$59,"&lt;&gt;AAA",F$2:F$59)</f>
        <v>0</v>
      </c>
      <c r="O3" s="234">
        <f t="shared" ref="O3:P3" ca="1" si="2">SUMIF($D$2:$D$59,"&lt;&gt;AAA",G$2:G$59)</f>
        <v>0</v>
      </c>
      <c r="P3" s="234">
        <f t="shared" ca="1" si="2"/>
        <v>0</v>
      </c>
      <c r="Q3" s="12"/>
      <c r="R3" s="12"/>
      <c r="S3" s="96"/>
      <c r="T3" s="23" t="s">
        <v>833</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35">
      <c r="A4" s="97"/>
      <c r="B4" s="101" t="str">
        <f>Modèle!B6</f>
        <v>Images</v>
      </c>
      <c r="C4" s="107" t="str">
        <f>Modèle!D6</f>
        <v>1.1.3</v>
      </c>
      <c r="D4" s="108" t="str">
        <f>Modèle!E6</f>
        <v>A</v>
      </c>
      <c r="E4" s="236">
        <f ca="1">COUNTIF(OFFSET(Synthèse!$G13,0,0,1,COUNTA(Synthèse!$10:$10)-6),"="&amp;$E$1)</f>
        <v>0</v>
      </c>
      <c r="F4" s="236">
        <f ca="1">COUNTIF(OFFSET(Synthèse!$G13,0,0,1,COUNTA(Synthèse!$10:$10)-6),"="&amp;$F$1)</f>
        <v>0</v>
      </c>
      <c r="G4" s="236">
        <f ca="1">COUNTIF(OFFSET(Synthèse!$G13,0,0,1,COUNTA(Synthèse!$10:$10)-6),"="&amp;$G$1)</f>
        <v>0</v>
      </c>
      <c r="H4" s="236">
        <f ca="1">COUNTIF(OFFSET(Synthèse!$G13,0,0,1,COUNTA(Synthèse!$10:$10)-6),"="&amp;$H$1)</f>
        <v>0</v>
      </c>
      <c r="I4" s="18">
        <f t="shared" ca="1" si="1"/>
        <v>0</v>
      </c>
      <c r="J4" s="96"/>
      <c r="L4" s="233" t="s">
        <v>39</v>
      </c>
      <c r="M4" s="234">
        <f ca="1">SUMIF($D$60:$D$61,"&lt;&gt;AAA",E$60:E$61)</f>
        <v>0</v>
      </c>
      <c r="N4" s="234">
        <f ca="1">SUMIF($D$60:$D$61,"&lt;&gt;AAA",F$60:F$61)</f>
        <v>0</v>
      </c>
      <c r="O4" s="234">
        <f t="shared" ref="O4:P4" ca="1" si="3">SUMIF($D$60:$D$61,"&lt;&gt;AAA",G$60:G$61)</f>
        <v>0</v>
      </c>
      <c r="P4" s="234">
        <f t="shared" ca="1" si="3"/>
        <v>0</v>
      </c>
      <c r="Q4" s="12"/>
      <c r="R4" s="12"/>
      <c r="S4" s="96"/>
      <c r="T4" s="23" t="s">
        <v>834</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35">
      <c r="A5" s="97"/>
      <c r="B5" s="101" t="str">
        <f>Modèle!B7</f>
        <v>Images</v>
      </c>
      <c r="C5" s="107" t="str">
        <f>Modèle!D7</f>
        <v>1.1.4</v>
      </c>
      <c r="D5" s="108" t="str">
        <f>Modèle!E7</f>
        <v>A</v>
      </c>
      <c r="E5" s="236">
        <f ca="1">COUNTIF(OFFSET(Synthèse!$G14,0,0,1,COUNTA(Synthèse!$10:$10)-6),"="&amp;$E$1)</f>
        <v>0</v>
      </c>
      <c r="F5" s="236">
        <f ca="1">COUNTIF(OFFSET(Synthèse!$G14,0,0,1,COUNTA(Synthèse!$10:$10)-6),"="&amp;$F$1)</f>
        <v>0</v>
      </c>
      <c r="G5" s="236">
        <f ca="1">COUNTIF(OFFSET(Synthèse!$G14,0,0,1,COUNTA(Synthèse!$10:$10)-6),"="&amp;$G$1)</f>
        <v>0</v>
      </c>
      <c r="H5" s="236">
        <f ca="1">COUNTIF(OFFSET(Synthèse!$G14,0,0,1,COUNTA(Synthèse!$10:$10)-6),"="&amp;$H$1)</f>
        <v>0</v>
      </c>
      <c r="I5" s="18">
        <f t="shared" ca="1" si="1"/>
        <v>0</v>
      </c>
      <c r="L5" s="233" t="s">
        <v>3</v>
      </c>
      <c r="M5" s="234">
        <f ca="1">SUMIF($D$62:$D$76,"&lt;&gt;AAA",E$62:E$76)</f>
        <v>0</v>
      </c>
      <c r="N5" s="234">
        <f ca="1">SUMIF($D$62:$D$76,"&lt;&gt;AAA",F$62:F$76)</f>
        <v>0</v>
      </c>
      <c r="O5" s="234">
        <f t="shared" ref="O5:P5" ca="1" si="4">SUMIF($D$62:$D$76,"&lt;&gt;AAA",G$62:G$76)</f>
        <v>0</v>
      </c>
      <c r="P5" s="234">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35">
      <c r="A6" s="97"/>
      <c r="B6" s="101" t="str">
        <f>Modèle!B8</f>
        <v>Images</v>
      </c>
      <c r="C6" s="107" t="str">
        <f>Modèle!D8</f>
        <v>1.1.5</v>
      </c>
      <c r="D6" s="108" t="str">
        <f>Modèle!E8</f>
        <v>A</v>
      </c>
      <c r="E6" s="236">
        <f ca="1">COUNTIF(OFFSET(Synthèse!$G15,0,0,1,COUNTA(Synthèse!$10:$10)-6),"="&amp;$E$1)</f>
        <v>0</v>
      </c>
      <c r="F6" s="236">
        <f ca="1">COUNTIF(OFFSET(Synthèse!$G15,0,0,1,COUNTA(Synthèse!$10:$10)-6),"="&amp;$F$1)</f>
        <v>0</v>
      </c>
      <c r="G6" s="236">
        <f ca="1">COUNTIF(OFFSET(Synthèse!$G15,0,0,1,COUNTA(Synthèse!$10:$10)-6),"="&amp;$G$1)</f>
        <v>0</v>
      </c>
      <c r="H6" s="236">
        <f ca="1">COUNTIF(OFFSET(Synthèse!$G15,0,0,1,COUNTA(Synthèse!$10:$10)-6),"="&amp;$H$1)</f>
        <v>0</v>
      </c>
      <c r="I6" s="18">
        <f t="shared" ca="1" si="1"/>
        <v>0</v>
      </c>
      <c r="L6" s="233" t="s">
        <v>6</v>
      </c>
      <c r="M6" s="234">
        <f ca="1">SUMIF($D$77:$D$101,"&lt;&gt;AAA",E$77:E$101)</f>
        <v>0</v>
      </c>
      <c r="N6" s="234">
        <f ca="1">SUMIF($D$77:$D$101,"&lt;&gt;AAA",F$77:F$101)</f>
        <v>0</v>
      </c>
      <c r="O6" s="234">
        <f ca="1">SUMIF($D$77:$D$101,"&lt;&gt;AAA",G$77:G$101)</f>
        <v>0</v>
      </c>
      <c r="P6" s="234">
        <f ca="1">SUMIF($D$77:$D$101,"&lt;&gt;AAA",H$77:H$101)</f>
        <v>0</v>
      </c>
      <c r="Q6" s="12"/>
      <c r="R6" s="12"/>
      <c r="X6" s="96"/>
      <c r="AB6" s="30" t="s">
        <v>769</v>
      </c>
      <c r="AC6" s="30" t="s">
        <v>770</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35">
      <c r="B7" s="101" t="str">
        <f>Modèle!B9</f>
        <v>Images</v>
      </c>
      <c r="C7" s="107" t="str">
        <f>Modèle!D9</f>
        <v>1.1.6</v>
      </c>
      <c r="D7" s="108" t="str">
        <f>Modèle!E9</f>
        <v>A</v>
      </c>
      <c r="E7" s="236">
        <f ca="1">COUNTIF(OFFSET(Synthèse!$G16,0,0,1,COUNTA(Synthèse!$10:$10)-6),"="&amp;$E$1)</f>
        <v>0</v>
      </c>
      <c r="F7" s="236">
        <f ca="1">COUNTIF(OFFSET(Synthèse!$G16,0,0,1,COUNTA(Synthèse!$10:$10)-6),"="&amp;$F$1)</f>
        <v>0</v>
      </c>
      <c r="G7" s="236">
        <f ca="1">COUNTIF(OFFSET(Synthèse!$G16,0,0,1,COUNTA(Synthèse!$10:$10)-6),"="&amp;$G$1)</f>
        <v>0</v>
      </c>
      <c r="H7" s="236">
        <f ca="1">COUNTIF(OFFSET(Synthèse!$G16,0,0,1,COUNTA(Synthèse!$10:$10)-6),"="&amp;$H$1)</f>
        <v>0</v>
      </c>
      <c r="I7" s="18">
        <f t="shared" ca="1" si="1"/>
        <v>0</v>
      </c>
      <c r="L7" s="233" t="s">
        <v>9</v>
      </c>
      <c r="M7" s="234">
        <f ca="1">SUMIF($D$102:$D$115,"&lt;&gt;AAA",E$102:E$115)</f>
        <v>0</v>
      </c>
      <c r="N7" s="234">
        <f ca="1">SUMIF($D$102:$D$115,"&lt;&gt;AAA",F$102:F$115)</f>
        <v>0</v>
      </c>
      <c r="O7" s="234">
        <f ca="1">SUMIF($D$102:$D$115,"&lt;&gt;AAA",G$102:G$115)</f>
        <v>0</v>
      </c>
      <c r="P7" s="234">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35">
      <c r="B8" s="101" t="str">
        <f>Modèle!B10</f>
        <v>Images</v>
      </c>
      <c r="C8" s="107" t="str">
        <f>Modèle!D10</f>
        <v>1.1.7</v>
      </c>
      <c r="D8" s="108" t="str">
        <f>Modèle!E10</f>
        <v>A</v>
      </c>
      <c r="E8" s="236">
        <f ca="1">COUNTIF(OFFSET(Synthèse!$G17,0,0,1,COUNTA(Synthèse!$10:$10)-6),"="&amp;$E$1)</f>
        <v>0</v>
      </c>
      <c r="F8" s="236">
        <f ca="1">COUNTIF(OFFSET(Synthèse!$G17,0,0,1,COUNTA(Synthèse!$10:$10)-6),"="&amp;$F$1)</f>
        <v>0</v>
      </c>
      <c r="G8" s="236">
        <f ca="1">COUNTIF(OFFSET(Synthèse!$G17,0,0,1,COUNTA(Synthèse!$10:$10)-6),"="&amp;$G$1)</f>
        <v>0</v>
      </c>
      <c r="H8" s="236">
        <f ca="1">COUNTIF(OFFSET(Synthèse!$G17,0,0,1,COUNTA(Synthèse!$10:$10)-6),"="&amp;$H$1)</f>
        <v>0</v>
      </c>
      <c r="I8" s="18">
        <f t="shared" ca="1" si="1"/>
        <v>0</v>
      </c>
      <c r="L8" s="233" t="s">
        <v>398</v>
      </c>
      <c r="M8" s="234">
        <f ca="1">SUMIF($D$116:$D$121,"&lt;&gt;AAA",E$116:E$121)</f>
        <v>0</v>
      </c>
      <c r="N8" s="234">
        <f ca="1">SUMIF($D$116:$D$121,"&lt;&gt;AAA",F$116:F$121)</f>
        <v>0</v>
      </c>
      <c r="O8" s="234">
        <f t="shared" ref="O8:P8" ca="1" si="6">SUMIF($D$116:$D$121,"&lt;&gt;AAA",G$116:G$121)</f>
        <v>0</v>
      </c>
      <c r="P8" s="234">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35">
      <c r="B9" s="101" t="str">
        <f>Modèle!B11</f>
        <v>Images</v>
      </c>
      <c r="C9" s="107" t="str">
        <f>Modèle!D11</f>
        <v>1.1.8</v>
      </c>
      <c r="D9" s="108" t="str">
        <f>Modèle!E11</f>
        <v>A</v>
      </c>
      <c r="E9" s="236">
        <f ca="1">COUNTIF(OFFSET(Synthèse!$G18,0,0,1,COUNTA(Synthèse!$10:$10)-6),"="&amp;$E$1)</f>
        <v>0</v>
      </c>
      <c r="F9" s="236">
        <f ca="1">COUNTIF(OFFSET(Synthèse!$G18,0,0,1,COUNTA(Synthèse!$10:$10)-6),"="&amp;$F$1)</f>
        <v>0</v>
      </c>
      <c r="G9" s="236">
        <f ca="1">COUNTIF(OFFSET(Synthèse!$G18,0,0,1,COUNTA(Synthèse!$10:$10)-6),"="&amp;$G$1)</f>
        <v>0</v>
      </c>
      <c r="H9" s="236">
        <f ca="1">COUNTIF(OFFSET(Synthèse!$G18,0,0,1,COUNTA(Synthèse!$10:$10)-6),"="&amp;$H$1)</f>
        <v>0</v>
      </c>
      <c r="I9" s="18">
        <f t="shared" ca="1" si="1"/>
        <v>0</v>
      </c>
      <c r="L9" s="233" t="s">
        <v>8</v>
      </c>
      <c r="M9" s="234">
        <f ca="1">SUMIF($D$122:$D$132,"&lt;&gt;AAA",E$122:E$132)</f>
        <v>0</v>
      </c>
      <c r="N9" s="234">
        <f ca="1">SUMIF($D$122:$D$132,"&lt;&gt;AAA",F$122:F$132)</f>
        <v>0</v>
      </c>
      <c r="O9" s="234">
        <f t="shared" ref="O9:P9" ca="1" si="7">SUMIF($D$122:$D$132,"&lt;&gt;AAA",G$122:G$132)</f>
        <v>0</v>
      </c>
      <c r="P9" s="234">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29" x14ac:dyDescent="0.35">
      <c r="B10" s="102" t="str">
        <f>Modèle!B12</f>
        <v>Images</v>
      </c>
      <c r="C10" s="109" t="str">
        <f>Modèle!D12</f>
        <v>1.2.1</v>
      </c>
      <c r="D10" s="110" t="str">
        <f>Modèle!E12</f>
        <v>A</v>
      </c>
      <c r="E10" s="237">
        <f ca="1">COUNTIF(OFFSET(Synthèse!$G19,0,0,1,COUNTA(Synthèse!$10:$10)-6),"="&amp;$E$1)</f>
        <v>0</v>
      </c>
      <c r="F10" s="237">
        <f ca="1">COUNTIF(OFFSET(Synthèse!$G19,0,0,1,COUNTA(Synthèse!$10:$10)-6),"="&amp;$F$1)</f>
        <v>0</v>
      </c>
      <c r="G10" s="237">
        <f ca="1">COUNTIF(OFFSET(Synthèse!$G19,0,0,1,COUNTA(Synthèse!$10:$10)-6),"="&amp;$G$1)</f>
        <v>0</v>
      </c>
      <c r="H10" s="237">
        <f ca="1">COUNTIF(OFFSET(Synthèse!$G19,0,0,1,COUNTA(Synthèse!$10:$10)-6),"="&amp;$H$1)</f>
        <v>0</v>
      </c>
      <c r="I10" s="18">
        <f t="shared" ca="1" si="1"/>
        <v>0</v>
      </c>
      <c r="L10" s="235" t="s">
        <v>621</v>
      </c>
      <c r="M10" s="234">
        <f ca="1">SUMIF($D$133:$D$145,"&lt;&gt;AAA",E$133:E$145)</f>
        <v>0</v>
      </c>
      <c r="N10" s="234">
        <f ca="1">SUMIF($D$133:$D$145,"&lt;&gt;AAA",F$133:F$145)</f>
        <v>0</v>
      </c>
      <c r="O10" s="234">
        <f t="shared" ref="O10:P10" ca="1" si="8">SUMIF($D$133:$D$145,"&lt;&gt;AAA",G$133:G$145)</f>
        <v>0</v>
      </c>
      <c r="P10" s="234">
        <f t="shared" ca="1" si="8"/>
        <v>0</v>
      </c>
      <c r="Q10" s="12"/>
      <c r="R10" s="12"/>
      <c r="T10" s="148" t="s">
        <v>646</v>
      </c>
      <c r="AB10" s="36" t="s">
        <v>772</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29" x14ac:dyDescent="0.35">
      <c r="A11" s="97"/>
      <c r="B11" s="102" t="str">
        <f>Modèle!B13</f>
        <v>Images</v>
      </c>
      <c r="C11" s="109" t="str">
        <f>Modèle!D13</f>
        <v>1.2.2</v>
      </c>
      <c r="D11" s="110" t="str">
        <f>Modèle!E13</f>
        <v>A</v>
      </c>
      <c r="E11" s="237">
        <f ca="1">COUNTIF(OFFSET(Synthèse!$G20,0,0,1,COUNTA(Synthèse!$10:$10)-6),"="&amp;$E$1)</f>
        <v>0</v>
      </c>
      <c r="F11" s="237">
        <f ca="1">COUNTIF(OFFSET(Synthèse!$G20,0,0,1,COUNTA(Synthèse!$10:$10)-6),"="&amp;$F$1)</f>
        <v>0</v>
      </c>
      <c r="G11" s="237">
        <f ca="1">COUNTIF(OFFSET(Synthèse!$G20,0,0,1,COUNTA(Synthèse!$10:$10)-6),"="&amp;$G$1)</f>
        <v>0</v>
      </c>
      <c r="H11" s="237">
        <f ca="1">COUNTIF(OFFSET(Synthèse!$G20,0,0,1,COUNTA(Synthèse!$10:$10)-6),"="&amp;$H$1)</f>
        <v>0</v>
      </c>
      <c r="I11" s="18">
        <f t="shared" ca="1" si="1"/>
        <v>0</v>
      </c>
      <c r="L11" s="235" t="s">
        <v>448</v>
      </c>
      <c r="M11" s="234">
        <f ca="1">SUMIF($D$146:$D$154,"&lt;&gt;AAA",E$146:E$154)</f>
        <v>0</v>
      </c>
      <c r="N11" s="234">
        <f ca="1">SUMIF($D$146:$D$154,"&lt;&gt;AAA",F$146:F$154)</f>
        <v>0</v>
      </c>
      <c r="O11" s="234">
        <f t="shared" ref="O11:P11" ca="1" si="10">SUMIF($D$146:$D$154,"&lt;&gt;AAA",G$146:G$154)</f>
        <v>0</v>
      </c>
      <c r="P11" s="234">
        <f t="shared" ca="1" si="10"/>
        <v>0</v>
      </c>
      <c r="Q11" s="12"/>
      <c r="R11" s="12"/>
      <c r="T11" s="149" t="s">
        <v>837</v>
      </c>
      <c r="AB11" s="30" t="s">
        <v>773</v>
      </c>
      <c r="AC11" s="30" t="s">
        <v>777</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29" x14ac:dyDescent="0.35">
      <c r="A12" s="97"/>
      <c r="B12" s="102" t="str">
        <f>Modèle!B14</f>
        <v>Images</v>
      </c>
      <c r="C12" s="109" t="str">
        <f>Modèle!D14</f>
        <v>1.2.3</v>
      </c>
      <c r="D12" s="110" t="str">
        <f>Modèle!E14</f>
        <v>A</v>
      </c>
      <c r="E12" s="237">
        <f ca="1">COUNTIF(OFFSET(Synthèse!$G21,0,0,1,COUNTA(Synthèse!$10:$10)-6),"="&amp;$E$1)</f>
        <v>0</v>
      </c>
      <c r="F12" s="237">
        <f ca="1">COUNTIF(OFFSET(Synthèse!$G21,0,0,1,COUNTA(Synthèse!$10:$10)-6),"="&amp;$F$1)</f>
        <v>0</v>
      </c>
      <c r="G12" s="237">
        <f ca="1">COUNTIF(OFFSET(Synthèse!$G21,0,0,1,COUNTA(Synthèse!$10:$10)-6),"="&amp;$G$1)</f>
        <v>0</v>
      </c>
      <c r="H12" s="237">
        <f ca="1">COUNTIF(OFFSET(Synthèse!$G21,0,0,1,COUNTA(Synthèse!$10:$10)-6),"="&amp;$H$1)</f>
        <v>0</v>
      </c>
      <c r="I12" s="18">
        <f t="shared" ca="1" si="1"/>
        <v>0</v>
      </c>
      <c r="L12" s="235" t="s">
        <v>463</v>
      </c>
      <c r="M12" s="234">
        <f ca="1">SUMIF($D$155:$D$184,"&lt;&gt;AAA",E$155:E$184)</f>
        <v>0</v>
      </c>
      <c r="N12" s="234">
        <f ca="1">SUMIF($D$155:$D$184,"&lt;&gt;AAA",F$155:F$184)</f>
        <v>0</v>
      </c>
      <c r="O12" s="234">
        <f t="shared" ref="O12:P12" ca="1" si="12">SUMIF($D$155:$D$184,"&lt;&gt;AAA",G$155:G$184)</f>
        <v>0</v>
      </c>
      <c r="P12" s="234">
        <f t="shared" ca="1" si="12"/>
        <v>0</v>
      </c>
      <c r="Q12" s="12"/>
      <c r="R12" s="12"/>
      <c r="T12" s="149" t="s">
        <v>838</v>
      </c>
      <c r="AB12" s="30" t="s">
        <v>774</v>
      </c>
      <c r="AC12" s="30" t="s">
        <v>778</v>
      </c>
      <c r="AF12" s="44"/>
      <c r="AG12" s="51"/>
      <c r="AH12" s="51"/>
      <c r="AI12" s="51"/>
      <c r="AJ12" s="51"/>
      <c r="AK12" s="51"/>
      <c r="AL12" s="51"/>
      <c r="AM12" s="51"/>
      <c r="AN12" s="51"/>
      <c r="AO12" s="51"/>
      <c r="AP12" s="51"/>
      <c r="AQ12" s="51"/>
      <c r="AR12" s="51"/>
    </row>
    <row r="13" spans="1:44" x14ac:dyDescent="0.35">
      <c r="A13" s="97"/>
      <c r="B13" s="102" t="str">
        <f>Modèle!B15</f>
        <v>Images</v>
      </c>
      <c r="C13" s="109" t="str">
        <f>Modèle!D15</f>
        <v>1.2.4</v>
      </c>
      <c r="D13" s="110" t="str">
        <f>Modèle!E15</f>
        <v>A</v>
      </c>
      <c r="E13" s="237">
        <f ca="1">COUNTIF(OFFSET(Synthèse!$G22,0,0,1,COUNTA(Synthèse!$10:$10)-6),"="&amp;$E$1)</f>
        <v>0</v>
      </c>
      <c r="F13" s="237">
        <f ca="1">COUNTIF(OFFSET(Synthèse!$G22,0,0,1,COUNTA(Synthèse!$10:$10)-6),"="&amp;$F$1)</f>
        <v>0</v>
      </c>
      <c r="G13" s="237">
        <f ca="1">COUNTIF(OFFSET(Synthèse!$G22,0,0,1,COUNTA(Synthèse!$10:$10)-6),"="&amp;$G$1)</f>
        <v>0</v>
      </c>
      <c r="H13" s="237">
        <f ca="1">COUNTIF(OFFSET(Synthèse!$G22,0,0,1,COUNTA(Synthèse!$10:$10)-6),"="&amp;$H$1)</f>
        <v>0</v>
      </c>
      <c r="I13" s="18">
        <f t="shared" ca="1" si="1"/>
        <v>0</v>
      </c>
      <c r="L13" s="233" t="s">
        <v>4</v>
      </c>
      <c r="M13" s="234">
        <f ca="1">SUMIF($D$185:$D$218,"&lt;&gt;AAA",E$185:E$218)</f>
        <v>0</v>
      </c>
      <c r="N13" s="234">
        <f ca="1">SUMIF($D$185:$D$218,"&lt;&gt;AAA",F$185:F$218)</f>
        <v>0</v>
      </c>
      <c r="O13" s="234">
        <f t="shared" ref="O13:P13" ca="1" si="13">SUMIF($D$185:$D$218,"&lt;&gt;AAA",G$185:G$218)</f>
        <v>0</v>
      </c>
      <c r="P13" s="234">
        <f t="shared" ca="1" si="13"/>
        <v>0</v>
      </c>
      <c r="Q13" s="12"/>
      <c r="R13" s="12"/>
      <c r="T13" s="149" t="s">
        <v>839</v>
      </c>
      <c r="AB13" s="30" t="s">
        <v>775</v>
      </c>
      <c r="AC13" s="30" t="s">
        <v>830</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35">
      <c r="A14" s="97"/>
      <c r="B14" s="102" t="str">
        <f>Modèle!B16</f>
        <v>Images</v>
      </c>
      <c r="C14" s="109" t="str">
        <f>Modèle!D16</f>
        <v>1.2.5</v>
      </c>
      <c r="D14" s="110" t="str">
        <f>Modèle!E16</f>
        <v>A</v>
      </c>
      <c r="E14" s="237">
        <f ca="1">COUNTIF(OFFSET(Synthèse!$G23,0,0,1,COUNTA(Synthèse!$10:$10)-6),"="&amp;$E$1)</f>
        <v>0</v>
      </c>
      <c r="F14" s="237">
        <f ca="1">COUNTIF(OFFSET(Synthèse!$G23,0,0,1,COUNTA(Synthèse!$10:$10)-6),"="&amp;$F$1)</f>
        <v>0</v>
      </c>
      <c r="G14" s="237">
        <f ca="1">COUNTIF(OFFSET(Synthèse!$G23,0,0,1,COUNTA(Synthèse!$10:$10)-6),"="&amp;$G$1)</f>
        <v>0</v>
      </c>
      <c r="H14" s="237">
        <f ca="1">COUNTIF(OFFSET(Synthèse!$G23,0,0,1,COUNTA(Synthèse!$10:$10)-6),"="&amp;$H$1)</f>
        <v>0</v>
      </c>
      <c r="I14" s="18">
        <f t="shared" ca="1" si="1"/>
        <v>0</v>
      </c>
      <c r="L14" s="233" t="s">
        <v>7</v>
      </c>
      <c r="M14" s="234">
        <f ca="1">SUMIF($D$219:$D$237,"&lt;&gt;AAA",E$219:E$237)</f>
        <v>0</v>
      </c>
      <c r="N14" s="234">
        <f ca="1">SUMIF($D$219:$D$237,"&lt;&gt;AAA",F$219:F$237)</f>
        <v>0</v>
      </c>
      <c r="O14" s="234">
        <f t="shared" ref="O14:P14" ca="1" si="15">SUMIF($D$219:$D$237,"&lt;&gt;AAA",G$219:G$237)</f>
        <v>0</v>
      </c>
      <c r="P14" s="234">
        <f t="shared" ca="1" si="15"/>
        <v>0</v>
      </c>
      <c r="Q14" s="12"/>
      <c r="R14" s="12"/>
      <c r="T14" s="149" t="s">
        <v>840</v>
      </c>
      <c r="AB14" s="30" t="s">
        <v>776</v>
      </c>
      <c r="AC14" s="30" t="s">
        <v>831</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35">
      <c r="A15" s="97"/>
      <c r="B15" s="102" t="str">
        <f>Modèle!B17</f>
        <v>Images</v>
      </c>
      <c r="C15" s="109" t="str">
        <f>Modèle!D17</f>
        <v>1.2.6</v>
      </c>
      <c r="D15" s="110" t="str">
        <f>Modèle!E17</f>
        <v>A</v>
      </c>
      <c r="E15" s="237">
        <f ca="1">COUNTIF(OFFSET(Synthèse!$G24,0,0,1,COUNTA(Synthèse!$10:$10)-6),"="&amp;$E$1)</f>
        <v>0</v>
      </c>
      <c r="F15" s="237">
        <f ca="1">COUNTIF(OFFSET(Synthèse!$G24,0,0,1,COUNTA(Synthèse!$10:$10)-6),"="&amp;$F$1)</f>
        <v>0</v>
      </c>
      <c r="G15" s="237">
        <f ca="1">COUNTIF(OFFSET(Synthèse!$G24,0,0,1,COUNTA(Synthèse!$10:$10)-6),"="&amp;$G$1)</f>
        <v>0</v>
      </c>
      <c r="H15" s="237">
        <f ca="1">COUNTIF(OFFSET(Synthèse!$G24,0,0,1,COUNTA(Synthèse!$10:$10)-6),"="&amp;$H$1)</f>
        <v>0</v>
      </c>
      <c r="I15" s="18">
        <f t="shared" ca="1" si="1"/>
        <v>0</v>
      </c>
      <c r="L15" s="233" t="s">
        <v>584</v>
      </c>
      <c r="M15" s="234">
        <f ca="1">SUMIF($D$238:$D$258,"&lt;&gt;AAA",E$238:E$258)</f>
        <v>0</v>
      </c>
      <c r="N15" s="234">
        <f ca="1">SUMIF($D$238:$D$258,"&lt;&gt;AAA",F$238:F$258)</f>
        <v>0</v>
      </c>
      <c r="O15" s="234">
        <f t="shared" ref="O15:P15" ca="1" si="16">SUMIF($D$238:$D$258,"&lt;&gt;AAA",G$238:G$258)</f>
        <v>0</v>
      </c>
      <c r="P15" s="234">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35">
      <c r="A16" s="97"/>
      <c r="B16" s="101" t="str">
        <f>Modèle!B18</f>
        <v>Images</v>
      </c>
      <c r="C16" s="107" t="str">
        <f>Modèle!D18</f>
        <v>1.3.1</v>
      </c>
      <c r="D16" s="108" t="str">
        <f>Modèle!E18</f>
        <v>A</v>
      </c>
      <c r="E16" s="236">
        <f ca="1">COUNTIF(OFFSET(Synthèse!$G25,0,0,1,COUNTA(Synthèse!$10:$10)-6),"="&amp;$E$1)</f>
        <v>0</v>
      </c>
      <c r="F16" s="236">
        <f ca="1">COUNTIF(OFFSET(Synthèse!$G25,0,0,1,COUNTA(Synthèse!$10:$10)-6),"="&amp;$F$1)</f>
        <v>0</v>
      </c>
      <c r="G16" s="236">
        <f ca="1">COUNTIF(OFFSET(Synthèse!$G25,0,0,1,COUNTA(Synthèse!$10:$10)-6),"="&amp;$G$1)</f>
        <v>0</v>
      </c>
      <c r="H16" s="236">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35">
      <c r="A17" s="97"/>
      <c r="B17" s="101" t="str">
        <f>Modèle!B19</f>
        <v>Images</v>
      </c>
      <c r="C17" s="107" t="str">
        <f>Modèle!D19</f>
        <v>1.3.2</v>
      </c>
      <c r="D17" s="108" t="str">
        <f>Modèle!E19</f>
        <v>A</v>
      </c>
      <c r="E17" s="236">
        <f ca="1">COUNTIF(OFFSET(Synthèse!$G26,0,0,1,COUNTA(Synthèse!$10:$10)-6),"="&amp;$E$1)</f>
        <v>0</v>
      </c>
      <c r="F17" s="236">
        <f ca="1">COUNTIF(OFFSET(Synthèse!$G26,0,0,1,COUNTA(Synthèse!$10:$10)-6),"="&amp;$F$1)</f>
        <v>0</v>
      </c>
      <c r="G17" s="236">
        <f ca="1">COUNTIF(OFFSET(Synthèse!$G26,0,0,1,COUNTA(Synthèse!$10:$10)-6),"="&amp;$G$1)</f>
        <v>0</v>
      </c>
      <c r="H17" s="236">
        <f ca="1">COUNTIF(OFFSET(Synthèse!$G26,0,0,1,COUNTA(Synthèse!$10:$10)-6),"="&amp;$H$1)</f>
        <v>0</v>
      </c>
      <c r="I17" s="18">
        <f t="shared" ca="1" si="1"/>
        <v>0</v>
      </c>
      <c r="L17" s="247" t="s">
        <v>38</v>
      </c>
      <c r="M17" s="248">
        <f ca="1">SUM(M3:M15)</f>
        <v>0</v>
      </c>
      <c r="N17" s="248">
        <f ca="1">SUM(N3:N15)</f>
        <v>0</v>
      </c>
      <c r="O17" s="248">
        <f ca="1">SUM(O3:O15)</f>
        <v>0</v>
      </c>
      <c r="P17" s="248">
        <f ca="1">SUM(P3:P15)</f>
        <v>0</v>
      </c>
      <c r="Q17" s="12"/>
      <c r="R17" s="12"/>
    </row>
    <row r="18" spans="1:20" x14ac:dyDescent="0.35">
      <c r="A18" s="97"/>
      <c r="B18" s="101" t="str">
        <f>Modèle!B20</f>
        <v>Images</v>
      </c>
      <c r="C18" s="107" t="str">
        <f>Modèle!D20</f>
        <v>1.3.3</v>
      </c>
      <c r="D18" s="108" t="str">
        <f>Modèle!E20</f>
        <v>A</v>
      </c>
      <c r="E18" s="236">
        <f ca="1">COUNTIF(OFFSET(Synthèse!$G27,0,0,1,COUNTA(Synthèse!$10:$10)-6),"="&amp;$E$1)</f>
        <v>0</v>
      </c>
      <c r="F18" s="236">
        <f ca="1">COUNTIF(OFFSET(Synthèse!$G27,0,0,1,COUNTA(Synthèse!$10:$10)-6),"="&amp;$F$1)</f>
        <v>0</v>
      </c>
      <c r="G18" s="236">
        <f ca="1">COUNTIF(OFFSET(Synthèse!$G27,0,0,1,COUNTA(Synthèse!$10:$10)-6),"="&amp;$G$1)</f>
        <v>0</v>
      </c>
      <c r="H18" s="236">
        <f ca="1">COUNTIF(OFFSET(Synthèse!$G27,0,0,1,COUNTA(Synthèse!$10:$10)-6),"="&amp;$H$1)</f>
        <v>0</v>
      </c>
      <c r="I18" s="18">
        <f t="shared" ca="1" si="1"/>
        <v>0</v>
      </c>
      <c r="L18" s="247" t="s">
        <v>648</v>
      </c>
      <c r="M18" s="249" t="e">
        <f ca="1">(100/(M17+N17))*M17</f>
        <v>#DIV/0!</v>
      </c>
      <c r="N18" s="249" t="e">
        <f ca="1">(100/(M17+N17))*N17</f>
        <v>#DIV/0!</v>
      </c>
      <c r="Q18" s="12"/>
      <c r="R18" s="12"/>
    </row>
    <row r="19" spans="1:20" x14ac:dyDescent="0.35">
      <c r="A19" s="97"/>
      <c r="B19" s="101" t="str">
        <f>Modèle!B21</f>
        <v>Images</v>
      </c>
      <c r="C19" s="107" t="str">
        <f>Modèle!D21</f>
        <v>1.3.4</v>
      </c>
      <c r="D19" s="108" t="str">
        <f>Modèle!E21</f>
        <v>A</v>
      </c>
      <c r="E19" s="236">
        <f ca="1">COUNTIF(OFFSET(Synthèse!$G28,0,0,1,COUNTA(Synthèse!$10:$10)-6),"="&amp;$E$1)</f>
        <v>0</v>
      </c>
      <c r="F19" s="236">
        <f ca="1">COUNTIF(OFFSET(Synthèse!$G28,0,0,1,COUNTA(Synthèse!$10:$10)-6),"="&amp;$F$1)</f>
        <v>0</v>
      </c>
      <c r="G19" s="236">
        <f ca="1">COUNTIF(OFFSET(Synthèse!$G28,0,0,1,COUNTA(Synthèse!$10:$10)-6),"="&amp;$G$1)</f>
        <v>0</v>
      </c>
      <c r="H19" s="236">
        <f ca="1">COUNTIF(OFFSET(Synthèse!$G28,0,0,1,COUNTA(Synthèse!$10:$10)-6),"="&amp;$H$1)</f>
        <v>0</v>
      </c>
      <c r="I19" s="18">
        <f t="shared" ca="1" si="1"/>
        <v>0</v>
      </c>
      <c r="Q19" s="12"/>
      <c r="R19" s="12"/>
    </row>
    <row r="20" spans="1:20" x14ac:dyDescent="0.35">
      <c r="A20" s="97"/>
      <c r="B20" s="101" t="str">
        <f>Modèle!B22</f>
        <v>Images</v>
      </c>
      <c r="C20" s="107" t="str">
        <f>Modèle!D22</f>
        <v>1.3.5</v>
      </c>
      <c r="D20" s="108" t="str">
        <f>Modèle!E22</f>
        <v>A</v>
      </c>
      <c r="E20" s="236">
        <f ca="1">COUNTIF(OFFSET(Synthèse!$G29,0,0,1,COUNTA(Synthèse!$10:$10)-6),"="&amp;$E$1)</f>
        <v>0</v>
      </c>
      <c r="F20" s="236">
        <f ca="1">COUNTIF(OFFSET(Synthèse!$G29,0,0,1,COUNTA(Synthèse!$10:$10)-6),"="&amp;$F$1)</f>
        <v>0</v>
      </c>
      <c r="G20" s="236">
        <f ca="1">COUNTIF(OFFSET(Synthèse!$G29,0,0,1,COUNTA(Synthèse!$10:$10)-6),"="&amp;$G$1)</f>
        <v>0</v>
      </c>
      <c r="H20" s="236">
        <f ca="1">COUNTIF(OFFSET(Synthèse!$G29,0,0,1,COUNTA(Synthèse!$10:$10)-6),"="&amp;$H$1)</f>
        <v>0</v>
      </c>
      <c r="I20" s="18">
        <f t="shared" ca="1" si="1"/>
        <v>0</v>
      </c>
      <c r="L20" s="271" t="s">
        <v>1174</v>
      </c>
      <c r="M20" s="271"/>
      <c r="N20" s="271"/>
      <c r="O20"/>
      <c r="P20"/>
      <c r="Q20" s="12"/>
      <c r="R20" s="12"/>
    </row>
    <row r="21" spans="1:20" x14ac:dyDescent="0.35">
      <c r="A21" s="97"/>
      <c r="B21" s="101" t="str">
        <f>Modèle!B23</f>
        <v>Images</v>
      </c>
      <c r="C21" s="107" t="str">
        <f>Modèle!D23</f>
        <v>1.3.6</v>
      </c>
      <c r="D21" s="108" t="str">
        <f>Modèle!E23</f>
        <v>A</v>
      </c>
      <c r="E21" s="236">
        <f ca="1">COUNTIF(OFFSET(Synthèse!$G30,0,0,1,COUNTA(Synthèse!$10:$10)-6),"="&amp;$E$1)</f>
        <v>0</v>
      </c>
      <c r="F21" s="236">
        <f ca="1">COUNTIF(OFFSET(Synthèse!$G30,0,0,1,COUNTA(Synthèse!$10:$10)-6),"="&amp;$F$1)</f>
        <v>0</v>
      </c>
      <c r="G21" s="236">
        <f ca="1">COUNTIF(OFFSET(Synthèse!$G30,0,0,1,COUNTA(Synthèse!$10:$10)-6),"="&amp;$G$1)</f>
        <v>0</v>
      </c>
      <c r="H21" s="236">
        <f ca="1">COUNTIF(OFFSET(Synthèse!$G30,0,0,1,COUNTA(Synthèse!$10:$10)-6),"="&amp;$H$1)</f>
        <v>0</v>
      </c>
      <c r="I21" s="18">
        <f t="shared" ca="1" si="1"/>
        <v>0</v>
      </c>
      <c r="L21" s="250" t="s">
        <v>649</v>
      </c>
      <c r="M21" s="25" t="s">
        <v>648</v>
      </c>
      <c r="N21" s="25" t="s">
        <v>650</v>
      </c>
      <c r="P21"/>
      <c r="Q21" s="12"/>
      <c r="R21" s="12"/>
    </row>
    <row r="22" spans="1:20" x14ac:dyDescent="0.35">
      <c r="A22" s="97"/>
      <c r="B22" s="101" t="str">
        <f>Modèle!B24</f>
        <v>Images</v>
      </c>
      <c r="C22" s="107" t="str">
        <f>Modèle!D24</f>
        <v>1.3.7</v>
      </c>
      <c r="D22" s="108" t="str">
        <f>Modèle!E24</f>
        <v>A</v>
      </c>
      <c r="E22" s="236">
        <f ca="1">COUNTIF(OFFSET(Synthèse!$G31,0,0,1,COUNTA(Synthèse!$10:$10)-6),"="&amp;$E$1)</f>
        <v>0</v>
      </c>
      <c r="F22" s="236">
        <f ca="1">COUNTIF(OFFSET(Synthèse!$G31,0,0,1,COUNTA(Synthèse!$10:$10)-6),"="&amp;$F$1)</f>
        <v>0</v>
      </c>
      <c r="G22" s="236">
        <f ca="1">COUNTIF(OFFSET(Synthèse!$G31,0,0,1,COUNTA(Synthèse!$10:$10)-6),"="&amp;$G$1)</f>
        <v>0</v>
      </c>
      <c r="H22" s="236">
        <f ca="1">COUNTIF(OFFSET(Synthèse!$G31,0,0,1,COUNTA(Synthèse!$10:$10)-6),"="&amp;$H$1)</f>
        <v>0</v>
      </c>
      <c r="I22" s="18">
        <f t="shared" ca="1" si="1"/>
        <v>0</v>
      </c>
      <c r="L22" s="27" t="s">
        <v>651</v>
      </c>
      <c r="M22" s="98" t="e">
        <f ca="1">(100/(N22+N23))*N22</f>
        <v>#DIV/0!</v>
      </c>
      <c r="N22" s="26">
        <f ca="1">COUNTIF(E2:E258,"&gt;0")</f>
        <v>0</v>
      </c>
      <c r="P22"/>
      <c r="Q22" s="12"/>
      <c r="R22" s="12"/>
    </row>
    <row r="23" spans="1:20" x14ac:dyDescent="0.35">
      <c r="A23" s="97"/>
      <c r="B23" s="101" t="str">
        <f>Modèle!B25</f>
        <v>Images</v>
      </c>
      <c r="C23" s="107" t="str">
        <f>Modèle!D25</f>
        <v>1.3.8</v>
      </c>
      <c r="D23" s="108" t="str">
        <f>Modèle!E25</f>
        <v>A</v>
      </c>
      <c r="E23" s="236">
        <f ca="1">COUNTIF(OFFSET(Synthèse!$G32,0,0,1,COUNTA(Synthèse!$10:$10)-6),"="&amp;$E$1)</f>
        <v>0</v>
      </c>
      <c r="F23" s="236">
        <f ca="1">COUNTIF(OFFSET(Synthèse!$G32,0,0,1,COUNTA(Synthèse!$10:$10)-6),"="&amp;$F$1)</f>
        <v>0</v>
      </c>
      <c r="G23" s="236">
        <f ca="1">COUNTIF(OFFSET(Synthèse!$G32,0,0,1,COUNTA(Synthèse!$10:$10)-6),"="&amp;$G$1)</f>
        <v>0</v>
      </c>
      <c r="H23" s="236">
        <f ca="1">COUNTIF(OFFSET(Synthèse!$G32,0,0,1,COUNTA(Synthèse!$10:$10)-6),"="&amp;$H$1)</f>
        <v>0</v>
      </c>
      <c r="I23" s="18">
        <f t="shared" ca="1" si="1"/>
        <v>0</v>
      </c>
      <c r="L23" s="27" t="s">
        <v>652</v>
      </c>
      <c r="M23" s="98" t="e">
        <f ca="1">(100/(N22+N23))*N23</f>
        <v>#DIV/0!</v>
      </c>
      <c r="N23" s="26">
        <f ca="1">COUNTIF(F2:F258,"&gt;0")</f>
        <v>0</v>
      </c>
      <c r="P23"/>
      <c r="Q23" s="12"/>
      <c r="R23" s="12"/>
    </row>
    <row r="24" spans="1:20" x14ac:dyDescent="0.35">
      <c r="B24" s="101" t="str">
        <f>Modèle!B26</f>
        <v>Images</v>
      </c>
      <c r="C24" s="107" t="str">
        <f>Modèle!D26</f>
        <v>1.3.9</v>
      </c>
      <c r="D24" s="108" t="str">
        <f>Modèle!E26</f>
        <v>A</v>
      </c>
      <c r="E24" s="236">
        <f ca="1">COUNTIF(OFFSET(Synthèse!$G33,0,0,1,COUNTA(Synthèse!$10:$10)-6),"="&amp;$E$1)</f>
        <v>0</v>
      </c>
      <c r="F24" s="236">
        <f ca="1">COUNTIF(OFFSET(Synthèse!$G33,0,0,1,COUNTA(Synthèse!$10:$10)-6),"="&amp;$F$1)</f>
        <v>0</v>
      </c>
      <c r="G24" s="236">
        <f ca="1">COUNTIF(OFFSET(Synthèse!$G33,0,0,1,COUNTA(Synthèse!$10:$10)-6),"="&amp;$G$1)</f>
        <v>0</v>
      </c>
      <c r="H24" s="236">
        <f ca="1">COUNTIF(OFFSET(Synthèse!$G33,0,0,1,COUNTA(Synthèse!$10:$10)-6),"="&amp;$H$1)</f>
        <v>0</v>
      </c>
      <c r="I24" s="18">
        <f t="shared" ca="1" si="1"/>
        <v>0</v>
      </c>
      <c r="L24"/>
      <c r="M24"/>
      <c r="N24"/>
      <c r="O24"/>
      <c r="P24"/>
      <c r="Q24" s="12"/>
      <c r="R24" s="12"/>
    </row>
    <row r="25" spans="1:20" x14ac:dyDescent="0.35">
      <c r="B25" s="102" t="str">
        <f>Modèle!B27</f>
        <v>Images</v>
      </c>
      <c r="C25" s="109" t="str">
        <f>Modèle!D27</f>
        <v>1.4.1</v>
      </c>
      <c r="D25" s="110" t="str">
        <f>Modèle!E27</f>
        <v>A</v>
      </c>
      <c r="E25" s="237">
        <f ca="1">COUNTIF(OFFSET(Synthèse!$G34,0,0,1,COUNTA(Synthèse!$10:$10)-6),"="&amp;$E$1)</f>
        <v>0</v>
      </c>
      <c r="F25" s="237">
        <f ca="1">COUNTIF(OFFSET(Synthèse!$G34,0,0,1,COUNTA(Synthèse!$10:$10)-6),"="&amp;$F$1)</f>
        <v>0</v>
      </c>
      <c r="G25" s="237">
        <f ca="1">COUNTIF(OFFSET(Synthèse!$G34,0,0,1,COUNTA(Synthèse!$10:$10)-6),"="&amp;$G$1)</f>
        <v>0</v>
      </c>
      <c r="H25" s="237">
        <f ca="1">COUNTIF(OFFSET(Synthèse!$G34,0,0,1,COUNTA(Synthèse!$10:$10)-6),"="&amp;$H$1)</f>
        <v>0</v>
      </c>
      <c r="I25" s="18">
        <f t="shared" ca="1" si="1"/>
        <v>0</v>
      </c>
      <c r="L25"/>
      <c r="M25"/>
      <c r="N25"/>
      <c r="O25"/>
      <c r="P25"/>
      <c r="Q25" s="12"/>
      <c r="R25" s="12"/>
    </row>
    <row r="26" spans="1:20" x14ac:dyDescent="0.35">
      <c r="B26" s="102" t="str">
        <f>Modèle!B28</f>
        <v>Images</v>
      </c>
      <c r="C26" s="109" t="str">
        <f>Modèle!D28</f>
        <v>1.4.2</v>
      </c>
      <c r="D26" s="110" t="str">
        <f>Modèle!E28</f>
        <v>A</v>
      </c>
      <c r="E26" s="237">
        <f ca="1">COUNTIF(OFFSET(Synthèse!$G35,0,0,1,COUNTA(Synthèse!$10:$10)-6),"="&amp;$E$1)</f>
        <v>0</v>
      </c>
      <c r="F26" s="237">
        <f ca="1">COUNTIF(OFFSET(Synthèse!$G35,0,0,1,COUNTA(Synthèse!$10:$10)-6),"="&amp;$F$1)</f>
        <v>0</v>
      </c>
      <c r="G26" s="237">
        <f ca="1">COUNTIF(OFFSET(Synthèse!$G35,0,0,1,COUNTA(Synthèse!$10:$10)-6),"="&amp;$G$1)</f>
        <v>0</v>
      </c>
      <c r="H26" s="237">
        <f ca="1">COUNTIF(OFFSET(Synthèse!$G35,0,0,1,COUNTA(Synthèse!$10:$10)-6),"="&amp;$H$1)</f>
        <v>0</v>
      </c>
      <c r="I26" s="18">
        <f t="shared" ca="1" si="1"/>
        <v>0</v>
      </c>
      <c r="L26" s="271" t="s">
        <v>653</v>
      </c>
      <c r="M26" s="271"/>
      <c r="N26" s="271"/>
      <c r="O26" s="271"/>
      <c r="P26" s="271"/>
      <c r="Q26" s="271"/>
      <c r="R26" s="246"/>
    </row>
    <row r="27" spans="1:20" x14ac:dyDescent="0.35">
      <c r="B27" s="102" t="str">
        <f>Modèle!B29</f>
        <v>Images</v>
      </c>
      <c r="C27" s="109" t="str">
        <f>Modèle!D29</f>
        <v>1.4.3</v>
      </c>
      <c r="D27" s="110" t="str">
        <f>Modèle!E29</f>
        <v>A</v>
      </c>
      <c r="E27" s="237">
        <f ca="1">COUNTIF(OFFSET(Synthèse!$G36,0,0,1,COUNTA(Synthèse!$10:$10)-6),"="&amp;$E$1)</f>
        <v>0</v>
      </c>
      <c r="F27" s="237">
        <f ca="1">COUNTIF(OFFSET(Synthèse!$G36,0,0,1,COUNTA(Synthèse!$10:$10)-6),"="&amp;$F$1)</f>
        <v>0</v>
      </c>
      <c r="G27" s="237">
        <f ca="1">COUNTIF(OFFSET(Synthèse!$G36,0,0,1,COUNTA(Synthèse!$10:$10)-6),"="&amp;$G$1)</f>
        <v>0</v>
      </c>
      <c r="H27" s="237">
        <f ca="1">COUNTIF(OFFSET(Synthèse!$G36,0,0,1,COUNTA(Synthèse!$10:$10)-6),"="&amp;$H$1)</f>
        <v>0</v>
      </c>
      <c r="I27" s="18">
        <f t="shared" ca="1" si="1"/>
        <v>0</v>
      </c>
      <c r="L27" s="60"/>
      <c r="M27" s="25" t="s">
        <v>637</v>
      </c>
      <c r="N27" s="25" t="s">
        <v>638</v>
      </c>
      <c r="O27" s="25" t="s">
        <v>642</v>
      </c>
      <c r="P27" s="25" t="s">
        <v>654</v>
      </c>
      <c r="Q27" s="120" t="s">
        <v>643</v>
      </c>
      <c r="R27" s="120"/>
    </row>
    <row r="28" spans="1:20" x14ac:dyDescent="0.35">
      <c r="B28" s="102" t="str">
        <f>Modèle!B30</f>
        <v>Images</v>
      </c>
      <c r="C28" s="109" t="str">
        <f>Modèle!D30</f>
        <v>1.4.4</v>
      </c>
      <c r="D28" s="110" t="str">
        <f>Modèle!E30</f>
        <v>A</v>
      </c>
      <c r="E28" s="237">
        <f ca="1">COUNTIF(OFFSET(Synthèse!$G37,0,0,1,COUNTA(Synthèse!$10:$10)-6),"="&amp;$E$1)</f>
        <v>0</v>
      </c>
      <c r="F28" s="237">
        <f ca="1">COUNTIF(OFFSET(Synthèse!$G37,0,0,1,COUNTA(Synthèse!$10:$10)-6),"="&amp;$F$1)</f>
        <v>0</v>
      </c>
      <c r="G28" s="237">
        <f ca="1">COUNTIF(OFFSET(Synthèse!$G37,0,0,1,COUNTA(Synthèse!$10:$10)-6),"="&amp;$G$1)</f>
        <v>0</v>
      </c>
      <c r="H28" s="237">
        <f ca="1">COUNTIF(OFFSET(Synthèse!$G37,0,0,1,COUNTA(Synthèse!$10:$10)-6),"="&amp;$H$1)</f>
        <v>0</v>
      </c>
      <c r="I28" s="18">
        <f t="shared" ca="1" si="1"/>
        <v>0</v>
      </c>
      <c r="L28" s="27" t="s">
        <v>651</v>
      </c>
      <c r="M28" s="208">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8">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8">
        <f ca="1">COUNTIF(I55:I59,L28)+COUNTIF(I84:I87,L28)+COUNTIF(I103:I110,L28)+COUNTIF(I186:I188,L28)+COUNTIF(I210:I215,L28)+COUNTIF(I247:I248,L28)+COUNTIF(I268:I271,L28)+COUNTIF(I281:I295,L28)</f>
        <v>0</v>
      </c>
      <c r="P28" s="208">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35">
      <c r="B29" s="102" t="str">
        <f>Modèle!B31</f>
        <v>Images</v>
      </c>
      <c r="C29" s="109" t="str">
        <f>Modèle!D31</f>
        <v>1.4.5</v>
      </c>
      <c r="D29" s="110" t="str">
        <f>Modèle!E31</f>
        <v>A</v>
      </c>
      <c r="E29" s="237">
        <f ca="1">COUNTIF(OFFSET(Synthèse!$G38,0,0,1,COUNTA(Synthèse!$10:$10)-6),"="&amp;$E$1)</f>
        <v>0</v>
      </c>
      <c r="F29" s="237">
        <f ca="1">COUNTIF(OFFSET(Synthèse!$G38,0,0,1,COUNTA(Synthèse!$10:$10)-6),"="&amp;$F$1)</f>
        <v>0</v>
      </c>
      <c r="G29" s="237">
        <f ca="1">COUNTIF(OFFSET(Synthèse!$G38,0,0,1,COUNTA(Synthèse!$10:$10)-6),"="&amp;$G$1)</f>
        <v>0</v>
      </c>
      <c r="H29" s="237">
        <f ca="1">COUNTIF(OFFSET(Synthèse!$G38,0,0,1,COUNTA(Synthèse!$10:$10)-6),"="&amp;$H$1)</f>
        <v>0</v>
      </c>
      <c r="I29" s="18">
        <f t="shared" ca="1" si="1"/>
        <v>0</v>
      </c>
      <c r="L29" s="27" t="s">
        <v>652</v>
      </c>
      <c r="M29" s="208">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8">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8">
        <f ca="1">COUNTIF(I55:I59,L29)+COUNTIF(I84:I87,L29)+COUNTIF(I103:I110,L29)+COUNTIF(I186:I188,L29)+COUNTIF(I210:I215,L29)+COUNTIF(I247:I248,L29)+COUNTIF(I268:I271,L29)+COUNTIF(I281:I295,L29)</f>
        <v>0</v>
      </c>
      <c r="P29" s="208">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35">
      <c r="B30" s="102" t="str">
        <f>Modèle!B32</f>
        <v>Images</v>
      </c>
      <c r="C30" s="109" t="str">
        <f>Modèle!D32</f>
        <v>1.4.6</v>
      </c>
      <c r="D30" s="110" t="str">
        <f>Modèle!E32</f>
        <v>A</v>
      </c>
      <c r="E30" s="237">
        <f ca="1">COUNTIF(OFFSET(Synthèse!$G39,0,0,1,COUNTA(Synthèse!$10:$10)-6),"="&amp;$E$1)</f>
        <v>0</v>
      </c>
      <c r="F30" s="237">
        <f ca="1">COUNTIF(OFFSET(Synthèse!$G39,0,0,1,COUNTA(Synthèse!$10:$10)-6),"="&amp;$F$1)</f>
        <v>0</v>
      </c>
      <c r="G30" s="237">
        <f ca="1">COUNTIF(OFFSET(Synthèse!$G39,0,0,1,COUNTA(Synthèse!$10:$10)-6),"="&amp;$G$1)</f>
        <v>0</v>
      </c>
      <c r="H30" s="237">
        <f ca="1">COUNTIF(OFFSET(Synthèse!$G39,0,0,1,COUNTA(Synthèse!$10:$10)-6),"="&amp;$H$1)</f>
        <v>0</v>
      </c>
      <c r="I30" s="18">
        <f t="shared" ca="1" si="1"/>
        <v>0</v>
      </c>
      <c r="L30" s="27" t="s">
        <v>655</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35">
      <c r="B31" s="102" t="str">
        <f>Modèle!B33</f>
        <v>Images</v>
      </c>
      <c r="C31" s="109" t="str">
        <f>Modèle!D33</f>
        <v>1.4.7</v>
      </c>
      <c r="D31" s="110" t="str">
        <f>Modèle!E33</f>
        <v>A</v>
      </c>
      <c r="E31" s="237">
        <f ca="1">COUNTIF(OFFSET(Synthèse!$G40,0,0,1,COUNTA(Synthèse!$10:$10)-6),"="&amp;$E$1)</f>
        <v>0</v>
      </c>
      <c r="F31" s="237">
        <f ca="1">COUNTIF(OFFSET(Synthèse!$G40,0,0,1,COUNTA(Synthèse!$10:$10)-6),"="&amp;$F$1)</f>
        <v>0</v>
      </c>
      <c r="G31" s="237">
        <f ca="1">COUNTIF(OFFSET(Synthèse!$G40,0,0,1,COUNTA(Synthèse!$10:$10)-6),"="&amp;$G$1)</f>
        <v>0</v>
      </c>
      <c r="H31" s="237">
        <f ca="1">COUNTIF(OFFSET(Synthèse!$G40,0,0,1,COUNTA(Synthèse!$10:$10)-6),"="&amp;$H$1)</f>
        <v>0</v>
      </c>
      <c r="I31" s="18">
        <f t="shared" ca="1" si="1"/>
        <v>0</v>
      </c>
      <c r="Q31" s="12"/>
      <c r="R31" s="12"/>
    </row>
    <row r="32" spans="1:20" x14ac:dyDescent="0.35">
      <c r="B32" s="101" t="str">
        <f>Modèle!B34</f>
        <v>Images</v>
      </c>
      <c r="C32" s="107" t="str">
        <f>Modèle!D34</f>
        <v>1.5.1</v>
      </c>
      <c r="D32" s="108" t="str">
        <f>Modèle!E34</f>
        <v>A</v>
      </c>
      <c r="E32" s="236">
        <f ca="1">COUNTIF(OFFSET(Synthèse!$G41,0,0,1,COUNTA(Synthèse!$10:$10)-6),"="&amp;$E$1)</f>
        <v>0</v>
      </c>
      <c r="F32" s="236">
        <f ca="1">COUNTIF(OFFSET(Synthèse!$G41,0,0,1,COUNTA(Synthèse!$10:$10)-6),"="&amp;$F$1)</f>
        <v>0</v>
      </c>
      <c r="G32" s="236">
        <f ca="1">COUNTIF(OFFSET(Synthèse!$G41,0,0,1,COUNTA(Synthèse!$10:$10)-6),"="&amp;$G$1)</f>
        <v>0</v>
      </c>
      <c r="H32" s="236">
        <f ca="1">COUNTIF(OFFSET(Synthèse!$G41,0,0,1,COUNTA(Synthèse!$10:$10)-6),"="&amp;$H$1)</f>
        <v>0</v>
      </c>
      <c r="I32" s="18">
        <f t="shared" ca="1" si="1"/>
        <v>0</v>
      </c>
      <c r="L32" s="272" t="s">
        <v>1173</v>
      </c>
      <c r="M32" s="272"/>
      <c r="N32" s="272"/>
      <c r="O32" s="272"/>
      <c r="P32" s="272"/>
      <c r="Q32" s="272"/>
      <c r="R32" s="272"/>
    </row>
    <row r="33" spans="2:18" ht="29" x14ac:dyDescent="0.35">
      <c r="B33" s="101" t="str">
        <f>Modèle!B35</f>
        <v>Images</v>
      </c>
      <c r="C33" s="107" t="str">
        <f>Modèle!D35</f>
        <v>1.5.2</v>
      </c>
      <c r="D33" s="108" t="str">
        <f>Modèle!E35</f>
        <v>A</v>
      </c>
      <c r="E33" s="236">
        <f ca="1">COUNTIF(OFFSET(Synthèse!$G42,0,0,1,COUNTA(Synthèse!$10:$10)-6),"="&amp;$E$1)</f>
        <v>0</v>
      </c>
      <c r="F33" s="236">
        <f ca="1">COUNTIF(OFFSET(Synthèse!$G42,0,0,1,COUNTA(Synthèse!$10:$10)-6),"="&amp;$F$1)</f>
        <v>0</v>
      </c>
      <c r="G33" s="236">
        <f ca="1">COUNTIF(OFFSET(Synthèse!$G42,0,0,1,COUNTA(Synthèse!$10:$10)-6),"="&amp;$G$1)</f>
        <v>0</v>
      </c>
      <c r="H33" s="236">
        <f ca="1">COUNTIF(OFFSET(Synthèse!$G42,0,0,1,COUNTA(Synthèse!$10:$10)-6),"="&amp;$H$1)</f>
        <v>0</v>
      </c>
      <c r="I33" s="18">
        <f t="shared" ca="1" si="1"/>
        <v>0</v>
      </c>
      <c r="K33" s="251" t="s">
        <v>1171</v>
      </c>
      <c r="L33" s="244" t="s">
        <v>23</v>
      </c>
      <c r="M33" s="244" t="s">
        <v>23</v>
      </c>
      <c r="N33" s="244" t="s">
        <v>656</v>
      </c>
      <c r="O33" s="245" t="s">
        <v>11</v>
      </c>
      <c r="P33" s="245" t="s">
        <v>12</v>
      </c>
      <c r="Q33" s="245" t="s">
        <v>780</v>
      </c>
      <c r="R33" s="245" t="s">
        <v>13</v>
      </c>
    </row>
    <row r="34" spans="2:18" x14ac:dyDescent="0.35">
      <c r="B34" s="102" t="str">
        <f>Modèle!B36</f>
        <v>Images</v>
      </c>
      <c r="C34" s="109" t="str">
        <f>Modèle!D36</f>
        <v>1.6.1</v>
      </c>
      <c r="D34" s="110" t="str">
        <f>Modèle!E36</f>
        <v>A</v>
      </c>
      <c r="E34" s="237">
        <f ca="1">COUNTIF(OFFSET(Synthèse!$G43,0,0,1,COUNTA(Synthèse!$10:$10)-6),"="&amp;$E$1)</f>
        <v>0</v>
      </c>
      <c r="F34" s="237">
        <f ca="1">COUNTIF(OFFSET(Synthèse!$G43,0,0,1,COUNTA(Synthèse!$10:$10)-6),"="&amp;$F$1)</f>
        <v>0</v>
      </c>
      <c r="G34" s="237">
        <f ca="1">COUNTIF(OFFSET(Synthèse!$G43,0,0,1,COUNTA(Synthèse!$10:$10)-6),"="&amp;$G$1)</f>
        <v>0</v>
      </c>
      <c r="H34" s="237">
        <f ca="1">COUNTIF(OFFSET(Synthèse!$G43,0,0,1,COUNTA(Synthèse!$10:$10)-6),"="&amp;$H$1)</f>
        <v>0</v>
      </c>
      <c r="I34" s="18">
        <f t="shared" ca="1" si="1"/>
        <v>0</v>
      </c>
      <c r="K34" s="123" t="s">
        <v>1071</v>
      </c>
      <c r="L34" s="240" t="str">
        <f>D2:D258</f>
        <v>A</v>
      </c>
      <c r="M34" s="240"/>
      <c r="N34" s="240" t="s">
        <v>658</v>
      </c>
      <c r="O34" s="241">
        <f ca="1">IF(SUM(E$2:E$9)&gt;=1,0,1)</f>
        <v>1</v>
      </c>
      <c r="P34" s="241">
        <f ca="1">IF(SUM(E$2:E$9)&gt;=1,1,IF(SUM(G$2:G$9)&gt;=1,1,IF(SUM(F$2:F$9)&gt;=1,0,1)))</f>
        <v>1</v>
      </c>
      <c r="Q34" s="241">
        <f ca="1">IF(SUM(E$2:E$9)&gt;=1,1,IF(SUM(G$2:G$9)&gt;=1,0,1))</f>
        <v>1</v>
      </c>
      <c r="R34" s="241">
        <f ca="1">IF(SUM(E$2:E$9)&gt;=1,1,IF(SUM(G$2:G$9)&gt;=1,1,IF(SUM(F$2:F$9)&gt;=1,1,IF(SUM(H$2:H$9)&gt;=1,0,1))))</f>
        <v>1</v>
      </c>
    </row>
    <row r="35" spans="2:18" x14ac:dyDescent="0.35">
      <c r="B35" s="102" t="str">
        <f>Modèle!B37</f>
        <v>Images</v>
      </c>
      <c r="C35" s="109" t="str">
        <f>Modèle!D37</f>
        <v>1.6.2</v>
      </c>
      <c r="D35" s="110" t="str">
        <f>Modèle!E37</f>
        <v>A</v>
      </c>
      <c r="E35" s="237">
        <f ca="1">COUNTIF(OFFSET(Synthèse!$G44,0,0,1,COUNTA(Synthèse!$10:$10)-6),"="&amp;$E$1)</f>
        <v>0</v>
      </c>
      <c r="F35" s="237">
        <f ca="1">COUNTIF(OFFSET(Synthèse!$G44,0,0,1,COUNTA(Synthèse!$10:$10)-6),"="&amp;$F$1)</f>
        <v>0</v>
      </c>
      <c r="G35" s="237">
        <f ca="1">COUNTIF(OFFSET(Synthèse!$G44,0,0,1,COUNTA(Synthèse!$10:$10)-6),"="&amp;$G$1)</f>
        <v>0</v>
      </c>
      <c r="H35" s="237">
        <f ca="1">COUNTIF(OFFSET(Synthèse!$G44,0,0,1,COUNTA(Synthèse!$10:$10)-6),"="&amp;$H$1)</f>
        <v>0</v>
      </c>
      <c r="I35" s="18">
        <f t="shared" ca="1" si="1"/>
        <v>0</v>
      </c>
      <c r="K35" s="123" t="s">
        <v>1072</v>
      </c>
      <c r="L35" s="240" t="str">
        <f>D35</f>
        <v>A</v>
      </c>
      <c r="M35" s="240"/>
      <c r="N35" s="240" t="s">
        <v>660</v>
      </c>
      <c r="O35" s="241">
        <f ca="1">IF(SUM(E$10:E$15)&gt;=1,0,1)</f>
        <v>1</v>
      </c>
      <c r="P35" s="241">
        <f ca="1">IF(SUM(E$10:E$15)&gt;=1,1,IF(SUM(G$10:G$15)&gt;=1,1,IF(SUM(F$10:F$15)&gt;=1,0,1)))</f>
        <v>1</v>
      </c>
      <c r="Q35" s="241">
        <f ca="1">IF(SUM(E$10:E$15)&gt;=1,1,IF(SUM(G$10:G$15)&gt;=1,0,1))</f>
        <v>1</v>
      </c>
      <c r="R35" s="241">
        <f ca="1">IF(SUM(E$10:E$15)&gt;=1,1,IF(SUM(G$10:G$15)&gt;=1,1,IF(SUM(F$10:F$15)&gt;=1,1,IF(SUM(H$10:H$15)&gt;=1,0,1))))</f>
        <v>1</v>
      </c>
    </row>
    <row r="36" spans="2:18" x14ac:dyDescent="0.35">
      <c r="B36" s="102" t="str">
        <f>Modèle!B38</f>
        <v>Images</v>
      </c>
      <c r="C36" s="109" t="str">
        <f>Modèle!D38</f>
        <v>1.6.3</v>
      </c>
      <c r="D36" s="110" t="str">
        <f>Modèle!E38</f>
        <v>A</v>
      </c>
      <c r="E36" s="237">
        <f ca="1">COUNTIF(OFFSET(Synthèse!$G45,0,0,1,COUNTA(Synthèse!$10:$10)-6),"="&amp;$E$1)</f>
        <v>0</v>
      </c>
      <c r="F36" s="237">
        <f ca="1">COUNTIF(OFFSET(Synthèse!$G45,0,0,1,COUNTA(Synthèse!$10:$10)-6),"="&amp;$F$1)</f>
        <v>0</v>
      </c>
      <c r="G36" s="237">
        <f ca="1">COUNTIF(OFFSET(Synthèse!$G45,0,0,1,COUNTA(Synthèse!$10:$10)-6),"="&amp;$G$1)</f>
        <v>0</v>
      </c>
      <c r="H36" s="237">
        <f ca="1">COUNTIF(OFFSET(Synthèse!$G45,0,0,1,COUNTA(Synthèse!$10:$10)-6),"="&amp;$H$1)</f>
        <v>0</v>
      </c>
      <c r="I36" s="18">
        <f t="shared" ca="1" si="1"/>
        <v>0</v>
      </c>
      <c r="K36" s="123" t="s">
        <v>1073</v>
      </c>
      <c r="L36" s="240" t="str">
        <f t="shared" ref="L36:L40" si="19">D36</f>
        <v>A</v>
      </c>
      <c r="M36" s="240"/>
      <c r="N36" s="240" t="s">
        <v>661</v>
      </c>
      <c r="O36" s="241">
        <f ca="1">IF(SUM(E$16:E$24)&gt;=1,0,1)</f>
        <v>1</v>
      </c>
      <c r="P36" s="241">
        <f ca="1">IF(SUM(E$16:E$24)&gt;=1,1,IF(SUM(G$16:G$24)&gt;=1,1,IF(SUM(F$16:F$24)&gt;=1,0,1)))</f>
        <v>1</v>
      </c>
      <c r="Q36" s="241">
        <f ca="1">IF(SUM(E$16:E$24)&gt;=1,1,IF(SUM(G$16:G$24)&gt;=1,0,1))</f>
        <v>1</v>
      </c>
      <c r="R36" s="241">
        <f ca="1">IF(SUM(E$16:E$24)&gt;=1,1,IF(SUM(G$16:G$24)&gt;=1,1,IF(SUM(F$16:F$24)&gt;=1,1,IF(SUM(H$16:H$24)&gt;=1,0,1))))</f>
        <v>1</v>
      </c>
    </row>
    <row r="37" spans="2:18" x14ac:dyDescent="0.35">
      <c r="B37" s="102" t="str">
        <f>Modèle!B39</f>
        <v>Images</v>
      </c>
      <c r="C37" s="109" t="str">
        <f>Modèle!D39</f>
        <v>1.6.4</v>
      </c>
      <c r="D37" s="110" t="str">
        <f>Modèle!E39</f>
        <v>A</v>
      </c>
      <c r="E37" s="237">
        <f ca="1">COUNTIF(OFFSET(Synthèse!$G46,0,0,1,COUNTA(Synthèse!$10:$10)-6),"="&amp;$E$1)</f>
        <v>0</v>
      </c>
      <c r="F37" s="237">
        <f ca="1">COUNTIF(OFFSET(Synthèse!$G46,0,0,1,COUNTA(Synthèse!$10:$10)-6),"="&amp;$F$1)</f>
        <v>0</v>
      </c>
      <c r="G37" s="237">
        <f ca="1">COUNTIF(OFFSET(Synthèse!$G46,0,0,1,COUNTA(Synthèse!$10:$10)-6),"="&amp;$G$1)</f>
        <v>0</v>
      </c>
      <c r="H37" s="237">
        <f ca="1">COUNTIF(OFFSET(Synthèse!$G46,0,0,1,COUNTA(Synthèse!$10:$10)-6),"="&amp;$H$1)</f>
        <v>0</v>
      </c>
      <c r="I37" s="18">
        <f t="shared" ca="1" si="1"/>
        <v>0</v>
      </c>
      <c r="K37" s="123" t="s">
        <v>1074</v>
      </c>
      <c r="L37" s="240" t="str">
        <f t="shared" si="19"/>
        <v>A</v>
      </c>
      <c r="M37" s="240"/>
      <c r="N37" s="240" t="s">
        <v>662</v>
      </c>
      <c r="O37" s="241">
        <f ca="1">IF(SUM(E$25:E$31)&gt;=1,0,1)</f>
        <v>1</v>
      </c>
      <c r="P37" s="241">
        <f ca="1">IF(SUM(E$25:E$31)&gt;=1,1,IF(SUM(G$25:G$31)&gt;=1,1,IF(SUM(F$25:F$31)&gt;=1,0,1)))</f>
        <v>1</v>
      </c>
      <c r="Q37" s="241">
        <f ca="1">IF(SUM(E$25:E$31)&gt;=1,1,IF(SUM(G$25:G$31)&gt;=1,0,1))</f>
        <v>1</v>
      </c>
      <c r="R37" s="241">
        <f ca="1">IF(SUM(E$25:E$31)&gt;=1,1,IF(SUM(G$25:G$31)&gt;=1,1,IF(SUM(F$25:F$31)&gt;=1,1,IF(SUM(H$25:H$31)&gt;=1,0,1))))</f>
        <v>1</v>
      </c>
    </row>
    <row r="38" spans="2:18" x14ac:dyDescent="0.35">
      <c r="B38" s="102" t="str">
        <f>Modèle!B40</f>
        <v>Images</v>
      </c>
      <c r="C38" s="109" t="str">
        <f>Modèle!D40</f>
        <v>1.6.5</v>
      </c>
      <c r="D38" s="110" t="str">
        <f>Modèle!E40</f>
        <v>A</v>
      </c>
      <c r="E38" s="237">
        <f ca="1">COUNTIF(OFFSET(Synthèse!$G47,0,0,1,COUNTA(Synthèse!$10:$10)-6),"="&amp;$E$1)</f>
        <v>0</v>
      </c>
      <c r="F38" s="237">
        <f ca="1">COUNTIF(OFFSET(Synthèse!$G47,0,0,1,COUNTA(Synthèse!$10:$10)-6),"="&amp;$F$1)</f>
        <v>0</v>
      </c>
      <c r="G38" s="237">
        <f ca="1">COUNTIF(OFFSET(Synthèse!$G47,0,0,1,COUNTA(Synthèse!$10:$10)-6),"="&amp;$G$1)</f>
        <v>0</v>
      </c>
      <c r="H38" s="237">
        <f ca="1">COUNTIF(OFFSET(Synthèse!$G47,0,0,1,COUNTA(Synthèse!$10:$10)-6),"="&amp;$H$1)</f>
        <v>0</v>
      </c>
      <c r="I38" s="18">
        <f t="shared" ca="1" si="1"/>
        <v>0</v>
      </c>
      <c r="K38" s="123" t="s">
        <v>1075</v>
      </c>
      <c r="L38" s="240" t="str">
        <f t="shared" si="19"/>
        <v>A</v>
      </c>
      <c r="M38" s="240"/>
      <c r="N38" s="240" t="s">
        <v>663</v>
      </c>
      <c r="O38" s="241">
        <f ca="1">IF(SUM(E$32:E$33)&gt;=1,0,1)</f>
        <v>1</v>
      </c>
      <c r="P38" s="241">
        <f ca="1">IF(SUM(E$32:E$33)&gt;=1,1,IF(SUM(G$32:G$33)&gt;=1,1,IF(SUM(F$32:F$33)&gt;=1,0,1)))</f>
        <v>1</v>
      </c>
      <c r="Q38" s="241">
        <f ca="1">IF(SUM(E$32:E$33)&gt;=1,1,IF(SUM(G$32:G$33)&gt;=1,0,1))</f>
        <v>1</v>
      </c>
      <c r="R38" s="241">
        <f ca="1">IF(SUM(E$32:E$33)&gt;=1,1,IF(SUM(G$32:G$33)&gt;=1,1,IF(SUM(F$32:F$33)&gt;=1,1,IF(SUM(H$32:H$33)&gt;=1,0,1))))</f>
        <v>1</v>
      </c>
    </row>
    <row r="39" spans="2:18" x14ac:dyDescent="0.35">
      <c r="B39" s="102" t="str">
        <f>Modèle!B41</f>
        <v>Images</v>
      </c>
      <c r="C39" s="109" t="str">
        <f>Modèle!D41</f>
        <v>1.6.6</v>
      </c>
      <c r="D39" s="110" t="str">
        <f>Modèle!E41</f>
        <v>A</v>
      </c>
      <c r="E39" s="237">
        <f ca="1">COUNTIF(OFFSET(Synthèse!$G48,0,0,1,COUNTA(Synthèse!$10:$10)-6),"="&amp;$E$1)</f>
        <v>0</v>
      </c>
      <c r="F39" s="237">
        <f ca="1">COUNTIF(OFFSET(Synthèse!$G48,0,0,1,COUNTA(Synthèse!$10:$10)-6),"="&amp;$F$1)</f>
        <v>0</v>
      </c>
      <c r="G39" s="237">
        <f ca="1">COUNTIF(OFFSET(Synthèse!$G48,0,0,1,COUNTA(Synthèse!$10:$10)-6),"="&amp;$G$1)</f>
        <v>0</v>
      </c>
      <c r="H39" s="237">
        <f ca="1">COUNTIF(OFFSET(Synthèse!$G48,0,0,1,COUNTA(Synthèse!$10:$10)-6),"="&amp;$H$1)</f>
        <v>0</v>
      </c>
      <c r="I39" s="18">
        <f t="shared" ca="1" si="1"/>
        <v>0</v>
      </c>
      <c r="K39" s="123" t="s">
        <v>1076</v>
      </c>
      <c r="L39" s="240" t="str">
        <f t="shared" si="19"/>
        <v>A</v>
      </c>
      <c r="M39" s="240"/>
      <c r="N39" s="240" t="s">
        <v>664</v>
      </c>
      <c r="O39" s="241">
        <f ca="1">IF(SUM(E$34:E$43)&gt;=1,0,1)</f>
        <v>1</v>
      </c>
      <c r="P39" s="241">
        <f ca="1">IF(SUM(E$34:E$43)&gt;=1,1,IF(SUM(G$34:G$43)&gt;=1,1,IF(SUM(F$34:F$43)&gt;=1,0,1)))</f>
        <v>1</v>
      </c>
      <c r="Q39" s="241">
        <f ca="1">IF(SUM(E$34:E$43)&gt;=1,1,IF(SUM(G$34:G$43)&gt;=1,0,1))</f>
        <v>1</v>
      </c>
      <c r="R39" s="241">
        <f ca="1">IF(SUM(E$34:E$43)&gt;=1,1,IF(SUM(G$34:G$43)&gt;=1,1,IF(SUM(F$34:F$43)&gt;=1,1,IF(SUM(H$34:H$43)&gt;=1,0,1))))</f>
        <v>1</v>
      </c>
    </row>
    <row r="40" spans="2:18" x14ac:dyDescent="0.35">
      <c r="B40" s="102" t="str">
        <f>Modèle!B42</f>
        <v>Images</v>
      </c>
      <c r="C40" s="109" t="str">
        <f>Modèle!D42</f>
        <v>1.6.7</v>
      </c>
      <c r="D40" s="110" t="str">
        <f>Modèle!E42</f>
        <v>A</v>
      </c>
      <c r="E40" s="237">
        <f ca="1">COUNTIF(OFFSET(Synthèse!$G49,0,0,1,COUNTA(Synthèse!$10:$10)-6),"="&amp;$E$1)</f>
        <v>0</v>
      </c>
      <c r="F40" s="237">
        <f ca="1">COUNTIF(OFFSET(Synthèse!$G49,0,0,1,COUNTA(Synthèse!$10:$10)-6),"="&amp;$F$1)</f>
        <v>0</v>
      </c>
      <c r="G40" s="237">
        <f ca="1">COUNTIF(OFFSET(Synthèse!$G49,0,0,1,COUNTA(Synthèse!$10:$10)-6),"="&amp;$G$1)</f>
        <v>0</v>
      </c>
      <c r="H40" s="237">
        <f ca="1">COUNTIF(OFFSET(Synthèse!$G49,0,0,1,COUNTA(Synthèse!$10:$10)-6),"="&amp;$H$1)</f>
        <v>0</v>
      </c>
      <c r="I40" s="18">
        <f t="shared" ca="1" si="1"/>
        <v>0</v>
      </c>
      <c r="K40" s="123" t="s">
        <v>1077</v>
      </c>
      <c r="L40" s="240" t="str">
        <f t="shared" si="19"/>
        <v>A</v>
      </c>
      <c r="M40" s="240"/>
      <c r="N40" s="240" t="s">
        <v>665</v>
      </c>
      <c r="O40" s="241">
        <f ca="1">IF(SUM(E$44:E$49)&gt;=1,0,1)</f>
        <v>1</v>
      </c>
      <c r="P40" s="241">
        <f ca="1">IF(SUM(E$44:E$49)&gt;=1,1,IF(SUM(G$44:G$49)&gt;=1,1,IF(SUM(F$44:F$49)&gt;=1,0,1)))</f>
        <v>1</v>
      </c>
      <c r="Q40" s="241">
        <f ca="1">IF(SUM(E$44:E$49)&gt;=1,1,IF(SUM(G$44:G$49)&gt;=1,0,1))</f>
        <v>1</v>
      </c>
      <c r="R40" s="241">
        <f ca="1">IF(SUM(E$44:E$49)&gt;=1,1,IF(SUM(G$44:G$49)&gt;=1,1,IF(SUM(F$44:F$49)&gt;=1,1,IF(SUM(H$44:H$49)&gt;=1,0,1))))</f>
        <v>1</v>
      </c>
    </row>
    <row r="41" spans="2:18" x14ac:dyDescent="0.35">
      <c r="B41" s="102" t="str">
        <f>Modèle!B43</f>
        <v>Images</v>
      </c>
      <c r="C41" s="109" t="str">
        <f>Modèle!D43</f>
        <v>1.6.8</v>
      </c>
      <c r="D41" s="110" t="str">
        <f>Modèle!E43</f>
        <v>A</v>
      </c>
      <c r="E41" s="237">
        <f ca="1">COUNTIF(OFFSET(Synthèse!$G50,0,0,1,COUNTA(Synthèse!$10:$10)-6),"="&amp;$E$1)</f>
        <v>0</v>
      </c>
      <c r="F41" s="237">
        <f ca="1">COUNTIF(OFFSET(Synthèse!$G50,0,0,1,COUNTA(Synthèse!$10:$10)-6),"="&amp;$F$1)</f>
        <v>0</v>
      </c>
      <c r="G41" s="237">
        <f ca="1">COUNTIF(OFFSET(Synthèse!$G50,0,0,1,COUNTA(Synthèse!$10:$10)-6),"="&amp;$G$1)</f>
        <v>0</v>
      </c>
      <c r="H41" s="237">
        <f ca="1">COUNTIF(OFFSET(Synthèse!$G50,0,0,1,COUNTA(Synthèse!$10:$10)-6),"="&amp;$H$1)</f>
        <v>0</v>
      </c>
      <c r="I41" s="18">
        <f t="shared" ca="1" si="1"/>
        <v>0</v>
      </c>
      <c r="K41" s="123" t="s">
        <v>1078</v>
      </c>
      <c r="L41" s="240" t="s">
        <v>25</v>
      </c>
      <c r="M41" s="240"/>
      <c r="N41" s="240" t="s">
        <v>667</v>
      </c>
      <c r="O41" s="241">
        <f ca="1">IF(SUM(E$50:E$54)&gt;=1,0,1)</f>
        <v>1</v>
      </c>
      <c r="P41" s="241">
        <f ca="1">IF(SUM(E$50:E$54)&gt;=1,1,IF(SUM(G$50:G$54)&gt;=1,1,IF(SUM(F$50:F$54)&gt;=1,0,1)))</f>
        <v>1</v>
      </c>
      <c r="Q41" s="241">
        <f ca="1">IF(SUM(E$50:E$54)&gt;=1,1,IF(SUM(G$50:G$54)&gt;=1,0,1))</f>
        <v>1</v>
      </c>
      <c r="R41" s="241">
        <f ca="1">IF(SUM(E$50:E$54)&gt;=1,1,IF(SUM(G$50:G$54)&gt;=1,1,IF(SUM(F$50:F$54)&gt;=1,1,IF(SUM(H$50:H$54)&gt;=1,0,1))))</f>
        <v>1</v>
      </c>
    </row>
    <row r="42" spans="2:18" x14ac:dyDescent="0.35">
      <c r="B42" s="102" t="str">
        <f>Modèle!B44</f>
        <v>Images</v>
      </c>
      <c r="C42" s="109" t="str">
        <f>Modèle!D44</f>
        <v>1.6.9</v>
      </c>
      <c r="D42" s="110" t="str">
        <f>Modèle!E44</f>
        <v>A</v>
      </c>
      <c r="E42" s="237">
        <f ca="1">COUNTIF(OFFSET(Synthèse!$G51,0,0,1,COUNTA(Synthèse!$10:$10)-6),"="&amp;$E$1)</f>
        <v>0</v>
      </c>
      <c r="F42" s="237">
        <f ca="1">COUNTIF(OFFSET(Synthèse!$G51,0,0,1,COUNTA(Synthèse!$10:$10)-6),"="&amp;$F$1)</f>
        <v>0</v>
      </c>
      <c r="G42" s="237">
        <f ca="1">COUNTIF(OFFSET(Synthèse!$G51,0,0,1,COUNTA(Synthèse!$10:$10)-6),"="&amp;$G$1)</f>
        <v>0</v>
      </c>
      <c r="H42" s="237">
        <f ca="1">COUNTIF(OFFSET(Synthèse!$G51,0,0,1,COUNTA(Synthèse!$10:$10)-6),"="&amp;$H$1)</f>
        <v>0</v>
      </c>
      <c r="I42" s="18">
        <f t="shared" ca="1" si="1"/>
        <v>0</v>
      </c>
      <c r="K42" s="123" t="s">
        <v>1079</v>
      </c>
      <c r="L42" s="240" t="s">
        <v>24</v>
      </c>
      <c r="M42" s="240"/>
      <c r="N42" s="240" t="s">
        <v>669</v>
      </c>
      <c r="O42" s="241">
        <f ca="1">IF(SUM(E$55:E$59)&gt;=1,0,1)</f>
        <v>1</v>
      </c>
      <c r="P42" s="241">
        <f ca="1">IF(SUM(E$55:E$59)&gt;=1,1,IF(SUM(G$55:G$59)&gt;=1,1,IF(SUM(F$55:F$59)&gt;=1,0,1)))</f>
        <v>1</v>
      </c>
      <c r="Q42" s="241">
        <f ca="1">IF(SUM(E$55:E$59)&gt;=1,1,IF(SUM(G$55:G$59)&gt;=1,0,1))</f>
        <v>1</v>
      </c>
      <c r="R42" s="241">
        <f ca="1">IF(SUM(E$55:E$59)&gt;=1,1,IF(SUM(G$55:G$59)&gt;=1,1,IF(SUM(F$55:F$59)&gt;=1,1,IF(SUM(H$55:H$59)&gt;=1,0,1))))</f>
        <v>1</v>
      </c>
    </row>
    <row r="43" spans="2:18" x14ac:dyDescent="0.35">
      <c r="B43" s="102" t="str">
        <f>Modèle!B45</f>
        <v>Images</v>
      </c>
      <c r="C43" s="109" t="str">
        <f>Modèle!D45</f>
        <v>1.6.10</v>
      </c>
      <c r="D43" s="110" t="str">
        <f>Modèle!E45</f>
        <v>A</v>
      </c>
      <c r="E43" s="237">
        <f ca="1">COUNTIF(OFFSET(Synthèse!$G52,0,0,1,COUNTA(Synthèse!$10:$10)-6),"="&amp;$E$1)</f>
        <v>0</v>
      </c>
      <c r="F43" s="237">
        <f ca="1">COUNTIF(OFFSET(Synthèse!$G52,0,0,1,COUNTA(Synthèse!$10:$10)-6),"="&amp;$F$1)</f>
        <v>0</v>
      </c>
      <c r="G43" s="237">
        <f ca="1">COUNTIF(OFFSET(Synthèse!$G52,0,0,1,COUNTA(Synthèse!$10:$10)-6),"="&amp;$G$1)</f>
        <v>0</v>
      </c>
      <c r="H43" s="237">
        <f ca="1">COUNTIF(OFFSET(Synthèse!$G52,0,0,1,COUNTA(Synthèse!$10:$10)-6),"="&amp;$H$1)</f>
        <v>0</v>
      </c>
      <c r="I43" s="18">
        <f t="shared" ca="1" si="1"/>
        <v>0</v>
      </c>
      <c r="K43" s="123" t="s">
        <v>1080</v>
      </c>
      <c r="L43" s="242" t="s">
        <v>24</v>
      </c>
      <c r="M43" s="242"/>
      <c r="N43" s="242" t="s">
        <v>670</v>
      </c>
      <c r="O43" s="243">
        <f ca="1">IF(SUM(E$60:E$60)&gt;=1,0,1)</f>
        <v>1</v>
      </c>
      <c r="P43" s="243">
        <f ca="1">IF(SUM(E$60:E$60)&gt;=1,1,IF(SUM(G$60:G$60)&gt;=1,1,IF(SUM(F$60:F$60)&gt;=1,0,1)))</f>
        <v>1</v>
      </c>
      <c r="Q43" s="243">
        <f ca="1">IF(SUM(E$60)&gt;=1,1,IF(SUM(G$60)&gt;=1,0,1))</f>
        <v>1</v>
      </c>
      <c r="R43" s="243">
        <f ca="1">IF(SUM(E$60)&gt;=1,1,IF(SUM(G$60)&gt;=1,1,IF(SUM(F$60)&gt;=1,1,IF(SUM(H$60)&gt;=1,0,1))))</f>
        <v>1</v>
      </c>
    </row>
    <row r="44" spans="2:18" x14ac:dyDescent="0.35">
      <c r="B44" s="101" t="str">
        <f>Modèle!B46</f>
        <v>Images</v>
      </c>
      <c r="C44" s="107" t="str">
        <f>Modèle!D46</f>
        <v>1.7.1</v>
      </c>
      <c r="D44" s="108" t="str">
        <f>Modèle!E46</f>
        <v>A</v>
      </c>
      <c r="E44" s="236">
        <f ca="1">COUNTIF(OFFSET(Synthèse!$G53,0,0,1,COUNTA(Synthèse!$10:$10)-6),"="&amp;$E$1)</f>
        <v>0</v>
      </c>
      <c r="F44" s="236">
        <f ca="1">COUNTIF(OFFSET(Synthèse!$G53,0,0,1,COUNTA(Synthèse!$10:$10)-6),"="&amp;$F$1)</f>
        <v>0</v>
      </c>
      <c r="G44" s="236">
        <f ca="1">COUNTIF(OFFSET(Synthèse!$G53,0,0,1,COUNTA(Synthèse!$10:$10)-6),"="&amp;$G$1)</f>
        <v>0</v>
      </c>
      <c r="H44" s="236">
        <f ca="1">COUNTIF(OFFSET(Synthèse!$G53,0,0,1,COUNTA(Synthèse!$10:$10)-6),"="&amp;$H$1)</f>
        <v>0</v>
      </c>
      <c r="I44" s="18">
        <f t="shared" ca="1" si="1"/>
        <v>0</v>
      </c>
      <c r="K44" s="123" t="s">
        <v>1081</v>
      </c>
      <c r="L44" s="242" t="s">
        <v>24</v>
      </c>
      <c r="M44" s="242"/>
      <c r="N44" s="242" t="s">
        <v>671</v>
      </c>
      <c r="O44" s="243">
        <f ca="1">IF(SUM(E$61:E$61)&gt;=1,0,1)</f>
        <v>1</v>
      </c>
      <c r="P44" s="243">
        <f ca="1">IF(SUM(E$61:E$61)&gt;=1,1,IF(SUM(G$61:G$61)&gt;=1,1,IF(SUM(F$61:F$61)&gt;=1,0,1)))</f>
        <v>1</v>
      </c>
      <c r="Q44" s="243">
        <f ca="1">IF(SUM(E$61)&gt;=1,1,IF(SUM(G$61)&gt;=1,0,1))</f>
        <v>1</v>
      </c>
      <c r="R44" s="243">
        <f ca="1">IF(SUM(E$61)&gt;=1,1,IF(SUM(G$61)&gt;=1,1,IF(SUM(F$61)&gt;=1,1,IF(SUM(H$61)&gt;=1,0,1))))</f>
        <v>1</v>
      </c>
    </row>
    <row r="45" spans="2:18" x14ac:dyDescent="0.35">
      <c r="B45" s="101" t="str">
        <f>Modèle!B47</f>
        <v>Images</v>
      </c>
      <c r="C45" s="107" t="str">
        <f>Modèle!D47</f>
        <v>1.7.2</v>
      </c>
      <c r="D45" s="108" t="str">
        <f>Modèle!E47</f>
        <v>A</v>
      </c>
      <c r="E45" s="236">
        <f ca="1">COUNTIF(OFFSET(Synthèse!$G54,0,0,1,COUNTA(Synthèse!$10:$10)-6),"="&amp;$E$1)</f>
        <v>0</v>
      </c>
      <c r="F45" s="236">
        <f ca="1">COUNTIF(OFFSET(Synthèse!$G54,0,0,1,COUNTA(Synthèse!$10:$10)-6),"="&amp;$F$1)</f>
        <v>0</v>
      </c>
      <c r="G45" s="236">
        <f ca="1">COUNTIF(OFFSET(Synthèse!$G54,0,0,1,COUNTA(Synthèse!$10:$10)-6),"="&amp;$G$1)</f>
        <v>0</v>
      </c>
      <c r="H45" s="236">
        <f ca="1">COUNTIF(OFFSET(Synthèse!$G54,0,0,1,COUNTA(Synthèse!$10:$10)-6),"="&amp;$H$1)</f>
        <v>0</v>
      </c>
      <c r="I45" s="18">
        <f t="shared" ca="1" si="1"/>
        <v>0</v>
      </c>
      <c r="K45" s="123" t="s">
        <v>1082</v>
      </c>
      <c r="L45" s="240" t="s">
        <v>24</v>
      </c>
      <c r="M45" s="240"/>
      <c r="N45" s="240" t="s">
        <v>672</v>
      </c>
      <c r="O45" s="241">
        <f ca="1">IF(SUM(E$62:E$67)&gt;=1,0,1)</f>
        <v>1</v>
      </c>
      <c r="P45" s="241">
        <f ca="1">IF(SUM(E$62:E$67)&gt;=1,1,IF(SUM(G$62:G$67)&gt;=1,1,IF(SUM(F$62:F$67)&gt;=1,0,1)))</f>
        <v>1</v>
      </c>
      <c r="Q45" s="241">
        <f ca="1">IF(SUM(E$62:E$67)&gt;=1,1,IF(SUM(G$62:G$67)&gt;=1,0,1))</f>
        <v>1</v>
      </c>
      <c r="R45" s="241">
        <f ca="1">IF(SUM(E$62:E$67)&gt;=1,1,IF(SUM(G$62:G$67)&gt;=1,1,IF(SUM(F$62:F$67)&gt;=1,1,IF(SUM(H$62:H$67)&gt;=1,0,1))))</f>
        <v>1</v>
      </c>
    </row>
    <row r="46" spans="2:18" x14ac:dyDescent="0.35">
      <c r="B46" s="101" t="str">
        <f>Modèle!B48</f>
        <v>Images</v>
      </c>
      <c r="C46" s="107" t="str">
        <f>Modèle!D48</f>
        <v>1.7.3</v>
      </c>
      <c r="D46" s="108" t="str">
        <f>Modèle!E48</f>
        <v>A</v>
      </c>
      <c r="E46" s="236">
        <f ca="1">COUNTIF(OFFSET(Synthèse!$G55,0,0,1,COUNTA(Synthèse!$10:$10)-6),"="&amp;$E$1)</f>
        <v>0</v>
      </c>
      <c r="F46" s="236">
        <f ca="1">COUNTIF(OFFSET(Synthèse!$G55,0,0,1,COUNTA(Synthèse!$10:$10)-6),"="&amp;$F$1)</f>
        <v>0</v>
      </c>
      <c r="G46" s="236">
        <f ca="1">COUNTIF(OFFSET(Synthèse!$G55,0,0,1,COUNTA(Synthèse!$10:$10)-6),"="&amp;$G$1)</f>
        <v>0</v>
      </c>
      <c r="H46" s="236">
        <f ca="1">COUNTIF(OFFSET(Synthèse!$G55,0,0,1,COUNTA(Synthèse!$10:$10)-6),"="&amp;$H$1)</f>
        <v>0</v>
      </c>
      <c r="I46" s="18">
        <f t="shared" ca="1" si="1"/>
        <v>0</v>
      </c>
      <c r="K46" s="123" t="s">
        <v>1083</v>
      </c>
      <c r="L46" s="240" t="s">
        <v>25</v>
      </c>
      <c r="M46" s="240"/>
      <c r="N46" s="240" t="s">
        <v>673</v>
      </c>
      <c r="O46" s="241">
        <f ca="1">IF(SUM(E$68:E$72)&gt;=1,0,1)</f>
        <v>1</v>
      </c>
      <c r="P46" s="241">
        <f ca="1">IF(SUM(E$68:E$72)&gt;=1,1,IF(SUM(G$68:G$72)&gt;=1,1,IF(SUM(F$68:F$72)&gt;=1,0,1)))</f>
        <v>1</v>
      </c>
      <c r="Q46" s="241">
        <f ca="1">IF(SUM(E$68:E$72)&gt;=1,1,IF(SUM(G$68:G$72)&gt;=1,0,1))</f>
        <v>1</v>
      </c>
      <c r="R46" s="241">
        <f ca="1">IF(SUM(E$68:E$72)&gt;=1,1,IF(SUM(G$68:G$72)&gt;=1,1,IF(SUM(F$68:F$72)&gt;=1,1,IF(SUM(H$68:H$72)&gt;=1,0,1))))</f>
        <v>1</v>
      </c>
    </row>
    <row r="47" spans="2:18" x14ac:dyDescent="0.35">
      <c r="B47" s="101" t="str">
        <f>Modèle!B49</f>
        <v>Images</v>
      </c>
      <c r="C47" s="107" t="str">
        <f>Modèle!D49</f>
        <v>1.7.4</v>
      </c>
      <c r="D47" s="108" t="str">
        <f>Modèle!E49</f>
        <v>A</v>
      </c>
      <c r="E47" s="236">
        <f ca="1">COUNTIF(OFFSET(Synthèse!$G56,0,0,1,COUNTA(Synthèse!$10:$10)-6),"="&amp;$E$1)</f>
        <v>0</v>
      </c>
      <c r="F47" s="236">
        <f ca="1">COUNTIF(OFFSET(Synthèse!$G56,0,0,1,COUNTA(Synthèse!$10:$10)-6),"="&amp;$F$1)</f>
        <v>0</v>
      </c>
      <c r="G47" s="236">
        <f ca="1">COUNTIF(OFFSET(Synthèse!$G56,0,0,1,COUNTA(Synthèse!$10:$10)-6),"="&amp;$G$1)</f>
        <v>0</v>
      </c>
      <c r="H47" s="236">
        <f ca="1">COUNTIF(OFFSET(Synthèse!$G56,0,0,1,COUNTA(Synthèse!$10:$10)-6),"="&amp;$H$1)</f>
        <v>0</v>
      </c>
      <c r="I47" s="18">
        <f t="shared" ca="1" si="1"/>
        <v>0</v>
      </c>
      <c r="K47" s="123" t="s">
        <v>1084</v>
      </c>
      <c r="L47" s="240" t="s">
        <v>25</v>
      </c>
      <c r="M47" s="240"/>
      <c r="N47" s="240" t="s">
        <v>674</v>
      </c>
      <c r="O47" s="241">
        <f ca="1">IF(SUM(E$73:E$76)&gt;=1,0,1)</f>
        <v>1</v>
      </c>
      <c r="P47" s="241">
        <f ca="1">IF(SUM(E$73:E$76)&gt;=1,1,IF(SUM(G$73:G$76)&gt;=1,1,IF(SUM(F$73:F$76)&gt;=1,0,1)))</f>
        <v>1</v>
      </c>
      <c r="Q47" s="241">
        <f ca="1">IF(SUM(E$73:E$76)&gt;=1,1,IF(SUM(G$73:G$76)&gt;=1,0,1))</f>
        <v>1</v>
      </c>
      <c r="R47" s="241">
        <f ca="1">IF(SUM(E$73:E$76)&gt;=1,1,IF(SUM(G$73:G$76)&gt;=1,1,IF(SUM(F$73:F$76)&gt;=1,1,IF(SUM(H$73:H$76)&gt;=1,0,1))))</f>
        <v>1</v>
      </c>
    </row>
    <row r="48" spans="2:18" x14ac:dyDescent="0.35">
      <c r="B48" s="101" t="str">
        <f>Modèle!B50</f>
        <v>Images</v>
      </c>
      <c r="C48" s="107" t="str">
        <f>Modèle!D50</f>
        <v>1.7.5</v>
      </c>
      <c r="D48" s="108" t="str">
        <f>Modèle!E50</f>
        <v>A</v>
      </c>
      <c r="E48" s="236">
        <f ca="1">COUNTIF(OFFSET(Synthèse!$G57,0,0,1,COUNTA(Synthèse!$10:$10)-6),"="&amp;$E$1)</f>
        <v>0</v>
      </c>
      <c r="F48" s="236">
        <f ca="1">COUNTIF(OFFSET(Synthèse!$G57,0,0,1,COUNTA(Synthèse!$10:$10)-6),"="&amp;$F$1)</f>
        <v>0</v>
      </c>
      <c r="G48" s="236">
        <f ca="1">COUNTIF(OFFSET(Synthèse!$G57,0,0,1,COUNTA(Synthèse!$10:$10)-6),"="&amp;$G$1)</f>
        <v>0</v>
      </c>
      <c r="H48" s="236">
        <f ca="1">COUNTIF(OFFSET(Synthèse!$G57,0,0,1,COUNTA(Synthèse!$10:$10)-6),"="&amp;$H$1)</f>
        <v>0</v>
      </c>
      <c r="I48" s="18">
        <f t="shared" ca="1" si="1"/>
        <v>0</v>
      </c>
      <c r="K48" s="123" t="s">
        <v>1085</v>
      </c>
      <c r="L48" s="242" t="s">
        <v>24</v>
      </c>
      <c r="M48" s="242"/>
      <c r="N48" s="242" t="s">
        <v>675</v>
      </c>
      <c r="O48" s="243">
        <f ca="1">IF(SUM(E$77:E$79)&gt;=1,0,1)</f>
        <v>1</v>
      </c>
      <c r="P48" s="243">
        <f ca="1">IF(SUM(E$77:E$79)&gt;=1,1,IF(SUM(G$77:G$79)&gt;=1,1,IF(SUM(F$77:F$79)&gt;=1,0,1)))</f>
        <v>1</v>
      </c>
      <c r="Q48" s="243">
        <f ca="1">IF(SUM(E$77:E$79)&gt;=1,1,IF(SUM(G$77:G$79)&gt;=1,0,1))</f>
        <v>1</v>
      </c>
      <c r="R48" s="243">
        <f ca="1">IF(SUM(E$77:E$79)&gt;=1,1,IF(SUM(G$77:G$79)&gt;=1,1,IF(SUM(F$77:F$79)&gt;=1,1,IF(SUM(H$77:H$79)&gt;=1,0,1))))</f>
        <v>1</v>
      </c>
    </row>
    <row r="49" spans="2:18" x14ac:dyDescent="0.35">
      <c r="B49" s="101" t="str">
        <f>Modèle!B51</f>
        <v>Images</v>
      </c>
      <c r="C49" s="107" t="str">
        <f>Modèle!D51</f>
        <v>1.7.6</v>
      </c>
      <c r="D49" s="108" t="str">
        <f>Modèle!E51</f>
        <v>A</v>
      </c>
      <c r="E49" s="236">
        <f ca="1">COUNTIF(OFFSET(Synthèse!$G58,0,0,1,COUNTA(Synthèse!$10:$10)-6),"="&amp;$E$1)</f>
        <v>0</v>
      </c>
      <c r="F49" s="236">
        <f ca="1">COUNTIF(OFFSET(Synthèse!$G58,0,0,1,COUNTA(Synthèse!$10:$10)-6),"="&amp;$F$1)</f>
        <v>0</v>
      </c>
      <c r="G49" s="236">
        <f ca="1">COUNTIF(OFFSET(Synthèse!$G58,0,0,1,COUNTA(Synthèse!$10:$10)-6),"="&amp;$G$1)</f>
        <v>0</v>
      </c>
      <c r="H49" s="236">
        <f ca="1">COUNTIF(OFFSET(Synthèse!$G58,0,0,1,COUNTA(Synthèse!$10:$10)-6),"="&amp;$H$1)</f>
        <v>0</v>
      </c>
      <c r="I49" s="18">
        <f t="shared" ca="1" si="1"/>
        <v>0</v>
      </c>
      <c r="K49" s="123" t="s">
        <v>1086</v>
      </c>
      <c r="L49" s="242" t="s">
        <v>24</v>
      </c>
      <c r="M49" s="242"/>
      <c r="N49" s="242" t="s">
        <v>676</v>
      </c>
      <c r="O49" s="243">
        <f ca="1">IF(SUM(E$80:E$82)&gt;=1,0,1)</f>
        <v>1</v>
      </c>
      <c r="P49" s="243">
        <f ca="1">IF(SUM(E$80:E$82)&gt;=1,1,IF(SUM(G$80:G$82)&gt;=1,1,IF(SUM(F$80:F$82)&gt;=1,0,1)))</f>
        <v>1</v>
      </c>
      <c r="Q49" s="243">
        <f ca="1">IF(SUM(E$80:E$82)&gt;=1,1,IF(SUM(G$80:G$82)&gt;=1,0,1))</f>
        <v>1</v>
      </c>
      <c r="R49" s="243">
        <f ca="1">IF(SUM(E$80:E$82)&gt;=1,1,IF(SUM(G$80:G$82)&gt;=1,1,IF(SUM(F$80:F$82)&gt;=1,1,IF(SUM(H$80:H$82)&gt;=1,0,1))))</f>
        <v>1</v>
      </c>
    </row>
    <row r="50" spans="2:18" x14ac:dyDescent="0.35">
      <c r="B50" s="102" t="str">
        <f>Modèle!B52</f>
        <v>Images</v>
      </c>
      <c r="C50" s="109" t="str">
        <f>Modèle!D52</f>
        <v>1.8.1</v>
      </c>
      <c r="D50" s="110" t="str">
        <f>Modèle!E52</f>
        <v>AA</v>
      </c>
      <c r="E50" s="237">
        <f ca="1">COUNTIF(OFFSET(Synthèse!$G59,0,0,1,COUNTA(Synthèse!$10:$10)-6),"="&amp;$E$1)</f>
        <v>0</v>
      </c>
      <c r="F50" s="237">
        <f ca="1">COUNTIF(OFFSET(Synthèse!$G59,0,0,1,COUNTA(Synthèse!$10:$10)-6),"="&amp;$F$1)</f>
        <v>0</v>
      </c>
      <c r="G50" s="237">
        <f ca="1">COUNTIF(OFFSET(Synthèse!$G59,0,0,1,COUNTA(Synthèse!$10:$10)-6),"="&amp;$G$1)</f>
        <v>0</v>
      </c>
      <c r="H50" s="237">
        <f ca="1">COUNTIF(OFFSET(Synthèse!$G59,0,0,1,COUNTA(Synthèse!$10:$10)-6),"="&amp;$H$1)</f>
        <v>0</v>
      </c>
      <c r="I50" s="18">
        <f t="shared" ca="1" si="1"/>
        <v>0</v>
      </c>
      <c r="K50" s="123" t="s">
        <v>1087</v>
      </c>
      <c r="L50" s="242" t="s">
        <v>24</v>
      </c>
      <c r="M50" s="242"/>
      <c r="N50" s="242" t="s">
        <v>677</v>
      </c>
      <c r="O50" s="243">
        <f ca="1">IF(SUM(E$83:E$84)&gt;=1,0,1)</f>
        <v>1</v>
      </c>
      <c r="P50" s="243">
        <f ca="1">IF(SUM(E$83:E$84)&gt;=1,1,IF(SUM(G$83:G$84)&gt;=1,1,IF(SUM(F$83:F$84)&gt;=1,0,1)))</f>
        <v>1</v>
      </c>
      <c r="Q50" s="243">
        <f ca="1">IF(SUM(E$83:E$84)&gt;=1,1,IF(SUM(G$83:G$84)&gt;=1,0,1))</f>
        <v>1</v>
      </c>
      <c r="R50" s="243">
        <f ca="1">IF(SUM(E$83:E$84)&gt;=1,1,IF(SUM(G$83:G$84)&gt;=1,1,IF(SUM(F$83:F$84)&gt;=1,1,IF(SUM(H$83:H$84)&gt;=1,0,1))))</f>
        <v>1</v>
      </c>
    </row>
    <row r="51" spans="2:18" x14ac:dyDescent="0.35">
      <c r="B51" s="102" t="str">
        <f>Modèle!B53</f>
        <v>Images</v>
      </c>
      <c r="C51" s="109" t="str">
        <f>Modèle!D53</f>
        <v>1.8.2</v>
      </c>
      <c r="D51" s="110" t="str">
        <f>Modèle!E53</f>
        <v>AA</v>
      </c>
      <c r="E51" s="237">
        <f ca="1">COUNTIF(OFFSET(Synthèse!$G60,0,0,1,COUNTA(Synthèse!$10:$10)-6),"="&amp;$E$1)</f>
        <v>0</v>
      </c>
      <c r="F51" s="237">
        <f ca="1">COUNTIF(OFFSET(Synthèse!$G60,0,0,1,COUNTA(Synthèse!$10:$10)-6),"="&amp;$F$1)</f>
        <v>0</v>
      </c>
      <c r="G51" s="237">
        <f ca="1">COUNTIF(OFFSET(Synthèse!$G60,0,0,1,COUNTA(Synthèse!$10:$10)-6),"="&amp;$G$1)</f>
        <v>0</v>
      </c>
      <c r="H51" s="237">
        <f ca="1">COUNTIF(OFFSET(Synthèse!$G60,0,0,1,COUNTA(Synthèse!$10:$10)-6),"="&amp;$H$1)</f>
        <v>0</v>
      </c>
      <c r="I51" s="18">
        <f t="shared" ca="1" si="1"/>
        <v>0</v>
      </c>
      <c r="K51" s="123" t="s">
        <v>1175</v>
      </c>
      <c r="L51" s="242" t="s">
        <v>24</v>
      </c>
      <c r="M51" s="242"/>
      <c r="N51" s="242" t="s">
        <v>678</v>
      </c>
      <c r="O51" s="243">
        <f ca="1">IF(SUM(E$85:E$85)&gt;=1,0,1)</f>
        <v>1</v>
      </c>
      <c r="P51" s="243">
        <f ca="1">IF(SUM(E$85)&gt;=1,1,IF(SUM(G$85)&gt;=1,1,IF(SUM(F$85)&gt;=1,0,1)))</f>
        <v>1</v>
      </c>
      <c r="Q51" s="243">
        <f ca="1">IF(SUM(E$85)&gt;=1,1,IF(SUM(G$85)&gt;=1,0,1))</f>
        <v>1</v>
      </c>
      <c r="R51" s="243">
        <f ca="1">IF(SUM(E$85)&gt;=1,1,IF(SUM(G$85)&gt;=1,1,IF(SUM(F$85)&gt;=1,1,IF(SUM(H$85)&gt;=1,0,1))))</f>
        <v>1</v>
      </c>
    </row>
    <row r="52" spans="2:18" x14ac:dyDescent="0.35">
      <c r="B52" s="102" t="str">
        <f>Modèle!B54</f>
        <v>Images</v>
      </c>
      <c r="C52" s="109" t="str">
        <f>Modèle!D54</f>
        <v>1.8.3</v>
      </c>
      <c r="D52" s="110" t="str">
        <f>Modèle!E54</f>
        <v>AA</v>
      </c>
      <c r="E52" s="237">
        <f ca="1">COUNTIF(OFFSET(Synthèse!$G61,0,0,1,COUNTA(Synthèse!$10:$10)-6),"="&amp;$E$1)</f>
        <v>0</v>
      </c>
      <c r="F52" s="237">
        <f ca="1">COUNTIF(OFFSET(Synthèse!$G61,0,0,1,COUNTA(Synthèse!$10:$10)-6),"="&amp;$F$1)</f>
        <v>0</v>
      </c>
      <c r="G52" s="237">
        <f ca="1">COUNTIF(OFFSET(Synthèse!$G61,0,0,1,COUNTA(Synthèse!$10:$10)-6),"="&amp;$G$1)</f>
        <v>0</v>
      </c>
      <c r="H52" s="237">
        <f ca="1">COUNTIF(OFFSET(Synthèse!$G61,0,0,1,COUNTA(Synthèse!$10:$10)-6),"="&amp;$H$1)</f>
        <v>0</v>
      </c>
      <c r="I52" s="18">
        <f t="shared" ca="1" si="1"/>
        <v>0</v>
      </c>
      <c r="K52" s="123" t="s">
        <v>1088</v>
      </c>
      <c r="L52" s="242" t="s">
        <v>25</v>
      </c>
      <c r="M52" s="242"/>
      <c r="N52" s="242" t="s">
        <v>679</v>
      </c>
      <c r="O52" s="243">
        <f ca="1">IF(SUM(E$86:E$87)&gt;=1,0,1)</f>
        <v>1</v>
      </c>
      <c r="P52" s="243">
        <f ca="1">IF(SUM(E$86:E$87)&gt;=1,1,IF(SUM(G$86:G$87)&gt;=1,1,IF(SUM(F$86:F$87)&gt;=1,0,1)))</f>
        <v>1</v>
      </c>
      <c r="Q52" s="243">
        <f ca="1">IF(SUM(E$86:E$87)&gt;=1,1,IF(SUM(G$86:G$87)&gt;=1,0,1))</f>
        <v>1</v>
      </c>
      <c r="R52" s="243">
        <f ca="1">IF(SUM(E$86:E$87)&gt;=1,1,IF(SUM(G$86:G$87)&gt;=1,1,IF(SUM(F$86:F$87)&gt;=1,1,IF(SUM(H$86:H$87)&gt;=1,0,1))))</f>
        <v>1</v>
      </c>
    </row>
    <row r="53" spans="2:18" x14ac:dyDescent="0.35">
      <c r="B53" s="102" t="str">
        <f>Modèle!B55</f>
        <v>Images</v>
      </c>
      <c r="C53" s="109" t="str">
        <f>Modèle!D55</f>
        <v>1.8.4</v>
      </c>
      <c r="D53" s="110" t="str">
        <f>Modèle!E55</f>
        <v>AA</v>
      </c>
      <c r="E53" s="237">
        <f ca="1">COUNTIF(OFFSET(Synthèse!$G62,0,0,1,COUNTA(Synthèse!$10:$10)-6),"="&amp;$E$1)</f>
        <v>0</v>
      </c>
      <c r="F53" s="237">
        <f ca="1">COUNTIF(OFFSET(Synthèse!$G62,0,0,1,COUNTA(Synthèse!$10:$10)-6),"="&amp;$F$1)</f>
        <v>0</v>
      </c>
      <c r="G53" s="237">
        <f ca="1">COUNTIF(OFFSET(Synthèse!$G62,0,0,1,COUNTA(Synthèse!$10:$10)-6),"="&amp;$G$1)</f>
        <v>0</v>
      </c>
      <c r="H53" s="237">
        <f ca="1">COUNTIF(OFFSET(Synthèse!$G62,0,0,1,COUNTA(Synthèse!$10:$10)-6),"="&amp;$H$1)</f>
        <v>0</v>
      </c>
      <c r="I53" s="18">
        <f t="shared" ca="1" si="1"/>
        <v>0</v>
      </c>
      <c r="K53" s="123" t="s">
        <v>1089</v>
      </c>
      <c r="L53" s="242" t="s">
        <v>25</v>
      </c>
      <c r="M53" s="242"/>
      <c r="N53" s="242" t="s">
        <v>680</v>
      </c>
      <c r="O53" s="243">
        <f ca="1">IF(SUM(E$88:E$89)&gt;=1,0,1)</f>
        <v>1</v>
      </c>
      <c r="P53" s="243">
        <f ca="1">IF(SUM(E$88:E$89)&gt;=1,1,IF(SUM(G$88:G$89)&gt;=1,1,IF(SUM(F$88:F$89)&gt;=1,0,1)))</f>
        <v>1</v>
      </c>
      <c r="Q53" s="243">
        <f ca="1">IF(SUM(E$88:E$89)&gt;=1,1,IF(SUM(G$88:G$89)&gt;=1,0,1))</f>
        <v>1</v>
      </c>
      <c r="R53" s="243">
        <f ca="1">IF(SUM(E$88:E$89)&gt;=1,1,IF(SUM(G$88:G$89)&gt;=1,1,IF(SUM(F$88:F$89)&gt;=1,1,IF(SUM(H$88:H$89)&gt;=1,0,1))))</f>
        <v>1</v>
      </c>
    </row>
    <row r="54" spans="2:18" x14ac:dyDescent="0.35">
      <c r="B54" s="102" t="str">
        <f>Modèle!B56</f>
        <v>Images</v>
      </c>
      <c r="C54" s="109" t="str">
        <f>Modèle!D56</f>
        <v>1.8.5</v>
      </c>
      <c r="D54" s="110" t="str">
        <f>Modèle!E56</f>
        <v>AA</v>
      </c>
      <c r="E54" s="237">
        <f ca="1">COUNTIF(OFFSET(Synthèse!$G63,0,0,1,COUNTA(Synthèse!$10:$10)-6),"="&amp;$E$1)</f>
        <v>0</v>
      </c>
      <c r="F54" s="237">
        <f ca="1">COUNTIF(OFFSET(Synthèse!$G63,0,0,1,COUNTA(Synthèse!$10:$10)-6),"="&amp;$F$1)</f>
        <v>0</v>
      </c>
      <c r="G54" s="237">
        <f ca="1">COUNTIF(OFFSET(Synthèse!$G63,0,0,1,COUNTA(Synthèse!$10:$10)-6),"="&amp;$G$1)</f>
        <v>0</v>
      </c>
      <c r="H54" s="237">
        <f ca="1">COUNTIF(OFFSET(Synthèse!$G63,0,0,1,COUNTA(Synthèse!$10:$10)-6),"="&amp;$H$1)</f>
        <v>0</v>
      </c>
      <c r="I54" s="18">
        <f t="shared" ca="1" si="1"/>
        <v>0</v>
      </c>
      <c r="K54" s="123" t="s">
        <v>1090</v>
      </c>
      <c r="L54" s="242" t="s">
        <v>24</v>
      </c>
      <c r="M54" s="242"/>
      <c r="N54" s="242" t="s">
        <v>681</v>
      </c>
      <c r="O54" s="243">
        <f ca="1">IF(SUM(E$90:E$90)&gt;=1,0,1)</f>
        <v>1</v>
      </c>
      <c r="P54" s="243">
        <f ca="1">IF(SUM(E$90)&gt;=1,1,IF(SUM(G$90)&gt;=1,1,IF(SUM(F$90)&gt;=1,0,1)))</f>
        <v>1</v>
      </c>
      <c r="Q54" s="243">
        <f ca="1">IF(SUM(E$90)&gt;=1,1,IF(SUM(G$90)&gt;=1,0,1))</f>
        <v>1</v>
      </c>
      <c r="R54" s="243">
        <f ca="1">IF(SUM(E$90)&gt;=1,1,IF(SUM(G$90)&gt;=1,1,IF(SUM(F$90)&gt;=1,1,IF(SUM(H$90)&gt;=1,0,1))))</f>
        <v>1</v>
      </c>
    </row>
    <row r="55" spans="2:18" x14ac:dyDescent="0.35">
      <c r="B55" s="101" t="str">
        <f>Modèle!B57</f>
        <v>Images</v>
      </c>
      <c r="C55" s="107" t="str">
        <f>Modèle!D57</f>
        <v>1.9.1</v>
      </c>
      <c r="D55" s="108" t="str">
        <f>Modèle!E57</f>
        <v>A</v>
      </c>
      <c r="E55" s="236">
        <f ca="1">COUNTIF(OFFSET(Synthèse!$G64,0,0,1,COUNTA(Synthèse!$10:$10)-6),"="&amp;$E$1)</f>
        <v>0</v>
      </c>
      <c r="F55" s="236">
        <f ca="1">COUNTIF(OFFSET(Synthèse!$G64,0,0,1,COUNTA(Synthèse!$10:$10)-6),"="&amp;$F$1)</f>
        <v>0</v>
      </c>
      <c r="G55" s="236">
        <f ca="1">COUNTIF(OFFSET(Synthèse!$G64,0,0,1,COUNTA(Synthèse!$10:$10)-6),"="&amp;$G$1)</f>
        <v>0</v>
      </c>
      <c r="H55" s="236">
        <f ca="1">COUNTIF(OFFSET(Synthèse!$G64,0,0,1,COUNTA(Synthèse!$10:$10)-6),"="&amp;$H$1)</f>
        <v>0</v>
      </c>
      <c r="I55" s="18">
        <f t="shared" ca="1" si="1"/>
        <v>0</v>
      </c>
      <c r="K55" s="123" t="s">
        <v>1091</v>
      </c>
      <c r="L55" s="242" t="s">
        <v>24</v>
      </c>
      <c r="M55" s="242"/>
      <c r="N55" s="242" t="s">
        <v>682</v>
      </c>
      <c r="O55" s="243">
        <f ca="1">IF(SUM(E$91:E$92)&gt;=1,0,1)</f>
        <v>1</v>
      </c>
      <c r="P55" s="243">
        <f ca="1">IF(SUM(E$91:E$92)&gt;=1,1,IF(SUM(G$91:G$92)&gt;=1,1,IF(SUM(F$91:F$92)&gt;=1,0,1)))</f>
        <v>1</v>
      </c>
      <c r="Q55" s="243">
        <f ca="1">IF(SUM(E$91:E$92)&gt;=1,1,IF(SUM(G$91:G$92)&gt;=1,0,1))</f>
        <v>1</v>
      </c>
      <c r="R55" s="243">
        <f ca="1">IF(SUM(E$91:E$92)&gt;=1,1,IF(SUM(G$91:G$92)&gt;=1,1,IF(SUM(F$91:F$92)&gt;=1,1,IF(SUM(H$91:H$92)&gt;=1,0,1))))</f>
        <v>1</v>
      </c>
    </row>
    <row r="56" spans="2:18" x14ac:dyDescent="0.35">
      <c r="B56" s="101" t="str">
        <f>Modèle!B58</f>
        <v>Images</v>
      </c>
      <c r="C56" s="107" t="str">
        <f>Modèle!D58</f>
        <v>1.9.2</v>
      </c>
      <c r="D56" s="108" t="str">
        <f>Modèle!E58</f>
        <v>A</v>
      </c>
      <c r="E56" s="236">
        <f ca="1">COUNTIF(OFFSET(Synthèse!$G65,0,0,1,COUNTA(Synthèse!$10:$10)-6),"="&amp;$E$1)</f>
        <v>0</v>
      </c>
      <c r="F56" s="236">
        <f ca="1">COUNTIF(OFFSET(Synthèse!$G65,0,0,1,COUNTA(Synthèse!$10:$10)-6),"="&amp;$F$1)</f>
        <v>0</v>
      </c>
      <c r="G56" s="236">
        <f ca="1">COUNTIF(OFFSET(Synthèse!$G65,0,0,1,COUNTA(Synthèse!$10:$10)-6),"="&amp;$G$1)</f>
        <v>0</v>
      </c>
      <c r="H56" s="236">
        <f ca="1">COUNTIF(OFFSET(Synthèse!$G65,0,0,1,COUNTA(Synthèse!$10:$10)-6),"="&amp;$H$1)</f>
        <v>0</v>
      </c>
      <c r="I56" s="18">
        <f t="shared" ca="1" si="1"/>
        <v>0</v>
      </c>
      <c r="K56" s="123" t="s">
        <v>1176</v>
      </c>
      <c r="L56" s="242" t="s">
        <v>24</v>
      </c>
      <c r="M56" s="242"/>
      <c r="N56" s="242" t="s">
        <v>683</v>
      </c>
      <c r="O56" s="243">
        <f ca="1">IF(SUM(E$93:E$93)&gt;=1,0,1)</f>
        <v>1</v>
      </c>
      <c r="P56" s="243">
        <f ca="1">IF(SUM(E$93)&gt;=1,1,IF(SUM(G$93)&gt;=1,1,IF(SUM(F$93)&gt;=1,0,1)))</f>
        <v>1</v>
      </c>
      <c r="Q56" s="243">
        <f ca="1">IF(SUM(E$93)&gt;=1,1,IF(SUM(G$93)&gt;=1,0,1))</f>
        <v>1</v>
      </c>
      <c r="R56" s="243">
        <f ca="1">IF(SUM(E$93)&gt;=1,1,IF(SUM(G$93)&gt;=1,1,IF(SUM(F$93)&gt;=1,1,IF(SUM(H$93)&gt;=1,0,1))))</f>
        <v>1</v>
      </c>
    </row>
    <row r="57" spans="2:18" x14ac:dyDescent="0.35">
      <c r="B57" s="101" t="str">
        <f>Modèle!B59</f>
        <v>Images</v>
      </c>
      <c r="C57" s="107" t="str">
        <f>Modèle!D59</f>
        <v>1.9.3</v>
      </c>
      <c r="D57" s="108" t="str">
        <f>Modèle!E59</f>
        <v>A</v>
      </c>
      <c r="E57" s="236">
        <f ca="1">COUNTIF(OFFSET(Synthèse!$G66,0,0,1,COUNTA(Synthèse!$10:$10)-6),"="&amp;$E$1)</f>
        <v>0</v>
      </c>
      <c r="F57" s="236">
        <f ca="1">COUNTIF(OFFSET(Synthèse!$G66,0,0,1,COUNTA(Synthèse!$10:$10)-6),"="&amp;$F$1)</f>
        <v>0</v>
      </c>
      <c r="G57" s="236">
        <f ca="1">COUNTIF(OFFSET(Synthèse!$G66,0,0,1,COUNTA(Synthèse!$10:$10)-6),"="&amp;$G$1)</f>
        <v>0</v>
      </c>
      <c r="H57" s="236">
        <f ca="1">COUNTIF(OFFSET(Synthèse!$G66,0,0,1,COUNTA(Synthèse!$10:$10)-6),"="&amp;$H$1)</f>
        <v>0</v>
      </c>
      <c r="I57" s="18">
        <f t="shared" ca="1" si="1"/>
        <v>0</v>
      </c>
      <c r="K57" s="123" t="s">
        <v>1177</v>
      </c>
      <c r="L57" s="242" t="s">
        <v>24</v>
      </c>
      <c r="M57" s="242"/>
      <c r="N57" s="242" t="s">
        <v>684</v>
      </c>
      <c r="O57" s="243">
        <f ca="1">IF(SUM(E$94:E$94)&gt;=1,0,1)</f>
        <v>1</v>
      </c>
      <c r="P57" s="243">
        <f ca="1">IF(SUM(E$94)&gt;=1,1,IF(SUM(G$94)&gt;=1,1,IF(SUM(F$94)&gt;=1,0,1)))</f>
        <v>1</v>
      </c>
      <c r="Q57" s="243">
        <f ca="1">IF(SUM(E$94)&gt;=1,1,IF(SUM(G$94)&gt;=1,0,1))</f>
        <v>1</v>
      </c>
      <c r="R57" s="243">
        <f ca="1">IF(SUM(E$94)&gt;=1,1,IF(SUM(G$94)&gt;=1,1,IF(SUM(F$94)&gt;=1,1,IF(SUM(H$94)&gt;=1,0,1))))</f>
        <v>1</v>
      </c>
    </row>
    <row r="58" spans="2:18" x14ac:dyDescent="0.35">
      <c r="B58" s="101" t="str">
        <f>Modèle!B60</f>
        <v>Images</v>
      </c>
      <c r="C58" s="107" t="str">
        <f>Modèle!D60</f>
        <v>1.9.4</v>
      </c>
      <c r="D58" s="108" t="str">
        <f>Modèle!E60</f>
        <v>A</v>
      </c>
      <c r="E58" s="236">
        <f ca="1">COUNTIF(OFFSET(Synthèse!$G67,0,0,1,COUNTA(Synthèse!$10:$10)-6),"="&amp;$E$1)</f>
        <v>0</v>
      </c>
      <c r="F58" s="236">
        <f ca="1">COUNTIF(OFFSET(Synthèse!$G67,0,0,1,COUNTA(Synthèse!$10:$10)-6),"="&amp;$F$1)</f>
        <v>0</v>
      </c>
      <c r="G58" s="236">
        <f ca="1">COUNTIF(OFFSET(Synthèse!$G67,0,0,1,COUNTA(Synthèse!$10:$10)-6),"="&amp;$G$1)</f>
        <v>0</v>
      </c>
      <c r="H58" s="236">
        <f ca="1">COUNTIF(OFFSET(Synthèse!$G67,0,0,1,COUNTA(Synthèse!$10:$10)-6),"="&amp;$H$1)</f>
        <v>0</v>
      </c>
      <c r="I58" s="18">
        <f t="shared" ca="1" si="1"/>
        <v>0</v>
      </c>
      <c r="K58" s="123" t="s">
        <v>1092</v>
      </c>
      <c r="L58" s="242" t="s">
        <v>24</v>
      </c>
      <c r="M58" s="242"/>
      <c r="N58" s="242" t="s">
        <v>685</v>
      </c>
      <c r="O58" s="243">
        <f ca="1">IF(SUM(E$95:E$97)&gt;=1,0,1)</f>
        <v>1</v>
      </c>
      <c r="P58" s="243">
        <f ca="1">IF(SUM(E$95:E$97)&gt;=1,1,IF(SUM(G$95:G$97)&gt;=1,1,IF(SUM(F$95:F$97)&gt;=1,0,1)))</f>
        <v>1</v>
      </c>
      <c r="Q58" s="243">
        <f ca="1">IF(SUM(E$95:E$97)&gt;=1,1,IF(SUM(G$95:G$97)&gt;=1,0,1))</f>
        <v>1</v>
      </c>
      <c r="R58" s="243">
        <f ca="1">IF(SUM(E$95:E$97)&gt;=1,1,IF(SUM(G$95:G$97)&gt;=1,1,IF(SUM(F$95:F$97)&gt;=1,1,IF(SUM(H$95:H$97)&gt;=1,0,1))))</f>
        <v>1</v>
      </c>
    </row>
    <row r="59" spans="2:18" x14ac:dyDescent="0.35">
      <c r="B59" s="101" t="str">
        <f>Modèle!B61</f>
        <v>Images</v>
      </c>
      <c r="C59" s="107" t="str">
        <f>Modèle!D61</f>
        <v>1.9.5</v>
      </c>
      <c r="D59" s="108" t="str">
        <f>Modèle!E61</f>
        <v>A</v>
      </c>
      <c r="E59" s="236">
        <f ca="1">COUNTIF(OFFSET(Synthèse!$G68,0,0,1,COUNTA(Synthèse!$10:$10)-6),"="&amp;$E$1)</f>
        <v>0</v>
      </c>
      <c r="F59" s="236">
        <f ca="1">COUNTIF(OFFSET(Synthèse!$G68,0,0,1,COUNTA(Synthèse!$10:$10)-6),"="&amp;$F$1)</f>
        <v>0</v>
      </c>
      <c r="G59" s="236">
        <f ca="1">COUNTIF(OFFSET(Synthèse!$G68,0,0,1,COUNTA(Synthèse!$10:$10)-6),"="&amp;$G$1)</f>
        <v>0</v>
      </c>
      <c r="H59" s="236">
        <f ca="1">COUNTIF(OFFSET(Synthèse!$G68,0,0,1,COUNTA(Synthèse!$10:$10)-6),"="&amp;$H$1)</f>
        <v>0</v>
      </c>
      <c r="I59" s="18">
        <f t="shared" ca="1" si="1"/>
        <v>0</v>
      </c>
      <c r="K59" s="123" t="s">
        <v>1093</v>
      </c>
      <c r="L59" s="242" t="s">
        <v>24</v>
      </c>
      <c r="M59" s="242"/>
      <c r="N59" s="242" t="s">
        <v>686</v>
      </c>
      <c r="O59" s="243">
        <f ca="1">IF(SUM(E$98:E$99)&gt;=1,0,1)</f>
        <v>1</v>
      </c>
      <c r="P59" s="243">
        <f ca="1">IF(SUM(E$98:E$99)&gt;=1,1,IF(SUM(G$98:G$99)&gt;=1,1,IF(SUM(F$98:F$99)&gt;=1,0,1)))</f>
        <v>1</v>
      </c>
      <c r="Q59" s="243">
        <f ca="1">IF(SUM(E$98:E$99)&gt;=1,1,IF(SUM(G$98:G$99)&gt;=1,0,1))</f>
        <v>1</v>
      </c>
      <c r="R59" s="243">
        <f ca="1">IF(SUM(E$98:E$99)&gt;=1,1,IF(SUM(G$98:G$99)&gt;=1,1,IF(SUM(F$98:F$99)&gt;=1,1,IF(SUM(H$98:H$99)&gt;=1,0,1))))</f>
        <v>1</v>
      </c>
    </row>
    <row r="60" spans="2:18" x14ac:dyDescent="0.35">
      <c r="B60" s="102" t="str">
        <f>Modèle!B62</f>
        <v>Cadres</v>
      </c>
      <c r="C60" s="109" t="str">
        <f>Modèle!D62</f>
        <v>2.1.1</v>
      </c>
      <c r="D60" s="110" t="str">
        <f>Modèle!E62</f>
        <v>A</v>
      </c>
      <c r="E60" s="237">
        <f ca="1">COUNTIF(OFFSET(Synthèse!$G69,0,0,1,COUNTA(Synthèse!$10:$10)-6),"="&amp;$E$1)</f>
        <v>0</v>
      </c>
      <c r="F60" s="237">
        <f ca="1">COUNTIF(OFFSET(Synthèse!$G69,0,0,1,COUNTA(Synthèse!$10:$10)-6),"="&amp;$F$1)</f>
        <v>0</v>
      </c>
      <c r="G60" s="237">
        <f ca="1">COUNTIF(OFFSET(Synthèse!$G69,0,0,1,COUNTA(Synthèse!$10:$10)-6),"="&amp;$G$1)</f>
        <v>0</v>
      </c>
      <c r="H60" s="237">
        <f ca="1">COUNTIF(OFFSET(Synthèse!$G69,0,0,1,COUNTA(Synthèse!$10:$10)-6),"="&amp;$H$1)</f>
        <v>0</v>
      </c>
      <c r="I60" s="18">
        <f t="shared" ca="1" si="1"/>
        <v>0</v>
      </c>
      <c r="K60" s="123" t="s">
        <v>781</v>
      </c>
      <c r="L60" s="242" t="s">
        <v>24</v>
      </c>
      <c r="M60" s="242"/>
      <c r="N60" s="242" t="s">
        <v>687</v>
      </c>
      <c r="O60" s="243">
        <f ca="1">IF(SUM(E$100:E$101)&gt;=1,0,1)</f>
        <v>1</v>
      </c>
      <c r="P60" s="243">
        <f ca="1">IF(SUM(E$100:E$101)&gt;=1,1,IF(SUM(G$100:G$101)&gt;=1,1,IF(SUM(F$100:F$101)&gt;=1,0,1)))</f>
        <v>1</v>
      </c>
      <c r="Q60" s="243">
        <f ca="1">IF(SUM(E$100:E$101)&gt;=1,1,IF(SUM(G$100:G$101)&gt;=1,0,1))</f>
        <v>1</v>
      </c>
      <c r="R60" s="243">
        <f ca="1">IF(SUM(E$100:E$101)&gt;=1,1,IF(SUM(G$100:G$101)&gt;=1,1,IF(SUM(F$100:F$101)&gt;=1,1,IF(SUM(H$100:H$101)&gt;=1,0,1))))</f>
        <v>1</v>
      </c>
    </row>
    <row r="61" spans="2:18" x14ac:dyDescent="0.35">
      <c r="B61" s="101" t="str">
        <f>Modèle!B63</f>
        <v>Cadres</v>
      </c>
      <c r="C61" s="107" t="str">
        <f>Modèle!D63</f>
        <v>2.2.1</v>
      </c>
      <c r="D61" s="108" t="str">
        <f>Modèle!E63</f>
        <v>A</v>
      </c>
      <c r="E61" s="236">
        <f ca="1">COUNTIF(OFFSET(Synthèse!$G70,0,0,1,COUNTA(Synthèse!$10:$10)-6),"="&amp;$E$1)</f>
        <v>0</v>
      </c>
      <c r="F61" s="236">
        <f ca="1">COUNTIF(OFFSET(Synthèse!$G70,0,0,1,COUNTA(Synthèse!$10:$10)-6),"="&amp;$F$1)</f>
        <v>0</v>
      </c>
      <c r="G61" s="236">
        <f ca="1">COUNTIF(OFFSET(Synthèse!$G70,0,0,1,COUNTA(Synthèse!$10:$10)-6),"="&amp;$G$1)</f>
        <v>0</v>
      </c>
      <c r="H61" s="236">
        <f ca="1">COUNTIF(OFFSET(Synthèse!$G70,0,0,1,COUNTA(Synthèse!$10:$10)-6),"="&amp;$H$1)</f>
        <v>0</v>
      </c>
      <c r="I61" s="18">
        <f t="shared" ca="1" si="1"/>
        <v>0</v>
      </c>
      <c r="K61" s="123" t="s">
        <v>1178</v>
      </c>
      <c r="L61" s="240" t="s">
        <v>24</v>
      </c>
      <c r="M61" s="240"/>
      <c r="N61" s="240" t="s">
        <v>688</v>
      </c>
      <c r="O61" s="241">
        <f ca="1">IF(SUM(E$102:E$102)&gt;=1,0,1)</f>
        <v>1</v>
      </c>
      <c r="P61" s="241">
        <f ca="1">IF(SUM(E$102)&gt;=1,1,IF(SUM(G$102)&gt;=1,1,IF(SUM(F$102)&gt;=1,0,1)))</f>
        <v>1</v>
      </c>
      <c r="Q61" s="241">
        <f ca="1">IF(SUM(E$102)&gt;=1,1,IF(SUM(G$102)&gt;=1,0,1))</f>
        <v>1</v>
      </c>
      <c r="R61" s="241">
        <f ca="1">IF(SUM(E$102)&gt;=1,1,IF(SUM(G$102)&gt;=1,1,IF(SUM(F$102)&gt;=1,1,IF(SUM(H$102)&gt;=1,0,1))))</f>
        <v>1</v>
      </c>
    </row>
    <row r="62" spans="2:18" x14ac:dyDescent="0.35">
      <c r="B62" s="102" t="str">
        <f>Modèle!B64</f>
        <v>Couleurs</v>
      </c>
      <c r="C62" s="109" t="str">
        <f>Modèle!D64</f>
        <v>3.1.1</v>
      </c>
      <c r="D62" s="110" t="str">
        <f>Modèle!E64</f>
        <v>A</v>
      </c>
      <c r="E62" s="237">
        <f ca="1">COUNTIF(OFFSET(Synthèse!$G71,0,0,1,COUNTA(Synthèse!$10:$10)-6),"="&amp;$E$1)</f>
        <v>0</v>
      </c>
      <c r="F62" s="237">
        <f ca="1">COUNTIF(OFFSET(Synthèse!$G71,0,0,1,COUNTA(Synthèse!$10:$10)-6),"="&amp;$F$1)</f>
        <v>0</v>
      </c>
      <c r="G62" s="237">
        <f ca="1">COUNTIF(OFFSET(Synthèse!$G71,0,0,1,COUNTA(Synthèse!$10:$10)-6),"="&amp;$G$1)</f>
        <v>0</v>
      </c>
      <c r="H62" s="237">
        <f ca="1">COUNTIF(OFFSET(Synthèse!$G71,0,0,1,COUNTA(Synthèse!$10:$10)-6),"="&amp;$H$1)</f>
        <v>0</v>
      </c>
      <c r="I62" s="18">
        <f t="shared" ca="1" si="1"/>
        <v>0</v>
      </c>
      <c r="K62" s="123" t="s">
        <v>1179</v>
      </c>
      <c r="L62" s="240" t="s">
        <v>24</v>
      </c>
      <c r="M62" s="240"/>
      <c r="N62" s="240" t="s">
        <v>689</v>
      </c>
      <c r="O62" s="241">
        <f ca="1">IF(SUM(E$103:E$103)&gt;=1,0,1)</f>
        <v>1</v>
      </c>
      <c r="P62" s="241">
        <f ca="1">IF(SUM(E$103)&gt;=1,1,IF(SUM(G$103)&gt;=1,1,IF(SUM(F$103)&gt;=1,0,1)))</f>
        <v>1</v>
      </c>
      <c r="Q62" s="241">
        <f ca="1">IF(SUM(E$103)&gt;=1,1,IF(SUM(G$103)&gt;=1,0,1))</f>
        <v>1</v>
      </c>
      <c r="R62" s="241">
        <f ca="1">IF(SUM(E$103)&gt;=1,1,IF(SUM(G$103)&gt;=1,1,IF(SUM(F$103)&gt;=1,1,IF(SUM(H$103)&gt;=1,0,1))))</f>
        <v>1</v>
      </c>
    </row>
    <row r="63" spans="2:18" x14ac:dyDescent="0.35">
      <c r="B63" s="102" t="str">
        <f>Modèle!B65</f>
        <v>Couleurs</v>
      </c>
      <c r="C63" s="109" t="str">
        <f>Modèle!D65</f>
        <v>3.1.2</v>
      </c>
      <c r="D63" s="110" t="str">
        <f>Modèle!E65</f>
        <v>A</v>
      </c>
      <c r="E63" s="237">
        <f ca="1">COUNTIF(OFFSET(Synthèse!$G72,0,0,1,COUNTA(Synthèse!$10:$10)-6),"="&amp;$E$1)</f>
        <v>0</v>
      </c>
      <c r="F63" s="237">
        <f ca="1">COUNTIF(OFFSET(Synthèse!$G72,0,0,1,COUNTA(Synthèse!$10:$10)-6),"="&amp;$F$1)</f>
        <v>0</v>
      </c>
      <c r="G63" s="237">
        <f ca="1">COUNTIF(OFFSET(Synthèse!$G72,0,0,1,COUNTA(Synthèse!$10:$10)-6),"="&amp;$G$1)</f>
        <v>0</v>
      </c>
      <c r="H63" s="237">
        <f ca="1">COUNTIF(OFFSET(Synthèse!$G72,0,0,1,COUNTA(Synthèse!$10:$10)-6),"="&amp;$H$1)</f>
        <v>0</v>
      </c>
      <c r="I63" s="18">
        <f t="shared" ca="1" si="1"/>
        <v>0</v>
      </c>
      <c r="K63" s="123" t="s">
        <v>1180</v>
      </c>
      <c r="L63" s="240" t="s">
        <v>24</v>
      </c>
      <c r="M63" s="240"/>
      <c r="N63" s="240" t="s">
        <v>690</v>
      </c>
      <c r="O63" s="241">
        <f ca="1">IF(SUM(E$104:E$104)&gt;=1,0,1)</f>
        <v>1</v>
      </c>
      <c r="P63" s="241">
        <f ca="1">IF(SUM(E$104)&gt;=1,1,IF(SUM(G$104)&gt;=1,1,IF(SUM(F$104)&gt;=1,0,1)))</f>
        <v>1</v>
      </c>
      <c r="Q63" s="241">
        <f ca="1">IF(SUM(E$104)&gt;=1,1,IF(SUM(G$104)&gt;=1,0,1))</f>
        <v>1</v>
      </c>
      <c r="R63" s="241">
        <f ca="1">IF(SUM(E$104)&gt;=1,1,IF(SUM(G$104)&gt;=1,1,IF(SUM(F$104)&gt;=1,1,IF(SUM(H$104)&gt;=1,0,1))))</f>
        <v>1</v>
      </c>
    </row>
    <row r="64" spans="2:18" x14ac:dyDescent="0.35">
      <c r="B64" s="102" t="str">
        <f>Modèle!B66</f>
        <v>Couleurs</v>
      </c>
      <c r="C64" s="109" t="str">
        <f>Modèle!D66</f>
        <v>3.1.3</v>
      </c>
      <c r="D64" s="110" t="str">
        <f>Modèle!E66</f>
        <v>A</v>
      </c>
      <c r="E64" s="237">
        <f ca="1">COUNTIF(OFFSET(Synthèse!$G73,0,0,1,COUNTA(Synthèse!$10:$10)-6),"="&amp;$E$1)</f>
        <v>0</v>
      </c>
      <c r="F64" s="237">
        <f ca="1">COUNTIF(OFFSET(Synthèse!$G73,0,0,1,COUNTA(Synthèse!$10:$10)-6),"="&amp;$F$1)</f>
        <v>0</v>
      </c>
      <c r="G64" s="237">
        <f ca="1">COUNTIF(OFFSET(Synthèse!$G73,0,0,1,COUNTA(Synthèse!$10:$10)-6),"="&amp;$G$1)</f>
        <v>0</v>
      </c>
      <c r="H64" s="237">
        <f ca="1">COUNTIF(OFFSET(Synthèse!$G73,0,0,1,COUNTA(Synthèse!$10:$10)-6),"="&amp;$H$1)</f>
        <v>0</v>
      </c>
      <c r="I64" s="18">
        <f t="shared" ca="1" si="1"/>
        <v>0</v>
      </c>
      <c r="K64" s="123" t="s">
        <v>1094</v>
      </c>
      <c r="L64" s="240" t="s">
        <v>24</v>
      </c>
      <c r="M64" s="240"/>
      <c r="N64" s="240" t="s">
        <v>691</v>
      </c>
      <c r="O64" s="241">
        <f ca="1">IF(SUM(E$105:E$105)&gt;=1,0,1)</f>
        <v>1</v>
      </c>
      <c r="P64" s="241">
        <f ca="1">IF(SUM(E$105)&gt;=1,1,IF(SUM(G$105)&gt;=1,1,IF(SUM(F$105)&gt;=1,0,1)))</f>
        <v>1</v>
      </c>
      <c r="Q64" s="241">
        <f ca="1">IF(SUM(E$105)&gt;=1,1,IF(SUM(G$105)&gt;=1,0,1))</f>
        <v>1</v>
      </c>
      <c r="R64" s="241">
        <f ca="1">IF(SUM(E$105)&gt;=1,1,IF(SUM(G$105)&gt;=1,1,IF(SUM(F$105)&gt;=1,1,IF(SUM(H$105)&gt;=1,0,1))))</f>
        <v>1</v>
      </c>
    </row>
    <row r="65" spans="2:18" x14ac:dyDescent="0.35">
      <c r="B65" s="102" t="str">
        <f>Modèle!B67</f>
        <v>Couleurs</v>
      </c>
      <c r="C65" s="109" t="str">
        <f>Modèle!D67</f>
        <v>3.1.4</v>
      </c>
      <c r="D65" s="110" t="str">
        <f>Modèle!E67</f>
        <v>A</v>
      </c>
      <c r="E65" s="237">
        <f ca="1">COUNTIF(OFFSET(Synthèse!$G74,0,0,1,COUNTA(Synthèse!$10:$10)-6),"="&amp;$E$1)</f>
        <v>0</v>
      </c>
      <c r="F65" s="237">
        <f ca="1">COUNTIF(OFFSET(Synthèse!$G74,0,0,1,COUNTA(Synthèse!$10:$10)-6),"="&amp;$F$1)</f>
        <v>0</v>
      </c>
      <c r="G65" s="237">
        <f ca="1">COUNTIF(OFFSET(Synthèse!$G74,0,0,1,COUNTA(Synthèse!$10:$10)-6),"="&amp;$G$1)</f>
        <v>0</v>
      </c>
      <c r="H65" s="237">
        <f ca="1">COUNTIF(OFFSET(Synthèse!$G74,0,0,1,COUNTA(Synthèse!$10:$10)-6),"="&amp;$H$1)</f>
        <v>0</v>
      </c>
      <c r="I65" s="18">
        <f t="shared" ca="1" si="1"/>
        <v>0</v>
      </c>
      <c r="K65" s="123" t="s">
        <v>1095</v>
      </c>
      <c r="L65" s="240" t="s">
        <v>24</v>
      </c>
      <c r="M65" s="240"/>
      <c r="N65" s="240" t="s">
        <v>692</v>
      </c>
      <c r="O65" s="241">
        <f ca="1">IF(SUM(E$106:E$106)&gt;=1,0,1)</f>
        <v>1</v>
      </c>
      <c r="P65" s="241">
        <f ca="1">IF(SUM(E$106)&gt;=1,1,IF(SUM(G$106)&gt;=1,1,IF(SUM(F$106)&gt;=1,0,1)))</f>
        <v>1</v>
      </c>
      <c r="Q65" s="241">
        <f ca="1">IF(SUM(E$106)&gt;=1,1,IF(SUM(G$106)&gt;=1,0,1))</f>
        <v>1</v>
      </c>
      <c r="R65" s="241">
        <f ca="1">IF(SUM(E$106)&gt;=1,1,IF(SUM(G$106)&gt;=1,1,IF(SUM(F$106)&gt;=1,1,IF(SUM(H$106)&gt;=1,0,1))))</f>
        <v>1</v>
      </c>
    </row>
    <row r="66" spans="2:18" x14ac:dyDescent="0.35">
      <c r="B66" s="102" t="str">
        <f>Modèle!B68</f>
        <v>Couleurs</v>
      </c>
      <c r="C66" s="109" t="str">
        <f>Modèle!D68</f>
        <v>3.1.5</v>
      </c>
      <c r="D66" s="110" t="str">
        <f>Modèle!E68</f>
        <v>A</v>
      </c>
      <c r="E66" s="237">
        <f ca="1">COUNTIF(OFFSET(Synthèse!$G75,0,0,1,COUNTA(Synthèse!$10:$10)-6),"="&amp;$E$1)</f>
        <v>0</v>
      </c>
      <c r="F66" s="237">
        <f ca="1">COUNTIF(OFFSET(Synthèse!$G75,0,0,1,COUNTA(Synthèse!$10:$10)-6),"="&amp;$F$1)</f>
        <v>0</v>
      </c>
      <c r="G66" s="237">
        <f ca="1">COUNTIF(OFFSET(Synthèse!$G75,0,0,1,COUNTA(Synthèse!$10:$10)-6),"="&amp;$G$1)</f>
        <v>0</v>
      </c>
      <c r="H66" s="237">
        <f ca="1">COUNTIF(OFFSET(Synthèse!$G75,0,0,1,COUNTA(Synthèse!$10:$10)-6),"="&amp;$H$1)</f>
        <v>0</v>
      </c>
      <c r="I66" s="18">
        <f t="shared" ca="1" si="1"/>
        <v>0</v>
      </c>
      <c r="K66" s="123" t="s">
        <v>1096</v>
      </c>
      <c r="L66" s="240" t="s">
        <v>24</v>
      </c>
      <c r="M66" s="240"/>
      <c r="N66" s="240" t="s">
        <v>693</v>
      </c>
      <c r="O66" s="241">
        <f ca="1">IF(SUM(E$107:E$109)&gt;=1,0,1)</f>
        <v>1</v>
      </c>
      <c r="P66" s="241">
        <f ca="1">IF(SUM(E$107:E$109)&gt;=1,1,IF(SUM(G$107:G$109)&gt;=1,1,IF(SUM(F$107:F$109)&gt;=1,0,1)))</f>
        <v>1</v>
      </c>
      <c r="Q66" s="241">
        <f ca="1">IF(SUM(E$107:E$109)&gt;=1,1,IF(SUM(G$107:G$109)&gt;=1,0,1))</f>
        <v>1</v>
      </c>
      <c r="R66" s="241">
        <f ca="1">IF(SUM(E$107:E$109)&gt;=1,1,IF(SUM(G$107:G$109)&gt;=1,1,IF(SUM(F$107:F$109)&gt;=1,1,IF(SUM(H$107:H$109)&gt;=1,0,1))))</f>
        <v>1</v>
      </c>
    </row>
    <row r="67" spans="2:18" x14ac:dyDescent="0.35">
      <c r="B67" s="102" t="str">
        <f>Modèle!B69</f>
        <v>Couleurs</v>
      </c>
      <c r="C67" s="109" t="str">
        <f>Modèle!D69</f>
        <v>3.1.6</v>
      </c>
      <c r="D67" s="110" t="str">
        <f>Modèle!E69</f>
        <v>A</v>
      </c>
      <c r="E67" s="237">
        <f ca="1">COUNTIF(OFFSET(Synthèse!$G76,0,0,1,COUNTA(Synthèse!$10:$10)-6),"="&amp;$E$1)</f>
        <v>0</v>
      </c>
      <c r="F67" s="237">
        <f ca="1">COUNTIF(OFFSET(Synthèse!$G76,0,0,1,COUNTA(Synthèse!$10:$10)-6),"="&amp;$F$1)</f>
        <v>0</v>
      </c>
      <c r="G67" s="237">
        <f ca="1">COUNTIF(OFFSET(Synthèse!$G76,0,0,1,COUNTA(Synthèse!$10:$10)-6),"="&amp;$G$1)</f>
        <v>0</v>
      </c>
      <c r="H67" s="237">
        <f ca="1">COUNTIF(OFFSET(Synthèse!$G76,0,0,1,COUNTA(Synthèse!$10:$10)-6),"="&amp;$H$1)</f>
        <v>0</v>
      </c>
      <c r="I67" s="18">
        <f t="shared" ref="I67:I133" ca="1" si="20">SUM(E67:H67)</f>
        <v>0</v>
      </c>
      <c r="K67" s="123" t="s">
        <v>1097</v>
      </c>
      <c r="L67" s="240" t="s">
        <v>24</v>
      </c>
      <c r="M67" s="240"/>
      <c r="N67" s="240" t="s">
        <v>694</v>
      </c>
      <c r="O67" s="241">
        <f ca="1">IF(SUM(E$110:E$114)&gt;=1,0,1)</f>
        <v>1</v>
      </c>
      <c r="P67" s="241">
        <f ca="1">IF(SUM(E$110:E$114)&gt;=1,1,IF(SUM(G$110:G$114)&gt;=1,1,IF(SUM(F$110:F$114)&gt;=1,0,1)))</f>
        <v>1</v>
      </c>
      <c r="Q67" s="241">
        <f ca="1">IF(SUM(E$110:E$114)&gt;=1,1,IF(SUM(G$110:G$114)&gt;=1,0,1))</f>
        <v>1</v>
      </c>
      <c r="R67" s="241">
        <f ca="1">IF(SUM(E$110:E$114)&gt;=1,1,IF(SUM(G$110:G$114)&gt;=1,1,IF(SUM(F$110:F$114)&gt;=1,1,IF(SUM(H$110:H$114)&gt;=1,0,1))))</f>
        <v>1</v>
      </c>
    </row>
    <row r="68" spans="2:18" x14ac:dyDescent="0.35">
      <c r="B68" s="101" t="str">
        <f>Modèle!B70</f>
        <v>Couleurs</v>
      </c>
      <c r="C68" s="107" t="str">
        <f>Modèle!D70</f>
        <v>3.2.1</v>
      </c>
      <c r="D68" s="108" t="str">
        <f>Modèle!E70</f>
        <v>AA</v>
      </c>
      <c r="E68" s="236">
        <f ca="1">COUNTIF(OFFSET(Synthèse!$G77,0,0,1,COUNTA(Synthèse!$10:$10)-6),"="&amp;$E$1)</f>
        <v>0</v>
      </c>
      <c r="F68" s="236">
        <f ca="1">COUNTIF(OFFSET(Synthèse!$G77,0,0,1,COUNTA(Synthèse!$10:$10)-6),"="&amp;$F$1)</f>
        <v>0</v>
      </c>
      <c r="G68" s="236">
        <f ca="1">COUNTIF(OFFSET(Synthèse!$G77,0,0,1,COUNTA(Synthèse!$10:$10)-6),"="&amp;$G$1)</f>
        <v>0</v>
      </c>
      <c r="H68" s="236">
        <f ca="1">COUNTIF(OFFSET(Synthèse!$G77,0,0,1,COUNTA(Synthèse!$10:$10)-6),"="&amp;$H$1)</f>
        <v>0</v>
      </c>
      <c r="I68" s="18">
        <f t="shared" ca="1" si="20"/>
        <v>0</v>
      </c>
      <c r="K68" s="123" t="s">
        <v>1098</v>
      </c>
      <c r="L68" s="240" t="s">
        <v>24</v>
      </c>
      <c r="M68" s="240"/>
      <c r="N68" s="240" t="s">
        <v>695</v>
      </c>
      <c r="O68" s="241">
        <f ca="1">IF(SUM(E$115:E$115)&gt;=1,0,1)</f>
        <v>1</v>
      </c>
      <c r="P68" s="241">
        <f ca="1">IF(SUM(E$115)&gt;=1,1,IF(SUM(G$115)&gt;=1,1,IF(SUM(F$115)&gt;=1,0,1)))</f>
        <v>1</v>
      </c>
      <c r="Q68" s="241">
        <f ca="1">IF(SUM(E$115)&gt;=1,1,IF(SUM(G$115)&gt;=1,0,1))</f>
        <v>1</v>
      </c>
      <c r="R68" s="241">
        <f ca="1">IF(SUM(E$115)&gt;=1,1,IF(SUM(G$115)&gt;=1,1,IF(SUM(F$115)&gt;=1,1,IF(SUM(H$115)&gt;=1,0,1))))</f>
        <v>1</v>
      </c>
    </row>
    <row r="69" spans="2:18" x14ac:dyDescent="0.35">
      <c r="B69" s="101" t="str">
        <f>Modèle!B71</f>
        <v>Couleurs</v>
      </c>
      <c r="C69" s="107" t="str">
        <f>Modèle!D71</f>
        <v>3.2.2</v>
      </c>
      <c r="D69" s="108" t="str">
        <f>Modèle!E71</f>
        <v>AA</v>
      </c>
      <c r="E69" s="236">
        <f ca="1">COUNTIF(OFFSET(Synthèse!$G78,0,0,1,COUNTA(Synthèse!$10:$10)-6),"="&amp;$E$1)</f>
        <v>0</v>
      </c>
      <c r="F69" s="236">
        <f ca="1">COUNTIF(OFFSET(Synthèse!$G78,0,0,1,COUNTA(Synthèse!$10:$10)-6),"="&amp;$F$1)</f>
        <v>0</v>
      </c>
      <c r="G69" s="236">
        <f ca="1">COUNTIF(OFFSET(Synthèse!$G78,0,0,1,COUNTA(Synthèse!$10:$10)-6),"="&amp;$G$1)</f>
        <v>0</v>
      </c>
      <c r="H69" s="236">
        <f ca="1">COUNTIF(OFFSET(Synthèse!$G78,0,0,1,COUNTA(Synthèse!$10:$10)-6),"="&amp;$H$1)</f>
        <v>0</v>
      </c>
      <c r="I69" s="18">
        <f t="shared" ca="1" si="20"/>
        <v>0</v>
      </c>
      <c r="K69" s="123" t="s">
        <v>1099</v>
      </c>
      <c r="L69" s="242" t="s">
        <v>24</v>
      </c>
      <c r="M69" s="242"/>
      <c r="N69" s="242" t="s">
        <v>696</v>
      </c>
      <c r="O69" s="243">
        <f ca="1">IF(SUM(E$116:E$120)&gt;=1,0,1)</f>
        <v>1</v>
      </c>
      <c r="P69" s="243">
        <f ca="1">IF(SUM(E$116:E$120)&gt;=1,1,IF(SUM(G$116:G$120)&gt;=1,1,IF(SUM(F$116:F$120)&gt;=1,0,1)))</f>
        <v>1</v>
      </c>
      <c r="Q69" s="243">
        <f ca="1">IF(SUM(E$116:E$120)&gt;=1,1,IF(SUM(G$116:G$120)&gt;=1,0,1))</f>
        <v>1</v>
      </c>
      <c r="R69" s="243">
        <f ca="1">IF(SUM(E$116:E$120)&gt;=1,1,IF(SUM(G$116:G$120)&gt;=1,1,IF(SUM(F$116:F$120)&gt;=1,1,IF(SUM(H$116:H$120)&gt;=1,0,1))))</f>
        <v>1</v>
      </c>
    </row>
    <row r="70" spans="2:18" x14ac:dyDescent="0.35">
      <c r="B70" s="101" t="str">
        <f>Modèle!B72</f>
        <v>Couleurs</v>
      </c>
      <c r="C70" s="107" t="str">
        <f>Modèle!D72</f>
        <v>3.2.3</v>
      </c>
      <c r="D70" s="108" t="str">
        <f>Modèle!E72</f>
        <v>AA</v>
      </c>
      <c r="E70" s="236">
        <f ca="1">COUNTIF(OFFSET(Synthèse!$G79,0,0,1,COUNTA(Synthèse!$10:$10)-6),"="&amp;$E$1)</f>
        <v>0</v>
      </c>
      <c r="F70" s="236">
        <f ca="1">COUNTIF(OFFSET(Synthèse!$G79,0,0,1,COUNTA(Synthèse!$10:$10)-6),"="&amp;$F$1)</f>
        <v>0</v>
      </c>
      <c r="G70" s="236">
        <f ca="1">COUNTIF(OFFSET(Synthèse!$G79,0,0,1,COUNTA(Synthèse!$10:$10)-6),"="&amp;$G$1)</f>
        <v>0</v>
      </c>
      <c r="H70" s="236">
        <f ca="1">COUNTIF(OFFSET(Synthèse!$G79,0,0,1,COUNTA(Synthèse!$10:$10)-6),"="&amp;$H$1)</f>
        <v>0</v>
      </c>
      <c r="I70" s="18">
        <f t="shared" ca="1" si="20"/>
        <v>0</v>
      </c>
      <c r="K70" s="123" t="s">
        <v>1100</v>
      </c>
      <c r="L70" s="242" t="s">
        <v>24</v>
      </c>
      <c r="M70" s="242"/>
      <c r="N70" s="242" t="s">
        <v>697</v>
      </c>
      <c r="O70" s="243">
        <f ca="1">IF(SUM(E$121:E$121)&gt;=1,0,1)</f>
        <v>1</v>
      </c>
      <c r="P70" s="243">
        <f ca="1">IF(SUM(E$121)&gt;=1,1,IF(SUM(G$121)&gt;=1,1,IF(SUM(F$121)&gt;=1,0,1)))</f>
        <v>1</v>
      </c>
      <c r="Q70" s="243">
        <f ca="1">IF(SUM(E$121)&gt;=1,1,IF(SUM(G$121)&gt;=1,0,1))</f>
        <v>1</v>
      </c>
      <c r="R70" s="243">
        <f ca="1">IF(SUM(E$121)&gt;=1,1,IF(SUM(G$121)&gt;=1,1,IF(SUM(F$121)&gt;=1,1,IF(SUM(H$121)&gt;=1,0,1))))</f>
        <v>1</v>
      </c>
    </row>
    <row r="71" spans="2:18" x14ac:dyDescent="0.35">
      <c r="B71" s="101" t="str">
        <f>Modèle!B73</f>
        <v>Couleurs</v>
      </c>
      <c r="C71" s="107" t="str">
        <f>Modèle!D73</f>
        <v>3.2.4</v>
      </c>
      <c r="D71" s="108" t="str">
        <f>Modèle!E73</f>
        <v>AA</v>
      </c>
      <c r="E71" s="236">
        <f ca="1">COUNTIF(OFFSET(Synthèse!$G80,0,0,1,COUNTA(Synthèse!$10:$10)-6),"="&amp;$E$1)</f>
        <v>0</v>
      </c>
      <c r="F71" s="236">
        <f ca="1">COUNTIF(OFFSET(Synthèse!$G80,0,0,1,COUNTA(Synthèse!$10:$10)-6),"="&amp;$F$1)</f>
        <v>0</v>
      </c>
      <c r="G71" s="236">
        <f ca="1">COUNTIF(OFFSET(Synthèse!$G80,0,0,1,COUNTA(Synthèse!$10:$10)-6),"="&amp;$G$1)</f>
        <v>0</v>
      </c>
      <c r="H71" s="236">
        <f ca="1">COUNTIF(OFFSET(Synthèse!$G80,0,0,1,COUNTA(Synthèse!$10:$10)-6),"="&amp;$H$1)</f>
        <v>0</v>
      </c>
      <c r="I71" s="18">
        <f t="shared" ca="1" si="20"/>
        <v>0</v>
      </c>
      <c r="K71" s="123" t="s">
        <v>1101</v>
      </c>
      <c r="L71" s="240" t="s">
        <v>24</v>
      </c>
      <c r="M71" s="240"/>
      <c r="N71" s="240" t="s">
        <v>698</v>
      </c>
      <c r="O71" s="241">
        <f ca="1">IF(SUM(E$122:E$124)&gt;=1,0,1)</f>
        <v>1</v>
      </c>
      <c r="P71" s="241">
        <f ca="1">IF(SUM(E$122:E$124)&gt;=1,1,IF(SUM(G$122:G$124)&gt;=1,1,IF(SUM(F$122:F$124)&gt;=1,0,1)))</f>
        <v>1</v>
      </c>
      <c r="Q71" s="241">
        <f ca="1">IF(SUM(E$122:E$124)&gt;=1,1,IF(SUM(G$122:G$124)&gt;=1,0,1))</f>
        <v>1</v>
      </c>
      <c r="R71" s="241">
        <f ca="1">IF(SUM(E$122:E$124)&gt;=1,1,IF(SUM(G$122:G$124)&gt;=1,1,IF(SUM(F$122:F$124)&gt;=1,1,IF(SUM(H$122:H$124)&gt;=1,0,1))))</f>
        <v>1</v>
      </c>
    </row>
    <row r="72" spans="2:18" x14ac:dyDescent="0.35">
      <c r="B72" s="101" t="str">
        <f>Modèle!B74</f>
        <v>Couleurs</v>
      </c>
      <c r="C72" s="107" t="str">
        <f>Modèle!D74</f>
        <v>3.2.5</v>
      </c>
      <c r="D72" s="108" t="str">
        <f>Modèle!E74</f>
        <v>AA</v>
      </c>
      <c r="E72" s="236">
        <f ca="1">COUNTIF(OFFSET(Synthèse!$G81,0,0,1,COUNTA(Synthèse!$10:$10)-6),"="&amp;$E$1)</f>
        <v>0</v>
      </c>
      <c r="F72" s="236">
        <f ca="1">COUNTIF(OFFSET(Synthèse!$G81,0,0,1,COUNTA(Synthèse!$10:$10)-6),"="&amp;$F$1)</f>
        <v>0</v>
      </c>
      <c r="G72" s="236">
        <f ca="1">COUNTIF(OFFSET(Synthèse!$G81,0,0,1,COUNTA(Synthèse!$10:$10)-6),"="&amp;$G$1)</f>
        <v>0</v>
      </c>
      <c r="H72" s="236">
        <f ca="1">COUNTIF(OFFSET(Synthèse!$G81,0,0,1,COUNTA(Synthèse!$10:$10)-6),"="&amp;$H$1)</f>
        <v>0</v>
      </c>
      <c r="I72" s="18">
        <f t="shared" ca="1" si="20"/>
        <v>0</v>
      </c>
      <c r="K72" s="123" t="s">
        <v>782</v>
      </c>
      <c r="L72" s="240" t="s">
        <v>24</v>
      </c>
      <c r="M72" s="240"/>
      <c r="N72" s="240" t="s">
        <v>699</v>
      </c>
      <c r="O72" s="241">
        <f ca="1">IF(SUM(E$125:E$126)&gt;=1,0,1)</f>
        <v>1</v>
      </c>
      <c r="P72" s="241">
        <f ca="1">IF(SUM(E$125:E$126)&gt;=1,1,IF(SUM(G$125:G$126)&gt;=1,1,IF(SUM(F$125:F$126)&gt;=1,0,1)))</f>
        <v>1</v>
      </c>
      <c r="Q72" s="241">
        <f ca="1">IF(SUM(E$125:E$126)&gt;=1,1,IF(SUM(G$125:G$126)&gt;=1,0,1))</f>
        <v>1</v>
      </c>
      <c r="R72" s="241">
        <f ca="1">IF(SUM(E$125:E$126)&gt;=1,1,IF(SUM(G$125:G$126)&gt;=1,1,IF(SUM(F$125:F$126)&gt;=1,1,IF(SUM(H$125:H$126)&gt;=1,0,1))))</f>
        <v>1</v>
      </c>
    </row>
    <row r="73" spans="2:18" x14ac:dyDescent="0.35">
      <c r="B73" s="102" t="str">
        <f>Modèle!B75</f>
        <v>Couleurs</v>
      </c>
      <c r="C73" s="109" t="str">
        <f>Modèle!D75</f>
        <v>3.3.1</v>
      </c>
      <c r="D73" s="110" t="str">
        <f>Modèle!E75</f>
        <v>AA</v>
      </c>
      <c r="E73" s="237">
        <f ca="1">COUNTIF(OFFSET(Synthèse!$G82,0,0,1,COUNTA(Synthèse!$10:$10)-6),"="&amp;$E$1)</f>
        <v>0</v>
      </c>
      <c r="F73" s="237">
        <f ca="1">COUNTIF(OFFSET(Synthèse!$G82,0,0,1,COUNTA(Synthèse!$10:$10)-6),"="&amp;$F$1)</f>
        <v>0</v>
      </c>
      <c r="G73" s="237">
        <f ca="1">COUNTIF(OFFSET(Synthèse!$G82,0,0,1,COUNTA(Synthèse!$10:$10)-6),"="&amp;$G$1)</f>
        <v>0</v>
      </c>
      <c r="H73" s="237">
        <f ca="1">COUNTIF(OFFSET(Synthèse!$G82,0,0,1,COUNTA(Synthèse!$10:$10)-6),"="&amp;$H$1)</f>
        <v>0</v>
      </c>
      <c r="I73" s="18">
        <f t="shared" ca="1" si="20"/>
        <v>0</v>
      </c>
      <c r="K73" s="123" t="s">
        <v>1102</v>
      </c>
      <c r="L73" s="240" t="s">
        <v>24</v>
      </c>
      <c r="M73" s="240"/>
      <c r="N73" s="240" t="s">
        <v>700</v>
      </c>
      <c r="O73" s="241">
        <f ca="1">IF(SUM(E$127:E$128)&gt;=1,0,1)</f>
        <v>1</v>
      </c>
      <c r="P73" s="241">
        <f ca="1">IF(SUM(E$127:E$128)&gt;=1,1,IF(SUM(G$127:G$128)&gt;=1,1,IF(SUM(F$127:F$128)&gt;=1,0,1)))</f>
        <v>1</v>
      </c>
      <c r="Q73" s="241">
        <f ca="1">IF(SUM(E$127:E$128)&gt;=1,1,IF(SUM(G$127:G$128)&gt;=1,0,1))</f>
        <v>1</v>
      </c>
      <c r="R73" s="241">
        <f ca="1">IF(SUM(E$127:E$128)&gt;=1,1,IF(SUM(G$127:G$128)&gt;=1,1,IF(SUM(F$127:F$128)&gt;=1,1,IF(SUM(H$127:H$128)&gt;=1,0,1))))</f>
        <v>1</v>
      </c>
    </row>
    <row r="74" spans="2:18" x14ac:dyDescent="0.35">
      <c r="B74" s="102" t="str">
        <f>Modèle!B76</f>
        <v>Couleurs</v>
      </c>
      <c r="C74" s="109" t="str">
        <f>Modèle!D76</f>
        <v>3.3.2</v>
      </c>
      <c r="D74" s="110" t="str">
        <f>Modèle!E76</f>
        <v>AA</v>
      </c>
      <c r="E74" s="237">
        <f ca="1">COUNTIF(OFFSET(Synthèse!$G83,0,0,1,COUNTA(Synthèse!$10:$10)-6),"="&amp;$E$1)</f>
        <v>0</v>
      </c>
      <c r="F74" s="237">
        <f ca="1">COUNTIF(OFFSET(Synthèse!$G83,0,0,1,COUNTA(Synthèse!$10:$10)-6),"="&amp;$F$1)</f>
        <v>0</v>
      </c>
      <c r="G74" s="237">
        <f ca="1">COUNTIF(OFFSET(Synthèse!$G83,0,0,1,COUNTA(Synthèse!$10:$10)-6),"="&amp;$G$1)</f>
        <v>0</v>
      </c>
      <c r="H74" s="237">
        <f ca="1">COUNTIF(OFFSET(Synthèse!$G83,0,0,1,COUNTA(Synthèse!$10:$10)-6),"="&amp;$H$1)</f>
        <v>0</v>
      </c>
      <c r="I74" s="18">
        <f t="shared" ca="1" si="20"/>
        <v>0</v>
      </c>
      <c r="K74" s="123" t="s">
        <v>1103</v>
      </c>
      <c r="L74" s="240" t="s">
        <v>24</v>
      </c>
      <c r="M74" s="240"/>
      <c r="N74" s="240" t="s">
        <v>701</v>
      </c>
      <c r="O74" s="241">
        <f ca="1">IF(SUM(E$129:E$129)&gt;=1,0,1)</f>
        <v>1</v>
      </c>
      <c r="P74" s="241">
        <f ca="1">IF(SUM(E$129)&gt;=1,1,IF(SUM(G$129)&gt;=1,1,IF(SUM(F$129)&gt;=1,0,1)))</f>
        <v>1</v>
      </c>
      <c r="Q74" s="241">
        <f ca="1">IF(SUM(E$129)&gt;=1,1,IF(SUM(G$129)&gt;=1,0,1))</f>
        <v>1</v>
      </c>
      <c r="R74" s="241">
        <f ca="1">IF(SUM(E$129)&gt;=1,1,IF(SUM(G$129)&gt;=1,1,IF(SUM(F$129)&gt;=1,1,IF(SUM(H$129)&gt;=1,0,1))))</f>
        <v>1</v>
      </c>
    </row>
    <row r="75" spans="2:18" x14ac:dyDescent="0.35">
      <c r="B75" s="102" t="str">
        <f>Modèle!B77</f>
        <v>Couleurs</v>
      </c>
      <c r="C75" s="109" t="str">
        <f>Modèle!D77</f>
        <v>3.3.3</v>
      </c>
      <c r="D75" s="110" t="str">
        <f>Modèle!E77</f>
        <v>AA</v>
      </c>
      <c r="E75" s="237">
        <f ca="1">COUNTIF(OFFSET(Synthèse!$G84,0,0,1,COUNTA(Synthèse!$10:$10)-6),"="&amp;$E$1)</f>
        <v>0</v>
      </c>
      <c r="F75" s="237">
        <f ca="1">COUNTIF(OFFSET(Synthèse!$G84,0,0,1,COUNTA(Synthèse!$10:$10)-6),"="&amp;$F$1)</f>
        <v>0</v>
      </c>
      <c r="G75" s="237">
        <f ca="1">COUNTIF(OFFSET(Synthèse!$G84,0,0,1,COUNTA(Synthèse!$10:$10)-6),"="&amp;$G$1)</f>
        <v>0</v>
      </c>
      <c r="H75" s="237">
        <f ca="1">COUNTIF(OFFSET(Synthèse!$G84,0,0,1,COUNTA(Synthèse!$10:$10)-6),"="&amp;$H$1)</f>
        <v>0</v>
      </c>
      <c r="I75" s="18">
        <f t="shared" ca="1" si="20"/>
        <v>0</v>
      </c>
      <c r="K75" s="123" t="s">
        <v>783</v>
      </c>
      <c r="L75" s="240" t="s">
        <v>24</v>
      </c>
      <c r="M75" s="240"/>
      <c r="N75" s="240" t="s">
        <v>702</v>
      </c>
      <c r="O75" s="241">
        <f ca="1">IF(SUM(E$130:E$132)&gt;=1,0,1)</f>
        <v>1</v>
      </c>
      <c r="P75" s="241">
        <f ca="1">IF(SUM(E$130:E$132)&gt;=1,1,IF(SUM(G$130:G$132)&gt;=1,1,IF(SUM(F$130:F$132)&gt;=1,0,1)))</f>
        <v>1</v>
      </c>
      <c r="Q75" s="241">
        <f ca="1">IF(SUM(E$130:E$132)&gt;=1,1,IF(SUM(G$130:G$132)&gt;=1,0,1))</f>
        <v>1</v>
      </c>
      <c r="R75" s="241">
        <f ca="1">IF(SUM(E$130:E$132)&gt;=1,1,IF(SUM(G$130:G$132)&gt;=1,1,IF(SUM(F$130:F$132)&gt;=1,1,IF(SUM(H$130:H$132)&gt;=1,0,1))))</f>
        <v>1</v>
      </c>
    </row>
    <row r="76" spans="2:18" x14ac:dyDescent="0.35">
      <c r="B76" s="102" t="str">
        <f>Modèle!B78</f>
        <v>Couleurs</v>
      </c>
      <c r="C76" s="109" t="str">
        <f>Modèle!D78</f>
        <v>3.3.4</v>
      </c>
      <c r="D76" s="110" t="str">
        <f>Modèle!E78</f>
        <v>AA</v>
      </c>
      <c r="E76" s="237">
        <f ca="1">COUNTIF(OFFSET(Synthèse!$G85,0,0,1,COUNTA(Synthèse!$10:$10)-6),"="&amp;$E$1)</f>
        <v>0</v>
      </c>
      <c r="F76" s="237">
        <f ca="1">COUNTIF(OFFSET(Synthèse!$G85,0,0,1,COUNTA(Synthèse!$10:$10)-6),"="&amp;$F$1)</f>
        <v>0</v>
      </c>
      <c r="G76" s="237">
        <f ca="1">COUNTIF(OFFSET(Synthèse!$G85,0,0,1,COUNTA(Synthèse!$10:$10)-6),"="&amp;$G$1)</f>
        <v>0</v>
      </c>
      <c r="H76" s="237">
        <f ca="1">COUNTIF(OFFSET(Synthèse!$G85,0,0,1,COUNTA(Synthèse!$10:$10)-6),"="&amp;$H$1)</f>
        <v>0</v>
      </c>
      <c r="I76" s="18">
        <f t="shared" ca="1" si="20"/>
        <v>0</v>
      </c>
      <c r="K76" s="123" t="s">
        <v>1104</v>
      </c>
      <c r="L76" s="242" t="s">
        <v>24</v>
      </c>
      <c r="M76" s="242"/>
      <c r="N76" s="242" t="s">
        <v>703</v>
      </c>
      <c r="O76" s="243">
        <f ca="1">IF(SUM(E$133:E$135)&gt;=1,0,1)</f>
        <v>1</v>
      </c>
      <c r="P76" s="243">
        <f ca="1">IF(SUM(E$133:E$135)&gt;=1,1,IF(SUM(G$133:G$135)&gt;=1,1,IF(SUM(F$133:F$135)&gt;=1,0,1)))</f>
        <v>1</v>
      </c>
      <c r="Q76" s="243">
        <f ca="1">IF(SUM(E$133:E$135)&gt;=1,1,IF(SUM(G$133:G$135)&gt;=1,0,1))</f>
        <v>1</v>
      </c>
      <c r="R76" s="243">
        <f ca="1">IF(SUM(E$133:E$135)&gt;=1,1,IF(SUM(G$133:G$135)&gt;=1,1,IF(SUM(F$133:F$135)&gt;=1,1,IF(SUM(H$133:H$135)&gt;=1,0,1))))</f>
        <v>1</v>
      </c>
    </row>
    <row r="77" spans="2:18" x14ac:dyDescent="0.35">
      <c r="B77" s="101" t="str">
        <f>Modèle!B79</f>
        <v>Multimédia</v>
      </c>
      <c r="C77" s="107" t="str">
        <f>Modèle!D79</f>
        <v>4.1.1</v>
      </c>
      <c r="D77" s="108" t="str">
        <f>Modèle!E79</f>
        <v>A</v>
      </c>
      <c r="E77" s="236">
        <f ca="1">COUNTIF(OFFSET(Synthèse!$G86,0,0,1,COUNTA(Synthèse!$10:$10)-6),"="&amp;$E$1)</f>
        <v>0</v>
      </c>
      <c r="F77" s="236">
        <f ca="1">COUNTIF(OFFSET(Synthèse!$G86,0,0,1,COUNTA(Synthèse!$10:$10)-6),"="&amp;$F$1)</f>
        <v>0</v>
      </c>
      <c r="G77" s="236">
        <f ca="1">COUNTIF(OFFSET(Synthèse!$G86,0,0,1,COUNTA(Synthèse!$10:$10)-6),"="&amp;$G$1)</f>
        <v>0</v>
      </c>
      <c r="H77" s="236">
        <f ca="1">COUNTIF(OFFSET(Synthèse!$G86,0,0,1,COUNTA(Synthèse!$10:$10)-6),"="&amp;$H$1)</f>
        <v>0</v>
      </c>
      <c r="I77" s="18">
        <f t="shared" ca="1" si="20"/>
        <v>0</v>
      </c>
      <c r="K77" s="123" t="s">
        <v>1105</v>
      </c>
      <c r="L77" s="242" t="s">
        <v>24</v>
      </c>
      <c r="M77" s="242"/>
      <c r="N77" s="242" t="s">
        <v>704</v>
      </c>
      <c r="O77" s="243">
        <f ca="1">IF(SUM(E$136:E$136)&gt;=1,0,1)</f>
        <v>1</v>
      </c>
      <c r="P77" s="243">
        <f ca="1">IF(SUM(E$136)&gt;=1,1,IF(SUM(G$136)&gt;=1,1,IF(SUM(F$136)&gt;=1,0,1)))</f>
        <v>1</v>
      </c>
      <c r="Q77" s="243">
        <f ca="1">IF(SUM(E$136)&gt;=1,1,IF(SUM(G$136)&gt;=1,0,1))</f>
        <v>1</v>
      </c>
      <c r="R77" s="243">
        <f ca="1">IF(SUM(E$136)&gt;=1,1,IF(SUM(G$136)&gt;=1,1,IF(SUM(F$136)&gt;=1,1,IF(SUM(H$136)&gt;=1,0,1))))</f>
        <v>1</v>
      </c>
    </row>
    <row r="78" spans="2:18" x14ac:dyDescent="0.35">
      <c r="B78" s="101" t="str">
        <f>Modèle!B80</f>
        <v>Multimédia</v>
      </c>
      <c r="C78" s="107" t="str">
        <f>Modèle!D80</f>
        <v>4.1.2</v>
      </c>
      <c r="D78" s="108" t="str">
        <f>Modèle!E80</f>
        <v>A</v>
      </c>
      <c r="E78" s="236">
        <f ca="1">COUNTIF(OFFSET(Synthèse!$G87,0,0,1,COUNTA(Synthèse!$10:$10)-6),"="&amp;$E$1)</f>
        <v>0</v>
      </c>
      <c r="F78" s="236">
        <f ca="1">COUNTIF(OFFSET(Synthèse!$G87,0,0,1,COUNTA(Synthèse!$10:$10)-6),"="&amp;$F$1)</f>
        <v>0</v>
      </c>
      <c r="G78" s="236">
        <f ca="1">COUNTIF(OFFSET(Synthèse!$G87,0,0,1,COUNTA(Synthèse!$10:$10)-6),"="&amp;$G$1)</f>
        <v>0</v>
      </c>
      <c r="H78" s="236">
        <f ca="1">COUNTIF(OFFSET(Synthèse!$G87,0,0,1,COUNTA(Synthèse!$10:$10)-6),"="&amp;$H$1)</f>
        <v>0</v>
      </c>
      <c r="I78" s="18">
        <f t="shared" ca="1" si="20"/>
        <v>0</v>
      </c>
      <c r="K78" s="123" t="s">
        <v>1106</v>
      </c>
      <c r="L78" s="242" t="s">
        <v>24</v>
      </c>
      <c r="M78" s="242"/>
      <c r="N78" s="242" t="s">
        <v>705</v>
      </c>
      <c r="O78" s="243">
        <f ca="1">IF(SUM(E$137:E$137)&gt;=1,0,1)</f>
        <v>1</v>
      </c>
      <c r="P78" s="243">
        <f ca="1">IF(SUM(E$137)&gt;=1,1,IF(SUM(G$137)&gt;=1,1,IF(SUM(F$137)&gt;=1,0,1)))</f>
        <v>1</v>
      </c>
      <c r="Q78" s="243">
        <f ca="1">IF(SUM(E$137)&gt;=1,1,IF(SUM(G$137)&gt;=1,0,1))</f>
        <v>1</v>
      </c>
      <c r="R78" s="243">
        <f ca="1">IF(SUM(E$137)&gt;=1,1,IF(SUM(G$137)&gt;=1,1,IF(SUM(F$137)&gt;=1,1,IF(SUM(H$137)&gt;=1,0,1))))</f>
        <v>1</v>
      </c>
    </row>
    <row r="79" spans="2:18" x14ac:dyDescent="0.35">
      <c r="B79" s="101" t="str">
        <f>Modèle!B81</f>
        <v>Multimédia</v>
      </c>
      <c r="C79" s="107" t="str">
        <f>Modèle!D81</f>
        <v>4.1.3</v>
      </c>
      <c r="D79" s="108" t="str">
        <f>Modèle!E81</f>
        <v>A</v>
      </c>
      <c r="E79" s="236">
        <f ca="1">COUNTIF(OFFSET(Synthèse!$G88,0,0,1,COUNTA(Synthèse!$10:$10)-6),"="&amp;$E$1)</f>
        <v>0</v>
      </c>
      <c r="F79" s="236">
        <f ca="1">COUNTIF(OFFSET(Synthèse!$G88,0,0,1,COUNTA(Synthèse!$10:$10)-6),"="&amp;$F$1)</f>
        <v>0</v>
      </c>
      <c r="G79" s="236">
        <f ca="1">COUNTIF(OFFSET(Synthèse!$G88,0,0,1,COUNTA(Synthèse!$10:$10)-6),"="&amp;$G$1)</f>
        <v>0</v>
      </c>
      <c r="H79" s="236">
        <f ca="1">COUNTIF(OFFSET(Synthèse!$G88,0,0,1,COUNTA(Synthèse!$10:$10)-6),"="&amp;$H$1)</f>
        <v>0</v>
      </c>
      <c r="I79" s="18">
        <f t="shared" ca="1" si="20"/>
        <v>0</v>
      </c>
      <c r="K79" s="123" t="s">
        <v>1107</v>
      </c>
      <c r="L79" s="242" t="s">
        <v>24</v>
      </c>
      <c r="M79" s="242"/>
      <c r="N79" s="242" t="s">
        <v>706</v>
      </c>
      <c r="O79" s="243">
        <f ca="1">IF(SUM(E$138:E$138)&gt;=1,0,1)</f>
        <v>1</v>
      </c>
      <c r="P79" s="243">
        <f ca="1">IF(SUM(E$138)&gt;=1,1,IF(SUM(G$138)&gt;=1,1,IF(SUM(F$138)&gt;=1,0,1)))</f>
        <v>1</v>
      </c>
      <c r="Q79" s="243">
        <f ca="1">IF(SUM(E$138)&gt;=1,1,IF(SUM(G$138)&gt;=1,0,1))</f>
        <v>1</v>
      </c>
      <c r="R79" s="243">
        <f ca="1">IF(SUM(E$138)&gt;=1,1,IF(SUM(G$138)&gt;=1,1,IF(SUM(F$138)&gt;=1,1,IF(SUM(H$138)&gt;=1,0,1))))</f>
        <v>1</v>
      </c>
    </row>
    <row r="80" spans="2:18" x14ac:dyDescent="0.35">
      <c r="B80" s="102" t="str">
        <f>Modèle!B82</f>
        <v>Multimédia</v>
      </c>
      <c r="C80" s="109" t="str">
        <f>Modèle!D82</f>
        <v>4.2.1</v>
      </c>
      <c r="D80" s="110" t="str">
        <f>Modèle!E82</f>
        <v>A</v>
      </c>
      <c r="E80" s="237">
        <f ca="1">COUNTIF(OFFSET(Synthèse!$G89,0,0,1,COUNTA(Synthèse!$10:$10)-6),"="&amp;$E$1)</f>
        <v>0</v>
      </c>
      <c r="F80" s="237">
        <f ca="1">COUNTIF(OFFSET(Synthèse!$G89,0,0,1,COUNTA(Synthèse!$10:$10)-6),"="&amp;$F$1)</f>
        <v>0</v>
      </c>
      <c r="G80" s="237">
        <f ca="1">COUNTIF(OFFSET(Synthèse!$G89,0,0,1,COUNTA(Synthèse!$10:$10)-6),"="&amp;$G$1)</f>
        <v>0</v>
      </c>
      <c r="H80" s="237">
        <f ca="1">COUNTIF(OFFSET(Synthèse!$G89,0,0,1,COUNTA(Synthèse!$10:$10)-6),"="&amp;$H$1)</f>
        <v>0</v>
      </c>
      <c r="I80" s="18">
        <f t="shared" ca="1" si="20"/>
        <v>0</v>
      </c>
      <c r="K80" s="123" t="s">
        <v>1108</v>
      </c>
      <c r="L80" s="242" t="s">
        <v>24</v>
      </c>
      <c r="M80" s="242"/>
      <c r="N80" s="242" t="s">
        <v>707</v>
      </c>
      <c r="O80" s="243">
        <f ca="1">IF(SUM(E$139:E$139)&gt;=1,0,1)</f>
        <v>1</v>
      </c>
      <c r="P80" s="243">
        <f ca="1">IF(SUM(E$139)&gt;=1,1,IF(SUM(G$139)&gt;=1,1,IF(SUM(F$139)&gt;=1,0,1)))</f>
        <v>1</v>
      </c>
      <c r="Q80" s="243">
        <f ca="1">IF(SUM(E$139)&gt;=1,1,IF(SUM(G$139)&gt;=1,0,1))</f>
        <v>1</v>
      </c>
      <c r="R80" s="243">
        <f ca="1">IF(SUM(E$139)&gt;=1,1,IF(SUM(G$139)&gt;=1,1,IF(SUM(F$139)&gt;=1,1,IF(SUM(H$139)&gt;=1,0,1))))</f>
        <v>1</v>
      </c>
    </row>
    <row r="81" spans="2:18" x14ac:dyDescent="0.35">
      <c r="B81" s="102" t="str">
        <f>Modèle!B83</f>
        <v>Multimédia</v>
      </c>
      <c r="C81" s="109" t="str">
        <f>Modèle!D83</f>
        <v>4.2.2</v>
      </c>
      <c r="D81" s="110" t="str">
        <f>Modèle!E83</f>
        <v>A</v>
      </c>
      <c r="E81" s="237">
        <f ca="1">COUNTIF(OFFSET(Synthèse!$G90,0,0,1,COUNTA(Synthèse!$10:$10)-6),"="&amp;$E$1)</f>
        <v>0</v>
      </c>
      <c r="F81" s="237">
        <f ca="1">COUNTIF(OFFSET(Synthèse!$G90,0,0,1,COUNTA(Synthèse!$10:$10)-6),"="&amp;$F$1)</f>
        <v>0</v>
      </c>
      <c r="G81" s="237">
        <f ca="1">COUNTIF(OFFSET(Synthèse!$G90,0,0,1,COUNTA(Synthèse!$10:$10)-6),"="&amp;$G$1)</f>
        <v>0</v>
      </c>
      <c r="H81" s="237">
        <f ca="1">COUNTIF(OFFSET(Synthèse!$G90,0,0,1,COUNTA(Synthèse!$10:$10)-6),"="&amp;$H$1)</f>
        <v>0</v>
      </c>
      <c r="I81" s="18">
        <f t="shared" ca="1" si="20"/>
        <v>0</v>
      </c>
      <c r="K81" s="123" t="s">
        <v>1109</v>
      </c>
      <c r="L81" s="242" t="s">
        <v>24</v>
      </c>
      <c r="M81" s="242"/>
      <c r="N81" s="242" t="s">
        <v>708</v>
      </c>
      <c r="O81" s="243">
        <f ca="1">IF(SUM(E$140:E$140)&gt;=1,0,1)</f>
        <v>1</v>
      </c>
      <c r="P81" s="243">
        <f ca="1">IF(SUM(E$140)&gt;=1,1,IF(SUM(G$140)&gt;=1,1,IF(SUM(F$140)&gt;=1,0,1)))</f>
        <v>1</v>
      </c>
      <c r="Q81" s="243">
        <f ca="1">IF(SUM(E$140)&gt;=1,1,IF(SUM(G$140)&gt;=1,0,1))</f>
        <v>1</v>
      </c>
      <c r="R81" s="243">
        <f ca="1">IF(SUM(E$140)&gt;=1,1,IF(SUM(G$140)&gt;=1,1,IF(SUM(F$140)&gt;=1,1,IF(SUM(H$140)&gt;=1,0,1))))</f>
        <v>1</v>
      </c>
    </row>
    <row r="82" spans="2:18" x14ac:dyDescent="0.35">
      <c r="B82" s="102" t="str">
        <f>Modèle!B84</f>
        <v>Multimédia</v>
      </c>
      <c r="C82" s="109" t="str">
        <f>Modèle!D84</f>
        <v>4.2.3</v>
      </c>
      <c r="D82" s="110" t="str">
        <f>Modèle!E84</f>
        <v>A</v>
      </c>
      <c r="E82" s="237">
        <f ca="1">COUNTIF(OFFSET(Synthèse!$G91,0,0,1,COUNTA(Synthèse!$10:$10)-6),"="&amp;$E$1)</f>
        <v>0</v>
      </c>
      <c r="F82" s="237">
        <f ca="1">COUNTIF(OFFSET(Synthèse!$G91,0,0,1,COUNTA(Synthèse!$10:$10)-6),"="&amp;$F$1)</f>
        <v>0</v>
      </c>
      <c r="G82" s="237">
        <f ca="1">COUNTIF(OFFSET(Synthèse!$G91,0,0,1,COUNTA(Synthèse!$10:$10)-6),"="&amp;$G$1)</f>
        <v>0</v>
      </c>
      <c r="H82" s="237">
        <f ca="1">COUNTIF(OFFSET(Synthèse!$G91,0,0,1,COUNTA(Synthèse!$10:$10)-6),"="&amp;$H$1)</f>
        <v>0</v>
      </c>
      <c r="I82" s="18">
        <f t="shared" ca="1" si="20"/>
        <v>0</v>
      </c>
      <c r="K82" s="123" t="s">
        <v>1110</v>
      </c>
      <c r="L82" s="242" t="s">
        <v>25</v>
      </c>
      <c r="M82" s="242"/>
      <c r="N82" s="242" t="s">
        <v>709</v>
      </c>
      <c r="O82" s="243">
        <f ca="1">IF(SUM(E$141:E$141)&gt;=1,0,1)</f>
        <v>1</v>
      </c>
      <c r="P82" s="243">
        <f ca="1">IF(SUM(E$141)&gt;=1,1,IF(SUM(G$141)&gt;=1,1,IF(SUM(F$141)&gt;=1,0,1)))</f>
        <v>1</v>
      </c>
      <c r="Q82" s="243">
        <f ca="1">IF(SUM(E$141)&gt;=1,1,IF(SUM(G$141)&gt;=1,0,1))</f>
        <v>1</v>
      </c>
      <c r="R82" s="243">
        <f ca="1">IF(SUM(E$141)&gt;=1,1,IF(SUM(G$141)&gt;=1,1,IF(SUM(F$141)&gt;=1,1,IF(SUM(H$141)&gt;=1,0,1))))</f>
        <v>1</v>
      </c>
    </row>
    <row r="83" spans="2:18" x14ac:dyDescent="0.35">
      <c r="B83" s="101" t="str">
        <f>Modèle!B85</f>
        <v>Multimédia</v>
      </c>
      <c r="C83" s="107" t="str">
        <f>Modèle!D85</f>
        <v>4.3.1</v>
      </c>
      <c r="D83" s="108" t="str">
        <f>Modèle!E85</f>
        <v>A</v>
      </c>
      <c r="E83" s="236">
        <f ca="1">COUNTIF(OFFSET(Synthèse!$G92,0,0,1,COUNTA(Synthèse!$10:$10)-6),"="&amp;$E$1)</f>
        <v>0</v>
      </c>
      <c r="F83" s="236">
        <f ca="1">COUNTIF(OFFSET(Synthèse!$G92,0,0,1,COUNTA(Synthèse!$10:$10)-6),"="&amp;$F$1)</f>
        <v>0</v>
      </c>
      <c r="G83" s="236">
        <f ca="1">COUNTIF(OFFSET(Synthèse!$G92,0,0,1,COUNTA(Synthèse!$10:$10)-6),"="&amp;$G$1)</f>
        <v>0</v>
      </c>
      <c r="H83" s="236">
        <f ca="1">COUNTIF(OFFSET(Synthèse!$G92,0,0,1,COUNTA(Synthèse!$10:$10)-6),"="&amp;$H$1)</f>
        <v>0</v>
      </c>
      <c r="I83" s="18">
        <f t="shared" ca="1" si="20"/>
        <v>0</v>
      </c>
      <c r="K83" s="123" t="s">
        <v>1111</v>
      </c>
      <c r="L83" s="242" t="s">
        <v>25</v>
      </c>
      <c r="M83" s="242"/>
      <c r="N83" s="242" t="s">
        <v>710</v>
      </c>
      <c r="O83" s="243">
        <f ca="1">IF(SUM(E$142:E$142)&gt;=1,0,1)</f>
        <v>1</v>
      </c>
      <c r="P83" s="243">
        <f ca="1">IF(SUM(E$142)&gt;=1,1,IF(SUM(G$142)&gt;=1,1,IF(SUM(F$142)&gt;=1,0,1)))</f>
        <v>1</v>
      </c>
      <c r="Q83" s="243">
        <f ca="1">IF(SUM(E$142)&gt;=1,1,IF(SUM(G$142)&gt;=1,0,1))</f>
        <v>1</v>
      </c>
      <c r="R83" s="243">
        <f ca="1">IF(SUM(E$142)&gt;=1,1,IF(SUM(G$142)&gt;=1,1,IF(SUM(F$142)&gt;=1,1,IF(SUM(H$142)&gt;=1,0,1))))</f>
        <v>1</v>
      </c>
    </row>
    <row r="84" spans="2:18" x14ac:dyDescent="0.35">
      <c r="B84" s="101" t="str">
        <f>Modèle!B86</f>
        <v>Multimédia</v>
      </c>
      <c r="C84" s="107" t="str">
        <f>Modèle!D86</f>
        <v>4.3.2</v>
      </c>
      <c r="D84" s="108" t="str">
        <f>Modèle!E86</f>
        <v>A</v>
      </c>
      <c r="E84" s="236">
        <f ca="1">COUNTIF(OFFSET(Synthèse!$G93,0,0,1,COUNTA(Synthèse!$10:$10)-6),"="&amp;$E$1)</f>
        <v>0</v>
      </c>
      <c r="F84" s="236">
        <f ca="1">COUNTIF(OFFSET(Synthèse!$G93,0,0,1,COUNTA(Synthèse!$10:$10)-6),"="&amp;$F$1)</f>
        <v>0</v>
      </c>
      <c r="G84" s="236">
        <f ca="1">COUNTIF(OFFSET(Synthèse!$G93,0,0,1,COUNTA(Synthèse!$10:$10)-6),"="&amp;$G$1)</f>
        <v>0</v>
      </c>
      <c r="H84" s="236">
        <f ca="1">COUNTIF(OFFSET(Synthèse!$G93,0,0,1,COUNTA(Synthèse!$10:$10)-6),"="&amp;$H$1)</f>
        <v>0</v>
      </c>
      <c r="I84" s="18">
        <f t="shared" ca="1" si="20"/>
        <v>0</v>
      </c>
      <c r="K84" s="123" t="s">
        <v>1112</v>
      </c>
      <c r="L84" s="242" t="s">
        <v>24</v>
      </c>
      <c r="M84" s="242"/>
      <c r="N84" s="242" t="s">
        <v>711</v>
      </c>
      <c r="O84" s="243">
        <f ca="1">IF(SUM(E$143:E$143)&gt;=1,0,1)</f>
        <v>1</v>
      </c>
      <c r="P84" s="243">
        <f ca="1">IF(SUM(E$143)&gt;=1,1,IF(SUM(G$143)&gt;=1,1,IF(SUM(F$143)&gt;=1,0,1)))</f>
        <v>1</v>
      </c>
      <c r="Q84" s="243">
        <f ca="1">IF(SUM(E$143)&gt;=1,1,IF(SUM(G$143)&gt;=1,0,1))</f>
        <v>1</v>
      </c>
      <c r="R84" s="243">
        <f ca="1">IF(SUM(E$143)&gt;=1,1,IF(SUM(G$143)&gt;=1,1,IF(SUM(F$143)&gt;=1,1,IF(SUM(H$143)&gt;=1,0,1))))</f>
        <v>1</v>
      </c>
    </row>
    <row r="85" spans="2:18" x14ac:dyDescent="0.35">
      <c r="B85" s="102" t="str">
        <f>Modèle!B87</f>
        <v>Multimédia</v>
      </c>
      <c r="C85" s="109" t="str">
        <f>Modèle!D87</f>
        <v>4.4.1</v>
      </c>
      <c r="D85" s="110" t="str">
        <f>Modèle!E87</f>
        <v>A</v>
      </c>
      <c r="E85" s="237">
        <f ca="1">COUNTIF(OFFSET(Synthèse!$G94,0,0,1,COUNTA(Synthèse!$10:$10)-6),"="&amp;$E$1)</f>
        <v>0</v>
      </c>
      <c r="F85" s="237">
        <f ca="1">COUNTIF(OFFSET(Synthèse!$G94,0,0,1,COUNTA(Synthèse!$10:$10)-6),"="&amp;$F$1)</f>
        <v>0</v>
      </c>
      <c r="G85" s="237">
        <f ca="1">COUNTIF(OFFSET(Synthèse!$G94,0,0,1,COUNTA(Synthèse!$10:$10)-6),"="&amp;$G$1)</f>
        <v>0</v>
      </c>
      <c r="H85" s="237">
        <f ca="1">COUNTIF(OFFSET(Synthèse!$G94,0,0,1,COUNTA(Synthèse!$10:$10)-6),"="&amp;$H$1)</f>
        <v>0</v>
      </c>
      <c r="I85" s="18">
        <f t="shared" ca="1" si="20"/>
        <v>0</v>
      </c>
      <c r="K85" s="123" t="s">
        <v>1113</v>
      </c>
      <c r="L85" s="242" t="s">
        <v>24</v>
      </c>
      <c r="M85" s="242"/>
      <c r="N85" s="242" t="s">
        <v>712</v>
      </c>
      <c r="O85" s="243">
        <f ca="1">IF(SUM(E$144:E$145)&gt;=1,0,1)</f>
        <v>1</v>
      </c>
      <c r="P85" s="243">
        <f ca="1">IF(SUM(E$144:E$145)&gt;=1,1,IF(SUM(G$144:G$145)&gt;=1,1,IF(SUM(F$144:F$145)&gt;=1,0,1)))</f>
        <v>1</v>
      </c>
      <c r="Q85" s="243">
        <f ca="1">IF(SUM(E$144:E$145)&gt;=1,1,IF(SUM(G$144:G$145)&gt;=1,0,1))</f>
        <v>1</v>
      </c>
      <c r="R85" s="243">
        <f ca="1">IF(SUM(E$144:E$145)&gt;=1,1,IF(SUM(G$144:G$145)&gt;=1,1,IF(SUM(F$144:F$145)&gt;=1,1,IF(SUM(H$144:H$145)&gt;=1,0,1))))</f>
        <v>1</v>
      </c>
    </row>
    <row r="86" spans="2:18" x14ac:dyDescent="0.35">
      <c r="B86" s="101" t="str">
        <f>Modèle!B88</f>
        <v>Multimédia</v>
      </c>
      <c r="C86" s="107" t="str">
        <f>Modèle!D88</f>
        <v>4.5.1</v>
      </c>
      <c r="D86" s="108" t="str">
        <f>Modèle!E88</f>
        <v>AA</v>
      </c>
      <c r="E86" s="236">
        <f ca="1">COUNTIF(OFFSET(Synthèse!$G95,0,0,1,COUNTA(Synthèse!$10:$10)-6),"="&amp;$E$1)</f>
        <v>0</v>
      </c>
      <c r="F86" s="236">
        <f ca="1">COUNTIF(OFFSET(Synthèse!$G95,0,0,1,COUNTA(Synthèse!$10:$10)-6),"="&amp;$F$1)</f>
        <v>0</v>
      </c>
      <c r="G86" s="236">
        <f ca="1">COUNTIF(OFFSET(Synthèse!$G95,0,0,1,COUNTA(Synthèse!$10:$10)-6),"="&amp;$G$1)</f>
        <v>0</v>
      </c>
      <c r="H86" s="236">
        <f ca="1">COUNTIF(OFFSET(Synthèse!$G95,0,0,1,COUNTA(Synthèse!$10:$10)-6),"="&amp;$H$1)</f>
        <v>0</v>
      </c>
      <c r="I86" s="18">
        <f t="shared" ca="1" si="20"/>
        <v>0</v>
      </c>
      <c r="K86" s="123" t="s">
        <v>1114</v>
      </c>
      <c r="L86" s="240" t="s">
        <v>24</v>
      </c>
      <c r="M86" s="240"/>
      <c r="N86" s="240" t="s">
        <v>713</v>
      </c>
      <c r="O86" s="241">
        <f ca="1">IF(SUM(E$146:E$148)&gt;=1,0,1)</f>
        <v>1</v>
      </c>
      <c r="P86" s="241">
        <f ca="1">IF(SUM(E$146:E$148)&gt;=1,1,IF(SUM(G$146:G$148)&gt;=1,1,IF(SUM(F$146:F$148)&gt;=1,0,1)))</f>
        <v>1</v>
      </c>
      <c r="Q86" s="241">
        <f ca="1">IF(SUM(E$146:E$148)&gt;=1,1,IF(SUM(G$146:G$148)&gt;=1,0,1))</f>
        <v>1</v>
      </c>
      <c r="R86" s="241">
        <f ca="1">IF(SUM(E$146:E$148)&gt;=1,1,IF(SUM(G$146:G$148)&gt;=1,1,IF(SUM(F$146:F$148)&gt;=1,1,IF(SUM(H$146:H$148)&gt;=1,0,1))))</f>
        <v>1</v>
      </c>
    </row>
    <row r="87" spans="2:18" x14ac:dyDescent="0.35">
      <c r="B87" s="101" t="str">
        <f>Modèle!B89</f>
        <v>Multimédia</v>
      </c>
      <c r="C87" s="107" t="str">
        <f>Modèle!D89</f>
        <v>4.5.2</v>
      </c>
      <c r="D87" s="108" t="str">
        <f>Modèle!E89</f>
        <v>AA</v>
      </c>
      <c r="E87" s="236">
        <f ca="1">COUNTIF(OFFSET(Synthèse!$G96,0,0,1,COUNTA(Synthèse!$10:$10)-6),"="&amp;$E$1)</f>
        <v>0</v>
      </c>
      <c r="F87" s="236">
        <f ca="1">COUNTIF(OFFSET(Synthèse!$G96,0,0,1,COUNTA(Synthèse!$10:$10)-6),"="&amp;$F$1)</f>
        <v>0</v>
      </c>
      <c r="G87" s="236">
        <f ca="1">COUNTIF(OFFSET(Synthèse!$G96,0,0,1,COUNTA(Synthèse!$10:$10)-6),"="&amp;$G$1)</f>
        <v>0</v>
      </c>
      <c r="H87" s="236">
        <f ca="1">COUNTIF(OFFSET(Synthèse!$G96,0,0,1,COUNTA(Synthèse!$10:$10)-6),"="&amp;$H$1)</f>
        <v>0</v>
      </c>
      <c r="I87" s="18">
        <f t="shared" ca="1" si="20"/>
        <v>0</v>
      </c>
      <c r="K87" s="123" t="s">
        <v>1115</v>
      </c>
      <c r="L87" s="240" t="s">
        <v>24</v>
      </c>
      <c r="M87" s="240"/>
      <c r="N87" s="240" t="s">
        <v>714</v>
      </c>
      <c r="O87" s="241">
        <f ca="1">IF(SUM(E$149:E$149)&gt;=1,0,1)</f>
        <v>1</v>
      </c>
      <c r="P87" s="241">
        <f ca="1">IF(SUM(E$149)&gt;=1,1,IF(SUM(G$149)&gt;=1,1,IF(SUM(F$149)&gt;=1,0,1)))</f>
        <v>1</v>
      </c>
      <c r="Q87" s="241">
        <f ca="1">IF(SUM(E$149)&gt;=1,1,IF(SUM(G$149)&gt;=1,0,1))</f>
        <v>1</v>
      </c>
      <c r="R87" s="241">
        <f ca="1">IF(SUM(E$149)&gt;=1,1,IF(SUM(G$149)&gt;=1,1,IF(SUM(F$149)&gt;=1,1,IF(SUM(H$149)&gt;=1,0,1))))</f>
        <v>1</v>
      </c>
    </row>
    <row r="88" spans="2:18" x14ac:dyDescent="0.35">
      <c r="B88" s="102" t="str">
        <f>Modèle!B90</f>
        <v>Multimédia</v>
      </c>
      <c r="C88" s="109" t="str">
        <f>Modèle!D90</f>
        <v>4.6.1</v>
      </c>
      <c r="D88" s="110" t="str">
        <f>Modèle!E90</f>
        <v>AA</v>
      </c>
      <c r="E88" s="237">
        <f ca="1">COUNTIF(OFFSET(Synthèse!$G97,0,0,1,COUNTA(Synthèse!$10:$10)-6),"="&amp;$E$1)</f>
        <v>0</v>
      </c>
      <c r="F88" s="237">
        <f ca="1">COUNTIF(OFFSET(Synthèse!$G97,0,0,1,COUNTA(Synthèse!$10:$10)-6),"="&amp;$F$1)</f>
        <v>0</v>
      </c>
      <c r="G88" s="237">
        <f ca="1">COUNTIF(OFFSET(Synthèse!$G97,0,0,1,COUNTA(Synthèse!$10:$10)-6),"="&amp;$G$1)</f>
        <v>0</v>
      </c>
      <c r="H88" s="237">
        <f ca="1">COUNTIF(OFFSET(Synthèse!$G97,0,0,1,COUNTA(Synthèse!$10:$10)-6),"="&amp;$H$1)</f>
        <v>0</v>
      </c>
      <c r="I88" s="18">
        <f t="shared" ca="1" si="20"/>
        <v>0</v>
      </c>
      <c r="K88" s="123" t="s">
        <v>1116</v>
      </c>
      <c r="L88" s="240" t="s">
        <v>24</v>
      </c>
      <c r="M88" s="240"/>
      <c r="N88" s="240" t="s">
        <v>715</v>
      </c>
      <c r="O88" s="241">
        <f ca="1">IF(SUM(E$150:E$152)&gt;=1,0,1)</f>
        <v>1</v>
      </c>
      <c r="P88" s="241">
        <f ca="1">IF(SUM(E$150:E$152)&gt;=1,1,IF(SUM(G$150:G$152)&gt;=1,1,IF(SUM(F$150:F$152)&gt;=1,0,1)))</f>
        <v>1</v>
      </c>
      <c r="Q88" s="241">
        <f ca="1">IF(SUM(E$150:E$152)&gt;=1,1,IF(SUM(G$150:G$152)&gt;=1,0,1))</f>
        <v>1</v>
      </c>
      <c r="R88" s="241">
        <f ca="1">IF(SUM(E$150:E$152)&gt;=1,1,IF(SUM(G$150:G$152)&gt;=1,1,IF(SUM(F$150:F$152)&gt;=1,1,IF(SUM(H$150:H$152)&gt;=1,0,1))))</f>
        <v>1</v>
      </c>
    </row>
    <row r="89" spans="2:18" x14ac:dyDescent="0.35">
      <c r="B89" s="102" t="str">
        <f>Modèle!B91</f>
        <v>Multimédia</v>
      </c>
      <c r="C89" s="109" t="str">
        <f>Modèle!D91</f>
        <v>4.6.2</v>
      </c>
      <c r="D89" s="110" t="str">
        <f>Modèle!E91</f>
        <v>AA</v>
      </c>
      <c r="E89" s="237">
        <f ca="1">COUNTIF(OFFSET(Synthèse!$G98,0,0,1,COUNTA(Synthèse!$10:$10)-6),"="&amp;$E$1)</f>
        <v>0</v>
      </c>
      <c r="F89" s="237">
        <f ca="1">COUNTIF(OFFSET(Synthèse!$G98,0,0,1,COUNTA(Synthèse!$10:$10)-6),"="&amp;$F$1)</f>
        <v>0</v>
      </c>
      <c r="G89" s="237">
        <f ca="1">COUNTIF(OFFSET(Synthèse!$G98,0,0,1,COUNTA(Synthèse!$10:$10)-6),"="&amp;$G$1)</f>
        <v>0</v>
      </c>
      <c r="H89" s="237">
        <f ca="1">COUNTIF(OFFSET(Synthèse!$G98,0,0,1,COUNTA(Synthèse!$10:$10)-6),"="&amp;$H$1)</f>
        <v>0</v>
      </c>
      <c r="I89" s="18">
        <f t="shared" ca="1" si="20"/>
        <v>0</v>
      </c>
      <c r="K89" s="123" t="s">
        <v>1117</v>
      </c>
      <c r="L89" s="240" t="s">
        <v>24</v>
      </c>
      <c r="M89" s="240"/>
      <c r="N89" s="240" t="s">
        <v>716</v>
      </c>
      <c r="O89" s="241">
        <f ca="1">IF(SUM(E$153:E$154)&gt;=1,0,1)</f>
        <v>1</v>
      </c>
      <c r="P89" s="241">
        <f ca="1">IF(SUM(E$153:E$154)&gt;=1,1,IF(SUM(G$153:G$154)&gt;=1,1,IF(SUM(F$153:F$154)&gt;=1,0,1)))</f>
        <v>1</v>
      </c>
      <c r="Q89" s="241">
        <f ca="1">IF(SUM(E$153:E$154)&gt;=1,1,IF(SUM(G$153:G$154)&gt;=1,0,1))</f>
        <v>1</v>
      </c>
      <c r="R89" s="241">
        <f ca="1">IF(SUM(E$153:E$154)&gt;=1,1,IF(SUM(G$153:G$154)&gt;=1,1,IF(SUM(F$153:F$154)&gt;=1,1,IF(SUM(H$153:H$154)&gt;=1,0,1))))</f>
        <v>1</v>
      </c>
    </row>
    <row r="90" spans="2:18" x14ac:dyDescent="0.35">
      <c r="B90" s="101" t="str">
        <f>Modèle!B92</f>
        <v>Multimédia</v>
      </c>
      <c r="C90" s="107" t="str">
        <f>Modèle!D92</f>
        <v>4.7.1</v>
      </c>
      <c r="D90" s="108" t="str">
        <f>Modèle!E92</f>
        <v>A</v>
      </c>
      <c r="E90" s="236">
        <f ca="1">COUNTIF(OFFSET(Synthèse!$G99,0,0,1,COUNTA(Synthèse!$10:$10)-6),"="&amp;$E$1)</f>
        <v>0</v>
      </c>
      <c r="F90" s="236">
        <f ca="1">COUNTIF(OFFSET(Synthèse!$G99,0,0,1,COUNTA(Synthèse!$10:$10)-6),"="&amp;$F$1)</f>
        <v>0</v>
      </c>
      <c r="G90" s="236">
        <f ca="1">COUNTIF(OFFSET(Synthèse!$G99,0,0,1,COUNTA(Synthèse!$10:$10)-6),"="&amp;$G$1)</f>
        <v>0</v>
      </c>
      <c r="H90" s="236">
        <f ca="1">COUNTIF(OFFSET(Synthèse!$G99,0,0,1,COUNTA(Synthèse!$10:$10)-6),"="&amp;$H$1)</f>
        <v>0</v>
      </c>
      <c r="I90" s="18">
        <f t="shared" ca="1" si="20"/>
        <v>0</v>
      </c>
      <c r="K90" s="123" t="s">
        <v>784</v>
      </c>
      <c r="L90" s="242" t="s">
        <v>24</v>
      </c>
      <c r="M90" s="242"/>
      <c r="N90" s="242" t="s">
        <v>717</v>
      </c>
      <c r="O90" s="243">
        <f ca="1">IF(SUM(E$155:E$157)&gt;=1,0,1)</f>
        <v>1</v>
      </c>
      <c r="P90" s="243">
        <f ca="1">IF(SUM(E$155:E$157)&gt;=1,1,IF(SUM(G$155:G$157)&gt;=1,1,IF(SUM(F$155:F$157)&gt;=1,0,1)))</f>
        <v>1</v>
      </c>
      <c r="Q90" s="243">
        <f ca="1">IF(SUM(E$155:E$157)&gt;=1,1,IF(SUM(G$155:G$157)&gt;=1,0,1))</f>
        <v>1</v>
      </c>
      <c r="R90" s="243">
        <f ca="1">IF(SUM(E$155:E$157)&gt;=1,1,IF(SUM(G$155:G$157)&gt;=1,1,IF(SUM(F$155:F$157)&gt;=1,1,IF(SUM(H$155:H$157)&gt;=1,0,1))))</f>
        <v>1</v>
      </c>
    </row>
    <row r="91" spans="2:18" x14ac:dyDescent="0.35">
      <c r="B91" s="102" t="str">
        <f>Modèle!B93</f>
        <v>Multimédia</v>
      </c>
      <c r="C91" s="109" t="str">
        <f>Modèle!D93</f>
        <v>4.8.1</v>
      </c>
      <c r="D91" s="110" t="str">
        <f>Modèle!E93</f>
        <v>A</v>
      </c>
      <c r="E91" s="237">
        <f ca="1">COUNTIF(OFFSET(Synthèse!$G100,0,0,1,COUNTA(Synthèse!$10:$10)-6),"="&amp;$E$1)</f>
        <v>0</v>
      </c>
      <c r="F91" s="237">
        <f ca="1">COUNTIF(OFFSET(Synthèse!$G100,0,0,1,COUNTA(Synthèse!$10:$10)-6),"="&amp;$F$1)</f>
        <v>0</v>
      </c>
      <c r="G91" s="237">
        <f ca="1">COUNTIF(OFFSET(Synthèse!$G100,0,0,1,COUNTA(Synthèse!$10:$10)-6),"="&amp;$G$1)</f>
        <v>0</v>
      </c>
      <c r="H91" s="237">
        <f ca="1">COUNTIF(OFFSET(Synthèse!$G100,0,0,1,COUNTA(Synthèse!$10:$10)-6),"="&amp;$H$1)</f>
        <v>0</v>
      </c>
      <c r="I91" s="18">
        <f t="shared" ca="1" si="20"/>
        <v>0</v>
      </c>
      <c r="K91" s="123" t="s">
        <v>1118</v>
      </c>
      <c r="L91" s="242" t="s">
        <v>24</v>
      </c>
      <c r="M91" s="242"/>
      <c r="N91" s="242" t="s">
        <v>718</v>
      </c>
      <c r="O91" s="243">
        <f ca="1">IF(SUM(E$158:E$158)&gt;=1,0,1)</f>
        <v>1</v>
      </c>
      <c r="P91" s="243">
        <f ca="1">IF(SUM(E$158)&gt;=1,1,IF(SUM(G$158)&gt;=1,1,IF(SUM(F$158)&gt;=1,0,1)))</f>
        <v>1</v>
      </c>
      <c r="Q91" s="243">
        <f ca="1">IF(SUM(E$158)&gt;=1,1,IF(SUM(G$158)&gt;=1,0,1))</f>
        <v>1</v>
      </c>
      <c r="R91" s="243">
        <f ca="1">IF(SUM(E$158)&gt;=1,1,IF(SUM(G$158)&gt;=1,1,IF(SUM(F$158)&gt;=1,1,IF(SUM(H$158)&gt;=1,0,1))))</f>
        <v>1</v>
      </c>
    </row>
    <row r="92" spans="2:18" x14ac:dyDescent="0.35">
      <c r="B92" s="102" t="str">
        <f>Modèle!B94</f>
        <v>Multimédia</v>
      </c>
      <c r="C92" s="109" t="str">
        <f>Modèle!D94</f>
        <v>4.8.2</v>
      </c>
      <c r="D92" s="110" t="str">
        <f>Modèle!E94</f>
        <v>A</v>
      </c>
      <c r="E92" s="237">
        <f ca="1">COUNTIF(OFFSET(Synthèse!$G101,0,0,1,COUNTA(Synthèse!$10:$10)-6),"="&amp;$E$1)</f>
        <v>0</v>
      </c>
      <c r="F92" s="237">
        <f ca="1">COUNTIF(OFFSET(Synthèse!$G101,0,0,1,COUNTA(Synthèse!$10:$10)-6),"="&amp;$F$1)</f>
        <v>0</v>
      </c>
      <c r="G92" s="237">
        <f ca="1">COUNTIF(OFFSET(Synthèse!$G101,0,0,1,COUNTA(Synthèse!$10:$10)-6),"="&amp;$G$1)</f>
        <v>0</v>
      </c>
      <c r="H92" s="237">
        <f ca="1">COUNTIF(OFFSET(Synthèse!$G101,0,0,1,COUNTA(Synthèse!$10:$10)-6),"="&amp;$H$1)</f>
        <v>0</v>
      </c>
      <c r="I92" s="18">
        <f t="shared" ca="1" si="20"/>
        <v>0</v>
      </c>
      <c r="K92" s="123" t="s">
        <v>1119</v>
      </c>
      <c r="L92" s="242" t="s">
        <v>24</v>
      </c>
      <c r="M92" s="242"/>
      <c r="N92" s="242" t="s">
        <v>719</v>
      </c>
      <c r="O92" s="243">
        <f ca="1">IF(SUM(E$159:E$159)&gt;=1,0,1)</f>
        <v>1</v>
      </c>
      <c r="P92" s="243">
        <f ca="1">IF(SUM(E$159)&gt;=1,1,IF(SUM(G$159)&gt;=1,1,IF(SUM(F$159)&gt;=1,0,1)))</f>
        <v>1</v>
      </c>
      <c r="Q92" s="243">
        <f ca="1">IF(SUM(E$159)&gt;=1,1,IF(SUM(G$159)&gt;=1,0,1))</f>
        <v>1</v>
      </c>
      <c r="R92" s="243">
        <f ca="1">IF(SUM(E$159)&gt;=1,1,IF(SUM(G$159)&gt;=1,1,IF(SUM(F$159)&gt;=1,1,IF(SUM(H$159)&gt;=1,0,1))))</f>
        <v>1</v>
      </c>
    </row>
    <row r="93" spans="2:18" x14ac:dyDescent="0.35">
      <c r="B93" s="101" t="str">
        <f>Modèle!B95</f>
        <v>Multimédia</v>
      </c>
      <c r="C93" s="107" t="str">
        <f>Modèle!D95</f>
        <v>4.9.1</v>
      </c>
      <c r="D93" s="108" t="str">
        <f>Modèle!E95</f>
        <v>A</v>
      </c>
      <c r="E93" s="236">
        <f ca="1">COUNTIF(OFFSET(Synthèse!$G102,0,0,1,COUNTA(Synthèse!$10:$10)-6),"="&amp;$E$1)</f>
        <v>0</v>
      </c>
      <c r="F93" s="236">
        <f ca="1">COUNTIF(OFFSET(Synthèse!$G102,0,0,1,COUNTA(Synthèse!$10:$10)-6),"="&amp;$F$1)</f>
        <v>0</v>
      </c>
      <c r="G93" s="236">
        <f ca="1">COUNTIF(OFFSET(Synthèse!$G102,0,0,1,COUNTA(Synthèse!$10:$10)-6),"="&amp;$G$1)</f>
        <v>0</v>
      </c>
      <c r="H93" s="236">
        <f ca="1">COUNTIF(OFFSET(Synthèse!$G102,0,0,1,COUNTA(Synthèse!$10:$10)-6),"="&amp;$H$1)</f>
        <v>0</v>
      </c>
      <c r="I93" s="18">
        <f t="shared" ca="1" si="20"/>
        <v>0</v>
      </c>
      <c r="K93" s="123" t="s">
        <v>1120</v>
      </c>
      <c r="L93" s="242" t="s">
        <v>25</v>
      </c>
      <c r="M93" s="242"/>
      <c r="N93" s="242" t="s">
        <v>720</v>
      </c>
      <c r="O93" s="243">
        <f ca="1">IF(SUM(E$160:E$162)&gt;=1,0,1)</f>
        <v>1</v>
      </c>
      <c r="P93" s="243">
        <f ca="1">IF(SUM(E$160:E$162)&gt;=1,1,IF(SUM(G$160:G$162)&gt;=1,1,IF(SUM(F$160:F$162)&gt;=1,0,1)))</f>
        <v>1</v>
      </c>
      <c r="Q93" s="243">
        <f ca="1">IF(SUM(E$160:E$162)&gt;=1,1,IF(SUM(G$160:G$162)&gt;=1,0,1))</f>
        <v>1</v>
      </c>
      <c r="R93" s="243">
        <f ca="1">IF(SUM(E$160:E$162)&gt;=1,1,IF(SUM(G$160:G$162)&gt;=1,1,IF(SUM(F$160:F$162)&gt;=1,1,IF(SUM(H$160:H$162)&gt;=1,0,1))))</f>
        <v>1</v>
      </c>
    </row>
    <row r="94" spans="2:18" x14ac:dyDescent="0.35">
      <c r="B94" s="102" t="str">
        <f>Modèle!B96</f>
        <v>Multimédia</v>
      </c>
      <c r="C94" s="109" t="str">
        <f>Modèle!D96</f>
        <v>4.10.1</v>
      </c>
      <c r="D94" s="110" t="str">
        <f>Modèle!E96</f>
        <v>A</v>
      </c>
      <c r="E94" s="237">
        <f ca="1">COUNTIF(OFFSET(Synthèse!$G103,0,0,1,COUNTA(Synthèse!$10:$10)-6),"="&amp;$E$1)</f>
        <v>0</v>
      </c>
      <c r="F94" s="237">
        <f ca="1">COUNTIF(OFFSET(Synthèse!$G103,0,0,1,COUNTA(Synthèse!$10:$10)-6),"="&amp;$F$1)</f>
        <v>0</v>
      </c>
      <c r="G94" s="237">
        <f ca="1">COUNTIF(OFFSET(Synthèse!$G103,0,0,1,COUNTA(Synthèse!$10:$10)-6),"="&amp;$G$1)</f>
        <v>0</v>
      </c>
      <c r="H94" s="237">
        <f ca="1">COUNTIF(OFFSET(Synthèse!$G103,0,0,1,COUNTA(Synthèse!$10:$10)-6),"="&amp;$H$1)</f>
        <v>0</v>
      </c>
      <c r="I94" s="18">
        <f t="shared" ca="1" si="20"/>
        <v>0</v>
      </c>
      <c r="K94" s="123" t="s">
        <v>1121</v>
      </c>
      <c r="L94" s="242" t="s">
        <v>25</v>
      </c>
      <c r="M94" s="242"/>
      <c r="N94" s="242" t="s">
        <v>721</v>
      </c>
      <c r="O94" s="243">
        <f ca="1">IF(SUM(E$163:E$165)&gt;=1,0,1)</f>
        <v>1</v>
      </c>
      <c r="P94" s="243">
        <f ca="1">IF(SUM(E$163:E$165)&gt;=1,1,IF(SUM(G$163:G$165)&gt;=1,1,IF(SUM(F$163:F$165)&gt;=1,0,1)))</f>
        <v>1</v>
      </c>
      <c r="Q94" s="243">
        <f ca="1">IF(SUM(E$163:E$165)&gt;=1,1,IF(SUM(G$163:G$165)&gt;=1,0,1))</f>
        <v>1</v>
      </c>
      <c r="R94" s="243">
        <f ca="1">IF(SUM(E$163:E$165)&gt;=1,1,IF(SUM(G$163:G$165)&gt;=1,1,IF(SUM(F$163:F$165)&gt;=1,1,IF(SUM(H$163:H$165)&gt;=1,0,1))))</f>
        <v>1</v>
      </c>
    </row>
    <row r="95" spans="2:18" x14ac:dyDescent="0.35">
      <c r="B95" s="101" t="str">
        <f>Modèle!B97</f>
        <v>Multimédia</v>
      </c>
      <c r="C95" s="107" t="str">
        <f>Modèle!D97</f>
        <v>4.11.1</v>
      </c>
      <c r="D95" s="108" t="str">
        <f>Modèle!E97</f>
        <v>A</v>
      </c>
      <c r="E95" s="236">
        <f ca="1">COUNTIF(OFFSET(Synthèse!$G104,0,0,1,COUNTA(Synthèse!$10:$10)-6),"="&amp;$E$1)</f>
        <v>0</v>
      </c>
      <c r="F95" s="236">
        <f ca="1">COUNTIF(OFFSET(Synthèse!$G104,0,0,1,COUNTA(Synthèse!$10:$10)-6),"="&amp;$F$1)</f>
        <v>0</v>
      </c>
      <c r="G95" s="236">
        <f ca="1">COUNTIF(OFFSET(Synthèse!$G104,0,0,1,COUNTA(Synthèse!$10:$10)-6),"="&amp;$G$1)</f>
        <v>0</v>
      </c>
      <c r="H95" s="236">
        <f ca="1">COUNTIF(OFFSET(Synthèse!$G104,0,0,1,COUNTA(Synthèse!$10:$10)-6),"="&amp;$H$1)</f>
        <v>0</v>
      </c>
      <c r="I95" s="18">
        <f t="shared" ca="1" si="20"/>
        <v>0</v>
      </c>
      <c r="K95" s="123" t="s">
        <v>1122</v>
      </c>
      <c r="L95" s="242" t="s">
        <v>24</v>
      </c>
      <c r="M95" s="242"/>
      <c r="N95" s="242" t="s">
        <v>722</v>
      </c>
      <c r="O95" s="243">
        <f ca="1">IF(SUM(E$166:E$166)&gt;=1,0,1)</f>
        <v>1</v>
      </c>
      <c r="P95" s="243">
        <f ca="1">IF(SUM(E$166)&gt;=1,1,IF(SUM(G$166)&gt;=1,1,IF(SUM(F$166)&gt;=1,0,1)))</f>
        <v>1</v>
      </c>
      <c r="Q95" s="243">
        <f ca="1">IF(SUM(E$166)&gt;=1,1,IF(SUM(G$166)&gt;=1,0,1))</f>
        <v>1</v>
      </c>
      <c r="R95" s="243">
        <f ca="1">IF(SUM(E$166)&gt;=1,1,IF(SUM(G$166)&gt;=1,1,IF(SUM(F$166)&gt;=1,1,IF(SUM(H$166)&gt;=1,0,1))))</f>
        <v>1</v>
      </c>
    </row>
    <row r="96" spans="2:18" x14ac:dyDescent="0.35">
      <c r="B96" s="101" t="str">
        <f>Modèle!B98</f>
        <v>Multimédia</v>
      </c>
      <c r="C96" s="107" t="str">
        <f>Modèle!D98</f>
        <v>4.11.2</v>
      </c>
      <c r="D96" s="108" t="str">
        <f>Modèle!E98</f>
        <v>A</v>
      </c>
      <c r="E96" s="236">
        <f ca="1">COUNTIF(OFFSET(Synthèse!$G105,0,0,1,COUNTA(Synthèse!$10:$10)-6),"="&amp;$E$1)</f>
        <v>0</v>
      </c>
      <c r="F96" s="236">
        <f ca="1">COUNTIF(OFFSET(Synthèse!$G105,0,0,1,COUNTA(Synthèse!$10:$10)-6),"="&amp;$F$1)</f>
        <v>0</v>
      </c>
      <c r="G96" s="236">
        <f ca="1">COUNTIF(OFFSET(Synthèse!$G105,0,0,1,COUNTA(Synthèse!$10:$10)-6),"="&amp;$G$1)</f>
        <v>0</v>
      </c>
      <c r="H96" s="236">
        <f ca="1">COUNTIF(OFFSET(Synthèse!$G105,0,0,1,COUNTA(Synthèse!$10:$10)-6),"="&amp;$H$1)</f>
        <v>0</v>
      </c>
      <c r="I96" s="18">
        <f t="shared" ca="1" si="20"/>
        <v>0</v>
      </c>
      <c r="K96" s="123" t="s">
        <v>1123</v>
      </c>
      <c r="L96" s="242" t="s">
        <v>24</v>
      </c>
      <c r="M96" s="242"/>
      <c r="N96" s="242" t="s">
        <v>723</v>
      </c>
      <c r="O96" s="243">
        <f ca="1">IF(SUM(E$167:E$167)&gt;=1,0,1)</f>
        <v>1</v>
      </c>
      <c r="P96" s="243">
        <f ca="1">IF(SUM(E$167)&gt;=1,1,IF(SUM(G$167)&gt;=1,1,IF(SUM(F$167)&gt;=1,0,1)))</f>
        <v>1</v>
      </c>
      <c r="Q96" s="243">
        <f ca="1">IF(SUM(E$167)&gt;=1,1,IF(SUM(G$167)&gt;=1,0,1))</f>
        <v>1</v>
      </c>
      <c r="R96" s="243">
        <f ca="1">IF(SUM(E$167)&gt;=1,1,IF(SUM(G$167)&gt;=1,1,IF(SUM(F$167)&gt;=1,1,IF(SUM(H$167)&gt;=1,0,1))))</f>
        <v>1</v>
      </c>
    </row>
    <row r="97" spans="2:18" x14ac:dyDescent="0.35">
      <c r="B97" s="101" t="str">
        <f>Modèle!B99</f>
        <v>Multimédia</v>
      </c>
      <c r="C97" s="107" t="str">
        <f>Modèle!D99</f>
        <v>4.11.3</v>
      </c>
      <c r="D97" s="108" t="str">
        <f>Modèle!E99</f>
        <v>A</v>
      </c>
      <c r="E97" s="236">
        <f ca="1">COUNTIF(OFFSET(Synthèse!$G106,0,0,1,COUNTA(Synthèse!$10:$10)-6),"="&amp;$E$1)</f>
        <v>0</v>
      </c>
      <c r="F97" s="236">
        <f ca="1">COUNTIF(OFFSET(Synthèse!$G106,0,0,1,COUNTA(Synthèse!$10:$10)-6),"="&amp;$F$1)</f>
        <v>0</v>
      </c>
      <c r="G97" s="236">
        <f ca="1">COUNTIF(OFFSET(Synthèse!$G106,0,0,1,COUNTA(Synthèse!$10:$10)-6),"="&amp;$G$1)</f>
        <v>0</v>
      </c>
      <c r="H97" s="236">
        <f ca="1">COUNTIF(OFFSET(Synthèse!$G106,0,0,1,COUNTA(Synthèse!$10:$10)-6),"="&amp;$H$1)</f>
        <v>0</v>
      </c>
      <c r="I97" s="18">
        <f t="shared" ca="1" si="20"/>
        <v>0</v>
      </c>
      <c r="K97" s="123" t="s">
        <v>1124</v>
      </c>
      <c r="L97" s="242" t="s">
        <v>24</v>
      </c>
      <c r="M97" s="242"/>
      <c r="N97" s="242" t="s">
        <v>724</v>
      </c>
      <c r="O97" s="243">
        <f ca="1">IF(SUM(E$168:E$168)&gt;=1,0,1)</f>
        <v>1</v>
      </c>
      <c r="P97" s="243">
        <f ca="1">IF(SUM(E$168)&gt;=1,1,IF(SUM(G$168)&gt;=1,1,IF(SUM(F$168)&gt;=1,0,1)))</f>
        <v>1</v>
      </c>
      <c r="Q97" s="243">
        <f ca="1">IF(SUM(E$168)&gt;=1,1,IF(SUM(G$168)&gt;=1,0,1))</f>
        <v>1</v>
      </c>
      <c r="R97" s="243">
        <f ca="1">IF(SUM(E$168)&gt;=1,1,IF(SUM(G$168)&gt;=1,1,IF(SUM(F$168)&gt;=1,1,IF(SUM(H$168)&gt;=1,0,1))))</f>
        <v>1</v>
      </c>
    </row>
    <row r="98" spans="2:18" x14ac:dyDescent="0.35">
      <c r="B98" s="102" t="str">
        <f>Modèle!B100</f>
        <v>Multimédia</v>
      </c>
      <c r="C98" s="109" t="str">
        <f>Modèle!D100</f>
        <v>4.12.1</v>
      </c>
      <c r="D98" s="110" t="str">
        <f>Modèle!E100</f>
        <v>A</v>
      </c>
      <c r="E98" s="237">
        <f ca="1">COUNTIF(OFFSET(Synthèse!$G107,0,0,1,COUNTA(Synthèse!$10:$10)-6),"="&amp;$E$1)</f>
        <v>0</v>
      </c>
      <c r="F98" s="237">
        <f ca="1">COUNTIF(OFFSET(Synthèse!$G107,0,0,1,COUNTA(Synthèse!$10:$10)-6),"="&amp;$F$1)</f>
        <v>0</v>
      </c>
      <c r="G98" s="237">
        <f ca="1">COUNTIF(OFFSET(Synthèse!$G107,0,0,1,COUNTA(Synthèse!$10:$10)-6),"="&amp;$G$1)</f>
        <v>0</v>
      </c>
      <c r="H98" s="237">
        <f ca="1">COUNTIF(OFFSET(Synthèse!$G107,0,0,1,COUNTA(Synthèse!$10:$10)-6),"="&amp;$H$1)</f>
        <v>0</v>
      </c>
      <c r="I98" s="18">
        <f t="shared" ca="1" si="20"/>
        <v>0</v>
      </c>
      <c r="K98" s="123" t="s">
        <v>1125</v>
      </c>
      <c r="L98" s="242" t="s">
        <v>24</v>
      </c>
      <c r="M98" s="242"/>
      <c r="N98" s="242" t="s">
        <v>725</v>
      </c>
      <c r="O98" s="243">
        <f ca="1">IF(SUM(E$169:E$172)&gt;=1,0,1)</f>
        <v>1</v>
      </c>
      <c r="P98" s="243">
        <f ca="1">IF(SUM(E$169:E$172)&gt;=1,1,IF(SUM(G$169:G$172)&gt;=1,1,IF(SUM(F$169:F$172)&gt;=1,0,1)))</f>
        <v>1</v>
      </c>
      <c r="Q98" s="243">
        <f ca="1">IF(SUM(E$169:E$172)&gt;=1,1,IF(SUM(G$169:G$172)&gt;=1,0,1))</f>
        <v>1</v>
      </c>
      <c r="R98" s="243">
        <f ca="1">IF(SUM(E$169:E$172)&gt;=1,1,IF(SUM(G$169:G$172)&gt;=1,1,IF(SUM(F$169:F$172)&gt;=1,1,IF(SUM(H$169:H$172)&gt;=1,0,1))))</f>
        <v>1</v>
      </c>
    </row>
    <row r="99" spans="2:18" x14ac:dyDescent="0.35">
      <c r="B99" s="102" t="str">
        <f>Modèle!B101</f>
        <v>Multimédia</v>
      </c>
      <c r="C99" s="109" t="str">
        <f>Modèle!D101</f>
        <v>4.12.2</v>
      </c>
      <c r="D99" s="110" t="str">
        <f>Modèle!E101</f>
        <v>A</v>
      </c>
      <c r="E99" s="237">
        <f ca="1">COUNTIF(OFFSET(Synthèse!$G108,0,0,1,COUNTA(Synthèse!$10:$10)-6),"="&amp;$E$1)</f>
        <v>0</v>
      </c>
      <c r="F99" s="237">
        <f ca="1">COUNTIF(OFFSET(Synthèse!$G108,0,0,1,COUNTA(Synthèse!$10:$10)-6),"="&amp;$F$1)</f>
        <v>0</v>
      </c>
      <c r="G99" s="237">
        <f ca="1">COUNTIF(OFFSET(Synthèse!$G108,0,0,1,COUNTA(Synthèse!$10:$10)-6),"="&amp;$G$1)</f>
        <v>0</v>
      </c>
      <c r="H99" s="237">
        <f ca="1">COUNTIF(OFFSET(Synthèse!$G108,0,0,1,COUNTA(Synthèse!$10:$10)-6),"="&amp;$H$1)</f>
        <v>0</v>
      </c>
      <c r="I99" s="18">
        <f t="shared" ca="1" si="20"/>
        <v>0</v>
      </c>
      <c r="K99" s="123" t="s">
        <v>1126</v>
      </c>
      <c r="L99" s="242" t="s">
        <v>24</v>
      </c>
      <c r="M99" s="242"/>
      <c r="N99" s="242" t="s">
        <v>726</v>
      </c>
      <c r="O99" s="243">
        <f ca="1">IF(SUM(E$173:E$176)&gt;=1,0,1)</f>
        <v>1</v>
      </c>
      <c r="P99" s="243">
        <f ca="1">IF(SUM(E$173:E$176)&gt;=1,1,IF(SUM(G$173:G$176)&gt;=1,1,IF(SUM(F$173:F$176)&gt;=1,0,1)))</f>
        <v>1</v>
      </c>
      <c r="Q99" s="243">
        <f ca="1">IF(SUM(E$173:E$176)&gt;=1,1,IF(SUM(G$173:G$176)&gt;=1,0,1))</f>
        <v>1</v>
      </c>
      <c r="R99" s="243">
        <f ca="1">IF(SUM(E$173:E$176)&gt;=1,1,IF(SUM(G$173:G$176)&gt;=1,1,IF(SUM(F$173:F$176)&gt;=1,1,IF(SUM(H$173:H$176)&gt;=1,0,1))))</f>
        <v>1</v>
      </c>
    </row>
    <row r="100" spans="2:18" x14ac:dyDescent="0.35">
      <c r="B100" s="101" t="str">
        <f>Modèle!B102</f>
        <v>Multimédia</v>
      </c>
      <c r="C100" s="107" t="str">
        <f>Modèle!D102</f>
        <v>4.13.1</v>
      </c>
      <c r="D100" s="108" t="str">
        <f>Modèle!E102</f>
        <v>A</v>
      </c>
      <c r="E100" s="236">
        <f ca="1">COUNTIF(OFFSET(Synthèse!$G109,0,0,1,COUNTA(Synthèse!$10:$10)-6),"="&amp;$E$1)</f>
        <v>0</v>
      </c>
      <c r="F100" s="236">
        <f ca="1">COUNTIF(OFFSET(Synthèse!$G109,0,0,1,COUNTA(Synthèse!$10:$10)-6),"="&amp;$F$1)</f>
        <v>0</v>
      </c>
      <c r="G100" s="236">
        <f ca="1">COUNTIF(OFFSET(Synthèse!$G109,0,0,1,COUNTA(Synthèse!$10:$10)-6),"="&amp;$G$1)</f>
        <v>0</v>
      </c>
      <c r="H100" s="236">
        <f ca="1">COUNTIF(OFFSET(Synthèse!$G109,0,0,1,COUNTA(Synthèse!$10:$10)-6),"="&amp;$H$1)</f>
        <v>0</v>
      </c>
      <c r="I100" s="18">
        <f t="shared" ca="1" si="20"/>
        <v>0</v>
      </c>
      <c r="K100" s="123" t="s">
        <v>1127</v>
      </c>
      <c r="L100" s="242" t="s">
        <v>25</v>
      </c>
      <c r="M100" s="242"/>
      <c r="N100" s="242" t="s">
        <v>727</v>
      </c>
      <c r="O100" s="243">
        <f ca="1">IF(SUM(E$177:E$178)&gt;=1,0,1)</f>
        <v>1</v>
      </c>
      <c r="P100" s="243">
        <f ca="1">IF(SUM(E$177:E$178)&gt;=1,1,IF(SUM(G$177:G$178)&gt;=1,1,IF(SUM(F$177:F$178)&gt;=1,0,1)))</f>
        <v>1</v>
      </c>
      <c r="Q100" s="243">
        <f ca="1">IF(SUM(E$177:E$178)&gt;=1,1,IF(SUM(G$177:G$178)&gt;=1,0,1))</f>
        <v>1</v>
      </c>
      <c r="R100" s="243">
        <f ca="1">IF(SUM(E$177:E$178)&gt;=1,1,IF(SUM(G$177:G$178)&gt;=1,1,IF(SUM(F$177:F$178)&gt;=1,1,IF(SUM(H$177:H$178)&gt;=1,0,1))))</f>
        <v>1</v>
      </c>
    </row>
    <row r="101" spans="2:18" x14ac:dyDescent="0.35">
      <c r="B101" s="101" t="str">
        <f>Modèle!B103</f>
        <v>Multimédia</v>
      </c>
      <c r="C101" s="107" t="str">
        <f>Modèle!D103</f>
        <v>4.13.2</v>
      </c>
      <c r="D101" s="108" t="str">
        <f>Modèle!E103</f>
        <v>A</v>
      </c>
      <c r="E101" s="236">
        <f ca="1">COUNTIF(OFFSET(Synthèse!$G110,0,0,1,COUNTA(Synthèse!$10:$10)-6),"="&amp;$E$1)</f>
        <v>0</v>
      </c>
      <c r="F101" s="236">
        <f ca="1">COUNTIF(OFFSET(Synthèse!$G110,0,0,1,COUNTA(Synthèse!$10:$10)-6),"="&amp;$F$1)</f>
        <v>0</v>
      </c>
      <c r="G101" s="236">
        <f ca="1">COUNTIF(OFFSET(Synthèse!$G110,0,0,1,COUNTA(Synthèse!$10:$10)-6),"="&amp;$G$1)</f>
        <v>0</v>
      </c>
      <c r="H101" s="236">
        <f ca="1">COUNTIF(OFFSET(Synthèse!$G110,0,0,1,COUNTA(Synthèse!$10:$10)-6),"="&amp;$H$1)</f>
        <v>0</v>
      </c>
      <c r="I101" s="18">
        <f t="shared" ca="1" si="20"/>
        <v>0</v>
      </c>
      <c r="K101" s="123" t="s">
        <v>1128</v>
      </c>
      <c r="L101" s="242" t="s">
        <v>25</v>
      </c>
      <c r="M101" s="242"/>
      <c r="N101" s="242" t="s">
        <v>728</v>
      </c>
      <c r="O101" s="243">
        <f ca="1">IF(SUM(E$179:E$179)&gt;=1,0,1)</f>
        <v>1</v>
      </c>
      <c r="P101" s="243">
        <f ca="1">IF(SUM(E$179)&gt;=1,1,IF(SUM(G$179)&gt;=1,1,IF(SUM(F$179)&gt;=1,0,1)))</f>
        <v>1</v>
      </c>
      <c r="Q101" s="243">
        <f ca="1">IF(SUM(E$179)&gt;=1,1,IF(SUM(G$179)&gt;=1,0,1))</f>
        <v>1</v>
      </c>
      <c r="R101" s="243">
        <f ca="1">IF(SUM(E$179)&gt;=1,1,IF(SUM(G$179)&gt;=1,1,IF(SUM(F$179)&gt;=1,1,IF(SUM(H$179)&gt;=1,0,1))))</f>
        <v>1</v>
      </c>
    </row>
    <row r="102" spans="2:18" x14ac:dyDescent="0.35">
      <c r="B102" s="102" t="str">
        <f>Modèle!B104</f>
        <v>Tableaux</v>
      </c>
      <c r="C102" s="109" t="str">
        <f>Modèle!D104</f>
        <v>5.1.1</v>
      </c>
      <c r="D102" s="110" t="str">
        <f>Modèle!E104</f>
        <v>A</v>
      </c>
      <c r="E102" s="237">
        <f ca="1">COUNTIF(OFFSET(Synthèse!$G111,0,0,1,COUNTA(Synthèse!$10:$10)-6),"="&amp;$E$1)</f>
        <v>0</v>
      </c>
      <c r="F102" s="237">
        <f ca="1">COUNTIF(OFFSET(Synthèse!$G111,0,0,1,COUNTA(Synthèse!$10:$10)-6),"="&amp;$F$1)</f>
        <v>0</v>
      </c>
      <c r="G102" s="237">
        <f ca="1">COUNTIF(OFFSET(Synthèse!$G111,0,0,1,COUNTA(Synthèse!$10:$10)-6),"="&amp;$G$1)</f>
        <v>0</v>
      </c>
      <c r="H102" s="237">
        <f ca="1">COUNTIF(OFFSET(Synthèse!$G111,0,0,1,COUNTA(Synthèse!$10:$10)-6),"="&amp;$H$1)</f>
        <v>0</v>
      </c>
      <c r="I102" s="18">
        <f t="shared" ca="1" si="20"/>
        <v>0</v>
      </c>
      <c r="K102" s="123" t="s">
        <v>1129</v>
      </c>
      <c r="L102" s="242" t="s">
        <v>25</v>
      </c>
      <c r="M102" s="242"/>
      <c r="N102" s="242" t="s">
        <v>729</v>
      </c>
      <c r="O102" s="243">
        <f ca="1">IF(SUM(E$180:E$182)&gt;=1,0,1)</f>
        <v>1</v>
      </c>
      <c r="P102" s="243">
        <f ca="1">IF(SUM(E$180:E$182)&gt;=1,1,IF(SUM(G$180:G$182)&gt;=1,1,IF(SUM(F$180:F$182)&gt;=1,0,1)))</f>
        <v>1</v>
      </c>
      <c r="Q102" s="243">
        <f ca="1">IF(SUM(E$180:E$182)&gt;=1,1,IF(SUM(G$180:G$182)&gt;=1,0,1))</f>
        <v>1</v>
      </c>
      <c r="R102" s="243">
        <f ca="1">IF(SUM(E$180:E$182)&gt;=1,1,IF(SUM(G$180:G$182)&gt;=1,1,IF(SUM(F$180:F$182)&gt;=1,1,IF(SUM(H$180:H$182)&gt;=1,0,1))))</f>
        <v>1</v>
      </c>
    </row>
    <row r="103" spans="2:18" x14ac:dyDescent="0.35">
      <c r="B103" s="101" t="str">
        <f>Modèle!B105</f>
        <v>Tableaux</v>
      </c>
      <c r="C103" s="107" t="str">
        <f>Modèle!D105</f>
        <v>5.2.1</v>
      </c>
      <c r="D103" s="108" t="str">
        <f>Modèle!E105</f>
        <v>A</v>
      </c>
      <c r="E103" s="236">
        <f ca="1">COUNTIF(OFFSET(Synthèse!$G112,0,0,1,COUNTA(Synthèse!$10:$10)-6),"="&amp;$E$1)</f>
        <v>0</v>
      </c>
      <c r="F103" s="236">
        <f ca="1">COUNTIF(OFFSET(Synthèse!$G112,0,0,1,COUNTA(Synthèse!$10:$10)-6),"="&amp;$F$1)</f>
        <v>0</v>
      </c>
      <c r="G103" s="236">
        <f ca="1">COUNTIF(OFFSET(Synthèse!$G112,0,0,1,COUNTA(Synthèse!$10:$10)-6),"="&amp;$G$1)</f>
        <v>0</v>
      </c>
      <c r="H103" s="236">
        <f ca="1">COUNTIF(OFFSET(Synthèse!$G112,0,0,1,COUNTA(Synthèse!$10:$10)-6),"="&amp;$H$1)</f>
        <v>0</v>
      </c>
      <c r="I103" s="18">
        <f t="shared" ca="1" si="20"/>
        <v>0</v>
      </c>
      <c r="K103" s="123" t="s">
        <v>1130</v>
      </c>
      <c r="L103" s="242" t="s">
        <v>25</v>
      </c>
      <c r="M103" s="242"/>
      <c r="N103" s="242" t="s">
        <v>730</v>
      </c>
      <c r="O103" s="243">
        <f ca="1">IF(SUM(E$183:E$184)&gt;=1,0,1)</f>
        <v>1</v>
      </c>
      <c r="P103" s="243">
        <f ca="1">IF(SUM(E$183:E$184)&gt;=1,1,IF(SUM(G$183:G$184)&gt;=1,1,IF(SUM(F$183:F$184)&gt;=1,0,1)))</f>
        <v>1</v>
      </c>
      <c r="Q103" s="243">
        <f ca="1">IF(SUM(E$183:E$184)&gt;=1,1,IF(SUM(G$183:G$184)&gt;=1,0,1))</f>
        <v>1</v>
      </c>
      <c r="R103" s="243">
        <f ca="1">IF(SUM(E$183:E$184)&gt;=1,1,IF(SUM(G$183:G$184)&gt;=1,1,IF(SUM(F$183:F$184)&gt;=1,1,IF(SUM(H$183:H$184)&gt;=1,0,1))))</f>
        <v>1</v>
      </c>
    </row>
    <row r="104" spans="2:18" x14ac:dyDescent="0.35">
      <c r="B104" s="102" t="str">
        <f>Modèle!B106</f>
        <v>Tableaux</v>
      </c>
      <c r="C104" s="109" t="str">
        <f>Modèle!D106</f>
        <v>5.3.1</v>
      </c>
      <c r="D104" s="110" t="str">
        <f>Modèle!E106</f>
        <v>A</v>
      </c>
      <c r="E104" s="237">
        <f ca="1">COUNTIF(OFFSET(Synthèse!$G113,0,0,1,COUNTA(Synthèse!$10:$10)-6),"="&amp;$E$1)</f>
        <v>0</v>
      </c>
      <c r="F104" s="237">
        <f ca="1">COUNTIF(OFFSET(Synthèse!$G113,0,0,1,COUNTA(Synthèse!$10:$10)-6),"="&amp;$F$1)</f>
        <v>0</v>
      </c>
      <c r="G104" s="237">
        <f ca="1">COUNTIF(OFFSET(Synthèse!$G113,0,0,1,COUNTA(Synthèse!$10:$10)-6),"="&amp;$G$1)</f>
        <v>0</v>
      </c>
      <c r="H104" s="237">
        <f ca="1">COUNTIF(OFFSET(Synthèse!$G113,0,0,1,COUNTA(Synthèse!$10:$10)-6),"="&amp;$H$1)</f>
        <v>0</v>
      </c>
      <c r="I104" s="18">
        <f t="shared" ca="1" si="20"/>
        <v>0</v>
      </c>
      <c r="K104" s="123" t="s">
        <v>1131</v>
      </c>
      <c r="L104" s="240" t="s">
        <v>24</v>
      </c>
      <c r="M104" s="240"/>
      <c r="N104" s="240" t="s">
        <v>731</v>
      </c>
      <c r="O104" s="241">
        <f ca="1">IF(SUM(E$185:E$187)&gt;=1,0,1)</f>
        <v>1</v>
      </c>
      <c r="P104" s="241">
        <f ca="1">IF(SUM(E$185:E$187)&gt;=1,1,IF(SUM(G$185:G$187)&gt;=1,1,IF(SUM(F$185:F$187)&gt;=1,0,1)))</f>
        <v>1</v>
      </c>
      <c r="Q104" s="241">
        <f ca="1">IF(SUM(E$185:E$187)&gt;=1,1,IF(SUM(G$185:G$187)&gt;=1,0,1))</f>
        <v>1</v>
      </c>
      <c r="R104" s="241">
        <f ca="1">IF(SUM(E$185:E$187)&gt;=1,1,IF(SUM(G$185:G$187)&gt;=1,1,IF(SUM(F$185:F$187)&gt;=1,1,IF(SUM(H$185:H$187)&gt;=1,0,1))))</f>
        <v>1</v>
      </c>
    </row>
    <row r="105" spans="2:18" x14ac:dyDescent="0.35">
      <c r="B105" s="101" t="str">
        <f>Modèle!B107</f>
        <v>Tableaux</v>
      </c>
      <c r="C105" s="107" t="str">
        <f>Modèle!D107</f>
        <v>5.4.1</v>
      </c>
      <c r="D105" s="108" t="str">
        <f>Modèle!E107</f>
        <v>A</v>
      </c>
      <c r="E105" s="236">
        <f ca="1">COUNTIF(OFFSET(Synthèse!$G114,0,0,1,COUNTA(Synthèse!$10:$10)-6),"="&amp;$E$1)</f>
        <v>0</v>
      </c>
      <c r="F105" s="236">
        <f ca="1">COUNTIF(OFFSET(Synthèse!$G114,0,0,1,COUNTA(Synthèse!$10:$10)-6),"="&amp;$F$1)</f>
        <v>0</v>
      </c>
      <c r="G105" s="236">
        <f ca="1">COUNTIF(OFFSET(Synthèse!$G114,0,0,1,COUNTA(Synthèse!$10:$10)-6),"="&amp;$G$1)</f>
        <v>0</v>
      </c>
      <c r="H105" s="236">
        <f ca="1">COUNTIF(OFFSET(Synthèse!$G114,0,0,1,COUNTA(Synthèse!$10:$10)-6),"="&amp;$H$1)</f>
        <v>0</v>
      </c>
      <c r="I105" s="18">
        <f t="shared" ca="1" si="20"/>
        <v>0</v>
      </c>
      <c r="K105" s="123" t="s">
        <v>1132</v>
      </c>
      <c r="L105" s="240" t="s">
        <v>24</v>
      </c>
      <c r="M105" s="240"/>
      <c r="N105" s="240" t="s">
        <v>732</v>
      </c>
      <c r="O105" s="241">
        <f ca="1">IF(SUM(E$188:E$193)&gt;=1,0,1)</f>
        <v>1</v>
      </c>
      <c r="P105" s="241">
        <f ca="1">IF(SUM(E$188:E$193)&gt;=1,1,IF(SUM(G$188:G$193)&gt;=1,1,IF(SUM(F$188:F$193)&gt;=1,0,1)))</f>
        <v>1</v>
      </c>
      <c r="Q105" s="241">
        <f ca="1">IF(SUM(E$188:E$193)&gt;=1,1,IF(SUM(G$188:G$193)&gt;=1,0,1))</f>
        <v>1</v>
      </c>
      <c r="R105" s="241">
        <f ca="1">IF(SUM(E$188:E$193)&gt;=1,1,IF(SUM(G$188:G$193)&gt;=1,1,IF(SUM(F$188:F$193)&gt;=1,1,IF(SUM(H$188:H$193)&gt;=1,0,1))))</f>
        <v>1</v>
      </c>
    </row>
    <row r="106" spans="2:18" x14ac:dyDescent="0.35">
      <c r="B106" s="102" t="str">
        <f>Modèle!B108</f>
        <v>Tableaux</v>
      </c>
      <c r="C106" s="109" t="str">
        <f>Modèle!D108</f>
        <v>5.5.1</v>
      </c>
      <c r="D106" s="110" t="str">
        <f>Modèle!E108</f>
        <v>A</v>
      </c>
      <c r="E106" s="237">
        <f ca="1">COUNTIF(OFFSET(Synthèse!$G115,0,0,1,COUNTA(Synthèse!$10:$10)-6),"="&amp;$E$1)</f>
        <v>0</v>
      </c>
      <c r="F106" s="237">
        <f ca="1">COUNTIF(OFFSET(Synthèse!$G115,0,0,1,COUNTA(Synthèse!$10:$10)-6),"="&amp;$F$1)</f>
        <v>0</v>
      </c>
      <c r="G106" s="237">
        <f ca="1">COUNTIF(OFFSET(Synthèse!$G115,0,0,1,COUNTA(Synthèse!$10:$10)-6),"="&amp;$G$1)</f>
        <v>0</v>
      </c>
      <c r="H106" s="237">
        <f ca="1">COUNTIF(OFFSET(Synthèse!$G115,0,0,1,COUNTA(Synthèse!$10:$10)-6),"="&amp;$H$1)</f>
        <v>0</v>
      </c>
      <c r="I106" s="18">
        <f t="shared" ca="1" si="20"/>
        <v>0</v>
      </c>
      <c r="K106" s="123" t="s">
        <v>785</v>
      </c>
      <c r="L106" s="240" t="s">
        <v>25</v>
      </c>
      <c r="M106" s="240"/>
      <c r="N106" s="240" t="s">
        <v>733</v>
      </c>
      <c r="O106" s="241">
        <f ca="1">IF(SUM(E$194:E$195)&gt;=1,0,1)</f>
        <v>1</v>
      </c>
      <c r="P106" s="241">
        <f ca="1">IF(SUM(E$194:E$195)&gt;=1,1,IF(SUM(G$194:G$195)&gt;=1,1,IF(SUM(F$194:F$195)&gt;=1,0,1)))</f>
        <v>1</v>
      </c>
      <c r="Q106" s="241">
        <f ca="1">IF(SUM(E$194:E$195)&gt;=1,1,IF(SUM(G$194:G$195)&gt;=1,0,1))</f>
        <v>1</v>
      </c>
      <c r="R106" s="241">
        <f ca="1">IF(SUM(E$194:E$195)&gt;=1,1,IF(SUM(G$194:G$195)&gt;=1,1,IF(SUM(F$194:F$195)&gt;=1,1,IF(SUM(H$194:H$195)&gt;=1,0,1))))</f>
        <v>1</v>
      </c>
    </row>
    <row r="107" spans="2:18" x14ac:dyDescent="0.35">
      <c r="B107" s="101" t="str">
        <f>Modèle!B109</f>
        <v>Tableaux</v>
      </c>
      <c r="C107" s="107" t="str">
        <f>Modèle!D109</f>
        <v>5.6.1</v>
      </c>
      <c r="D107" s="108" t="str">
        <f>Modèle!E109</f>
        <v>A</v>
      </c>
      <c r="E107" s="236">
        <f ca="1">COUNTIF(OFFSET(Synthèse!$G116,0,0,1,COUNTA(Synthèse!$10:$10)-6),"="&amp;$E$1)</f>
        <v>0</v>
      </c>
      <c r="F107" s="236">
        <f ca="1">COUNTIF(OFFSET(Synthèse!$G116,0,0,1,COUNTA(Synthèse!$10:$10)-6),"="&amp;$F$1)</f>
        <v>0</v>
      </c>
      <c r="G107" s="236">
        <f ca="1">COUNTIF(OFFSET(Synthèse!$G116,0,0,1,COUNTA(Synthèse!$10:$10)-6),"="&amp;$G$1)</f>
        <v>0</v>
      </c>
      <c r="H107" s="236">
        <f ca="1">COUNTIF(OFFSET(Synthèse!$G116,0,0,1,COUNTA(Synthèse!$10:$10)-6),"="&amp;$H$1)</f>
        <v>0</v>
      </c>
      <c r="I107" s="18">
        <f t="shared" ca="1" si="20"/>
        <v>0</v>
      </c>
      <c r="K107" s="123" t="s">
        <v>786</v>
      </c>
      <c r="L107" s="240" t="s">
        <v>24</v>
      </c>
      <c r="M107" s="240"/>
      <c r="N107" s="240" t="s">
        <v>734</v>
      </c>
      <c r="O107" s="241">
        <f ca="1">IF(SUM(E$196:E$198)&gt;=1,0,1)</f>
        <v>1</v>
      </c>
      <c r="P107" s="241">
        <f ca="1">IF(SUM(E$196:E$198)&gt;=1,1,IF(SUM(G$196:G$198)&gt;=1,1,IF(SUM(F$196:F$198)&gt;=1,0,1)))</f>
        <v>1</v>
      </c>
      <c r="Q107" s="241">
        <f ca="1">IF(SUM(E$196:E$198)&gt;=1,1,IF(SUM(G$196:G$198)&gt;=1,0,1))</f>
        <v>1</v>
      </c>
      <c r="R107" s="241">
        <f ca="1">IF(SUM(E$196:E$198)&gt;=1,1,IF(SUM(G$196:G$198)&gt;=1,1,IF(SUM(F$196:F$198)&gt;=1,1,IF(SUM(H$196:H$198)&gt;=1,0,1))))</f>
        <v>1</v>
      </c>
    </row>
    <row r="108" spans="2:18" x14ac:dyDescent="0.35">
      <c r="B108" s="101" t="str">
        <f>Modèle!B110</f>
        <v>Tableaux</v>
      </c>
      <c r="C108" s="107" t="str">
        <f>Modèle!D110</f>
        <v>5.6.2</v>
      </c>
      <c r="D108" s="108" t="str">
        <f>Modèle!E110</f>
        <v>A</v>
      </c>
      <c r="E108" s="236">
        <f ca="1">COUNTIF(OFFSET(Synthèse!$G117,0,0,1,COUNTA(Synthèse!$10:$10)-6),"="&amp;$E$1)</f>
        <v>0</v>
      </c>
      <c r="F108" s="236">
        <f ca="1">COUNTIF(OFFSET(Synthèse!$G117,0,0,1,COUNTA(Synthèse!$10:$10)-6),"="&amp;$F$1)</f>
        <v>0</v>
      </c>
      <c r="G108" s="236">
        <f ca="1">COUNTIF(OFFSET(Synthèse!$G117,0,0,1,COUNTA(Synthèse!$10:$10)-6),"="&amp;$G$1)</f>
        <v>0</v>
      </c>
      <c r="H108" s="236">
        <f ca="1">COUNTIF(OFFSET(Synthèse!$G117,0,0,1,COUNTA(Synthèse!$10:$10)-6),"="&amp;$H$1)</f>
        <v>0</v>
      </c>
      <c r="I108" s="18">
        <f t="shared" ca="1" si="20"/>
        <v>0</v>
      </c>
      <c r="K108" s="123" t="s">
        <v>1133</v>
      </c>
      <c r="L108" s="240" t="s">
        <v>24</v>
      </c>
      <c r="M108" s="240"/>
      <c r="N108" s="240" t="s">
        <v>735</v>
      </c>
      <c r="O108" s="241">
        <f ca="1">IF(SUM(E$199:E$199)&gt;=1,0,1)</f>
        <v>1</v>
      </c>
      <c r="P108" s="241">
        <f ca="1">IF(SUM(E$199)&gt;=1,1,IF(SUM(G$199)&gt;=1,1,IF(SUM(F$199)&gt;=1,0,1)))</f>
        <v>1</v>
      </c>
      <c r="Q108" s="241">
        <f ca="1">IF(SUM(E$199)&gt;=1,1,IF(SUM(G$199)&gt;=1,0,1))</f>
        <v>1</v>
      </c>
      <c r="R108" s="241">
        <f ca="1">IF(SUM(E$199)&gt;=1,1,IF(SUM(G$199)&gt;=1,1,IF(SUM(F$199)&gt;=1,1,IF(SUM(H$199)&gt;=1,0,1))))</f>
        <v>1</v>
      </c>
    </row>
    <row r="109" spans="2:18" x14ac:dyDescent="0.35">
      <c r="B109" s="101" t="str">
        <f>Modèle!B111</f>
        <v>Tableaux</v>
      </c>
      <c r="C109" s="107" t="str">
        <f>Modèle!D111</f>
        <v>5.6.3</v>
      </c>
      <c r="D109" s="108" t="str">
        <f>Modèle!E111</f>
        <v>A</v>
      </c>
      <c r="E109" s="236">
        <f ca="1">COUNTIF(OFFSET(Synthèse!$G118,0,0,1,COUNTA(Synthèse!$10:$10)-6),"="&amp;$E$1)</f>
        <v>0</v>
      </c>
      <c r="F109" s="236">
        <f ca="1">COUNTIF(OFFSET(Synthèse!$G118,0,0,1,COUNTA(Synthèse!$10:$10)-6),"="&amp;$F$1)</f>
        <v>0</v>
      </c>
      <c r="G109" s="236">
        <f ca="1">COUNTIF(OFFSET(Synthèse!$G118,0,0,1,COUNTA(Synthèse!$10:$10)-6),"="&amp;$G$1)</f>
        <v>0</v>
      </c>
      <c r="H109" s="236">
        <f ca="1">COUNTIF(OFFSET(Synthèse!$G118,0,0,1,COUNTA(Synthèse!$10:$10)-6),"="&amp;$H$1)</f>
        <v>0</v>
      </c>
      <c r="I109" s="18">
        <f t="shared" ca="1" si="20"/>
        <v>0</v>
      </c>
      <c r="K109" s="123" t="s">
        <v>1134</v>
      </c>
      <c r="L109" s="240" t="s">
        <v>24</v>
      </c>
      <c r="M109" s="240"/>
      <c r="N109" s="240" t="s">
        <v>736</v>
      </c>
      <c r="O109" s="241">
        <f ca="1">IF(SUM(E$200:E$200)&gt;=1,0,1)</f>
        <v>1</v>
      </c>
      <c r="P109" s="241">
        <f ca="1">IF(SUM(E$200)&gt;=1,1,IF(SUM(G$200)&gt;=1,1,IF(SUM(F$200)&gt;=1,0,1)))</f>
        <v>1</v>
      </c>
      <c r="Q109" s="241">
        <f ca="1">IF(SUM(E$200)&gt;=1,1,IF(SUM(G$200)&gt;=1,0,1))</f>
        <v>1</v>
      </c>
      <c r="R109" s="241">
        <f ca="1">IF(SUM(E$200)&gt;=1,1,IF(SUM(G$200)&gt;=1,1,IF(SUM(F$200)&gt;=1,1,IF(SUM(H$200)&gt;=1,0,1))))</f>
        <v>1</v>
      </c>
    </row>
    <row r="110" spans="2:18" x14ac:dyDescent="0.35">
      <c r="B110" s="102" t="str">
        <f>Modèle!B112</f>
        <v>Tableaux</v>
      </c>
      <c r="C110" s="109" t="str">
        <f>Modèle!D112</f>
        <v>5.7.1</v>
      </c>
      <c r="D110" s="110" t="str">
        <f>Modèle!E112</f>
        <v>A</v>
      </c>
      <c r="E110" s="237">
        <f ca="1">COUNTIF(OFFSET(Synthèse!$G119,0,0,1,COUNTA(Synthèse!$10:$10)-6),"="&amp;$E$1)</f>
        <v>0</v>
      </c>
      <c r="F110" s="237">
        <f ca="1">COUNTIF(OFFSET(Synthèse!$G119,0,0,1,COUNTA(Synthèse!$10:$10)-6),"="&amp;$F$1)</f>
        <v>0</v>
      </c>
      <c r="G110" s="237">
        <f ca="1">COUNTIF(OFFSET(Synthèse!$G119,0,0,1,COUNTA(Synthèse!$10:$10)-6),"="&amp;$G$1)</f>
        <v>0</v>
      </c>
      <c r="H110" s="237">
        <f ca="1">COUNTIF(OFFSET(Synthèse!$G119,0,0,1,COUNTA(Synthèse!$10:$10)-6),"="&amp;$H$1)</f>
        <v>0</v>
      </c>
      <c r="I110" s="18">
        <f t="shared" ca="1" si="20"/>
        <v>0</v>
      </c>
      <c r="K110" s="123" t="s">
        <v>1135</v>
      </c>
      <c r="L110" s="240" t="s">
        <v>24</v>
      </c>
      <c r="M110" s="240"/>
      <c r="N110" s="240" t="s">
        <v>737</v>
      </c>
      <c r="O110" s="241">
        <f ca="1">IF(SUM(E$201:E$201)&gt;=1,0,1)</f>
        <v>1</v>
      </c>
      <c r="P110" s="241">
        <f ca="1">IF(SUM(E$201)&gt;=1,1,IF(SUM(G$201)&gt;=1,1,IF(SUM(F$201)&gt;=1,0,1)))</f>
        <v>1</v>
      </c>
      <c r="Q110" s="241">
        <f ca="1">IF(SUM(E$201)&gt;=1,1,IF(SUM(G$201)&gt;=1,0,1))</f>
        <v>1</v>
      </c>
      <c r="R110" s="241">
        <f ca="1">IF(SUM(E$201)&gt;=1,1,IF(SUM(G$201)&gt;=1,1,IF(SUM(F$201)&gt;=1,1,IF(SUM(H$201)&gt;=1,0,1))))</f>
        <v>1</v>
      </c>
    </row>
    <row r="111" spans="2:18" x14ac:dyDescent="0.35">
      <c r="B111" s="102" t="str">
        <f>Modèle!B113</f>
        <v>Tableaux</v>
      </c>
      <c r="C111" s="109" t="str">
        <f>Modèle!D113</f>
        <v>5.7.2</v>
      </c>
      <c r="D111" s="110" t="str">
        <f>Modèle!E113</f>
        <v>A</v>
      </c>
      <c r="E111" s="237">
        <f ca="1">COUNTIF(OFFSET(Synthèse!$G120,0,0,1,COUNTA(Synthèse!$10:$10)-6),"="&amp;$E$1)</f>
        <v>0</v>
      </c>
      <c r="F111" s="237">
        <f ca="1">COUNTIF(OFFSET(Synthèse!$G120,0,0,1,COUNTA(Synthèse!$10:$10)-6),"="&amp;$F$1)</f>
        <v>0</v>
      </c>
      <c r="G111" s="237">
        <f ca="1">COUNTIF(OFFSET(Synthèse!$G120,0,0,1,COUNTA(Synthèse!$10:$10)-6),"="&amp;$G$1)</f>
        <v>0</v>
      </c>
      <c r="H111" s="237">
        <f ca="1">COUNTIF(OFFSET(Synthèse!$G120,0,0,1,COUNTA(Synthèse!$10:$10)-6),"="&amp;$H$1)</f>
        <v>0</v>
      </c>
      <c r="I111" s="18">
        <f t="shared" ca="1" si="20"/>
        <v>0</v>
      </c>
      <c r="K111" s="123" t="s">
        <v>1136</v>
      </c>
      <c r="L111" s="240" t="s">
        <v>24</v>
      </c>
      <c r="M111" s="240"/>
      <c r="N111" s="240" t="s">
        <v>738</v>
      </c>
      <c r="O111" s="241">
        <f ca="1">IF(SUM(E$202:E$204)&gt;=1,0,1)</f>
        <v>1</v>
      </c>
      <c r="P111" s="241">
        <f ca="1">IF(SUM(E$202:E$204)&gt;=1,1,IF(SUM(G$202:G$204)&gt;=1,1,IF(SUM(F$202:F$204)&gt;=1,0,1)))</f>
        <v>1</v>
      </c>
      <c r="Q111" s="241">
        <f ca="1">IF(SUM(E$202:E$204)&gt;=1,1,IF(SUM(G$202:G$204)&gt;=1,0,1))</f>
        <v>1</v>
      </c>
      <c r="R111" s="241">
        <f ca="1">IF(SUM(E$202:E$204)&gt;=1,1,IF(SUM(G$202:G$204)&gt;=1,1,IF(SUM(F$202:F$204)&gt;=1,1,IF(SUM(H$202:H$204)&gt;=1,0,1))))</f>
        <v>1</v>
      </c>
    </row>
    <row r="112" spans="2:18" x14ac:dyDescent="0.35">
      <c r="B112" s="102" t="str">
        <f>Modèle!B114</f>
        <v>Tableaux</v>
      </c>
      <c r="C112" s="109" t="str">
        <f>Modèle!D114</f>
        <v>5.7.3</v>
      </c>
      <c r="D112" s="110" t="str">
        <f>Modèle!E114</f>
        <v>A</v>
      </c>
      <c r="E112" s="237">
        <f ca="1">COUNTIF(OFFSET(Synthèse!$G121,0,0,1,COUNTA(Synthèse!$10:$10)-6),"="&amp;$E$1)</f>
        <v>0</v>
      </c>
      <c r="F112" s="237">
        <f ca="1">COUNTIF(OFFSET(Synthèse!$G121,0,0,1,COUNTA(Synthèse!$10:$10)-6),"="&amp;$F$1)</f>
        <v>0</v>
      </c>
      <c r="G112" s="237">
        <f ca="1">COUNTIF(OFFSET(Synthèse!$G121,0,0,1,COUNTA(Synthèse!$10:$10)-6),"="&amp;$G$1)</f>
        <v>0</v>
      </c>
      <c r="H112" s="237">
        <f ca="1">COUNTIF(OFFSET(Synthèse!$G121,0,0,1,COUNTA(Synthèse!$10:$10)-6),"="&amp;$H$1)</f>
        <v>0</v>
      </c>
      <c r="I112" s="18">
        <f t="shared" ca="1" si="20"/>
        <v>0</v>
      </c>
      <c r="K112" s="123" t="s">
        <v>1137</v>
      </c>
      <c r="L112" s="240" t="s">
        <v>24</v>
      </c>
      <c r="M112" s="240"/>
      <c r="N112" s="240" t="s">
        <v>739</v>
      </c>
      <c r="O112" s="241">
        <f ca="1">IF(SUM(E$205:E$206)&gt;=1,0,1)</f>
        <v>1</v>
      </c>
      <c r="P112" s="241">
        <f ca="1">IF(SUM(E$205:E$206)&gt;=1,1,IF(SUM(G$205:G$206)&gt;=1,1,IF(SUM(F$205:F$206)&gt;=1,0,1)))</f>
        <v>1</v>
      </c>
      <c r="Q112" s="241">
        <f ca="1">IF(SUM(E$205:E$206)&gt;=1,1,IF(SUM(G$205:G$206)&gt;=1,0,1))</f>
        <v>1</v>
      </c>
      <c r="R112" s="241">
        <f ca="1">IF(SUM(E$205:E$206)&gt;=1,1,IF(SUM(G$205:G$206)&gt;=1,1,IF(SUM(F$205:F$206)&gt;=1,1,IF(SUM(H$205:H$206)&gt;=1,0,1))))</f>
        <v>1</v>
      </c>
    </row>
    <row r="113" spans="2:18" x14ac:dyDescent="0.35">
      <c r="B113" s="102" t="str">
        <f>Modèle!B115</f>
        <v>Tableaux</v>
      </c>
      <c r="C113" s="109" t="str">
        <f>Modèle!D115</f>
        <v>5.7.4</v>
      </c>
      <c r="D113" s="110" t="str">
        <f>Modèle!E115</f>
        <v>A</v>
      </c>
      <c r="E113" s="237">
        <f ca="1">COUNTIF(OFFSET(Synthèse!$G122,0,0,1,COUNTA(Synthèse!$10:$10)-6),"="&amp;$E$1)</f>
        <v>0</v>
      </c>
      <c r="F113" s="237">
        <f ca="1">COUNTIF(OFFSET(Synthèse!$G122,0,0,1,COUNTA(Synthèse!$10:$10)-6),"="&amp;$F$1)</f>
        <v>0</v>
      </c>
      <c r="G113" s="237">
        <f ca="1">COUNTIF(OFFSET(Synthèse!$G122,0,0,1,COUNTA(Synthèse!$10:$10)-6),"="&amp;$G$1)</f>
        <v>0</v>
      </c>
      <c r="H113" s="237">
        <f ca="1">COUNTIF(OFFSET(Synthèse!$G122,0,0,1,COUNTA(Synthèse!$10:$10)-6),"="&amp;$H$1)</f>
        <v>0</v>
      </c>
      <c r="I113" s="18">
        <f t="shared" ca="1" si="20"/>
        <v>0</v>
      </c>
      <c r="K113" s="123" t="s">
        <v>1138</v>
      </c>
      <c r="L113" s="240" t="s">
        <v>24</v>
      </c>
      <c r="M113" s="240"/>
      <c r="N113" s="240" t="s">
        <v>740</v>
      </c>
      <c r="O113" s="241">
        <f ca="1">IF(SUM(E$207:E$213)&gt;=1,0,1)</f>
        <v>1</v>
      </c>
      <c r="P113" s="241">
        <f ca="1">IF(SUM(E$207:E$213)&gt;=1,1,IF(SUM(G$207:G$213)&gt;=1,1,IF(SUM(F$207:F$213)&gt;=1,0,1)))</f>
        <v>1</v>
      </c>
      <c r="Q113" s="241">
        <f ca="1">IF(SUM(E$207:E$213)&gt;=1,1,IF(SUM(G$207:G$213)&gt;=1,0,1))</f>
        <v>1</v>
      </c>
      <c r="R113" s="241">
        <f ca="1">IF(SUM(E$207:E$213)&gt;=1,1,IF(SUM(G$207:G$213)&gt;=1,1,IF(SUM(F$207:F$213)&gt;=1,1,IF(SUM(H$207:H$213)&gt;=1,0,1))))</f>
        <v>1</v>
      </c>
    </row>
    <row r="114" spans="2:18" x14ac:dyDescent="0.35">
      <c r="B114" s="102" t="str">
        <f>Modèle!B116</f>
        <v>Tableaux</v>
      </c>
      <c r="C114" s="109" t="str">
        <f>Modèle!D116</f>
        <v>5.7.5</v>
      </c>
      <c r="D114" s="110" t="str">
        <f>Modèle!E116</f>
        <v>A</v>
      </c>
      <c r="E114" s="237">
        <f ca="1">COUNTIF(OFFSET(Synthèse!$G123,0,0,1,COUNTA(Synthèse!$10:$10)-6),"="&amp;$E$1)</f>
        <v>0</v>
      </c>
      <c r="F114" s="237">
        <f ca="1">COUNTIF(OFFSET(Synthèse!$G123,0,0,1,COUNTA(Synthèse!$10:$10)-6),"="&amp;$F$1)</f>
        <v>0</v>
      </c>
      <c r="G114" s="237">
        <f ca="1">COUNTIF(OFFSET(Synthèse!$G123,0,0,1,COUNTA(Synthèse!$10:$10)-6),"="&amp;$G$1)</f>
        <v>0</v>
      </c>
      <c r="H114" s="237">
        <f ca="1">COUNTIF(OFFSET(Synthèse!$G123,0,0,1,COUNTA(Synthèse!$10:$10)-6),"="&amp;$H$1)</f>
        <v>0</v>
      </c>
      <c r="I114" s="18">
        <f t="shared" ca="1" si="20"/>
        <v>0</v>
      </c>
      <c r="K114" s="123" t="s">
        <v>1139</v>
      </c>
      <c r="L114" s="240" t="s">
        <v>25</v>
      </c>
      <c r="M114" s="240"/>
      <c r="N114" s="240" t="s">
        <v>741</v>
      </c>
      <c r="O114" s="241">
        <f ca="1">IF(SUM(E$214:E$215)&gt;=1,0,1)</f>
        <v>1</v>
      </c>
      <c r="P114" s="241">
        <f ca="1">IF(SUM(E$214:E$215)&gt;=1,1,IF(SUM(G$214:G$215)&gt;=1,1,IF(SUM(F$214:F$215)&gt;=1,0,1)))</f>
        <v>1</v>
      </c>
      <c r="Q114" s="241">
        <f ca="1">IF(SUM(E$214:E$215)&gt;=1,1,IF(SUM(G$214:G$215)&gt;=1,0,1))</f>
        <v>1</v>
      </c>
      <c r="R114" s="241">
        <f ca="1">IF(SUM(E$214:E$215)&gt;=1,1,IF(SUM(G$214:G$215)&gt;=1,1,IF(SUM(F$214:F$215)&gt;=1,1,IF(SUM(H$214:H$215)&gt;=1,0,1))))</f>
        <v>1</v>
      </c>
    </row>
    <row r="115" spans="2:18" x14ac:dyDescent="0.35">
      <c r="B115" s="101" t="str">
        <f>Modèle!B117</f>
        <v>Tableaux</v>
      </c>
      <c r="C115" s="107" t="str">
        <f>Modèle!D117</f>
        <v>5.8.1</v>
      </c>
      <c r="D115" s="108" t="str">
        <f>Modèle!E117</f>
        <v>A</v>
      </c>
      <c r="E115" s="236">
        <f ca="1">COUNTIF(OFFSET(Synthèse!$G124,0,0,1,COUNTA(Synthèse!$10:$10)-6),"="&amp;$E$1)</f>
        <v>0</v>
      </c>
      <c r="F115" s="236">
        <f ca="1">COUNTIF(OFFSET(Synthèse!$G124,0,0,1,COUNTA(Synthèse!$10:$10)-6),"="&amp;$F$1)</f>
        <v>0</v>
      </c>
      <c r="G115" s="236">
        <f ca="1">COUNTIF(OFFSET(Synthèse!$G124,0,0,1,COUNTA(Synthèse!$10:$10)-6),"="&amp;$G$1)</f>
        <v>0</v>
      </c>
      <c r="H115" s="236">
        <f ca="1">COUNTIF(OFFSET(Synthèse!$G124,0,0,1,COUNTA(Synthèse!$10:$10)-6),"="&amp;$H$1)</f>
        <v>0</v>
      </c>
      <c r="I115" s="18">
        <f t="shared" ca="1" si="20"/>
        <v>0</v>
      </c>
      <c r="K115" s="123" t="s">
        <v>1140</v>
      </c>
      <c r="L115" s="240" t="s">
        <v>25</v>
      </c>
      <c r="M115" s="240"/>
      <c r="N115" s="240" t="s">
        <v>742</v>
      </c>
      <c r="O115" s="241">
        <f ca="1">IF(SUM(E$216:E$217)&gt;=1,0,1)</f>
        <v>1</v>
      </c>
      <c r="P115" s="241">
        <f ca="1">IF(SUM(E$216:E$217)&gt;=1,1,IF(SUM(G$216:G$217)&gt;=1,1,IF(SUM(F$216:F$217)&gt;=1,0,1)))</f>
        <v>1</v>
      </c>
      <c r="Q115" s="241">
        <f ca="1">IF(SUM(E$216:E$217)&gt;=1,1,IF(SUM(G$216:G$217)&gt;=1,0,1))</f>
        <v>1</v>
      </c>
      <c r="R115" s="241">
        <f ca="1">IF(SUM(E$216:E$217)&gt;=1,1,IF(SUM(G$216:G$217)&gt;=1,1,IF(SUM(F$216:F$217)&gt;=1,1,IF(SUM(H$216:H$217)&gt;=1,0,1))))</f>
        <v>1</v>
      </c>
    </row>
    <row r="116" spans="2:18" x14ac:dyDescent="0.35">
      <c r="B116" s="102" t="str">
        <f>Modèle!B118</f>
        <v>Liens</v>
      </c>
      <c r="C116" s="109" t="str">
        <f>Modèle!D118</f>
        <v>6.1.1</v>
      </c>
      <c r="D116" s="110" t="str">
        <f>Modèle!E118</f>
        <v>A</v>
      </c>
      <c r="E116" s="237">
        <f ca="1">COUNTIF(OFFSET(Synthèse!$G125,0,0,1,COUNTA(Synthèse!$10:$10)-6),"="&amp;$E$1)</f>
        <v>0</v>
      </c>
      <c r="F116" s="237">
        <f ca="1">COUNTIF(OFFSET(Synthèse!$G125,0,0,1,COUNTA(Synthèse!$10:$10)-6),"="&amp;$F$1)</f>
        <v>0</v>
      </c>
      <c r="G116" s="237">
        <f ca="1">COUNTIF(OFFSET(Synthèse!$G125,0,0,1,COUNTA(Synthèse!$10:$10)-6),"="&amp;$G$1)</f>
        <v>0</v>
      </c>
      <c r="H116" s="237">
        <f ca="1">COUNTIF(OFFSET(Synthèse!$G125,0,0,1,COUNTA(Synthèse!$10:$10)-6),"="&amp;$H$1)</f>
        <v>0</v>
      </c>
      <c r="I116" s="18">
        <f t="shared" ca="1" si="20"/>
        <v>0</v>
      </c>
      <c r="K116" s="123" t="s">
        <v>1141</v>
      </c>
      <c r="L116" s="240" t="s">
        <v>25</v>
      </c>
      <c r="M116" s="240"/>
      <c r="N116" s="240" t="s">
        <v>743</v>
      </c>
      <c r="O116" s="241">
        <f ca="1">IF(SUM(E$218:E$218)&gt;=1,0,1)</f>
        <v>1</v>
      </c>
      <c r="P116" s="241">
        <f ca="1">IF(SUM(E$218)&gt;=1,1,IF(SUM(G$218)&gt;=1,1,IF(SUM(F$218)&gt;=1,0,1)))</f>
        <v>1</v>
      </c>
      <c r="Q116" s="241">
        <f ca="1">IF(SUM(E$218)&gt;=1,1,IF(SUM(G$218)&gt;=1,0,1))</f>
        <v>1</v>
      </c>
      <c r="R116" s="241">
        <f ca="1">IF(SUM(E$218)&gt;=1,1,IF(SUM(G$218)&gt;=1,1,IF(SUM(F$218)&gt;=1,1,IF(SUM(H$218)&gt;=1,0,1))))</f>
        <v>1</v>
      </c>
    </row>
    <row r="117" spans="2:18" x14ac:dyDescent="0.35">
      <c r="B117" s="102" t="str">
        <f>Modèle!B119</f>
        <v>Liens</v>
      </c>
      <c r="C117" s="109" t="str">
        <f>Modèle!D119</f>
        <v>6.1.2</v>
      </c>
      <c r="D117" s="110" t="str">
        <f>Modèle!E119</f>
        <v>A</v>
      </c>
      <c r="E117" s="237">
        <f ca="1">COUNTIF(OFFSET(Synthèse!$G126,0,0,1,COUNTA(Synthèse!$10:$10)-6),"="&amp;$E$1)</f>
        <v>0</v>
      </c>
      <c r="F117" s="237">
        <f ca="1">COUNTIF(OFFSET(Synthèse!$G126,0,0,1,COUNTA(Synthèse!$10:$10)-6),"="&amp;$F$1)</f>
        <v>0</v>
      </c>
      <c r="G117" s="237">
        <f ca="1">COUNTIF(OFFSET(Synthèse!$G126,0,0,1,COUNTA(Synthèse!$10:$10)-6),"="&amp;$G$1)</f>
        <v>0</v>
      </c>
      <c r="H117" s="237">
        <f ca="1">COUNTIF(OFFSET(Synthèse!$G126,0,0,1,COUNTA(Synthèse!$10:$10)-6),"="&amp;$H$1)</f>
        <v>0</v>
      </c>
      <c r="I117" s="18">
        <f t="shared" ca="1" si="20"/>
        <v>0</v>
      </c>
      <c r="K117" s="123" t="s">
        <v>1142</v>
      </c>
      <c r="L117" s="242" t="s">
        <v>25</v>
      </c>
      <c r="M117" s="242"/>
      <c r="N117" s="242" t="s">
        <v>744</v>
      </c>
      <c r="O117" s="243">
        <f ca="1">IF(SUM(E$219:E$219)&gt;=1,0,1)</f>
        <v>1</v>
      </c>
      <c r="P117" s="243">
        <f ca="1">IF(SUM(E$219)&gt;=1,1,IF(SUM(G$219)&gt;=1,1,IF(SUM(F$219)&gt;=1,0,1)))</f>
        <v>1</v>
      </c>
      <c r="Q117" s="243">
        <f ca="1">IF(SUM(E$219)&gt;=1,1,IF(SUM(G$219)&gt;=1,0,1))</f>
        <v>1</v>
      </c>
      <c r="R117" s="243">
        <f ca="1">IF(SUM(E$219)&gt;=1,1,IF(SUM(G$219)&gt;=1,1,IF(SUM(F$219)&gt;=1,1,IF(SUM(H$219)&gt;=1,0,1))))</f>
        <v>1</v>
      </c>
    </row>
    <row r="118" spans="2:18" x14ac:dyDescent="0.35">
      <c r="B118" s="102" t="str">
        <f>Modèle!B120</f>
        <v>Liens</v>
      </c>
      <c r="C118" s="109" t="str">
        <f>Modèle!D120</f>
        <v>6.1.3</v>
      </c>
      <c r="D118" s="110" t="str">
        <f>Modèle!E120</f>
        <v>A</v>
      </c>
      <c r="E118" s="237">
        <f ca="1">COUNTIF(OFFSET(Synthèse!$G127,0,0,1,COUNTA(Synthèse!$10:$10)-6),"="&amp;$E$1)</f>
        <v>0</v>
      </c>
      <c r="F118" s="237">
        <f ca="1">COUNTIF(OFFSET(Synthèse!$G127,0,0,1,COUNTA(Synthèse!$10:$10)-6),"="&amp;$F$1)</f>
        <v>0</v>
      </c>
      <c r="G118" s="237">
        <f ca="1">COUNTIF(OFFSET(Synthèse!$G127,0,0,1,COUNTA(Synthèse!$10:$10)-6),"="&amp;$G$1)</f>
        <v>0</v>
      </c>
      <c r="H118" s="237">
        <f ca="1">COUNTIF(OFFSET(Synthèse!$G127,0,0,1,COUNTA(Synthèse!$10:$10)-6),"="&amp;$H$1)</f>
        <v>0</v>
      </c>
      <c r="I118" s="18">
        <f t="shared" ca="1" si="20"/>
        <v>0</v>
      </c>
      <c r="K118" s="123" t="s">
        <v>1143</v>
      </c>
      <c r="L118" s="242" t="s">
        <v>25</v>
      </c>
      <c r="M118" s="242"/>
      <c r="N118" s="242" t="s">
        <v>745</v>
      </c>
      <c r="O118" s="243">
        <f ca="1">IF(SUM(E$220:E$220)&gt;=1,0,1)</f>
        <v>1</v>
      </c>
      <c r="P118" s="243">
        <f ca="1">IF(SUM(E$220)&gt;=1,1,IF(SUM(G$220)&gt;=1,1,IF(SUM(F$220)&gt;=1,0,1)))</f>
        <v>1</v>
      </c>
      <c r="Q118" s="243">
        <f ca="1">IF(SUM(E$220)&gt;=1,1,IF(SUM(G$220)&gt;=1,0,1))</f>
        <v>1</v>
      </c>
      <c r="R118" s="243">
        <f ca="1">IF(SUM(E$220)&gt;=1,1,IF(SUM(G$220)&gt;=1,1,IF(SUM(F$220)&gt;=1,1,IF(SUM(H$220)&gt;=1,0,1))))</f>
        <v>1</v>
      </c>
    </row>
    <row r="119" spans="2:18" x14ac:dyDescent="0.35">
      <c r="B119" s="102" t="str">
        <f>Modèle!B121</f>
        <v>Liens</v>
      </c>
      <c r="C119" s="109" t="str">
        <f>Modèle!D121</f>
        <v>6.1.4</v>
      </c>
      <c r="D119" s="110" t="str">
        <f>Modèle!E121</f>
        <v>A</v>
      </c>
      <c r="E119" s="237">
        <f ca="1">COUNTIF(OFFSET(Synthèse!$G128,0,0,1,COUNTA(Synthèse!$10:$10)-6),"="&amp;$E$1)</f>
        <v>0</v>
      </c>
      <c r="F119" s="237">
        <f ca="1">COUNTIF(OFFSET(Synthèse!$G128,0,0,1,COUNTA(Synthèse!$10:$10)-6),"="&amp;$F$1)</f>
        <v>0</v>
      </c>
      <c r="G119" s="237">
        <f ca="1">COUNTIF(OFFSET(Synthèse!$G128,0,0,1,COUNTA(Synthèse!$10:$10)-6),"="&amp;$G$1)</f>
        <v>0</v>
      </c>
      <c r="H119" s="237">
        <f ca="1">COUNTIF(OFFSET(Synthèse!$G128,0,0,1,COUNTA(Synthèse!$10:$10)-6),"="&amp;$H$1)</f>
        <v>0</v>
      </c>
      <c r="I119" s="18">
        <f t="shared" ca="1" si="20"/>
        <v>0</v>
      </c>
      <c r="K119" s="123" t="s">
        <v>1144</v>
      </c>
      <c r="L119" s="242" t="s">
        <v>25</v>
      </c>
      <c r="M119" s="242"/>
      <c r="N119" s="242" t="s">
        <v>746</v>
      </c>
      <c r="O119" s="243">
        <f ca="1">IF(SUM(E$221:E$223)&gt;=1,0,1)</f>
        <v>1</v>
      </c>
      <c r="P119" s="243">
        <f ca="1">IF(SUM(E$221:E$223)&gt;=1,1,IF(SUM(G$221:G$223)&gt;=1,1,IF(SUM(F$221:F$223)&gt;=1,0,1)))</f>
        <v>1</v>
      </c>
      <c r="Q119" s="243">
        <f ca="1">IF(SUM(E$221:E$223)&gt;=1,1,IF(SUM(G$221:G$223)&gt;=1,0,1))</f>
        <v>1</v>
      </c>
      <c r="R119" s="243">
        <f ca="1">IF(SUM(E$221:E$223)&gt;=1,1,IF(SUM(G$221:G$223)&gt;=1,1,IF(SUM(F$221:F$223)&gt;=1,1,IF(SUM(H$221:H$223)&gt;=1,0,1))))</f>
        <v>1</v>
      </c>
    </row>
    <row r="120" spans="2:18" x14ac:dyDescent="0.35">
      <c r="B120" s="102" t="str">
        <f>Modèle!B122</f>
        <v>Liens</v>
      </c>
      <c r="C120" s="109" t="str">
        <f>Modèle!D122</f>
        <v>6.1.5</v>
      </c>
      <c r="D120" s="110" t="str">
        <f>Modèle!E122</f>
        <v>A</v>
      </c>
      <c r="E120" s="237">
        <f ca="1">COUNTIF(OFFSET(Synthèse!$G129,0,0,1,COUNTA(Synthèse!$10:$10)-6),"="&amp;$E$1)</f>
        <v>0</v>
      </c>
      <c r="F120" s="237">
        <f ca="1">COUNTIF(OFFSET(Synthèse!$G129,0,0,1,COUNTA(Synthèse!$10:$10)-6),"="&amp;$F$1)</f>
        <v>0</v>
      </c>
      <c r="G120" s="237">
        <f ca="1">COUNTIF(OFFSET(Synthèse!$G129,0,0,1,COUNTA(Synthèse!$10:$10)-6),"="&amp;$G$1)</f>
        <v>0</v>
      </c>
      <c r="H120" s="237">
        <f ca="1">COUNTIF(OFFSET(Synthèse!$G129,0,0,1,COUNTA(Synthèse!$10:$10)-6),"="&amp;$H$1)</f>
        <v>0</v>
      </c>
      <c r="I120" s="18">
        <f t="shared" ca="1" si="20"/>
        <v>0</v>
      </c>
      <c r="K120" s="123" t="s">
        <v>1145</v>
      </c>
      <c r="L120" s="242" t="s">
        <v>25</v>
      </c>
      <c r="M120" s="242"/>
      <c r="N120" s="242" t="s">
        <v>747</v>
      </c>
      <c r="O120" s="243">
        <f ca="1">IF(SUM(E$224:E$226)&gt;=1,0,1)</f>
        <v>1</v>
      </c>
      <c r="P120" s="243">
        <f ca="1">IF(SUM(E$224:E$226)&gt;=1,1,IF(SUM(G$224:G$226)&gt;=1,1,IF(SUM(F$224:F$226)&gt;=1,0,1)))</f>
        <v>1</v>
      </c>
      <c r="Q120" s="243">
        <f ca="1">IF(SUM(E$224:E$226)&gt;=1,1,IF(SUM(G$224:G$226)&gt;=1,0,1))</f>
        <v>1</v>
      </c>
      <c r="R120" s="243">
        <f ca="1">IF(SUM(E$224:E$226)&gt;=1,1,IF(SUM(G$224:G$226)&gt;=1,1,IF(SUM(F$224:F$226)&gt;=1,1,IF(SUM(H$224:H$226)&gt;=1,0,1))))</f>
        <v>1</v>
      </c>
    </row>
    <row r="121" spans="2:18" x14ac:dyDescent="0.35">
      <c r="B121" s="101" t="str">
        <f>Modèle!B123</f>
        <v>Liens</v>
      </c>
      <c r="C121" s="107" t="str">
        <f>Modèle!D123</f>
        <v>6.2.1</v>
      </c>
      <c r="D121" s="108" t="str">
        <f>Modèle!E123</f>
        <v>A</v>
      </c>
      <c r="E121" s="236">
        <f ca="1">COUNTIF(OFFSET(Synthèse!$G130,0,0,1,COUNTA(Synthèse!$10:$10)-6),"="&amp;$E$1)</f>
        <v>0</v>
      </c>
      <c r="F121" s="236">
        <f ca="1">COUNTIF(OFFSET(Synthèse!$G130,0,0,1,COUNTA(Synthèse!$10:$10)-6),"="&amp;$F$1)</f>
        <v>0</v>
      </c>
      <c r="G121" s="236">
        <f ca="1">COUNTIF(OFFSET(Synthèse!$G130,0,0,1,COUNTA(Synthèse!$10:$10)-6),"="&amp;$G$1)</f>
        <v>0</v>
      </c>
      <c r="H121" s="236">
        <f ca="1">COUNTIF(OFFSET(Synthèse!$G130,0,0,1,COUNTA(Synthèse!$10:$10)-6),"="&amp;$H$1)</f>
        <v>0</v>
      </c>
      <c r="I121" s="18">
        <f t="shared" ca="1" si="20"/>
        <v>0</v>
      </c>
      <c r="K121" s="123" t="s">
        <v>1146</v>
      </c>
      <c r="L121" s="242" t="s">
        <v>25</v>
      </c>
      <c r="M121" s="242"/>
      <c r="N121" s="242" t="s">
        <v>748</v>
      </c>
      <c r="O121" s="243">
        <f ca="1">IF(SUM(E$227:E$229)&gt;=1,0,1)</f>
        <v>1</v>
      </c>
      <c r="P121" s="243">
        <f ca="1">IF(SUM(E$227:E$229)&gt;=1,1,IF(SUM(G$227:G$229)&gt;=1,1,IF(SUM(F$227:F$229)&gt;=1,0,1)))</f>
        <v>1</v>
      </c>
      <c r="Q121" s="243">
        <f ca="1">IF(SUM(E$227:E$229)&gt;=1,1,IF(SUM(G$227:G$229)&gt;=1,0,1))</f>
        <v>1</v>
      </c>
      <c r="R121" s="243">
        <f ca="1">IF(SUM(E$227:E$229)&gt;=1,1,IF(SUM(G$227:G$229)&gt;=1,1,IF(SUM(F$227:F$229)&gt;=1,1,IF(SUM(H$227:H$229)&gt;=1,0,1))))</f>
        <v>1</v>
      </c>
    </row>
    <row r="122" spans="2:18" x14ac:dyDescent="0.35">
      <c r="B122" s="102" t="str">
        <f>Modèle!B124</f>
        <v>Scripts</v>
      </c>
      <c r="C122" s="109" t="str">
        <f>Modèle!D124</f>
        <v>7.1.1</v>
      </c>
      <c r="D122" s="110" t="str">
        <f>Modèle!E124</f>
        <v>A</v>
      </c>
      <c r="E122" s="237">
        <f ca="1">COUNTIF(OFFSET(Synthèse!$G131,0,0,1,COUNTA(Synthèse!$10:$10)-6),"="&amp;$E$1)</f>
        <v>0</v>
      </c>
      <c r="F122" s="237">
        <f ca="1">COUNTIF(OFFSET(Synthèse!$G131,0,0,1,COUNTA(Synthèse!$10:$10)-6),"="&amp;$F$1)</f>
        <v>0</v>
      </c>
      <c r="G122" s="237">
        <f ca="1">COUNTIF(OFFSET(Synthèse!$G131,0,0,1,COUNTA(Synthèse!$10:$10)-6),"="&amp;$G$1)</f>
        <v>0</v>
      </c>
      <c r="H122" s="237">
        <f ca="1">COUNTIF(OFFSET(Synthèse!$G131,0,0,1,COUNTA(Synthèse!$10:$10)-6),"="&amp;$H$1)</f>
        <v>0</v>
      </c>
      <c r="I122" s="18">
        <f t="shared" ca="1" si="20"/>
        <v>0</v>
      </c>
      <c r="K122" s="123" t="s">
        <v>1147</v>
      </c>
      <c r="L122" s="242" t="s">
        <v>24</v>
      </c>
      <c r="M122" s="242"/>
      <c r="N122" s="242" t="s">
        <v>749</v>
      </c>
      <c r="O122" s="243">
        <f ca="1">IF(SUM(E$230:E$230)&gt;=1,0,1)</f>
        <v>1</v>
      </c>
      <c r="P122" s="243">
        <f ca="1">IF(SUM(E$230)&gt;=1,1,IF(SUM(G$230)&gt;=1,1,IF(SUM(F$230)&gt;=1,0,1)))</f>
        <v>1</v>
      </c>
      <c r="Q122" s="243">
        <f ca="1">IF(SUM(E$230)&gt;=1,1,IF(SUM(G$230)&gt;=1,0,1))</f>
        <v>1</v>
      </c>
      <c r="R122" s="243">
        <f ca="1">IF(SUM(E$230)&gt;=1,1,IF(SUM(G$230)&gt;=1,1,IF(SUM(F$230)&gt;=1,1,IF(SUM(H$230)&gt;=1,0,1))))</f>
        <v>1</v>
      </c>
    </row>
    <row r="123" spans="2:18" x14ac:dyDescent="0.35">
      <c r="B123" s="102" t="str">
        <f>Modèle!B125</f>
        <v>Scripts</v>
      </c>
      <c r="C123" s="109" t="str">
        <f>Modèle!D125</f>
        <v>7.1.2</v>
      </c>
      <c r="D123" s="110" t="str">
        <f>Modèle!E125</f>
        <v>A</v>
      </c>
      <c r="E123" s="237">
        <f ca="1">COUNTIF(OFFSET(Synthèse!$G132,0,0,1,COUNTA(Synthèse!$10:$10)-6),"="&amp;$E$1)</f>
        <v>0</v>
      </c>
      <c r="F123" s="237">
        <f ca="1">COUNTIF(OFFSET(Synthèse!$G132,0,0,1,COUNTA(Synthèse!$10:$10)-6),"="&amp;$F$1)</f>
        <v>0</v>
      </c>
      <c r="G123" s="237">
        <f ca="1">COUNTIF(OFFSET(Synthèse!$G132,0,0,1,COUNTA(Synthèse!$10:$10)-6),"="&amp;$G$1)</f>
        <v>0</v>
      </c>
      <c r="H123" s="237">
        <f ca="1">COUNTIF(OFFSET(Synthèse!$G132,0,0,1,COUNTA(Synthèse!$10:$10)-6),"="&amp;$H$1)</f>
        <v>0</v>
      </c>
      <c r="I123" s="18">
        <f t="shared" ca="1" si="20"/>
        <v>0</v>
      </c>
      <c r="K123" s="123" t="s">
        <v>1148</v>
      </c>
      <c r="L123" s="242" t="s">
        <v>24</v>
      </c>
      <c r="M123" s="242"/>
      <c r="N123" s="242" t="s">
        <v>750</v>
      </c>
      <c r="O123" s="243">
        <f ca="1">IF(SUM(E$231:E$232)&gt;=1,0,1)</f>
        <v>1</v>
      </c>
      <c r="P123" s="243">
        <f ca="1">IF(SUM(E$231:E$232)&gt;=1,1,IF(SUM(G$231:G$232)&gt;=1,1,IF(SUM(F$231:F$232)&gt;=1,0,1)))</f>
        <v>1</v>
      </c>
      <c r="Q123" s="243">
        <f ca="1">IF(SUM(E$231:E$232)&gt;=1,1,IF(SUM(G$231:G$232)&gt;=1,0,1))</f>
        <v>1</v>
      </c>
      <c r="R123" s="243">
        <f ca="1">IF(SUM(E$231:E$232)&gt;=1,1,IF(SUM(G$231:G$232)&gt;=1,1,IF(SUM(F$231:F$232)&gt;=1,1,IF(SUM(H$231:H$232)&gt;=1,0,1))))</f>
        <v>1</v>
      </c>
    </row>
    <row r="124" spans="2:18" x14ac:dyDescent="0.35">
      <c r="B124" s="102" t="str">
        <f>Modèle!B126</f>
        <v>Scripts</v>
      </c>
      <c r="C124" s="109" t="str">
        <f>Modèle!D126</f>
        <v>7.1.3</v>
      </c>
      <c r="D124" s="110" t="str">
        <f>Modèle!E126</f>
        <v>A</v>
      </c>
      <c r="E124" s="237">
        <f ca="1">COUNTIF(OFFSET(Synthèse!$G133,0,0,1,COUNTA(Synthèse!$10:$10)-6),"="&amp;$E$1)</f>
        <v>0</v>
      </c>
      <c r="F124" s="237">
        <f ca="1">COUNTIF(OFFSET(Synthèse!$G133,0,0,1,COUNTA(Synthèse!$10:$10)-6),"="&amp;$F$1)</f>
        <v>0</v>
      </c>
      <c r="G124" s="237">
        <f ca="1">COUNTIF(OFFSET(Synthèse!$G133,0,0,1,COUNTA(Synthèse!$10:$10)-6),"="&amp;$G$1)</f>
        <v>0</v>
      </c>
      <c r="H124" s="237">
        <f ca="1">COUNTIF(OFFSET(Synthèse!$G133,0,0,1,COUNTA(Synthèse!$10:$10)-6),"="&amp;$H$1)</f>
        <v>0</v>
      </c>
      <c r="I124" s="18">
        <f t="shared" ca="1" si="20"/>
        <v>0</v>
      </c>
      <c r="K124" s="123" t="s">
        <v>1149</v>
      </c>
      <c r="L124" s="242" t="s">
        <v>24</v>
      </c>
      <c r="M124" s="242"/>
      <c r="N124" s="242" t="s">
        <v>751</v>
      </c>
      <c r="O124" s="243">
        <f ca="1">IF(SUM(E$233:E$234)&gt;=1,0,1)</f>
        <v>1</v>
      </c>
      <c r="P124" s="243">
        <f ca="1">IF(SUM(E$233:E$234)&gt;=1,1,IF(SUM(G$233:G$234)&gt;=1,1,IF(SUM(F$233:F$234)&gt;=1,0,1)))</f>
        <v>1</v>
      </c>
      <c r="Q124" s="243">
        <f ca="1">IF(SUM(E$233:E$234)&gt;=1,1,IF(SUM(G$233:G$234)&gt;=1,0,1))</f>
        <v>1</v>
      </c>
      <c r="R124" s="243">
        <f ca="1">IF(SUM(E$233:E$234)&gt;=1,1,IF(SUM(G$233:G$234)&gt;=1,1,IF(SUM(F$233:F$234)&gt;=1,1,IF(SUM(H$233:H$234)&gt;=1,0,1))))</f>
        <v>1</v>
      </c>
    </row>
    <row r="125" spans="2:18" x14ac:dyDescent="0.35">
      <c r="B125" s="101" t="str">
        <f>Modèle!B127</f>
        <v>Scripts</v>
      </c>
      <c r="C125" s="107" t="str">
        <f>Modèle!D127</f>
        <v>7.2.1</v>
      </c>
      <c r="D125" s="108" t="str">
        <f>Modèle!E127</f>
        <v>A</v>
      </c>
      <c r="E125" s="236">
        <f ca="1">COUNTIF(OFFSET(Synthèse!$G134,0,0,1,COUNTA(Synthèse!$10:$10)-6),"="&amp;$E$1)</f>
        <v>0</v>
      </c>
      <c r="F125" s="236">
        <f ca="1">COUNTIF(OFFSET(Synthèse!$G134,0,0,1,COUNTA(Synthèse!$10:$10)-6),"="&amp;$F$1)</f>
        <v>0</v>
      </c>
      <c r="G125" s="236">
        <f ca="1">COUNTIF(OFFSET(Synthèse!$G134,0,0,1,COUNTA(Synthèse!$10:$10)-6),"="&amp;$G$1)</f>
        <v>0</v>
      </c>
      <c r="H125" s="236">
        <f ca="1">COUNTIF(OFFSET(Synthèse!$G134,0,0,1,COUNTA(Synthèse!$10:$10)-6),"="&amp;$H$1)</f>
        <v>0</v>
      </c>
      <c r="I125" s="18">
        <f t="shared" ca="1" si="20"/>
        <v>0</v>
      </c>
      <c r="K125" s="123" t="s">
        <v>1150</v>
      </c>
      <c r="L125" s="242" t="s">
        <v>24</v>
      </c>
      <c r="M125" s="242"/>
      <c r="N125" s="242" t="s">
        <v>752</v>
      </c>
      <c r="O125" s="243">
        <f ca="1">IF(SUM(E$235:E$235)&gt;=1,0,1)</f>
        <v>1</v>
      </c>
      <c r="P125" s="243">
        <f ca="1">IF(SUM(E$235)&gt;=1,1,IF(SUM(G$235)&gt;=1,1,IF(SUM(F$235)&gt;=1,0,1)))</f>
        <v>1</v>
      </c>
      <c r="Q125" s="243">
        <f ca="1">IF(SUM(E$235)&gt;=1,1,IF(SUM(G$235)&gt;=1,0,1))</f>
        <v>1</v>
      </c>
      <c r="R125" s="243">
        <f ca="1">IF(SUM(E$235)&gt;=1,1,IF(SUM(G$235)&gt;=1,1,IF(SUM(F$235)&gt;=1,1,IF(SUM(H$235)&gt;=1,0,1))))</f>
        <v>1</v>
      </c>
    </row>
    <row r="126" spans="2:18" x14ac:dyDescent="0.35">
      <c r="B126" s="101" t="str">
        <f>Modèle!B128</f>
        <v>Scripts</v>
      </c>
      <c r="C126" s="107" t="str">
        <f>Modèle!D128</f>
        <v>7.2.2</v>
      </c>
      <c r="D126" s="108" t="str">
        <f>Modèle!E128</f>
        <v>A</v>
      </c>
      <c r="E126" s="236">
        <f ca="1">COUNTIF(OFFSET(Synthèse!$G135,0,0,1,COUNTA(Synthèse!$10:$10)-6),"="&amp;$E$1)</f>
        <v>0</v>
      </c>
      <c r="F126" s="236">
        <f ca="1">COUNTIF(OFFSET(Synthèse!$G135,0,0,1,COUNTA(Synthèse!$10:$10)-6),"="&amp;$F$1)</f>
        <v>0</v>
      </c>
      <c r="G126" s="236">
        <f ca="1">COUNTIF(OFFSET(Synthèse!$G135,0,0,1,COUNTA(Synthèse!$10:$10)-6),"="&amp;$G$1)</f>
        <v>0</v>
      </c>
      <c r="H126" s="236">
        <f ca="1">COUNTIF(OFFSET(Synthèse!$G135,0,0,1,COUNTA(Synthèse!$10:$10)-6),"="&amp;$H$1)</f>
        <v>0</v>
      </c>
      <c r="I126" s="18">
        <f t="shared" ca="1" si="20"/>
        <v>0</v>
      </c>
      <c r="K126" s="123" t="s">
        <v>1151</v>
      </c>
      <c r="L126" s="242" t="s">
        <v>24</v>
      </c>
      <c r="M126" s="242"/>
      <c r="N126" s="242" t="s">
        <v>753</v>
      </c>
      <c r="O126" s="243">
        <f ca="1">IF(SUM(E$236:E$236)&gt;=1,0,1)</f>
        <v>1</v>
      </c>
      <c r="P126" s="243">
        <f ca="1">IF(SUM(E$236)&gt;=1,1,IF(SUM(G$236)&gt;=1,1,IF(SUM(F$236)&gt;=1,0,1)))</f>
        <v>1</v>
      </c>
      <c r="Q126" s="243">
        <f ca="1">IF(SUM(E$236)&gt;=1,1,IF(SUM(G$236)&gt;=1,0,1))</f>
        <v>1</v>
      </c>
      <c r="R126" s="243">
        <f ca="1">IF(SUM(E$236)&gt;=1,1,IF(SUM(G$236)&gt;=1,1,IF(SUM(F$236)&gt;=1,1,IF(SUM(H$236)&gt;=1,0,1))))</f>
        <v>1</v>
      </c>
    </row>
    <row r="127" spans="2:18" x14ac:dyDescent="0.35">
      <c r="B127" s="102" t="str">
        <f>Modèle!B129</f>
        <v>Scripts</v>
      </c>
      <c r="C127" s="109" t="str">
        <f>Modèle!D129</f>
        <v>7.3.1</v>
      </c>
      <c r="D127" s="110" t="str">
        <f>Modèle!E129</f>
        <v>A</v>
      </c>
      <c r="E127" s="237">
        <f ca="1">COUNTIF(OFFSET(Synthèse!$G136,0,0,1,COUNTA(Synthèse!$10:$10)-6),"="&amp;$E$1)</f>
        <v>0</v>
      </c>
      <c r="F127" s="237">
        <f ca="1">COUNTIF(OFFSET(Synthèse!$G136,0,0,1,COUNTA(Synthèse!$10:$10)-6),"="&amp;$F$1)</f>
        <v>0</v>
      </c>
      <c r="G127" s="237">
        <f ca="1">COUNTIF(OFFSET(Synthèse!$G136,0,0,1,COUNTA(Synthèse!$10:$10)-6),"="&amp;$G$1)</f>
        <v>0</v>
      </c>
      <c r="H127" s="237">
        <f ca="1">COUNTIF(OFFSET(Synthèse!$G136,0,0,1,COUNTA(Synthèse!$10:$10)-6),"="&amp;$H$1)</f>
        <v>0</v>
      </c>
      <c r="I127" s="18">
        <f t="shared" ca="1" si="20"/>
        <v>0</v>
      </c>
      <c r="K127" s="123" t="s">
        <v>1152</v>
      </c>
      <c r="L127" s="242" t="s">
        <v>24</v>
      </c>
      <c r="M127" s="242"/>
      <c r="N127" s="242" t="s">
        <v>754</v>
      </c>
      <c r="O127" s="243">
        <f ca="1">IF(SUM(E$237:E$237)&gt;=1,0,1)</f>
        <v>1</v>
      </c>
      <c r="P127" s="243">
        <f ca="1">IF(SUM(E$237)&gt;=1,1,IF(SUM(G$237)&gt;=1,1,IF(SUM(F$237)&gt;=1,0,1)))</f>
        <v>1</v>
      </c>
      <c r="Q127" s="243">
        <f ca="1">IF(SUM(E$237)&gt;=1,1,IF(SUM(G$237)&gt;=1,0,1))</f>
        <v>1</v>
      </c>
      <c r="R127" s="243">
        <f ca="1">IF(SUM(E$237)&gt;=1,1,IF(SUM(G$237)&gt;=1,1,IF(SUM(F$237)&gt;=1,1,IF(SUM(H$237)&gt;=1,0,1))))</f>
        <v>1</v>
      </c>
    </row>
    <row r="128" spans="2:18" x14ac:dyDescent="0.35">
      <c r="B128" s="102" t="str">
        <f>Modèle!B130</f>
        <v>Scripts</v>
      </c>
      <c r="C128" s="109" t="str">
        <f>Modèle!D130</f>
        <v>7.3.2</v>
      </c>
      <c r="D128" s="110" t="str">
        <f>Modèle!E130</f>
        <v>A</v>
      </c>
      <c r="E128" s="237">
        <f ca="1">COUNTIF(OFFSET(Synthèse!$G137,0,0,1,COUNTA(Synthèse!$10:$10)-6),"="&amp;$E$1)</f>
        <v>0</v>
      </c>
      <c r="F128" s="237">
        <f ca="1">COUNTIF(OFFSET(Synthèse!$G137,0,0,1,COUNTA(Synthèse!$10:$10)-6),"="&amp;$F$1)</f>
        <v>0</v>
      </c>
      <c r="G128" s="237">
        <f ca="1">COUNTIF(OFFSET(Synthèse!$G137,0,0,1,COUNTA(Synthèse!$10:$10)-6),"="&amp;$G$1)</f>
        <v>0</v>
      </c>
      <c r="H128" s="237">
        <f ca="1">COUNTIF(OFFSET(Synthèse!$G137,0,0,1,COUNTA(Synthèse!$10:$10)-6),"="&amp;$H$1)</f>
        <v>0</v>
      </c>
      <c r="I128" s="18">
        <f t="shared" ca="1" si="20"/>
        <v>0</v>
      </c>
      <c r="K128" s="123" t="s">
        <v>1153</v>
      </c>
      <c r="L128" s="240" t="s">
        <v>24</v>
      </c>
      <c r="M128" s="240"/>
      <c r="N128" s="240" t="s">
        <v>755</v>
      </c>
      <c r="O128" s="241">
        <f ca="1">IF(SUM(E$238:E$241)&gt;=1,0,1)</f>
        <v>1</v>
      </c>
      <c r="P128" s="241">
        <f ca="1">IF(SUM(E$238:E$241)&gt;=1,1,IF(SUM(G$238:G$241)&gt;=1,1,IF(SUM(F$238:F$241)&gt;=1,0,1)))</f>
        <v>1</v>
      </c>
      <c r="Q128" s="241">
        <f ca="1">IF(SUM(E$238:E$241)&gt;=1,1,IF(SUM(G$238:G$241)&gt;=1,0,1))</f>
        <v>1</v>
      </c>
      <c r="R128" s="241">
        <f ca="1">IF(SUM(E$238:E$241)&gt;=1,1,IF(SUM(G$238:G$241)&gt;=1,1,IF(SUM(F$238:F$241)&gt;=1,1,IF(SUM(H$238:H$241)&gt;=1,0,1))))</f>
        <v>1</v>
      </c>
    </row>
    <row r="129" spans="2:18" x14ac:dyDescent="0.35">
      <c r="B129" s="101" t="str">
        <f>Modèle!B131</f>
        <v>Scripts</v>
      </c>
      <c r="C129" s="107" t="str">
        <f>Modèle!D131</f>
        <v>7.4.1</v>
      </c>
      <c r="D129" s="108" t="str">
        <f>Modèle!E131</f>
        <v>A</v>
      </c>
      <c r="E129" s="236">
        <f ca="1">COUNTIF(OFFSET(Synthèse!$G138,0,0,1,COUNTA(Synthèse!$10:$10)-6),"="&amp;$E$1)</f>
        <v>0</v>
      </c>
      <c r="F129" s="236">
        <f ca="1">COUNTIF(OFFSET(Synthèse!$G138,0,0,1,COUNTA(Synthèse!$10:$10)-6),"="&amp;$F$1)</f>
        <v>0</v>
      </c>
      <c r="G129" s="236">
        <f ca="1">COUNTIF(OFFSET(Synthèse!$G138,0,0,1,COUNTA(Synthèse!$10:$10)-6),"="&amp;$G$1)</f>
        <v>0</v>
      </c>
      <c r="H129" s="236">
        <f ca="1">COUNTIF(OFFSET(Synthèse!$G138,0,0,1,COUNTA(Synthèse!$10:$10)-6),"="&amp;$H$1)</f>
        <v>0</v>
      </c>
      <c r="I129" s="18">
        <f t="shared" ca="1" si="20"/>
        <v>0</v>
      </c>
      <c r="K129" s="123" t="s">
        <v>1154</v>
      </c>
      <c r="L129" s="240" t="s">
        <v>24</v>
      </c>
      <c r="M129" s="240"/>
      <c r="N129" s="240" t="s">
        <v>756</v>
      </c>
      <c r="O129" s="241">
        <f ca="1">IF(SUM(E$242:E$242)&gt;=1,0,1)</f>
        <v>1</v>
      </c>
      <c r="P129" s="241">
        <f ca="1">IF(SUM(E$242)&gt;=1,1,IF(SUM(G$242)&gt;=1,1,IF(SUM(F$242)&gt;=1,0,1)))</f>
        <v>1</v>
      </c>
      <c r="Q129" s="241">
        <f ca="1">IF(SUM(E$242)&gt;=1,1,IF(SUM(G$242)&gt;=1,0,1))</f>
        <v>1</v>
      </c>
      <c r="R129" s="241">
        <f ca="1">IF(SUM(E$242)&gt;=1,1,IF(SUM(G$242)&gt;=1,1,IF(SUM(F$242)&gt;=1,1,IF(SUM(H$242)&gt;=1,0,1))))</f>
        <v>1</v>
      </c>
    </row>
    <row r="130" spans="2:18" x14ac:dyDescent="0.35">
      <c r="B130" s="102" t="str">
        <f>Modèle!B132</f>
        <v>Scripts</v>
      </c>
      <c r="C130" s="109" t="str">
        <f>Modèle!D132</f>
        <v>7.5.1</v>
      </c>
      <c r="D130" s="110" t="str">
        <f>Modèle!E132</f>
        <v>A</v>
      </c>
      <c r="E130" s="237">
        <f ca="1">COUNTIF(OFFSET(Synthèse!$G139,0,0,1,COUNTA(Synthèse!$10:$10)-6),"="&amp;$E$1)</f>
        <v>0</v>
      </c>
      <c r="F130" s="237">
        <f ca="1">COUNTIF(OFFSET(Synthèse!$G139,0,0,1,COUNTA(Synthèse!$10:$10)-6),"="&amp;$F$1)</f>
        <v>0</v>
      </c>
      <c r="G130" s="237">
        <f ca="1">COUNTIF(OFFSET(Synthèse!$G139,0,0,1,COUNTA(Synthèse!$10:$10)-6),"="&amp;$G$1)</f>
        <v>0</v>
      </c>
      <c r="H130" s="237">
        <f ca="1">COUNTIF(OFFSET(Synthèse!$G139,0,0,1,COUNTA(Synthèse!$10:$10)-6),"="&amp;$H$1)</f>
        <v>0</v>
      </c>
      <c r="I130" s="18">
        <f ca="1">SUM(E130:H130)</f>
        <v>0</v>
      </c>
      <c r="K130" s="123" t="s">
        <v>1155</v>
      </c>
      <c r="L130" s="240" t="s">
        <v>24</v>
      </c>
      <c r="M130" s="240"/>
      <c r="N130" s="240" t="s">
        <v>757</v>
      </c>
      <c r="O130" s="241">
        <f ca="1">IF(SUM(E$243:E$243)&gt;=1,0,1)</f>
        <v>1</v>
      </c>
      <c r="P130" s="241">
        <f ca="1">IF(SUM(E$243)&gt;=1,1,IF(SUM(G$243)&gt;=1,1,IF(SUM(F$243)&gt;=1,0,1)))</f>
        <v>1</v>
      </c>
      <c r="Q130" s="241">
        <f ca="1">IF(SUM(E$243)&gt;=1,1,IF(SUM(G$243)&gt;=1,0,1))</f>
        <v>1</v>
      </c>
      <c r="R130" s="241">
        <f ca="1">IF(SUM(E$243)&gt;=1,1,IF(SUM(G$243)&gt;=1,1,IF(SUM(F$243)&gt;=1,1,IF(SUM(H$243)&gt;=1,0,1))))</f>
        <v>1</v>
      </c>
    </row>
    <row r="131" spans="2:18" x14ac:dyDescent="0.35">
      <c r="B131" s="102" t="str">
        <f>Modèle!B133</f>
        <v>Scripts</v>
      </c>
      <c r="C131" s="109" t="str">
        <f>Modèle!D133</f>
        <v>7.5.2</v>
      </c>
      <c r="D131" s="110" t="str">
        <f>Modèle!E133</f>
        <v>A</v>
      </c>
      <c r="E131" s="237">
        <f ca="1">COUNTIF(OFFSET(Synthèse!$G140,0,0,1,COUNTA(Synthèse!$10:$10)-6),"="&amp;$E$1)</f>
        <v>0</v>
      </c>
      <c r="F131" s="237">
        <f ca="1">COUNTIF(OFFSET(Synthèse!$G140,0,0,1,COUNTA(Synthèse!$10:$10)-6),"="&amp;$F$1)</f>
        <v>0</v>
      </c>
      <c r="G131" s="237">
        <f ca="1">COUNTIF(OFFSET(Synthèse!$G140,0,0,1,COUNTA(Synthèse!$10:$10)-6),"="&amp;$G$1)</f>
        <v>0</v>
      </c>
      <c r="H131" s="237">
        <f ca="1">COUNTIF(OFFSET(Synthèse!$G140,0,0,1,COUNTA(Synthèse!$10:$10)-6),"="&amp;$H$1)</f>
        <v>0</v>
      </c>
      <c r="I131" s="18">
        <f t="shared" ca="1" si="20"/>
        <v>0</v>
      </c>
      <c r="K131" s="123" t="s">
        <v>1156</v>
      </c>
      <c r="L131" s="240" t="s">
        <v>24</v>
      </c>
      <c r="M131" s="240"/>
      <c r="N131" s="240" t="s">
        <v>758</v>
      </c>
      <c r="O131" s="241">
        <f ca="1">IF(SUM(E$244:E$244)&gt;=1,0,1)</f>
        <v>1</v>
      </c>
      <c r="P131" s="241">
        <f ca="1">IF(SUM(E$244)&gt;=1,1,IF(SUM(G$244)&gt;=1,1,IF(SUM(F$244)&gt;=1,0,1)))</f>
        <v>1</v>
      </c>
      <c r="Q131" s="241">
        <f ca="1">IF(SUM(E$244)&gt;=1,1,IF(SUM(G$244)&gt;=1,0,1))</f>
        <v>1</v>
      </c>
      <c r="R131" s="241">
        <f ca="1">IF(SUM(E$244)&gt;=1,1,IF(SUM(G$244)&gt;=1,1,IF(SUM(F$244)&gt;=1,1,IF(SUM(H$244)&gt;=1,0,1))))</f>
        <v>1</v>
      </c>
    </row>
    <row r="132" spans="2:18" x14ac:dyDescent="0.35">
      <c r="B132" s="102" t="str">
        <f>Modèle!B134</f>
        <v>Scripts</v>
      </c>
      <c r="C132" s="109" t="str">
        <f>Modèle!D134</f>
        <v>7.5.3</v>
      </c>
      <c r="D132" s="110">
        <f>Modèle!E134</f>
        <v>0</v>
      </c>
      <c r="E132" s="237">
        <f ca="1">COUNTIF(OFFSET(Synthèse!$G141,0,0,1,COUNTA(Synthèse!$10:$10)-6),"="&amp;$E$1)</f>
        <v>0</v>
      </c>
      <c r="F132" s="237">
        <f ca="1">COUNTIF(OFFSET(Synthèse!$G141,0,0,1,COUNTA(Synthèse!$10:$10)-6),"="&amp;$F$1)</f>
        <v>0</v>
      </c>
      <c r="G132" s="237">
        <f ca="1">COUNTIF(OFFSET(Synthèse!$G141,0,0,1,COUNTA(Synthèse!$10:$10)-6),"="&amp;$G$1)</f>
        <v>0</v>
      </c>
      <c r="H132" s="237">
        <f ca="1">COUNTIF(OFFSET(Synthèse!$G141,0,0,1,COUNTA(Synthèse!$10:$10)-6),"="&amp;$H$1)</f>
        <v>0</v>
      </c>
      <c r="I132" s="18">
        <f t="shared" ca="1" si="20"/>
        <v>0</v>
      </c>
      <c r="K132" s="123" t="s">
        <v>1157</v>
      </c>
      <c r="L132" s="240" t="s">
        <v>24</v>
      </c>
      <c r="M132" s="240"/>
      <c r="N132" s="240" t="s">
        <v>759</v>
      </c>
      <c r="O132" s="241">
        <f ca="1">IF(SUM(E$245:E$245)&gt;=1,0,1)</f>
        <v>1</v>
      </c>
      <c r="P132" s="241">
        <f ca="1">IF(SUM(E$245)&gt;=1,1,IF(SUM(G$245)&gt;=1,1,IF(SUM(F$245)&gt;=1,0,1)))</f>
        <v>1</v>
      </c>
      <c r="Q132" s="241">
        <f ca="1">IF(SUM(E$245)&gt;=1,1,IF(SUM(G$245)&gt;=1,0,1))</f>
        <v>1</v>
      </c>
      <c r="R132" s="241">
        <f ca="1">IF(SUM(E$245)&gt;=1,1,IF(SUM(G$245)&gt;=1,1,IF(SUM(F$245)&gt;=1,1,IF(SUM(H$245)&gt;=1,0,1))))</f>
        <v>1</v>
      </c>
    </row>
    <row r="133" spans="2:18" x14ac:dyDescent="0.35">
      <c r="B133" s="101" t="str">
        <f>Modèle!B135</f>
        <v>Éléments Obligatoires</v>
      </c>
      <c r="C133" s="107" t="str">
        <f>Modèle!D135</f>
        <v>8.1.1</v>
      </c>
      <c r="D133" s="108" t="str">
        <f>Modèle!E135</f>
        <v>A</v>
      </c>
      <c r="E133" s="236">
        <f ca="1">COUNTIF(OFFSET(Synthèse!$G142,0,0,1,COUNTA(Synthèse!$10:$10)-6),"="&amp;$E$1)</f>
        <v>0</v>
      </c>
      <c r="F133" s="236">
        <f ca="1">COUNTIF(OFFSET(Synthèse!$G142,0,0,1,COUNTA(Synthèse!$10:$10)-6),"="&amp;$F$1)</f>
        <v>0</v>
      </c>
      <c r="G133" s="236">
        <f ca="1">COUNTIF(OFFSET(Synthèse!$G142,0,0,1,COUNTA(Synthèse!$10:$10)-6),"="&amp;$G$1)</f>
        <v>0</v>
      </c>
      <c r="H133" s="236">
        <f ca="1">COUNTIF(OFFSET(Synthèse!$G142,0,0,1,COUNTA(Synthèse!$10:$10)-6),"="&amp;$H$1)</f>
        <v>0</v>
      </c>
      <c r="I133" s="18">
        <f t="shared" ca="1" si="20"/>
        <v>0</v>
      </c>
      <c r="K133" s="123" t="s">
        <v>1158</v>
      </c>
      <c r="L133" s="240" t="s">
        <v>24</v>
      </c>
      <c r="M133" s="240"/>
      <c r="N133" s="240" t="s">
        <v>760</v>
      </c>
      <c r="O133" s="241">
        <f ca="1">IF(SUM(E$246:E$246)&gt;=1,0,1)</f>
        <v>1</v>
      </c>
      <c r="P133" s="241">
        <f ca="1">IF(SUM(E$246)&gt;=1,1,IF(SUM(G$246)&gt;=1,1,IF(SUM(F$246)&gt;=1,0,1)))</f>
        <v>1</v>
      </c>
      <c r="Q133" s="241">
        <f ca="1">IF(SUM(E$246)&gt;=1,1,IF(SUM(G$246)&gt;=1,0,1))</f>
        <v>1</v>
      </c>
      <c r="R133" s="241">
        <f ca="1">IF(SUM(E$246)&gt;=1,1,IF(SUM(G$246)&gt;=1,1,IF(SUM(F$246)&gt;=1,1,IF(SUM(H$246)&gt;=1,0,1))))</f>
        <v>1</v>
      </c>
    </row>
    <row r="134" spans="2:18" x14ac:dyDescent="0.35">
      <c r="B134" s="101" t="str">
        <f>Modèle!B136</f>
        <v>Éléments Obligatoires</v>
      </c>
      <c r="C134" s="107" t="str">
        <f>Modèle!D136</f>
        <v>8.1.2</v>
      </c>
      <c r="D134" s="108" t="str">
        <f>Modèle!E136</f>
        <v>A</v>
      </c>
      <c r="E134" s="236">
        <f ca="1">COUNTIF(OFFSET(Synthèse!$G143,0,0,1,COUNTA(Synthèse!$10:$10)-6),"="&amp;$E$1)</f>
        <v>0</v>
      </c>
      <c r="F134" s="236">
        <f ca="1">COUNTIF(OFFSET(Synthèse!$G143,0,0,1,COUNTA(Synthèse!$10:$10)-6),"="&amp;$F$1)</f>
        <v>0</v>
      </c>
      <c r="G134" s="236">
        <f ca="1">COUNTIF(OFFSET(Synthèse!$G143,0,0,1,COUNTA(Synthèse!$10:$10)-6),"="&amp;$G$1)</f>
        <v>0</v>
      </c>
      <c r="H134" s="236">
        <f ca="1">COUNTIF(OFFSET(Synthèse!$G143,0,0,1,COUNTA(Synthèse!$10:$10)-6),"="&amp;$H$1)</f>
        <v>0</v>
      </c>
      <c r="I134" s="18">
        <f t="shared" ref="I134:I197" ca="1" si="21">SUM(E134:H134)</f>
        <v>0</v>
      </c>
      <c r="K134" s="123" t="s">
        <v>1159</v>
      </c>
      <c r="L134" s="240" t="s">
        <v>24</v>
      </c>
      <c r="M134" s="240"/>
      <c r="N134" s="240" t="s">
        <v>761</v>
      </c>
      <c r="O134" s="241">
        <f ca="1">IF(SUM(E$247:E$249)&gt;=1,0,1)</f>
        <v>1</v>
      </c>
      <c r="P134" s="241">
        <f ca="1">IF(SUM(E$247:E$249)&gt;=1,1,IF(SUM(G$247:G$249)&gt;=1,1,IF(SUM(F$247:F$249)&gt;=1,0,1)))</f>
        <v>1</v>
      </c>
      <c r="Q134" s="241">
        <f ca="1">IF(SUM(E$247:E$249)&gt;=1,1,IF(SUM(G$247:G$249)&gt;=1,0,1))</f>
        <v>1</v>
      </c>
      <c r="R134" s="241">
        <f ca="1">IF(SUM(E$247:E$249)&gt;=1,1,IF(SUM(G$247:G$249)&gt;=1,1,IF(SUM(F$247:F$249)&gt;=1,1,IF(SUM(H$247:H$249)&gt;=1,0,1))))</f>
        <v>1</v>
      </c>
    </row>
    <row r="135" spans="2:18" x14ac:dyDescent="0.35">
      <c r="B135" s="101" t="str">
        <f>Modèle!B137</f>
        <v>Éléments Obligatoires</v>
      </c>
      <c r="C135" s="107" t="str">
        <f>Modèle!D137</f>
        <v>8.1.3</v>
      </c>
      <c r="D135" s="108" t="str">
        <f>Modèle!E137</f>
        <v>A</v>
      </c>
      <c r="E135" s="236">
        <f ca="1">COUNTIF(OFFSET(Synthèse!$G144,0,0,1,COUNTA(Synthèse!$10:$10)-6),"="&amp;$E$1)</f>
        <v>0</v>
      </c>
      <c r="F135" s="236">
        <f ca="1">COUNTIF(OFFSET(Synthèse!$G144,0,0,1,COUNTA(Synthèse!$10:$10)-6),"="&amp;$F$1)</f>
        <v>0</v>
      </c>
      <c r="G135" s="236">
        <f ca="1">COUNTIF(OFFSET(Synthèse!$G144,0,0,1,COUNTA(Synthèse!$10:$10)-6),"="&amp;$G$1)</f>
        <v>0</v>
      </c>
      <c r="H135" s="236">
        <f ca="1">COUNTIF(OFFSET(Synthèse!$G144,0,0,1,COUNTA(Synthèse!$10:$10)-6),"="&amp;$H$1)</f>
        <v>0</v>
      </c>
      <c r="I135" s="18">
        <f t="shared" ca="1" si="21"/>
        <v>0</v>
      </c>
      <c r="K135" s="123" t="s">
        <v>1160</v>
      </c>
      <c r="L135" s="240" t="s">
        <v>24</v>
      </c>
      <c r="M135" s="240"/>
      <c r="N135" s="240" t="s">
        <v>762</v>
      </c>
      <c r="O135" s="241">
        <f ca="1">IF(SUM(E$250:E$251)&gt;=1,0,1)</f>
        <v>1</v>
      </c>
      <c r="P135" s="241">
        <f ca="1">IF(SUM(E$250:E$251)&gt;=1,1,IF(SUM(G$250:G$251)&gt;=1,1,IF(SUM(F$250:F$251)&gt;=1,0,1)))</f>
        <v>1</v>
      </c>
      <c r="Q135" s="241">
        <f ca="1">IF(SUM(E$250:E$251)&gt;=1,1,IF(SUM(G$250:G$251)&gt;=1,0,1))</f>
        <v>1</v>
      </c>
      <c r="R135" s="241">
        <f ca="1">IF(SUM(E$250:E$251)&gt;=1,1,IF(SUM(G$250:G$251)&gt;=1,1,IF(SUM(F$250:F$251)&gt;=1,1,IF(SUM(H$250:H$251)&gt;=1,0,1))))</f>
        <v>1</v>
      </c>
    </row>
    <row r="136" spans="2:18" x14ac:dyDescent="0.35">
      <c r="B136" s="102" t="str">
        <f>Modèle!B138</f>
        <v>Éléments Obligatoires</v>
      </c>
      <c r="C136" s="109" t="str">
        <f>Modèle!D138</f>
        <v>8.2.1</v>
      </c>
      <c r="D136" s="110" t="str">
        <f>Modèle!E138</f>
        <v>A</v>
      </c>
      <c r="E136" s="237">
        <f ca="1">COUNTIF(OFFSET(Synthèse!$G145,0,0,1,COUNTA(Synthèse!$10:$10)-6),"="&amp;$E$1)</f>
        <v>0</v>
      </c>
      <c r="F136" s="237">
        <f ca="1">COUNTIF(OFFSET(Synthèse!$G145,0,0,1,COUNTA(Synthèse!$10:$10)-6),"="&amp;$F$1)</f>
        <v>0</v>
      </c>
      <c r="G136" s="237">
        <f ca="1">COUNTIF(OFFSET(Synthèse!$G145,0,0,1,COUNTA(Synthèse!$10:$10)-6),"="&amp;$G$1)</f>
        <v>0</v>
      </c>
      <c r="H136" s="237">
        <f ca="1">COUNTIF(OFFSET(Synthèse!$G145,0,0,1,COUNTA(Synthèse!$10:$10)-6),"="&amp;$H$1)</f>
        <v>0</v>
      </c>
      <c r="I136" s="18">
        <f t="shared" ca="1" si="21"/>
        <v>0</v>
      </c>
      <c r="K136" s="123" t="s">
        <v>1161</v>
      </c>
      <c r="L136" s="240" t="s">
        <v>25</v>
      </c>
      <c r="M136" s="240"/>
      <c r="N136" s="240" t="s">
        <v>763</v>
      </c>
      <c r="O136" s="241">
        <f ca="1">IF(SUM(E$252:E$252)&gt;=1,0,1)</f>
        <v>1</v>
      </c>
      <c r="P136" s="241">
        <f ca="1">IF(SUM(E$252)&gt;=1,1,IF(SUM(G$252)&gt;=1,1,IF(SUM(F$252)&gt;=1,0,1)))</f>
        <v>1</v>
      </c>
      <c r="Q136" s="241">
        <f ca="1">IF(SUM(E$252)&gt;=1,1,IF(SUM(G$252)&gt;=1,0,1))</f>
        <v>1</v>
      </c>
      <c r="R136" s="241">
        <f ca="1">IF(SUM(E$252)&gt;=1,1,IF(SUM(G$252)&gt;=1,1,IF(SUM(F$252)&gt;=1,1,IF(SUM(H$252)&gt;=1,0,1))))</f>
        <v>1</v>
      </c>
    </row>
    <row r="137" spans="2:18" x14ac:dyDescent="0.35">
      <c r="B137" s="101" t="str">
        <f>Modèle!B139</f>
        <v>Éléments Obligatoires</v>
      </c>
      <c r="C137" s="107" t="str">
        <f>Modèle!D139</f>
        <v>8.3.1</v>
      </c>
      <c r="D137" s="108" t="str">
        <f>Modèle!E139</f>
        <v>A</v>
      </c>
      <c r="E137" s="236">
        <f ca="1">COUNTIF(OFFSET(Synthèse!$G146,0,0,1,COUNTA(Synthèse!$10:$10)-6),"="&amp;$E$1)</f>
        <v>0</v>
      </c>
      <c r="F137" s="236">
        <f ca="1">COUNTIF(OFFSET(Synthèse!$G146,0,0,1,COUNTA(Synthèse!$10:$10)-6),"="&amp;$F$1)</f>
        <v>0</v>
      </c>
      <c r="G137" s="236">
        <f ca="1">COUNTIF(OFFSET(Synthèse!$G146,0,0,1,COUNTA(Synthèse!$10:$10)-6),"="&amp;$G$1)</f>
        <v>0</v>
      </c>
      <c r="H137" s="236">
        <f ca="1">COUNTIF(OFFSET(Synthèse!$G146,0,0,1,COUNTA(Synthèse!$10:$10)-6),"="&amp;$H$1)</f>
        <v>0</v>
      </c>
      <c r="I137" s="18">
        <f t="shared" ca="1" si="21"/>
        <v>0</v>
      </c>
      <c r="K137" s="123" t="s">
        <v>1162</v>
      </c>
      <c r="L137" s="240" t="s">
        <v>24</v>
      </c>
      <c r="M137" s="240"/>
      <c r="N137" s="240" t="s">
        <v>764</v>
      </c>
      <c r="O137" s="241">
        <f ca="1">IF(SUM(E$253:E$254)&gt;=1,0,1)</f>
        <v>1</v>
      </c>
      <c r="P137" s="241">
        <f ca="1">IF(SUM(E$253:E$254)&gt;=1,1,IF(SUM(G$253:G$254)&gt;=1,1,IF(SUM(F$253:F$254)&gt;=1,0,1)))</f>
        <v>1</v>
      </c>
      <c r="Q137" s="241">
        <f ca="1">IF(SUM(E$253:E$254)&gt;=1,1,IF(SUM(G$253:G$254)&gt;=1,0,1))</f>
        <v>1</v>
      </c>
      <c r="R137" s="241">
        <f ca="1">IF(SUM(E$253:E$254)&gt;=1,1,IF(SUM(G$253:G$254)&gt;=1,1,IF(SUM(F$253:F$254)&gt;=1,1,IF(SUM(H$253:H$254)&gt;=1,0,1))))</f>
        <v>1</v>
      </c>
    </row>
    <row r="138" spans="2:18" x14ac:dyDescent="0.35">
      <c r="B138" s="102" t="str">
        <f>Modèle!B140</f>
        <v>Éléments Obligatoires</v>
      </c>
      <c r="C138" s="109" t="str">
        <f>Modèle!D140</f>
        <v>8.4.1</v>
      </c>
      <c r="D138" s="110" t="str">
        <f>Modèle!E140</f>
        <v>A</v>
      </c>
      <c r="E138" s="237">
        <f ca="1">COUNTIF(OFFSET(Synthèse!$G147,0,0,1,COUNTA(Synthèse!$10:$10)-6),"="&amp;$E$1)</f>
        <v>0</v>
      </c>
      <c r="F138" s="237">
        <f ca="1">COUNTIF(OFFSET(Synthèse!$G147,0,0,1,COUNTA(Synthèse!$10:$10)-6),"="&amp;$F$1)</f>
        <v>0</v>
      </c>
      <c r="G138" s="237">
        <f ca="1">COUNTIF(OFFSET(Synthèse!$G147,0,0,1,COUNTA(Synthèse!$10:$10)-6),"="&amp;$G$1)</f>
        <v>0</v>
      </c>
      <c r="H138" s="237">
        <f ca="1">COUNTIF(OFFSET(Synthèse!$G147,0,0,1,COUNTA(Synthèse!$10:$10)-6),"="&amp;$H$1)</f>
        <v>0</v>
      </c>
      <c r="I138" s="18">
        <f t="shared" ca="1" si="21"/>
        <v>0</v>
      </c>
      <c r="K138" s="123" t="s">
        <v>1163</v>
      </c>
      <c r="L138" s="240" t="s">
        <v>24</v>
      </c>
      <c r="M138" s="240"/>
      <c r="N138" s="240" t="s">
        <v>765</v>
      </c>
      <c r="O138" s="241">
        <f ca="1">IF(SUM(E$255:E$255)&gt;=1,0,1)</f>
        <v>1</v>
      </c>
      <c r="P138" s="241">
        <f ca="1">IF(SUM(E$255)&gt;=1,1,IF(SUM(G$255)&gt;=1,1,IF(SUM(F$255)&gt;=1,0,1)))</f>
        <v>1</v>
      </c>
      <c r="Q138" s="241">
        <f ca="1">IF(SUM(E$255)&gt;=1,1,IF(SUM(G$255)&gt;=1,0,1))</f>
        <v>1</v>
      </c>
      <c r="R138" s="241">
        <f ca="1">IF(SUM(E$255)&gt;=1,1,IF(SUM(G$255)&gt;=1,1,IF(SUM(F$255)&gt;=1,1,IF(SUM(H$255)&gt;=1,0,1))))</f>
        <v>1</v>
      </c>
    </row>
    <row r="139" spans="2:18" x14ac:dyDescent="0.35">
      <c r="B139" s="101" t="str">
        <f>Modèle!B141</f>
        <v>Éléments Obligatoires</v>
      </c>
      <c r="C139" s="107" t="str">
        <f>Modèle!D141</f>
        <v>8.5.1</v>
      </c>
      <c r="D139" s="108" t="str">
        <f>Modèle!E141</f>
        <v>A</v>
      </c>
      <c r="E139" s="236">
        <f ca="1">COUNTIF(OFFSET(Synthèse!$G148,0,0,1,COUNTA(Synthèse!$10:$10)-6),"="&amp;$E$1)</f>
        <v>0</v>
      </c>
      <c r="F139" s="236">
        <f ca="1">COUNTIF(OFFSET(Synthèse!$G148,0,0,1,COUNTA(Synthèse!$10:$10)-6),"="&amp;$F$1)</f>
        <v>0</v>
      </c>
      <c r="G139" s="236">
        <f ca="1">COUNTIF(OFFSET(Synthèse!$G148,0,0,1,COUNTA(Synthèse!$10:$10)-6),"="&amp;$G$1)</f>
        <v>0</v>
      </c>
      <c r="H139" s="236">
        <f ca="1">COUNTIF(OFFSET(Synthèse!$G148,0,0,1,COUNTA(Synthèse!$10:$10)-6),"="&amp;$H$1)</f>
        <v>0</v>
      </c>
      <c r="I139" s="18">
        <f t="shared" ca="1" si="21"/>
        <v>0</v>
      </c>
      <c r="K139" s="123" t="s">
        <v>1164</v>
      </c>
      <c r="L139" s="240" t="s">
        <v>24</v>
      </c>
      <c r="M139" s="240"/>
      <c r="N139" s="240" t="s">
        <v>766</v>
      </c>
      <c r="O139" s="241">
        <f ca="1">IF(SUM(E$256:E$258)&gt;=1,0,1)</f>
        <v>1</v>
      </c>
      <c r="P139" s="241">
        <f ca="1">IF(SUM(E$256:E$258)&gt;=1,1,IF(SUM(G$256:G$258)&gt;=1,1,IF(SUM(F$256:F$258)&gt;=1,0,1)))</f>
        <v>1</v>
      </c>
      <c r="Q139" s="241">
        <f ca="1">IF(SUM(E$256:E$258)&gt;=1,1,IF(SUM(G$256:G$258)&gt;=1,0,1))</f>
        <v>1</v>
      </c>
      <c r="R139" s="241">
        <f ca="1">IF(SUM(E$256:E$258)&gt;=1,1,IF(SUM(G$256:G$258)&gt;=1,1,IF(SUM(F$256:F$258)&gt;=1,1,IF(SUM(H$256:H$258)&gt;=1,0,1))))</f>
        <v>1</v>
      </c>
    </row>
    <row r="140" spans="2:18" x14ac:dyDescent="0.35">
      <c r="B140" s="102" t="str">
        <f>Modèle!B142</f>
        <v>Éléments Obligatoires</v>
      </c>
      <c r="C140" s="109" t="str">
        <f>Modèle!D142</f>
        <v>8.6.1</v>
      </c>
      <c r="D140" s="110" t="str">
        <f>Modèle!E142</f>
        <v>A</v>
      </c>
      <c r="E140" s="237">
        <f ca="1">COUNTIF(OFFSET(Synthèse!$G149,0,0,1,COUNTA(Synthèse!$10:$10)-6),"="&amp;$E$1)</f>
        <v>0</v>
      </c>
      <c r="F140" s="237">
        <f ca="1">COUNTIF(OFFSET(Synthèse!$G149,0,0,1,COUNTA(Synthèse!$10:$10)-6),"="&amp;$F$1)</f>
        <v>0</v>
      </c>
      <c r="G140" s="237">
        <f ca="1">COUNTIF(OFFSET(Synthèse!$G149,0,0,1,COUNTA(Synthèse!$10:$10)-6),"="&amp;$G$1)</f>
        <v>0</v>
      </c>
      <c r="H140" s="237">
        <f ca="1">COUNTIF(OFFSET(Synthèse!$G149,0,0,1,COUNTA(Synthèse!$10:$10)-6),"="&amp;$H$1)</f>
        <v>0</v>
      </c>
      <c r="I140" s="18">
        <f t="shared" ca="1" si="21"/>
        <v>0</v>
      </c>
      <c r="N140" s="244" t="s">
        <v>767</v>
      </c>
      <c r="O140" s="244">
        <f ca="1">COUNTIFS(O$34:O$139,"=0")</f>
        <v>0</v>
      </c>
      <c r="P140" s="244">
        <f ca="1">106-SUM(P34:P139)</f>
        <v>0</v>
      </c>
      <c r="Q140" s="244">
        <f ca="1">106-SUM(Q34:Q139)</f>
        <v>0</v>
      </c>
      <c r="R140" s="244">
        <f ca="1">106-SUM(R34:R139)</f>
        <v>0</v>
      </c>
    </row>
    <row r="141" spans="2:18" x14ac:dyDescent="0.35">
      <c r="B141" s="101" t="str">
        <f>Modèle!B143</f>
        <v>Éléments Obligatoires</v>
      </c>
      <c r="C141" s="107" t="str">
        <f>Modèle!D143</f>
        <v>8.7.1</v>
      </c>
      <c r="D141" s="108" t="str">
        <f>Modèle!E143</f>
        <v>AA</v>
      </c>
      <c r="E141" s="236">
        <f ca="1">COUNTIF(OFFSET(Synthèse!$G150,0,0,1,COUNTA(Synthèse!$10:$10)-6),"="&amp;$E$1)</f>
        <v>0</v>
      </c>
      <c r="F141" s="236">
        <f ca="1">COUNTIF(OFFSET(Synthèse!$G150,0,0,1,COUNTA(Synthèse!$10:$10)-6),"="&amp;$F$1)</f>
        <v>0</v>
      </c>
      <c r="G141" s="236">
        <f ca="1">COUNTIF(OFFSET(Synthèse!$G150,0,0,1,COUNTA(Synthèse!$10:$10)-6),"="&amp;$G$1)</f>
        <v>0</v>
      </c>
      <c r="H141" s="236">
        <f ca="1">COUNTIF(OFFSET(Synthèse!$G150,0,0,1,COUNTA(Synthèse!$10:$10)-6),"="&amp;$H$1)</f>
        <v>0</v>
      </c>
      <c r="I141" s="18">
        <f t="shared" ca="1" si="21"/>
        <v>0</v>
      </c>
      <c r="N141" s="244" t="s">
        <v>649</v>
      </c>
      <c r="O141" s="244" t="e">
        <f ca="1">P140/(P140+O140)*100</f>
        <v>#DIV/0!</v>
      </c>
      <c r="P141" s="244" t="e">
        <f ca="1">O140/(P140+O140)*100</f>
        <v>#DIV/0!</v>
      </c>
      <c r="Q141" s="12"/>
      <c r="R141" s="12"/>
    </row>
    <row r="142" spans="2:18" x14ac:dyDescent="0.35">
      <c r="B142" s="102" t="str">
        <f>Modèle!B144</f>
        <v>Éléments Obligatoires</v>
      </c>
      <c r="C142" s="109" t="str">
        <f>Modèle!D144</f>
        <v>8.8.1</v>
      </c>
      <c r="D142" s="110" t="str">
        <f>Modèle!E144</f>
        <v>AA</v>
      </c>
      <c r="E142" s="237">
        <f ca="1">COUNTIF(OFFSET(Synthèse!$G151,0,0,1,COUNTA(Synthèse!$10:$10)-6),"="&amp;$E$1)</f>
        <v>0</v>
      </c>
      <c r="F142" s="237">
        <f ca="1">COUNTIF(OFFSET(Synthèse!$G151,0,0,1,COUNTA(Synthèse!$10:$10)-6),"="&amp;$F$1)</f>
        <v>0</v>
      </c>
      <c r="G142" s="237">
        <f ca="1">COUNTIF(OFFSET(Synthèse!$G151,0,0,1,COUNTA(Synthèse!$10:$10)-6),"="&amp;$G$1)</f>
        <v>0</v>
      </c>
      <c r="H142" s="237">
        <f ca="1">COUNTIF(OFFSET(Synthèse!$G151,0,0,1,COUNTA(Synthèse!$10:$10)-6),"="&amp;$H$1)</f>
        <v>0</v>
      </c>
      <c r="I142" s="18">
        <f t="shared" ca="1" si="21"/>
        <v>0</v>
      </c>
      <c r="L142" s="19" t="s">
        <v>657</v>
      </c>
      <c r="M142" s="19">
        <f>COUNTIF(M34:M139,"Niv1")</f>
        <v>0</v>
      </c>
      <c r="N142" s="100" t="s">
        <v>657</v>
      </c>
      <c r="O142" s="100">
        <f ca="1">COUNTIFS(O$34:O$139,"=0",$M$34:$M$139,"Niv1")</f>
        <v>0</v>
      </c>
      <c r="P142" s="100">
        <f ca="1">COUNTIFS(P$34:P$139,"=0",$M$34:$M$139,"Niv1")</f>
        <v>0</v>
      </c>
      <c r="Q142" s="100">
        <f ca="1">COUNTIFS(R$34:R$139,"=0",$M$34:$M$139,"Niv1")</f>
        <v>0</v>
      </c>
      <c r="R142" s="100"/>
    </row>
    <row r="143" spans="2:18" x14ac:dyDescent="0.35">
      <c r="B143" s="101" t="str">
        <f>Modèle!B145</f>
        <v>Éléments Obligatoires</v>
      </c>
      <c r="C143" s="107" t="str">
        <f>Modèle!D145</f>
        <v>8.9.1</v>
      </c>
      <c r="D143" s="108" t="str">
        <f>Modèle!E145</f>
        <v>A</v>
      </c>
      <c r="E143" s="236">
        <f ca="1">COUNTIF(OFFSET(Synthèse!$G152,0,0,1,COUNTA(Synthèse!$10:$10)-6),"="&amp;$E$1)</f>
        <v>0</v>
      </c>
      <c r="F143" s="236">
        <f ca="1">COUNTIF(OFFSET(Synthèse!$G152,0,0,1,COUNTA(Synthèse!$10:$10)-6),"="&amp;$F$1)</f>
        <v>0</v>
      </c>
      <c r="G143" s="236">
        <f ca="1">COUNTIF(OFFSET(Synthèse!$G152,0,0,1,COUNTA(Synthèse!$10:$10)-6),"="&amp;$G$1)</f>
        <v>0</v>
      </c>
      <c r="H143" s="236">
        <f ca="1">COUNTIF(OFFSET(Synthèse!$G152,0,0,1,COUNTA(Synthèse!$10:$10)-6),"="&amp;$H$1)</f>
        <v>0</v>
      </c>
      <c r="I143" s="18">
        <f t="shared" ca="1" si="21"/>
        <v>0</v>
      </c>
      <c r="L143" s="19" t="s">
        <v>659</v>
      </c>
      <c r="M143" s="19">
        <f>COUNTIF(M$34:M$139,"Niv2")</f>
        <v>0</v>
      </c>
      <c r="N143" s="100" t="s">
        <v>659</v>
      </c>
      <c r="O143" s="100">
        <f ca="1">COUNTIFS(O$34:O$139,"=0",$M$34:$M$139,"Niv2")</f>
        <v>0</v>
      </c>
      <c r="P143" s="100">
        <f ca="1">COUNTIFS(P$34:P$139,"=0",$M$34:$M$139,"Niv2")</f>
        <v>0</v>
      </c>
      <c r="Q143" s="100">
        <f ca="1">COUNTIFS(R$34:R$139,"=0",$M$34:$M$139,"Niv2")</f>
        <v>0</v>
      </c>
      <c r="R143" s="100"/>
    </row>
    <row r="144" spans="2:18" x14ac:dyDescent="0.35">
      <c r="B144" s="102" t="str">
        <f>Modèle!B146</f>
        <v>Éléments Obligatoires</v>
      </c>
      <c r="C144" s="109" t="str">
        <f>Modèle!D146</f>
        <v>8.10.1</v>
      </c>
      <c r="D144" s="110" t="str">
        <f>Modèle!E146</f>
        <v>A</v>
      </c>
      <c r="E144" s="237">
        <f ca="1">COUNTIF(OFFSET(Synthèse!$G153,0,0,1,COUNTA(Synthèse!$10:$10)-6),"="&amp;$E$1)</f>
        <v>0</v>
      </c>
      <c r="F144" s="237">
        <f ca="1">COUNTIF(OFFSET(Synthèse!$G153,0,0,1,COUNTA(Synthèse!$10:$10)-6),"="&amp;$F$1)</f>
        <v>0</v>
      </c>
      <c r="G144" s="237">
        <f ca="1">COUNTIF(OFFSET(Synthèse!$G153,0,0,1,COUNTA(Synthèse!$10:$10)-6),"="&amp;$G$1)</f>
        <v>0</v>
      </c>
      <c r="H144" s="237">
        <f ca="1">COUNTIF(OFFSET(Synthèse!$G153,0,0,1,COUNTA(Synthèse!$10:$10)-6),"="&amp;$H$1)</f>
        <v>0</v>
      </c>
      <c r="I144" s="18">
        <f t="shared" ca="1" si="21"/>
        <v>0</v>
      </c>
      <c r="L144" s="19" t="s">
        <v>666</v>
      </c>
      <c r="M144" s="19">
        <f>COUNTIF(M$34:M$139,"Niv3")</f>
        <v>0</v>
      </c>
      <c r="N144" s="100" t="s">
        <v>666</v>
      </c>
      <c r="O144" s="100">
        <f ca="1">COUNTIFS(O$34:O$139,"=0",$M$34:$M$139,"Niv3")</f>
        <v>0</v>
      </c>
      <c r="P144" s="100">
        <f ca="1">COUNTIFS(P$34:P$139,"=0",$M$34:$M$139,"Niv3")</f>
        <v>0</v>
      </c>
      <c r="Q144" s="100">
        <f ca="1">COUNTIFS(R$34:R$139,"=0",$M$34:$M$139,"Niv3")</f>
        <v>0</v>
      </c>
      <c r="R144" s="100"/>
    </row>
    <row r="145" spans="2:18" x14ac:dyDescent="0.35">
      <c r="B145" s="102" t="str">
        <f>Modèle!B147</f>
        <v>Éléments Obligatoires</v>
      </c>
      <c r="C145" s="109" t="str">
        <f>Modèle!D147</f>
        <v>8.10.2</v>
      </c>
      <c r="D145" s="110" t="str">
        <f>Modèle!E147</f>
        <v>A</v>
      </c>
      <c r="E145" s="237">
        <f ca="1">COUNTIF(OFFSET(Synthèse!$G154,0,0,1,COUNTA(Synthèse!$10:$10)-6),"="&amp;$E$1)</f>
        <v>0</v>
      </c>
      <c r="F145" s="237">
        <f ca="1">COUNTIF(OFFSET(Synthèse!$G154,0,0,1,COUNTA(Synthèse!$10:$10)-6),"="&amp;$F$1)</f>
        <v>0</v>
      </c>
      <c r="G145" s="237">
        <f ca="1">COUNTIF(OFFSET(Synthèse!$G154,0,0,1,COUNTA(Synthèse!$10:$10)-6),"="&amp;$G$1)</f>
        <v>0</v>
      </c>
      <c r="H145" s="237">
        <f ca="1">COUNTIF(OFFSET(Synthèse!$G154,0,0,1,COUNTA(Synthèse!$10:$10)-6),"="&amp;$H$1)</f>
        <v>0</v>
      </c>
      <c r="I145" s="18">
        <f t="shared" ca="1" si="21"/>
        <v>0</v>
      </c>
      <c r="L145" s="19" t="s">
        <v>668</v>
      </c>
      <c r="M145" s="19">
        <f>COUNTIF(M$34:M$139,"Niv5")</f>
        <v>0</v>
      </c>
      <c r="N145" s="100" t="s">
        <v>668</v>
      </c>
      <c r="O145" s="100">
        <f ca="1">COUNTIFS(O$34:O$139,"=0",$M$34:$M$139,"Niv5")</f>
        <v>0</v>
      </c>
      <c r="P145" s="100">
        <f ca="1">COUNTIFS(P$34:P$139,"=0",$M$34:$M$139,"Niv5")</f>
        <v>0</v>
      </c>
      <c r="Q145" s="100">
        <f ca="1">COUNTIFS(R$34:R$139,"=0",$M$34:$M$139,"Niv5")</f>
        <v>0</v>
      </c>
      <c r="R145" s="100"/>
    </row>
    <row r="146" spans="2:18" x14ac:dyDescent="0.35">
      <c r="B146" s="101" t="str">
        <f>Modèle!B148</f>
        <v>Structuration de l'information</v>
      </c>
      <c r="C146" s="107" t="str">
        <f>Modèle!D148</f>
        <v>9.1.1</v>
      </c>
      <c r="D146" s="108" t="str">
        <f>Modèle!E148</f>
        <v>A</v>
      </c>
      <c r="E146" s="236">
        <f ca="1">COUNTIF(OFFSET(Synthèse!$G155,0,0,1,COUNTA(Synthèse!$10:$10)-6),"="&amp;$E$1)</f>
        <v>0</v>
      </c>
      <c r="F146" s="236">
        <f ca="1">COUNTIF(OFFSET(Synthèse!$G155,0,0,1,COUNTA(Synthèse!$10:$10)-6),"="&amp;$F$1)</f>
        <v>0</v>
      </c>
      <c r="G146" s="236">
        <f ca="1">COUNTIF(OFFSET(Synthèse!$G155,0,0,1,COUNTA(Synthèse!$10:$10)-6),"="&amp;$G$1)</f>
        <v>0</v>
      </c>
      <c r="H146" s="236">
        <f ca="1">COUNTIF(OFFSET(Synthèse!$G155,0,0,1,COUNTA(Synthèse!$10:$10)-6),"="&amp;$H$1)</f>
        <v>0</v>
      </c>
      <c r="I146" s="18">
        <f t="shared" ca="1" si="21"/>
        <v>0</v>
      </c>
      <c r="L146" s="12" t="s">
        <v>38</v>
      </c>
      <c r="M146" s="12">
        <f>SUM(M142:M145)</f>
        <v>0</v>
      </c>
      <c r="Q146" s="12"/>
      <c r="R146" s="12"/>
    </row>
    <row r="147" spans="2:18" x14ac:dyDescent="0.35">
      <c r="B147" s="101" t="str">
        <f>Modèle!B149</f>
        <v>Structuration de l'information</v>
      </c>
      <c r="C147" s="107" t="str">
        <f>Modèle!D149</f>
        <v>9.1.2</v>
      </c>
      <c r="D147" s="108" t="str">
        <f>Modèle!E149</f>
        <v>A</v>
      </c>
      <c r="E147" s="236">
        <f ca="1">COUNTIF(OFFSET(Synthèse!$G156,0,0,1,COUNTA(Synthèse!$10:$10)-6),"="&amp;$E$1)</f>
        <v>0</v>
      </c>
      <c r="F147" s="236">
        <f ca="1">COUNTIF(OFFSET(Synthèse!$G156,0,0,1,COUNTA(Synthèse!$10:$10)-6),"="&amp;$F$1)</f>
        <v>0</v>
      </c>
      <c r="G147" s="236">
        <f ca="1">COUNTIF(OFFSET(Synthèse!$G156,0,0,1,COUNTA(Synthèse!$10:$10)-6),"="&amp;$G$1)</f>
        <v>0</v>
      </c>
      <c r="H147" s="236">
        <f ca="1">COUNTIF(OFFSET(Synthèse!$G156,0,0,1,COUNTA(Synthèse!$10:$10)-6),"="&amp;$H$1)</f>
        <v>0</v>
      </c>
      <c r="I147" s="18">
        <f t="shared" ca="1" si="21"/>
        <v>0</v>
      </c>
      <c r="Q147" s="12"/>
      <c r="R147" s="12"/>
    </row>
    <row r="148" spans="2:18" x14ac:dyDescent="0.35">
      <c r="B148" s="101" t="str">
        <f>Modèle!B150</f>
        <v>Structuration de l'information</v>
      </c>
      <c r="C148" s="107" t="str">
        <f>Modèle!D150</f>
        <v>9.1.3</v>
      </c>
      <c r="D148" s="108" t="str">
        <f>Modèle!E150</f>
        <v>A</v>
      </c>
      <c r="E148" s="236">
        <f ca="1">COUNTIF(OFFSET(Synthèse!$G157,0,0,1,COUNTA(Synthèse!$10:$10)-6),"="&amp;$E$1)</f>
        <v>0</v>
      </c>
      <c r="F148" s="236">
        <f ca="1">COUNTIF(OFFSET(Synthèse!$G157,0,0,1,COUNTA(Synthèse!$10:$10)-6),"="&amp;$F$1)</f>
        <v>0</v>
      </c>
      <c r="G148" s="236">
        <f ca="1">COUNTIF(OFFSET(Synthèse!$G157,0,0,1,COUNTA(Synthèse!$10:$10)-6),"="&amp;$G$1)</f>
        <v>0</v>
      </c>
      <c r="H148" s="236">
        <f ca="1">COUNTIF(OFFSET(Synthèse!$G157,0,0,1,COUNTA(Synthèse!$10:$10)-6),"="&amp;$H$1)</f>
        <v>0</v>
      </c>
      <c r="I148" s="18">
        <f t="shared" ca="1" si="21"/>
        <v>0</v>
      </c>
      <c r="L148" s="12" t="s">
        <v>24</v>
      </c>
      <c r="M148" s="12">
        <f>COUNTIF(L$2:L$139,"A")</f>
        <v>83</v>
      </c>
      <c r="N148" s="273" t="s">
        <v>1172</v>
      </c>
      <c r="O148" s="100" t="s">
        <v>657</v>
      </c>
      <c r="P148" s="100" t="e">
        <f ca="1">P142/(O142+P142)*100</f>
        <v>#DIV/0!</v>
      </c>
      <c r="Q148" s="12"/>
      <c r="R148" s="12"/>
    </row>
    <row r="149" spans="2:18" x14ac:dyDescent="0.35">
      <c r="B149" s="102" t="str">
        <f>Modèle!B151</f>
        <v>Structuration de l'information</v>
      </c>
      <c r="C149" s="109" t="str">
        <f>Modèle!D151</f>
        <v>9.2.1</v>
      </c>
      <c r="D149" s="110" t="str">
        <f>Modèle!E151</f>
        <v>A</v>
      </c>
      <c r="E149" s="237">
        <f ca="1">COUNTIF(OFFSET(Synthèse!$G158,0,0,1,COUNTA(Synthèse!$10:$10)-6),"="&amp;$E$1)</f>
        <v>0</v>
      </c>
      <c r="F149" s="237">
        <f ca="1">COUNTIF(OFFSET(Synthèse!$G158,0,0,1,COUNTA(Synthèse!$10:$10)-6),"="&amp;$F$1)</f>
        <v>0</v>
      </c>
      <c r="G149" s="237">
        <f ca="1">COUNTIF(OFFSET(Synthèse!$G158,0,0,1,COUNTA(Synthèse!$10:$10)-6),"="&amp;$G$1)</f>
        <v>0</v>
      </c>
      <c r="H149" s="237">
        <f ca="1">COUNTIF(OFFSET(Synthèse!$G158,0,0,1,COUNTA(Synthèse!$10:$10)-6),"="&amp;$H$1)</f>
        <v>0</v>
      </c>
      <c r="I149" s="18">
        <f t="shared" ca="1" si="21"/>
        <v>0</v>
      </c>
      <c r="L149" s="12" t="s">
        <v>25</v>
      </c>
      <c r="M149" s="12">
        <f>COUNTIF(L$2:L$139,"AA")</f>
        <v>23</v>
      </c>
      <c r="N149" s="273"/>
      <c r="O149" s="100" t="s">
        <v>659</v>
      </c>
      <c r="P149" s="100" t="e">
        <f ca="1">P143/(O143+P143)*100</f>
        <v>#DIV/0!</v>
      </c>
      <c r="Q149" s="12"/>
      <c r="R149" s="12"/>
    </row>
    <row r="150" spans="2:18" x14ac:dyDescent="0.35">
      <c r="B150" s="101" t="str">
        <f>Modèle!B152</f>
        <v>Structuration de l'information</v>
      </c>
      <c r="C150" s="107" t="str">
        <f>Modèle!D152</f>
        <v>9.3.1</v>
      </c>
      <c r="D150" s="108" t="str">
        <f>Modèle!E152</f>
        <v>A</v>
      </c>
      <c r="E150" s="236">
        <f ca="1">COUNTIF(OFFSET(Synthèse!$G159,0,0,1,COUNTA(Synthèse!$10:$10)-6),"="&amp;$E$1)</f>
        <v>0</v>
      </c>
      <c r="F150" s="236">
        <f ca="1">COUNTIF(OFFSET(Synthèse!$G159,0,0,1,COUNTA(Synthèse!$10:$10)-6),"="&amp;$F$1)</f>
        <v>0</v>
      </c>
      <c r="G150" s="236">
        <f ca="1">COUNTIF(OFFSET(Synthèse!$G159,0,0,1,COUNTA(Synthèse!$10:$10)-6),"="&amp;$G$1)</f>
        <v>0</v>
      </c>
      <c r="H150" s="236">
        <f ca="1">COUNTIF(OFFSET(Synthèse!$G159,0,0,1,COUNTA(Synthèse!$10:$10)-6),"="&amp;$H$1)</f>
        <v>0</v>
      </c>
      <c r="I150" s="18">
        <f t="shared" ca="1" si="21"/>
        <v>0</v>
      </c>
      <c r="L150" s="12" t="s">
        <v>26</v>
      </c>
      <c r="M150" s="12">
        <f>COUNTIF(L$2:L$134,"AAA")</f>
        <v>0</v>
      </c>
      <c r="N150" s="273"/>
      <c r="O150" s="100" t="s">
        <v>666</v>
      </c>
      <c r="P150" s="100" t="e">
        <f ca="1">_xlfn.IFS($P$144/($O$144+$P$144)*100&gt;=50,100,$P$144/($O$144+$P$144)*100&lt;50,$P$144/($O$144+$P$144)*100*2)</f>
        <v>#DIV/0!</v>
      </c>
      <c r="Q150" s="12"/>
      <c r="R150" s="12"/>
    </row>
    <row r="151" spans="2:18" x14ac:dyDescent="0.35">
      <c r="B151" s="101" t="str">
        <f>Modèle!B153</f>
        <v>Structuration de l'information</v>
      </c>
      <c r="C151" s="107" t="str">
        <f>Modèle!D153</f>
        <v>9.3.2</v>
      </c>
      <c r="D151" s="108" t="str">
        <f>Modèle!E153</f>
        <v>A</v>
      </c>
      <c r="E151" s="236">
        <f ca="1">COUNTIF(OFFSET(Synthèse!$G160,0,0,1,COUNTA(Synthèse!$10:$10)-6),"="&amp;$E$1)</f>
        <v>0</v>
      </c>
      <c r="F151" s="236">
        <f ca="1">COUNTIF(OFFSET(Synthèse!$G160,0,0,1,COUNTA(Synthèse!$10:$10)-6),"="&amp;$F$1)</f>
        <v>0</v>
      </c>
      <c r="G151" s="236">
        <f ca="1">COUNTIF(OFFSET(Synthèse!$G160,0,0,1,COUNTA(Synthèse!$10:$10)-6),"="&amp;$G$1)</f>
        <v>0</v>
      </c>
      <c r="H151" s="236">
        <f ca="1">COUNTIF(OFFSET(Synthèse!$G160,0,0,1,COUNTA(Synthèse!$10:$10)-6),"="&amp;$H$1)</f>
        <v>0</v>
      </c>
      <c r="I151" s="18">
        <f t="shared" ca="1" si="21"/>
        <v>0</v>
      </c>
      <c r="L151" s="12" t="s">
        <v>38</v>
      </c>
      <c r="M151" s="12">
        <f>SUM(M148:M150)</f>
        <v>106</v>
      </c>
      <c r="N151" s="273"/>
      <c r="O151" s="100" t="s">
        <v>768</v>
      </c>
      <c r="P151" s="100" t="e">
        <f ca="1">$P$144/($O$144+$P$144)*100</f>
        <v>#DIV/0!</v>
      </c>
      <c r="Q151" s="12"/>
      <c r="R151" s="12"/>
    </row>
    <row r="152" spans="2:18" x14ac:dyDescent="0.35">
      <c r="B152" s="101" t="str">
        <f>Modèle!B154</f>
        <v>Structuration de l'information</v>
      </c>
      <c r="C152" s="107" t="str">
        <f>Modèle!D154</f>
        <v>9.3.3</v>
      </c>
      <c r="D152" s="108" t="str">
        <f>Modèle!E154</f>
        <v>A</v>
      </c>
      <c r="E152" s="236">
        <f ca="1">COUNTIF(OFFSET(Synthèse!$G161,0,0,1,COUNTA(Synthèse!$10:$10)-6),"="&amp;$E$1)</f>
        <v>0</v>
      </c>
      <c r="F152" s="236">
        <f ca="1">COUNTIF(OFFSET(Synthèse!$G161,0,0,1,COUNTA(Synthèse!$10:$10)-6),"="&amp;$F$1)</f>
        <v>0</v>
      </c>
      <c r="G152" s="236">
        <f ca="1">COUNTIF(OFFSET(Synthèse!$G161,0,0,1,COUNTA(Synthèse!$10:$10)-6),"="&amp;$G$1)</f>
        <v>0</v>
      </c>
      <c r="H152" s="236">
        <f ca="1">COUNTIF(OFFSET(Synthèse!$G161,0,0,1,COUNTA(Synthèse!$10:$10)-6),"="&amp;$H$1)</f>
        <v>0</v>
      </c>
      <c r="I152" s="18">
        <f t="shared" ca="1" si="21"/>
        <v>0</v>
      </c>
      <c r="N152" s="273"/>
      <c r="O152" s="100" t="s">
        <v>668</v>
      </c>
      <c r="P152" s="100">
        <f ca="1">IF(SUM(O145+P145)&gt;=1,P145/(O145+P145)*100,0)</f>
        <v>0</v>
      </c>
      <c r="Q152" s="12"/>
      <c r="R152" s="12"/>
    </row>
    <row r="153" spans="2:18" x14ac:dyDescent="0.35">
      <c r="B153" s="102" t="str">
        <f>Modèle!B155</f>
        <v>Structuration de l'information</v>
      </c>
      <c r="C153" s="109" t="str">
        <f>Modèle!D155</f>
        <v>9.4.1</v>
      </c>
      <c r="D153" s="110" t="str">
        <f>Modèle!E155</f>
        <v>A</v>
      </c>
      <c r="E153" s="237">
        <f ca="1">COUNTIF(OFFSET(Synthèse!$G162,0,0,1,COUNTA(Synthèse!$10:$10)-6),"="&amp;$E$1)</f>
        <v>0</v>
      </c>
      <c r="F153" s="237">
        <f ca="1">COUNTIF(OFFSET(Synthèse!$G162,0,0,1,COUNTA(Synthèse!$10:$10)-6),"="&amp;$F$1)</f>
        <v>0</v>
      </c>
      <c r="G153" s="237">
        <f ca="1">COUNTIF(OFFSET(Synthèse!$G162,0,0,1,COUNTA(Synthèse!$10:$10)-6),"="&amp;$G$1)</f>
        <v>0</v>
      </c>
      <c r="H153" s="237">
        <f ca="1">COUNTIF(OFFSET(Synthèse!$G162,0,0,1,COUNTA(Synthèse!$10:$10)-6),"="&amp;$H$1)</f>
        <v>0</v>
      </c>
      <c r="I153" s="18">
        <f t="shared" ca="1" si="21"/>
        <v>0</v>
      </c>
      <c r="Q153" s="12"/>
      <c r="R153" s="12"/>
    </row>
    <row r="154" spans="2:18" x14ac:dyDescent="0.35">
      <c r="B154" s="102" t="str">
        <f>Modèle!B156</f>
        <v>Structuration de l'information</v>
      </c>
      <c r="C154" s="109" t="str">
        <f>Modèle!D156</f>
        <v>9.4.2</v>
      </c>
      <c r="D154" s="110" t="str">
        <f>Modèle!E156</f>
        <v>A</v>
      </c>
      <c r="E154" s="237">
        <f ca="1">COUNTIF(OFFSET(Synthèse!$G163,0,0,1,COUNTA(Synthèse!$10:$10)-6),"="&amp;$E$1)</f>
        <v>0</v>
      </c>
      <c r="F154" s="237">
        <f ca="1">COUNTIF(OFFSET(Synthèse!$G163,0,0,1,COUNTA(Synthèse!$10:$10)-6),"="&amp;$F$1)</f>
        <v>0</v>
      </c>
      <c r="G154" s="237">
        <f ca="1">COUNTIF(OFFSET(Synthèse!$G163,0,0,1,COUNTA(Synthèse!$10:$10)-6),"="&amp;$G$1)</f>
        <v>0</v>
      </c>
      <c r="H154" s="237">
        <f ca="1">COUNTIF(OFFSET(Synthèse!$G163,0,0,1,COUNTA(Synthèse!$10:$10)-6),"="&amp;$H$1)</f>
        <v>0</v>
      </c>
      <c r="I154" s="18">
        <f t="shared" ca="1" si="21"/>
        <v>0</v>
      </c>
      <c r="Q154" s="12"/>
      <c r="R154" s="12"/>
    </row>
    <row r="155" spans="2:18" x14ac:dyDescent="0.35">
      <c r="B155" s="101" t="str">
        <f>Modèle!B157</f>
        <v>Présentation de l'information</v>
      </c>
      <c r="C155" s="107" t="str">
        <f>Modèle!D157</f>
        <v>10.1.1</v>
      </c>
      <c r="D155" s="108" t="str">
        <f>Modèle!E157</f>
        <v>A</v>
      </c>
      <c r="E155" s="236">
        <f ca="1">COUNTIF(OFFSET(Synthèse!$G164,0,0,1,COUNTA(Synthèse!$10:$10)-6),"="&amp;$E$1)</f>
        <v>0</v>
      </c>
      <c r="F155" s="236">
        <f ca="1">COUNTIF(OFFSET(Synthèse!$G164,0,0,1,COUNTA(Synthèse!$10:$10)-6),"="&amp;$F$1)</f>
        <v>0</v>
      </c>
      <c r="G155" s="236">
        <f ca="1">COUNTIF(OFFSET(Synthèse!$G164,0,0,1,COUNTA(Synthèse!$10:$10)-6),"="&amp;$G$1)</f>
        <v>0</v>
      </c>
      <c r="H155" s="236">
        <f ca="1">COUNTIF(OFFSET(Synthèse!$G164,0,0,1,COUNTA(Synthèse!$10:$10)-6),"="&amp;$H$1)</f>
        <v>0</v>
      </c>
      <c r="I155" s="18">
        <f t="shared" ca="1" si="21"/>
        <v>0</v>
      </c>
      <c r="Q155" s="12"/>
      <c r="R155" s="12"/>
    </row>
    <row r="156" spans="2:18" x14ac:dyDescent="0.35">
      <c r="B156" s="101" t="str">
        <f>Modèle!B158</f>
        <v>Présentation de l'information</v>
      </c>
      <c r="C156" s="107" t="str">
        <f>Modèle!D158</f>
        <v>10.1.2</v>
      </c>
      <c r="D156" s="108" t="str">
        <f>Modèle!E158</f>
        <v>A</v>
      </c>
      <c r="E156" s="236">
        <f ca="1">COUNTIF(OFFSET(Synthèse!$G165,0,0,1,COUNTA(Synthèse!$10:$10)-6),"="&amp;$E$1)</f>
        <v>0</v>
      </c>
      <c r="F156" s="236">
        <f ca="1">COUNTIF(OFFSET(Synthèse!$G165,0,0,1,COUNTA(Synthèse!$10:$10)-6),"="&amp;$F$1)</f>
        <v>0</v>
      </c>
      <c r="G156" s="236">
        <f ca="1">COUNTIF(OFFSET(Synthèse!$G165,0,0,1,COUNTA(Synthèse!$10:$10)-6),"="&amp;$G$1)</f>
        <v>0</v>
      </c>
      <c r="H156" s="236">
        <f ca="1">COUNTIF(OFFSET(Synthèse!$G165,0,0,1,COUNTA(Synthèse!$10:$10)-6),"="&amp;$H$1)</f>
        <v>0</v>
      </c>
      <c r="I156" s="18">
        <f t="shared" ca="1" si="21"/>
        <v>0</v>
      </c>
      <c r="Q156" s="12"/>
      <c r="R156" s="12"/>
    </row>
    <row r="157" spans="2:18" x14ac:dyDescent="0.35">
      <c r="B157" s="101" t="str">
        <f>Modèle!B159</f>
        <v>Présentation de l'information</v>
      </c>
      <c r="C157" s="107" t="str">
        <f>Modèle!D159</f>
        <v>10.1.3</v>
      </c>
      <c r="D157" s="108" t="str">
        <f>Modèle!E159</f>
        <v>A</v>
      </c>
      <c r="E157" s="236">
        <f ca="1">COUNTIF(OFFSET(Synthèse!$G166,0,0,1,COUNTA(Synthèse!$10:$10)-6),"="&amp;$E$1)</f>
        <v>0</v>
      </c>
      <c r="F157" s="236">
        <f ca="1">COUNTIF(OFFSET(Synthèse!$G166,0,0,1,COUNTA(Synthèse!$10:$10)-6),"="&amp;$F$1)</f>
        <v>0</v>
      </c>
      <c r="G157" s="236">
        <f ca="1">COUNTIF(OFFSET(Synthèse!$G166,0,0,1,COUNTA(Synthèse!$10:$10)-6),"="&amp;$G$1)</f>
        <v>0</v>
      </c>
      <c r="H157" s="236">
        <f ca="1">COUNTIF(OFFSET(Synthèse!$G166,0,0,1,COUNTA(Synthèse!$10:$10)-6),"="&amp;$H$1)</f>
        <v>0</v>
      </c>
      <c r="I157" s="18">
        <f t="shared" ca="1" si="21"/>
        <v>0</v>
      </c>
      <c r="Q157" s="12"/>
      <c r="R157" s="12"/>
    </row>
    <row r="158" spans="2:18" x14ac:dyDescent="0.35">
      <c r="B158" s="102" t="str">
        <f>Modèle!B160</f>
        <v>Présentation de l'information</v>
      </c>
      <c r="C158" s="109" t="str">
        <f>Modèle!D160</f>
        <v>10.2.1</v>
      </c>
      <c r="D158" s="110" t="str">
        <f>Modèle!E160</f>
        <v>A</v>
      </c>
      <c r="E158" s="237">
        <f ca="1">COUNTIF(OFFSET(Synthèse!$G167,0,0,1,COUNTA(Synthèse!$10:$10)-6),"="&amp;$E$1)</f>
        <v>0</v>
      </c>
      <c r="F158" s="237">
        <f ca="1">COUNTIF(OFFSET(Synthèse!$G167,0,0,1,COUNTA(Synthèse!$10:$10)-6),"="&amp;$F$1)</f>
        <v>0</v>
      </c>
      <c r="G158" s="237">
        <f ca="1">COUNTIF(OFFSET(Synthèse!$G167,0,0,1,COUNTA(Synthèse!$10:$10)-6),"="&amp;$G$1)</f>
        <v>0</v>
      </c>
      <c r="H158" s="237">
        <f ca="1">COUNTIF(OFFSET(Synthèse!$G167,0,0,1,COUNTA(Synthèse!$10:$10)-6),"="&amp;$H$1)</f>
        <v>0</v>
      </c>
      <c r="I158" s="18">
        <f t="shared" ca="1" si="21"/>
        <v>0</v>
      </c>
      <c r="Q158" s="12"/>
      <c r="R158" s="12"/>
    </row>
    <row r="159" spans="2:18" x14ac:dyDescent="0.35">
      <c r="B159" s="101" t="str">
        <f>Modèle!B161</f>
        <v>Présentation de l'information</v>
      </c>
      <c r="C159" s="107" t="str">
        <f>Modèle!D161</f>
        <v>10.3.1</v>
      </c>
      <c r="D159" s="108" t="str">
        <f>Modèle!E161</f>
        <v>A</v>
      </c>
      <c r="E159" s="236">
        <f ca="1">COUNTIF(OFFSET(Synthèse!$G168,0,0,1,COUNTA(Synthèse!$10:$10)-6),"="&amp;$E$1)</f>
        <v>0</v>
      </c>
      <c r="F159" s="236">
        <f ca="1">COUNTIF(OFFSET(Synthèse!$G168,0,0,1,COUNTA(Synthèse!$10:$10)-6),"="&amp;$F$1)</f>
        <v>0</v>
      </c>
      <c r="G159" s="236">
        <f ca="1">COUNTIF(OFFSET(Synthèse!$G168,0,0,1,COUNTA(Synthèse!$10:$10)-6),"="&amp;$G$1)</f>
        <v>0</v>
      </c>
      <c r="H159" s="236">
        <f ca="1">COUNTIF(OFFSET(Synthèse!$G168,0,0,1,COUNTA(Synthèse!$10:$10)-6),"="&amp;$H$1)</f>
        <v>0</v>
      </c>
      <c r="I159" s="18">
        <f t="shared" ca="1" si="21"/>
        <v>0</v>
      </c>
      <c r="Q159" s="12"/>
      <c r="R159" s="12"/>
    </row>
    <row r="160" spans="2:18" x14ac:dyDescent="0.35">
      <c r="B160" s="102" t="str">
        <f>Modèle!B162</f>
        <v>Présentation de l'information</v>
      </c>
      <c r="C160" s="109" t="str">
        <f>Modèle!D162</f>
        <v>10.4.1</v>
      </c>
      <c r="D160" s="110" t="str">
        <f>Modèle!E162</f>
        <v>AA</v>
      </c>
      <c r="E160" s="237">
        <f ca="1">COUNTIF(OFFSET(Synthèse!$G169,0,0,1,COUNTA(Synthèse!$10:$10)-6),"="&amp;$E$1)</f>
        <v>0</v>
      </c>
      <c r="F160" s="237">
        <f ca="1">COUNTIF(OFFSET(Synthèse!$G169,0,0,1,COUNTA(Synthèse!$10:$10)-6),"="&amp;$F$1)</f>
        <v>0</v>
      </c>
      <c r="G160" s="237">
        <f ca="1">COUNTIF(OFFSET(Synthèse!$G169,0,0,1,COUNTA(Synthèse!$10:$10)-6),"="&amp;$G$1)</f>
        <v>0</v>
      </c>
      <c r="H160" s="237">
        <f ca="1">COUNTIF(OFFSET(Synthèse!$G169,0,0,1,COUNTA(Synthèse!$10:$10)-6),"="&amp;$H$1)</f>
        <v>0</v>
      </c>
      <c r="I160" s="18">
        <f t="shared" ca="1" si="21"/>
        <v>0</v>
      </c>
      <c r="Q160" s="12"/>
      <c r="R160" s="12"/>
    </row>
    <row r="161" spans="2:18" x14ac:dyDescent="0.35">
      <c r="B161" s="102" t="str">
        <f>Modèle!B163</f>
        <v>Présentation de l'information</v>
      </c>
      <c r="C161" s="109" t="str">
        <f>Modèle!D163</f>
        <v>10.4.2</v>
      </c>
      <c r="D161" s="110" t="str">
        <f>Modèle!E163</f>
        <v>AA</v>
      </c>
      <c r="E161" s="237">
        <f ca="1">COUNTIF(OFFSET(Synthèse!$G170,0,0,1,COUNTA(Synthèse!$10:$10)-6),"="&amp;$E$1)</f>
        <v>0</v>
      </c>
      <c r="F161" s="237">
        <f ca="1">COUNTIF(OFFSET(Synthèse!$G170,0,0,1,COUNTA(Synthèse!$10:$10)-6),"="&amp;$F$1)</f>
        <v>0</v>
      </c>
      <c r="G161" s="237">
        <f ca="1">COUNTIF(OFFSET(Synthèse!$G170,0,0,1,COUNTA(Synthèse!$10:$10)-6),"="&amp;$G$1)</f>
        <v>0</v>
      </c>
      <c r="H161" s="237">
        <f ca="1">COUNTIF(OFFSET(Synthèse!$G170,0,0,1,COUNTA(Synthèse!$10:$10)-6),"="&amp;$H$1)</f>
        <v>0</v>
      </c>
      <c r="I161" s="18">
        <f t="shared" ca="1" si="21"/>
        <v>0</v>
      </c>
      <c r="Q161" s="12"/>
      <c r="R161" s="12"/>
    </row>
    <row r="162" spans="2:18" x14ac:dyDescent="0.35">
      <c r="B162" s="102" t="str">
        <f>Modèle!B164</f>
        <v>Présentation de l'information</v>
      </c>
      <c r="C162" s="109" t="str">
        <f>Modèle!D164</f>
        <v>10.4.3</v>
      </c>
      <c r="D162" s="110" t="str">
        <f>Modèle!E164</f>
        <v>AA</v>
      </c>
      <c r="E162" s="237">
        <f ca="1">COUNTIF(OFFSET(Synthèse!$G171,0,0,1,COUNTA(Synthèse!$10:$10)-6),"="&amp;$E$1)</f>
        <v>0</v>
      </c>
      <c r="F162" s="237">
        <f ca="1">COUNTIF(OFFSET(Synthèse!$G171,0,0,1,COUNTA(Synthèse!$10:$10)-6),"="&amp;$F$1)</f>
        <v>0</v>
      </c>
      <c r="G162" s="237">
        <f ca="1">COUNTIF(OFFSET(Synthèse!$G171,0,0,1,COUNTA(Synthèse!$10:$10)-6),"="&amp;$G$1)</f>
        <v>0</v>
      </c>
      <c r="H162" s="237">
        <f ca="1">COUNTIF(OFFSET(Synthèse!$G171,0,0,1,COUNTA(Synthèse!$10:$10)-6),"="&amp;$H$1)</f>
        <v>0</v>
      </c>
      <c r="I162" s="18">
        <f t="shared" ca="1" si="21"/>
        <v>0</v>
      </c>
      <c r="Q162" s="12"/>
      <c r="R162" s="12"/>
    </row>
    <row r="163" spans="2:18" x14ac:dyDescent="0.35">
      <c r="B163" s="101" t="str">
        <f>Modèle!B165</f>
        <v>Présentation de l'information</v>
      </c>
      <c r="C163" s="107" t="str">
        <f>Modèle!D165</f>
        <v>10.5.1</v>
      </c>
      <c r="D163" s="108" t="str">
        <f>Modèle!E165</f>
        <v>AA</v>
      </c>
      <c r="E163" s="236">
        <f ca="1">COUNTIF(OFFSET(Synthèse!$G172,0,0,1,COUNTA(Synthèse!$10:$10)-6),"="&amp;$E$1)</f>
        <v>0</v>
      </c>
      <c r="F163" s="236">
        <f ca="1">COUNTIF(OFFSET(Synthèse!$G172,0,0,1,COUNTA(Synthèse!$10:$10)-6),"="&amp;$F$1)</f>
        <v>0</v>
      </c>
      <c r="G163" s="236">
        <f ca="1">COUNTIF(OFFSET(Synthèse!$G172,0,0,1,COUNTA(Synthèse!$10:$10)-6),"="&amp;$G$1)</f>
        <v>0</v>
      </c>
      <c r="H163" s="236">
        <f ca="1">COUNTIF(OFFSET(Synthèse!$G172,0,0,1,COUNTA(Synthèse!$10:$10)-6),"="&amp;$H$1)</f>
        <v>0</v>
      </c>
      <c r="I163" s="18">
        <f t="shared" ca="1" si="21"/>
        <v>0</v>
      </c>
      <c r="Q163" s="12"/>
      <c r="R163" s="12"/>
    </row>
    <row r="164" spans="2:18" x14ac:dyDescent="0.35">
      <c r="B164" s="101" t="str">
        <f>Modèle!B166</f>
        <v>Présentation de l'information</v>
      </c>
      <c r="C164" s="107" t="str">
        <f>Modèle!D166</f>
        <v>10.5.2</v>
      </c>
      <c r="D164" s="108" t="str">
        <f>Modèle!E166</f>
        <v>AA</v>
      </c>
      <c r="E164" s="236">
        <f ca="1">COUNTIF(OFFSET(Synthèse!$G173,0,0,1,COUNTA(Synthèse!$10:$10)-6),"="&amp;$E$1)</f>
        <v>0</v>
      </c>
      <c r="F164" s="236">
        <f ca="1">COUNTIF(OFFSET(Synthèse!$G173,0,0,1,COUNTA(Synthèse!$10:$10)-6),"="&amp;$F$1)</f>
        <v>0</v>
      </c>
      <c r="G164" s="236">
        <f ca="1">COUNTIF(OFFSET(Synthèse!$G173,0,0,1,COUNTA(Synthèse!$10:$10)-6),"="&amp;$G$1)</f>
        <v>0</v>
      </c>
      <c r="H164" s="236">
        <f ca="1">COUNTIF(OFFSET(Synthèse!$G173,0,0,1,COUNTA(Synthèse!$10:$10)-6),"="&amp;$H$1)</f>
        <v>0</v>
      </c>
      <c r="I164" s="18">
        <f t="shared" ca="1" si="21"/>
        <v>0</v>
      </c>
      <c r="Q164" s="12"/>
      <c r="R164" s="12"/>
    </row>
    <row r="165" spans="2:18" x14ac:dyDescent="0.35">
      <c r="B165" s="101" t="str">
        <f>Modèle!B167</f>
        <v>Présentation de l'information</v>
      </c>
      <c r="C165" s="107" t="str">
        <f>Modèle!D167</f>
        <v>10.5.3</v>
      </c>
      <c r="D165" s="108" t="str">
        <f>Modèle!E167</f>
        <v>AA</v>
      </c>
      <c r="E165" s="236">
        <f ca="1">COUNTIF(OFFSET(Synthèse!$G174,0,0,1,COUNTA(Synthèse!$10:$10)-6),"="&amp;$E$1)</f>
        <v>0</v>
      </c>
      <c r="F165" s="236">
        <f ca="1">COUNTIF(OFFSET(Synthèse!$G174,0,0,1,COUNTA(Synthèse!$10:$10)-6),"="&amp;$F$1)</f>
        <v>0</v>
      </c>
      <c r="G165" s="236">
        <f ca="1">COUNTIF(OFFSET(Synthèse!$G174,0,0,1,COUNTA(Synthèse!$10:$10)-6),"="&amp;$G$1)</f>
        <v>0</v>
      </c>
      <c r="H165" s="236">
        <f ca="1">COUNTIF(OFFSET(Synthèse!$G174,0,0,1,COUNTA(Synthèse!$10:$10)-6),"="&amp;$H$1)</f>
        <v>0</v>
      </c>
      <c r="I165" s="18">
        <f t="shared" ca="1" si="21"/>
        <v>0</v>
      </c>
      <c r="Q165" s="12"/>
      <c r="R165" s="12"/>
    </row>
    <row r="166" spans="2:18" x14ac:dyDescent="0.35">
      <c r="B166" s="102" t="str">
        <f>Modèle!B168</f>
        <v>Présentation de l'information</v>
      </c>
      <c r="C166" s="109" t="str">
        <f>Modèle!D168</f>
        <v>10.6.1</v>
      </c>
      <c r="D166" s="110" t="str">
        <f>Modèle!E168</f>
        <v>A</v>
      </c>
      <c r="E166" s="237">
        <f ca="1">COUNTIF(OFFSET(Synthèse!$G175,0,0,1,COUNTA(Synthèse!$10:$10)-6),"="&amp;$E$1)</f>
        <v>0</v>
      </c>
      <c r="F166" s="237">
        <f ca="1">COUNTIF(OFFSET(Synthèse!$G175,0,0,1,COUNTA(Synthèse!$10:$10)-6),"="&amp;$F$1)</f>
        <v>0</v>
      </c>
      <c r="G166" s="237">
        <f ca="1">COUNTIF(OFFSET(Synthèse!$G175,0,0,1,COUNTA(Synthèse!$10:$10)-6),"="&amp;$G$1)</f>
        <v>0</v>
      </c>
      <c r="H166" s="237">
        <f ca="1">COUNTIF(OFFSET(Synthèse!$G175,0,0,1,COUNTA(Synthèse!$10:$10)-6),"="&amp;$H$1)</f>
        <v>0</v>
      </c>
      <c r="I166" s="18">
        <f t="shared" ca="1" si="21"/>
        <v>0</v>
      </c>
      <c r="Q166" s="12"/>
      <c r="R166" s="12"/>
    </row>
    <row r="167" spans="2:18" x14ac:dyDescent="0.35">
      <c r="B167" s="101" t="str">
        <f>Modèle!B169</f>
        <v>Présentation de l'information</v>
      </c>
      <c r="C167" s="107" t="str">
        <f>Modèle!D169</f>
        <v>10.7.1</v>
      </c>
      <c r="D167" s="108" t="str">
        <f>Modèle!E169</f>
        <v>A</v>
      </c>
      <c r="E167" s="236">
        <f ca="1">COUNTIF(OFFSET(Synthèse!$G176,0,0,1,COUNTA(Synthèse!$10:$10)-6),"="&amp;$E$1)</f>
        <v>0</v>
      </c>
      <c r="F167" s="236">
        <f ca="1">COUNTIF(OFFSET(Synthèse!$G176,0,0,1,COUNTA(Synthèse!$10:$10)-6),"="&amp;$F$1)</f>
        <v>0</v>
      </c>
      <c r="G167" s="236">
        <f ca="1">COUNTIF(OFFSET(Synthèse!$G176,0,0,1,COUNTA(Synthèse!$10:$10)-6),"="&amp;$G$1)</f>
        <v>0</v>
      </c>
      <c r="H167" s="236">
        <f ca="1">COUNTIF(OFFSET(Synthèse!$G176,0,0,1,COUNTA(Synthèse!$10:$10)-6),"="&amp;$H$1)</f>
        <v>0</v>
      </c>
      <c r="I167" s="18">
        <f t="shared" ca="1" si="21"/>
        <v>0</v>
      </c>
      <c r="L167" s="20"/>
      <c r="N167" s="20"/>
      <c r="P167" s="20"/>
      <c r="Q167" s="12"/>
      <c r="R167" s="12"/>
    </row>
    <row r="168" spans="2:18" x14ac:dyDescent="0.35">
      <c r="B168" s="102" t="str">
        <f>Modèle!B170</f>
        <v>Présentation de l'information</v>
      </c>
      <c r="C168" s="109" t="str">
        <f>Modèle!D170</f>
        <v>10.8.1</v>
      </c>
      <c r="D168" s="110" t="str">
        <f>Modèle!E170</f>
        <v>A</v>
      </c>
      <c r="E168" s="237">
        <f ca="1">COUNTIF(OFFSET(Synthèse!$G177,0,0,1,COUNTA(Synthèse!$10:$10)-6),"="&amp;$E$1)</f>
        <v>0</v>
      </c>
      <c r="F168" s="237">
        <f ca="1">COUNTIF(OFFSET(Synthèse!$G177,0,0,1,COUNTA(Synthèse!$10:$10)-6),"="&amp;$F$1)</f>
        <v>0</v>
      </c>
      <c r="G168" s="237">
        <f ca="1">COUNTIF(OFFSET(Synthèse!$G177,0,0,1,COUNTA(Synthèse!$10:$10)-6),"="&amp;$G$1)</f>
        <v>0</v>
      </c>
      <c r="H168" s="237">
        <f ca="1">COUNTIF(OFFSET(Synthèse!$G177,0,0,1,COUNTA(Synthèse!$10:$10)-6),"="&amp;$H$1)</f>
        <v>0</v>
      </c>
      <c r="I168" s="18">
        <f t="shared" ca="1" si="21"/>
        <v>0</v>
      </c>
      <c r="Q168" s="12"/>
      <c r="R168" s="12"/>
    </row>
    <row r="169" spans="2:18" x14ac:dyDescent="0.35">
      <c r="B169" s="101" t="str">
        <f>Modèle!B171</f>
        <v>Présentation de l'information</v>
      </c>
      <c r="C169" s="107" t="str">
        <f>Modèle!D171</f>
        <v>10.9.1</v>
      </c>
      <c r="D169" s="108" t="str">
        <f>Modèle!E171</f>
        <v>A</v>
      </c>
      <c r="E169" s="236">
        <f ca="1">COUNTIF(OFFSET(Synthèse!$G178,0,0,1,COUNTA(Synthèse!$10:$10)-6),"="&amp;$E$1)</f>
        <v>0</v>
      </c>
      <c r="F169" s="236">
        <f ca="1">COUNTIF(OFFSET(Synthèse!$G178,0,0,1,COUNTA(Synthèse!$10:$10)-6),"="&amp;$F$1)</f>
        <v>0</v>
      </c>
      <c r="G169" s="236">
        <f ca="1">COUNTIF(OFFSET(Synthèse!$G178,0,0,1,COUNTA(Synthèse!$10:$10)-6),"="&amp;$G$1)</f>
        <v>0</v>
      </c>
      <c r="H169" s="236">
        <f ca="1">COUNTIF(OFFSET(Synthèse!$G178,0,0,1,COUNTA(Synthèse!$10:$10)-6),"="&amp;$H$1)</f>
        <v>0</v>
      </c>
      <c r="I169" s="18">
        <f t="shared" ca="1" si="21"/>
        <v>0</v>
      </c>
      <c r="Q169" s="12"/>
      <c r="R169" s="12"/>
    </row>
    <row r="170" spans="2:18" x14ac:dyDescent="0.35">
      <c r="B170" s="101" t="str">
        <f>Modèle!B172</f>
        <v>Présentation de l'information</v>
      </c>
      <c r="C170" s="107" t="str">
        <f>Modèle!D172</f>
        <v>10.9.2</v>
      </c>
      <c r="D170" s="108" t="str">
        <f>Modèle!E172</f>
        <v>A</v>
      </c>
      <c r="E170" s="236">
        <f ca="1">COUNTIF(OFFSET(Synthèse!$G179,0,0,1,COUNTA(Synthèse!$10:$10)-6),"="&amp;$E$1)</f>
        <v>0</v>
      </c>
      <c r="F170" s="236">
        <f ca="1">COUNTIF(OFFSET(Synthèse!$G179,0,0,1,COUNTA(Synthèse!$10:$10)-6),"="&amp;$F$1)</f>
        <v>0</v>
      </c>
      <c r="G170" s="236">
        <f ca="1">COUNTIF(OFFSET(Synthèse!$G179,0,0,1,COUNTA(Synthèse!$10:$10)-6),"="&amp;$G$1)</f>
        <v>0</v>
      </c>
      <c r="H170" s="236">
        <f ca="1">COUNTIF(OFFSET(Synthèse!$G179,0,0,1,COUNTA(Synthèse!$10:$10)-6),"="&amp;$H$1)</f>
        <v>0</v>
      </c>
      <c r="I170" s="18">
        <f t="shared" ca="1" si="21"/>
        <v>0</v>
      </c>
      <c r="Q170" s="12"/>
      <c r="R170" s="12"/>
    </row>
    <row r="171" spans="2:18" x14ac:dyDescent="0.35">
      <c r="B171" s="101" t="str">
        <f>Modèle!B173</f>
        <v>Présentation de l'information</v>
      </c>
      <c r="C171" s="107" t="str">
        <f>Modèle!D173</f>
        <v>10.9.3</v>
      </c>
      <c r="D171" s="108" t="str">
        <f>Modèle!E173</f>
        <v>A</v>
      </c>
      <c r="E171" s="236">
        <f ca="1">COUNTIF(OFFSET(Synthèse!$G180,0,0,1,COUNTA(Synthèse!$10:$10)-6),"="&amp;$E$1)</f>
        <v>0</v>
      </c>
      <c r="F171" s="236">
        <f ca="1">COUNTIF(OFFSET(Synthèse!$G180,0,0,1,COUNTA(Synthèse!$10:$10)-6),"="&amp;$F$1)</f>
        <v>0</v>
      </c>
      <c r="G171" s="236">
        <f ca="1">COUNTIF(OFFSET(Synthèse!$G180,0,0,1,COUNTA(Synthèse!$10:$10)-6),"="&amp;$G$1)</f>
        <v>0</v>
      </c>
      <c r="H171" s="236">
        <f ca="1">COUNTIF(OFFSET(Synthèse!$G180,0,0,1,COUNTA(Synthèse!$10:$10)-6),"="&amp;$H$1)</f>
        <v>0</v>
      </c>
      <c r="I171" s="18">
        <f t="shared" ca="1" si="21"/>
        <v>0</v>
      </c>
      <c r="Q171" s="12"/>
      <c r="R171" s="12"/>
    </row>
    <row r="172" spans="2:18" x14ac:dyDescent="0.35">
      <c r="B172" s="101" t="str">
        <f>Modèle!B174</f>
        <v>Présentation de l'information</v>
      </c>
      <c r="C172" s="107" t="str">
        <f>Modèle!D174</f>
        <v>10.9.4</v>
      </c>
      <c r="D172" s="108" t="str">
        <f>Modèle!E174</f>
        <v>A</v>
      </c>
      <c r="E172" s="236">
        <f ca="1">COUNTIF(OFFSET(Synthèse!$G181,0,0,1,COUNTA(Synthèse!$10:$10)-6),"="&amp;$E$1)</f>
        <v>0</v>
      </c>
      <c r="F172" s="236">
        <f ca="1">COUNTIF(OFFSET(Synthèse!$G181,0,0,1,COUNTA(Synthèse!$10:$10)-6),"="&amp;$F$1)</f>
        <v>0</v>
      </c>
      <c r="G172" s="236">
        <f ca="1">COUNTIF(OFFSET(Synthèse!$G181,0,0,1,COUNTA(Synthèse!$10:$10)-6),"="&amp;$G$1)</f>
        <v>0</v>
      </c>
      <c r="H172" s="236">
        <f ca="1">COUNTIF(OFFSET(Synthèse!$G181,0,0,1,COUNTA(Synthèse!$10:$10)-6),"="&amp;$H$1)</f>
        <v>0</v>
      </c>
      <c r="I172" s="18">
        <f t="shared" ca="1" si="21"/>
        <v>0</v>
      </c>
      <c r="Q172" s="12"/>
      <c r="R172" s="12"/>
    </row>
    <row r="173" spans="2:18" x14ac:dyDescent="0.35">
      <c r="B173" s="102" t="str">
        <f>Modèle!B175</f>
        <v>Présentation de l'information</v>
      </c>
      <c r="C173" s="109" t="str">
        <f>Modèle!D175</f>
        <v>10.10.1</v>
      </c>
      <c r="D173" s="110" t="str">
        <f>Modèle!E175</f>
        <v>A</v>
      </c>
      <c r="E173" s="237">
        <f ca="1">COUNTIF(OFFSET(Synthèse!$G182,0,0,1,COUNTA(Synthèse!$10:$10)-6),"="&amp;$E$1)</f>
        <v>0</v>
      </c>
      <c r="F173" s="237">
        <f ca="1">COUNTIF(OFFSET(Synthèse!$G182,0,0,1,COUNTA(Synthèse!$10:$10)-6),"="&amp;$F$1)</f>
        <v>0</v>
      </c>
      <c r="G173" s="237">
        <f ca="1">COUNTIF(OFFSET(Synthèse!$G182,0,0,1,COUNTA(Synthèse!$10:$10)-6),"="&amp;$G$1)</f>
        <v>0</v>
      </c>
      <c r="H173" s="237">
        <f ca="1">COUNTIF(OFFSET(Synthèse!$G182,0,0,1,COUNTA(Synthèse!$10:$10)-6),"="&amp;$H$1)</f>
        <v>0</v>
      </c>
      <c r="I173" s="18">
        <f t="shared" ca="1" si="21"/>
        <v>0</v>
      </c>
      <c r="Q173" s="12"/>
      <c r="R173" s="12"/>
    </row>
    <row r="174" spans="2:18" x14ac:dyDescent="0.35">
      <c r="B174" s="102" t="str">
        <f>Modèle!B176</f>
        <v>Présentation de l'information</v>
      </c>
      <c r="C174" s="109" t="str">
        <f>Modèle!D176</f>
        <v>10.10.2</v>
      </c>
      <c r="D174" s="110" t="str">
        <f>Modèle!E176</f>
        <v>A</v>
      </c>
      <c r="E174" s="237">
        <f ca="1">COUNTIF(OFFSET(Synthèse!$G183,0,0,1,COUNTA(Synthèse!$10:$10)-6),"="&amp;$E$1)</f>
        <v>0</v>
      </c>
      <c r="F174" s="237">
        <f ca="1">COUNTIF(OFFSET(Synthèse!$G183,0,0,1,COUNTA(Synthèse!$10:$10)-6),"="&amp;$F$1)</f>
        <v>0</v>
      </c>
      <c r="G174" s="237">
        <f ca="1">COUNTIF(OFFSET(Synthèse!$G183,0,0,1,COUNTA(Synthèse!$10:$10)-6),"="&amp;$G$1)</f>
        <v>0</v>
      </c>
      <c r="H174" s="237">
        <f ca="1">COUNTIF(OFFSET(Synthèse!$G183,0,0,1,COUNTA(Synthèse!$10:$10)-6),"="&amp;$H$1)</f>
        <v>0</v>
      </c>
      <c r="I174" s="18">
        <f t="shared" ca="1" si="21"/>
        <v>0</v>
      </c>
      <c r="Q174" s="12"/>
      <c r="R174" s="12"/>
    </row>
    <row r="175" spans="2:18" x14ac:dyDescent="0.35">
      <c r="B175" s="102" t="str">
        <f>Modèle!B177</f>
        <v>Présentation de l'information</v>
      </c>
      <c r="C175" s="109" t="str">
        <f>Modèle!D177</f>
        <v>10.10.3</v>
      </c>
      <c r="D175" s="110" t="str">
        <f>Modèle!E177</f>
        <v>A</v>
      </c>
      <c r="E175" s="237">
        <f ca="1">COUNTIF(OFFSET(Synthèse!$G184,0,0,1,COUNTA(Synthèse!$10:$10)-6),"="&amp;$E$1)</f>
        <v>0</v>
      </c>
      <c r="F175" s="237">
        <f ca="1">COUNTIF(OFFSET(Synthèse!$G184,0,0,1,COUNTA(Synthèse!$10:$10)-6),"="&amp;$F$1)</f>
        <v>0</v>
      </c>
      <c r="G175" s="237">
        <f ca="1">COUNTIF(OFFSET(Synthèse!$G184,0,0,1,COUNTA(Synthèse!$10:$10)-6),"="&amp;$G$1)</f>
        <v>0</v>
      </c>
      <c r="H175" s="237">
        <f ca="1">COUNTIF(OFFSET(Synthèse!$G184,0,0,1,COUNTA(Synthèse!$10:$10)-6),"="&amp;$H$1)</f>
        <v>0</v>
      </c>
      <c r="I175" s="18">
        <f t="shared" ca="1" si="21"/>
        <v>0</v>
      </c>
      <c r="Q175" s="12"/>
      <c r="R175" s="12"/>
    </row>
    <row r="176" spans="2:18" x14ac:dyDescent="0.35">
      <c r="B176" s="102" t="str">
        <f>Modèle!B178</f>
        <v>Présentation de l'information</v>
      </c>
      <c r="C176" s="109" t="str">
        <f>Modèle!D178</f>
        <v>10.10.4</v>
      </c>
      <c r="D176" s="110" t="str">
        <f>Modèle!E178</f>
        <v>A</v>
      </c>
      <c r="E176" s="237">
        <f ca="1">COUNTIF(OFFSET(Synthèse!$G185,0,0,1,COUNTA(Synthèse!$10:$10)-6),"="&amp;$E$1)</f>
        <v>0</v>
      </c>
      <c r="F176" s="237">
        <f ca="1">COUNTIF(OFFSET(Synthèse!$G185,0,0,1,COUNTA(Synthèse!$10:$10)-6),"="&amp;$F$1)</f>
        <v>0</v>
      </c>
      <c r="G176" s="237">
        <f ca="1">COUNTIF(OFFSET(Synthèse!$G185,0,0,1,COUNTA(Synthèse!$10:$10)-6),"="&amp;$G$1)</f>
        <v>0</v>
      </c>
      <c r="H176" s="237">
        <f ca="1">COUNTIF(OFFSET(Synthèse!$G185,0,0,1,COUNTA(Synthèse!$10:$10)-6),"="&amp;$H$1)</f>
        <v>0</v>
      </c>
      <c r="I176" s="18">
        <f t="shared" ca="1" si="21"/>
        <v>0</v>
      </c>
      <c r="Q176" s="12"/>
      <c r="R176" s="12"/>
    </row>
    <row r="177" spans="2:18" x14ac:dyDescent="0.35">
      <c r="B177" s="101" t="str">
        <f>Modèle!B179</f>
        <v>Présentation de l'information</v>
      </c>
      <c r="C177" s="107" t="str">
        <f>Modèle!D179</f>
        <v>10.11.1</v>
      </c>
      <c r="D177" s="108" t="str">
        <f>Modèle!E179</f>
        <v>AA</v>
      </c>
      <c r="E177" s="236">
        <f ca="1">COUNTIF(OFFSET(Synthèse!$G186,0,0,1,COUNTA(Synthèse!$10:$10)-6),"="&amp;$E$1)</f>
        <v>0</v>
      </c>
      <c r="F177" s="236">
        <f ca="1">COUNTIF(OFFSET(Synthèse!$G186,0,0,1,COUNTA(Synthèse!$10:$10)-6),"="&amp;$F$1)</f>
        <v>0</v>
      </c>
      <c r="G177" s="236">
        <f ca="1">COUNTIF(OFFSET(Synthèse!$G186,0,0,1,COUNTA(Synthèse!$10:$10)-6),"="&amp;$G$1)</f>
        <v>0</v>
      </c>
      <c r="H177" s="236">
        <f ca="1">COUNTIF(OFFSET(Synthèse!$G186,0,0,1,COUNTA(Synthèse!$10:$10)-6),"="&amp;$H$1)</f>
        <v>0</v>
      </c>
      <c r="I177" s="18">
        <f t="shared" ca="1" si="21"/>
        <v>0</v>
      </c>
      <c r="Q177" s="12"/>
      <c r="R177" s="12"/>
    </row>
    <row r="178" spans="2:18" ht="20" x14ac:dyDescent="0.35">
      <c r="B178" s="103" t="str">
        <f>Modèle!B180</f>
        <v>Présentation de l'information</v>
      </c>
      <c r="C178" s="111" t="str">
        <f>Modèle!D180</f>
        <v>10.11.2</v>
      </c>
      <c r="D178" s="112" t="str">
        <f>Modèle!E180</f>
        <v>AA</v>
      </c>
      <c r="E178" s="238">
        <f ca="1">COUNTIF(OFFSET(Synthèse!$G187,0,0,1,COUNTA(Synthèse!$10:$10)-6),"="&amp;$E$1)</f>
        <v>0</v>
      </c>
      <c r="F178" s="238">
        <f ca="1">COUNTIF(OFFSET(Synthèse!$G187,0,0,1,COUNTA(Synthèse!$10:$10)-6),"="&amp;$F$1)</f>
        <v>0</v>
      </c>
      <c r="G178" s="238">
        <f ca="1">COUNTIF(OFFSET(Synthèse!$G187,0,0,1,COUNTA(Synthèse!$10:$10)-6),"="&amp;$G$1)</f>
        <v>0</v>
      </c>
      <c r="H178" s="238">
        <f ca="1">COUNTIF(OFFSET(Synthèse!$G187,0,0,1,COUNTA(Synthèse!$10:$10)-6),"="&amp;$H$1)</f>
        <v>0</v>
      </c>
      <c r="I178" s="18">
        <f t="shared" ca="1" si="21"/>
        <v>0</v>
      </c>
      <c r="Q178" s="12"/>
      <c r="R178" s="12"/>
    </row>
    <row r="179" spans="2:18" ht="20" x14ac:dyDescent="0.35">
      <c r="B179" s="104" t="str">
        <f>Modèle!B181</f>
        <v>Présentation de l'information</v>
      </c>
      <c r="C179" s="113" t="str">
        <f>Modèle!D181</f>
        <v>10.12.1</v>
      </c>
      <c r="D179" s="114" t="str">
        <f>Modèle!E181</f>
        <v>AA</v>
      </c>
      <c r="E179" s="239">
        <f ca="1">COUNTIF(OFFSET(Synthèse!$G188,0,0,1,COUNTA(Synthèse!$10:$10)-6),"="&amp;$E$1)</f>
        <v>0</v>
      </c>
      <c r="F179" s="239">
        <f ca="1">COUNTIF(OFFSET(Synthèse!$G188,0,0,1,COUNTA(Synthèse!$10:$10)-6),"="&amp;$F$1)</f>
        <v>0</v>
      </c>
      <c r="G179" s="239">
        <f ca="1">COUNTIF(OFFSET(Synthèse!$G188,0,0,1,COUNTA(Synthèse!$10:$10)-6),"="&amp;$G$1)</f>
        <v>0</v>
      </c>
      <c r="H179" s="239">
        <f ca="1">COUNTIF(OFFSET(Synthèse!$G188,0,0,1,COUNTA(Synthèse!$10:$10)-6),"="&amp;$H$1)</f>
        <v>0</v>
      </c>
      <c r="I179" s="18">
        <f t="shared" ca="1" si="21"/>
        <v>0</v>
      </c>
      <c r="Q179" s="12"/>
      <c r="R179" s="12"/>
    </row>
    <row r="180" spans="2:18" ht="20" x14ac:dyDescent="0.35">
      <c r="B180" s="103" t="str">
        <f>Modèle!B182</f>
        <v>Présentation de l'information</v>
      </c>
      <c r="C180" s="111" t="str">
        <f>Modèle!D182</f>
        <v>10.13.1</v>
      </c>
      <c r="D180" s="112" t="str">
        <f>Modèle!E182</f>
        <v>AA</v>
      </c>
      <c r="E180" s="238">
        <f ca="1">COUNTIF(OFFSET(Synthèse!$G189,0,0,1,COUNTA(Synthèse!$10:$10)-6),"="&amp;$E$1)</f>
        <v>0</v>
      </c>
      <c r="F180" s="238">
        <f ca="1">COUNTIF(OFFSET(Synthèse!$G189,0,0,1,COUNTA(Synthèse!$10:$10)-6),"="&amp;$F$1)</f>
        <v>0</v>
      </c>
      <c r="G180" s="238">
        <f ca="1">COUNTIF(OFFSET(Synthèse!$G189,0,0,1,COUNTA(Synthèse!$10:$10)-6),"="&amp;$G$1)</f>
        <v>0</v>
      </c>
      <c r="H180" s="238">
        <f ca="1">COUNTIF(OFFSET(Synthèse!$G189,0,0,1,COUNTA(Synthèse!$10:$10)-6),"="&amp;$H$1)</f>
        <v>0</v>
      </c>
      <c r="I180" s="18">
        <f t="shared" ca="1" si="21"/>
        <v>0</v>
      </c>
      <c r="Q180" s="12"/>
      <c r="R180" s="12"/>
    </row>
    <row r="181" spans="2:18" ht="20" x14ac:dyDescent="0.35">
      <c r="B181" s="103" t="str">
        <f>Modèle!B183</f>
        <v>Présentation de l'information</v>
      </c>
      <c r="C181" s="111" t="str">
        <f>Modèle!D183</f>
        <v>10.13.2</v>
      </c>
      <c r="D181" s="112" t="str">
        <f>Modèle!E183</f>
        <v>AA</v>
      </c>
      <c r="E181" s="238">
        <f ca="1">COUNTIF(OFFSET(Synthèse!$G190,0,0,1,COUNTA(Synthèse!$10:$10)-6),"="&amp;$E$1)</f>
        <v>0</v>
      </c>
      <c r="F181" s="238">
        <f ca="1">COUNTIF(OFFSET(Synthèse!$G190,0,0,1,COUNTA(Synthèse!$10:$10)-6),"="&amp;$F$1)</f>
        <v>0</v>
      </c>
      <c r="G181" s="238">
        <f ca="1">COUNTIF(OFFSET(Synthèse!$G190,0,0,1,COUNTA(Synthèse!$10:$10)-6),"="&amp;$G$1)</f>
        <v>0</v>
      </c>
      <c r="H181" s="238">
        <f ca="1">COUNTIF(OFFSET(Synthèse!$G190,0,0,1,COUNTA(Synthèse!$10:$10)-6),"="&amp;$H$1)</f>
        <v>0</v>
      </c>
      <c r="I181" s="18">
        <f t="shared" ca="1" si="21"/>
        <v>0</v>
      </c>
      <c r="Q181" s="12"/>
      <c r="R181" s="12"/>
    </row>
    <row r="182" spans="2:18" ht="20" x14ac:dyDescent="0.35">
      <c r="B182" s="103" t="str">
        <f>Modèle!B184</f>
        <v>Présentation de l'information</v>
      </c>
      <c r="C182" s="111" t="str">
        <f>Modèle!D184</f>
        <v>10.13.3</v>
      </c>
      <c r="D182" s="112" t="str">
        <f>Modèle!E184</f>
        <v>AA</v>
      </c>
      <c r="E182" s="238">
        <f ca="1">COUNTIF(OFFSET(Synthèse!$G191,0,0,1,COUNTA(Synthèse!$10:$10)-6),"="&amp;$E$1)</f>
        <v>0</v>
      </c>
      <c r="F182" s="238">
        <f ca="1">COUNTIF(OFFSET(Synthèse!$G191,0,0,1,COUNTA(Synthèse!$10:$10)-6),"="&amp;$F$1)</f>
        <v>0</v>
      </c>
      <c r="G182" s="238">
        <f ca="1">COUNTIF(OFFSET(Synthèse!$G191,0,0,1,COUNTA(Synthèse!$10:$10)-6),"="&amp;$G$1)</f>
        <v>0</v>
      </c>
      <c r="H182" s="238">
        <f ca="1">COUNTIF(OFFSET(Synthèse!$G191,0,0,1,COUNTA(Synthèse!$10:$10)-6),"="&amp;$H$1)</f>
        <v>0</v>
      </c>
      <c r="I182" s="18">
        <f t="shared" ca="1" si="21"/>
        <v>0</v>
      </c>
      <c r="Q182" s="12"/>
      <c r="R182" s="12"/>
    </row>
    <row r="183" spans="2:18" ht="20" x14ac:dyDescent="0.35">
      <c r="B183" s="104" t="str">
        <f>Modèle!B185</f>
        <v>Présentation de l'information</v>
      </c>
      <c r="C183" s="113" t="str">
        <f>Modèle!D185</f>
        <v>10.14.1</v>
      </c>
      <c r="D183" s="114" t="str">
        <f>Modèle!E185</f>
        <v>AA</v>
      </c>
      <c r="E183" s="239">
        <f ca="1">COUNTIF(OFFSET(Synthèse!$G192,0,0,1,COUNTA(Synthèse!$10:$10)-6),"="&amp;$E$1)</f>
        <v>0</v>
      </c>
      <c r="F183" s="239">
        <f ca="1">COUNTIF(OFFSET(Synthèse!$G192,0,0,1,COUNTA(Synthèse!$10:$10)-6),"="&amp;$F$1)</f>
        <v>0</v>
      </c>
      <c r="G183" s="239">
        <f ca="1">COUNTIF(OFFSET(Synthèse!$G192,0,0,1,COUNTA(Synthèse!$10:$10)-6),"="&amp;$G$1)</f>
        <v>0</v>
      </c>
      <c r="H183" s="239">
        <f ca="1">COUNTIF(OFFSET(Synthèse!$G192,0,0,1,COUNTA(Synthèse!$10:$10)-6),"="&amp;$H$1)</f>
        <v>0</v>
      </c>
      <c r="I183" s="18">
        <f t="shared" ca="1" si="21"/>
        <v>0</v>
      </c>
      <c r="Q183" s="12"/>
      <c r="R183" s="12"/>
    </row>
    <row r="184" spans="2:18" ht="20" x14ac:dyDescent="0.35">
      <c r="B184" s="104" t="str">
        <f>Modèle!B186</f>
        <v>Présentation de l'information</v>
      </c>
      <c r="C184" s="113" t="str">
        <f>Modèle!D186</f>
        <v>10.14.2</v>
      </c>
      <c r="D184" s="114" t="str">
        <f>Modèle!E186</f>
        <v>AA</v>
      </c>
      <c r="E184" s="239">
        <f ca="1">COUNTIF(OFFSET(Synthèse!$G193,0,0,1,COUNTA(Synthèse!$10:$10)-6),"="&amp;$E$1)</f>
        <v>0</v>
      </c>
      <c r="F184" s="239">
        <f ca="1">COUNTIF(OFFSET(Synthèse!$G193,0,0,1,COUNTA(Synthèse!$10:$10)-6),"="&amp;$F$1)</f>
        <v>0</v>
      </c>
      <c r="G184" s="239">
        <f ca="1">COUNTIF(OFFSET(Synthèse!$G193,0,0,1,COUNTA(Synthèse!$10:$10)-6),"="&amp;$G$1)</f>
        <v>0</v>
      </c>
      <c r="H184" s="239">
        <f ca="1">COUNTIF(OFFSET(Synthèse!$G193,0,0,1,COUNTA(Synthèse!$10:$10)-6),"="&amp;$H$1)</f>
        <v>0</v>
      </c>
      <c r="I184" s="18">
        <f t="shared" ca="1" si="21"/>
        <v>0</v>
      </c>
      <c r="Q184" s="12"/>
      <c r="R184" s="12"/>
    </row>
    <row r="185" spans="2:18" x14ac:dyDescent="0.35">
      <c r="B185" s="103" t="str">
        <f>Modèle!B187</f>
        <v>Formulaires</v>
      </c>
      <c r="C185" s="111" t="str">
        <f>Modèle!D187</f>
        <v>11.1.1</v>
      </c>
      <c r="D185" s="112" t="str">
        <f>Modèle!E187</f>
        <v>A</v>
      </c>
      <c r="E185" s="238">
        <f ca="1">COUNTIF(OFFSET(Synthèse!$G194,0,0,1,COUNTA(Synthèse!$10:$10)-6),"="&amp;$E$1)</f>
        <v>0</v>
      </c>
      <c r="F185" s="238">
        <f ca="1">COUNTIF(OFFSET(Synthèse!$G194,0,0,1,COUNTA(Synthèse!$10:$10)-6),"="&amp;$F$1)</f>
        <v>0</v>
      </c>
      <c r="G185" s="238">
        <f ca="1">COUNTIF(OFFSET(Synthèse!$G194,0,0,1,COUNTA(Synthèse!$10:$10)-6),"="&amp;$G$1)</f>
        <v>0</v>
      </c>
      <c r="H185" s="238">
        <f ca="1">COUNTIF(OFFSET(Synthèse!$G194,0,0,1,COUNTA(Synthèse!$10:$10)-6),"="&amp;$H$1)</f>
        <v>0</v>
      </c>
      <c r="I185" s="18">
        <f t="shared" ca="1" si="21"/>
        <v>0</v>
      </c>
      <c r="Q185" s="12"/>
      <c r="R185" s="12"/>
    </row>
    <row r="186" spans="2:18" x14ac:dyDescent="0.35">
      <c r="B186" s="103" t="str">
        <f>Modèle!B188</f>
        <v>Formulaires</v>
      </c>
      <c r="C186" s="111" t="str">
        <f>Modèle!D188</f>
        <v>11.1.2</v>
      </c>
      <c r="D186" s="112" t="str">
        <f>Modèle!E188</f>
        <v>A</v>
      </c>
      <c r="E186" s="238">
        <f ca="1">COUNTIF(OFFSET(Synthèse!$G195,0,0,1,COUNTA(Synthèse!$10:$10)-6),"="&amp;$E$1)</f>
        <v>0</v>
      </c>
      <c r="F186" s="238">
        <f ca="1">COUNTIF(OFFSET(Synthèse!$G195,0,0,1,COUNTA(Synthèse!$10:$10)-6),"="&amp;$F$1)</f>
        <v>0</v>
      </c>
      <c r="G186" s="238">
        <f ca="1">COUNTIF(OFFSET(Synthèse!$G195,0,0,1,COUNTA(Synthèse!$10:$10)-6),"="&amp;$G$1)</f>
        <v>0</v>
      </c>
      <c r="H186" s="238">
        <f ca="1">COUNTIF(OFFSET(Synthèse!$G195,0,0,1,COUNTA(Synthèse!$10:$10)-6),"="&amp;$H$1)</f>
        <v>0</v>
      </c>
      <c r="I186" s="18">
        <f t="shared" ca="1" si="21"/>
        <v>0</v>
      </c>
      <c r="Q186" s="12"/>
      <c r="R186" s="12"/>
    </row>
    <row r="187" spans="2:18" x14ac:dyDescent="0.35">
      <c r="B187" s="105" t="str">
        <f>Modèle!B189</f>
        <v>Formulaires</v>
      </c>
      <c r="C187" s="115" t="str">
        <f>Modèle!D189</f>
        <v>11.1.3</v>
      </c>
      <c r="D187" s="112" t="str">
        <f>Modèle!E189</f>
        <v>A</v>
      </c>
      <c r="E187" s="238">
        <f ca="1">COUNTIF(OFFSET(Synthèse!$G196,0,0,1,COUNTA(Synthèse!$10:$10)-6),"="&amp;$E$1)</f>
        <v>0</v>
      </c>
      <c r="F187" s="238">
        <f ca="1">COUNTIF(OFFSET(Synthèse!$G196,0,0,1,COUNTA(Synthèse!$10:$10)-6),"="&amp;$F$1)</f>
        <v>0</v>
      </c>
      <c r="G187" s="238">
        <f ca="1">COUNTIF(OFFSET(Synthèse!$G196,0,0,1,COUNTA(Synthèse!$10:$10)-6),"="&amp;$G$1)</f>
        <v>0</v>
      </c>
      <c r="H187" s="238">
        <f ca="1">COUNTIF(OFFSET(Synthèse!$G196,0,0,1,COUNTA(Synthèse!$10:$10)-6),"="&amp;$H$1)</f>
        <v>0</v>
      </c>
      <c r="I187" s="18">
        <f t="shared" ca="1" si="21"/>
        <v>0</v>
      </c>
      <c r="Q187" s="12"/>
      <c r="R187" s="12"/>
    </row>
    <row r="188" spans="2:18" x14ac:dyDescent="0.35">
      <c r="B188" s="106" t="str">
        <f>Modèle!B190</f>
        <v>Formulaires</v>
      </c>
      <c r="C188" s="116" t="str">
        <f>Modèle!D190</f>
        <v>11.2.1</v>
      </c>
      <c r="D188" s="114" t="str">
        <f>Modèle!E190</f>
        <v>A</v>
      </c>
      <c r="E188" s="239">
        <f ca="1">COUNTIF(OFFSET(Synthèse!$G197,0,0,1,COUNTA(Synthèse!$10:$10)-6),"="&amp;$E$1)</f>
        <v>0</v>
      </c>
      <c r="F188" s="239">
        <f ca="1">COUNTIF(OFFSET(Synthèse!$G197,0,0,1,COUNTA(Synthèse!$10:$10)-6),"="&amp;$F$1)</f>
        <v>0</v>
      </c>
      <c r="G188" s="239">
        <f ca="1">COUNTIF(OFFSET(Synthèse!$G197,0,0,1,COUNTA(Synthèse!$10:$10)-6),"="&amp;$G$1)</f>
        <v>0</v>
      </c>
      <c r="H188" s="239">
        <f ca="1">COUNTIF(OFFSET(Synthèse!$G197,0,0,1,COUNTA(Synthèse!$10:$10)-6),"="&amp;$H$1)</f>
        <v>0</v>
      </c>
      <c r="I188" s="18">
        <f t="shared" ca="1" si="21"/>
        <v>0</v>
      </c>
      <c r="Q188" s="12"/>
      <c r="R188" s="12"/>
    </row>
    <row r="189" spans="2:18" x14ac:dyDescent="0.35">
      <c r="B189" s="106" t="str">
        <f>Modèle!B191</f>
        <v>Formulaires</v>
      </c>
      <c r="C189" s="116" t="str">
        <f>Modèle!D191</f>
        <v>11.2.2</v>
      </c>
      <c r="D189" s="114" t="str">
        <f>Modèle!E191</f>
        <v>A</v>
      </c>
      <c r="E189" s="239">
        <f ca="1">COUNTIF(OFFSET(Synthèse!$G198,0,0,1,COUNTA(Synthèse!$10:$10)-6),"="&amp;$E$1)</f>
        <v>0</v>
      </c>
      <c r="F189" s="239">
        <f ca="1">COUNTIF(OFFSET(Synthèse!$G198,0,0,1,COUNTA(Synthèse!$10:$10)-6),"="&amp;$F$1)</f>
        <v>0</v>
      </c>
      <c r="G189" s="239">
        <f ca="1">COUNTIF(OFFSET(Synthèse!$G198,0,0,1,COUNTA(Synthèse!$10:$10)-6),"="&amp;$G$1)</f>
        <v>0</v>
      </c>
      <c r="H189" s="239">
        <f ca="1">COUNTIF(OFFSET(Synthèse!$G198,0,0,1,COUNTA(Synthèse!$10:$10)-6),"="&amp;$H$1)</f>
        <v>0</v>
      </c>
      <c r="I189" s="18">
        <f t="shared" ca="1" si="21"/>
        <v>0</v>
      </c>
      <c r="Q189" s="12"/>
      <c r="R189" s="12"/>
    </row>
    <row r="190" spans="2:18" x14ac:dyDescent="0.35">
      <c r="B190" s="106" t="str">
        <f>Modèle!B192</f>
        <v>Formulaires</v>
      </c>
      <c r="C190" s="116" t="str">
        <f>Modèle!D192</f>
        <v>11.2.3</v>
      </c>
      <c r="D190" s="114" t="str">
        <f>Modèle!E192</f>
        <v>A</v>
      </c>
      <c r="E190" s="239">
        <f ca="1">COUNTIF(OFFSET(Synthèse!$G199,0,0,1,COUNTA(Synthèse!$10:$10)-6),"="&amp;$E$1)</f>
        <v>0</v>
      </c>
      <c r="F190" s="239">
        <f ca="1">COUNTIF(OFFSET(Synthèse!$G199,0,0,1,COUNTA(Synthèse!$10:$10)-6),"="&amp;$F$1)</f>
        <v>0</v>
      </c>
      <c r="G190" s="239">
        <f ca="1">COUNTIF(OFFSET(Synthèse!$G199,0,0,1,COUNTA(Synthèse!$10:$10)-6),"="&amp;$G$1)</f>
        <v>0</v>
      </c>
      <c r="H190" s="239">
        <f ca="1">COUNTIF(OFFSET(Synthèse!$G199,0,0,1,COUNTA(Synthèse!$10:$10)-6),"="&amp;$H$1)</f>
        <v>0</v>
      </c>
      <c r="I190" s="18">
        <f t="shared" ca="1" si="21"/>
        <v>0</v>
      </c>
      <c r="Q190" s="12"/>
      <c r="R190" s="12"/>
    </row>
    <row r="191" spans="2:18" x14ac:dyDescent="0.35">
      <c r="B191" s="106" t="str">
        <f>Modèle!B193</f>
        <v>Formulaires</v>
      </c>
      <c r="C191" s="116" t="str">
        <f>Modèle!D193</f>
        <v>11.2.4</v>
      </c>
      <c r="D191" s="114" t="str">
        <f>Modèle!E193</f>
        <v>A</v>
      </c>
      <c r="E191" s="239">
        <f ca="1">COUNTIF(OFFSET(Synthèse!$G200,0,0,1,COUNTA(Synthèse!$10:$10)-6),"="&amp;$E$1)</f>
        <v>0</v>
      </c>
      <c r="F191" s="239">
        <f ca="1">COUNTIF(OFFSET(Synthèse!$G200,0,0,1,COUNTA(Synthèse!$10:$10)-6),"="&amp;$F$1)</f>
        <v>0</v>
      </c>
      <c r="G191" s="239">
        <f ca="1">COUNTIF(OFFSET(Synthèse!$G200,0,0,1,COUNTA(Synthèse!$10:$10)-6),"="&amp;$G$1)</f>
        <v>0</v>
      </c>
      <c r="H191" s="239">
        <f ca="1">COUNTIF(OFFSET(Synthèse!$G200,0,0,1,COUNTA(Synthèse!$10:$10)-6),"="&amp;$H$1)</f>
        <v>0</v>
      </c>
      <c r="I191" s="18">
        <f t="shared" ca="1" si="21"/>
        <v>0</v>
      </c>
      <c r="Q191" s="12"/>
      <c r="R191" s="12"/>
    </row>
    <row r="192" spans="2:18" x14ac:dyDescent="0.35">
      <c r="B192" s="106" t="str">
        <f>Modèle!B194</f>
        <v>Formulaires</v>
      </c>
      <c r="C192" s="116" t="str">
        <f>Modèle!D194</f>
        <v>11.2.5</v>
      </c>
      <c r="D192" s="114" t="str">
        <f>Modèle!E194</f>
        <v>A</v>
      </c>
      <c r="E192" s="239">
        <f ca="1">COUNTIF(OFFSET(Synthèse!$G201,0,0,1,COUNTA(Synthèse!$10:$10)-6),"="&amp;$E$1)</f>
        <v>0</v>
      </c>
      <c r="F192" s="239">
        <f ca="1">COUNTIF(OFFSET(Synthèse!$G201,0,0,1,COUNTA(Synthèse!$10:$10)-6),"="&amp;$F$1)</f>
        <v>0</v>
      </c>
      <c r="G192" s="239">
        <f ca="1">COUNTIF(OFFSET(Synthèse!$G201,0,0,1,COUNTA(Synthèse!$10:$10)-6),"="&amp;$G$1)</f>
        <v>0</v>
      </c>
      <c r="H192" s="239">
        <f ca="1">COUNTIF(OFFSET(Synthèse!$G201,0,0,1,COUNTA(Synthèse!$10:$10)-6),"="&amp;$H$1)</f>
        <v>0</v>
      </c>
      <c r="I192" s="18">
        <f t="shared" ca="1" si="21"/>
        <v>0</v>
      </c>
      <c r="Q192" s="12"/>
      <c r="R192" s="12"/>
    </row>
    <row r="193" spans="2:47" x14ac:dyDescent="0.35">
      <c r="B193" s="106" t="str">
        <f>Modèle!B195</f>
        <v>Formulaires</v>
      </c>
      <c r="C193" s="116" t="str">
        <f>Modèle!D195</f>
        <v>11.2.6</v>
      </c>
      <c r="D193" s="114" t="str">
        <f>Modèle!E195</f>
        <v>A</v>
      </c>
      <c r="E193" s="239">
        <f ca="1">COUNTIF(OFFSET(Synthèse!$G202,0,0,1,COUNTA(Synthèse!$10:$10)-6),"="&amp;$E$1)</f>
        <v>0</v>
      </c>
      <c r="F193" s="239">
        <f ca="1">COUNTIF(OFFSET(Synthèse!$G202,0,0,1,COUNTA(Synthèse!$10:$10)-6),"="&amp;$F$1)</f>
        <v>0</v>
      </c>
      <c r="G193" s="239">
        <f ca="1">COUNTIF(OFFSET(Synthèse!$G202,0,0,1,COUNTA(Synthèse!$10:$10)-6),"="&amp;$G$1)</f>
        <v>0</v>
      </c>
      <c r="H193" s="239">
        <f ca="1">COUNTIF(OFFSET(Synthèse!$G202,0,0,1,COUNTA(Synthèse!$10:$10)-6),"="&amp;$H$1)</f>
        <v>0</v>
      </c>
      <c r="I193" s="18">
        <f t="shared" ca="1" si="21"/>
        <v>0</v>
      </c>
      <c r="Q193" s="12"/>
      <c r="R193" s="12"/>
      <c r="AT193" s="20">
        <v>25</v>
      </c>
      <c r="AU193" s="12">
        <v>26</v>
      </c>
    </row>
    <row r="194" spans="2:47" x14ac:dyDescent="0.35">
      <c r="B194" s="105" t="str">
        <f>Modèle!B196</f>
        <v>Formulaires</v>
      </c>
      <c r="C194" s="115" t="str">
        <f>Modèle!D196</f>
        <v>11.3.1</v>
      </c>
      <c r="D194" s="112" t="str">
        <f>Modèle!E196</f>
        <v>AA</v>
      </c>
      <c r="E194" s="238">
        <f ca="1">COUNTIF(OFFSET(Synthèse!$G203,0,0,1,COUNTA(Synthèse!$10:$10)-6),"="&amp;$E$1)</f>
        <v>0</v>
      </c>
      <c r="F194" s="238">
        <f ca="1">COUNTIF(OFFSET(Synthèse!$G203,0,0,1,COUNTA(Synthèse!$10:$10)-6),"="&amp;$F$1)</f>
        <v>0</v>
      </c>
      <c r="G194" s="238">
        <f ca="1">COUNTIF(OFFSET(Synthèse!$G203,0,0,1,COUNTA(Synthèse!$10:$10)-6),"="&amp;$G$1)</f>
        <v>0</v>
      </c>
      <c r="H194" s="238">
        <f ca="1">COUNTIF(OFFSET(Synthèse!$G203,0,0,1,COUNTA(Synthèse!$10:$10)-6),"="&amp;$H$1)</f>
        <v>0</v>
      </c>
      <c r="I194" s="18">
        <f t="shared" ca="1" si="21"/>
        <v>0</v>
      </c>
      <c r="Q194" s="12"/>
      <c r="R194" s="12"/>
      <c r="T194" s="20"/>
      <c r="V194" s="20"/>
      <c r="Z194" s="20"/>
      <c r="AB194" s="20"/>
      <c r="AF194" s="20"/>
    </row>
    <row r="195" spans="2:47" x14ac:dyDescent="0.35">
      <c r="B195" s="105" t="str">
        <f>Modèle!B197</f>
        <v>Formulaires</v>
      </c>
      <c r="C195" s="115" t="str">
        <f>Modèle!D197</f>
        <v>11.3.2</v>
      </c>
      <c r="D195" s="112" t="str">
        <f>Modèle!E197</f>
        <v>AA</v>
      </c>
      <c r="E195" s="238">
        <f ca="1">COUNTIF(OFFSET(Synthèse!$G204,0,0,1,COUNTA(Synthèse!$10:$10)-6),"="&amp;$E$1)</f>
        <v>0</v>
      </c>
      <c r="F195" s="238">
        <f ca="1">COUNTIF(OFFSET(Synthèse!$G204,0,0,1,COUNTA(Synthèse!$10:$10)-6),"="&amp;$F$1)</f>
        <v>0</v>
      </c>
      <c r="G195" s="238">
        <f ca="1">COUNTIF(OFFSET(Synthèse!$G204,0,0,1,COUNTA(Synthèse!$10:$10)-6),"="&amp;$G$1)</f>
        <v>0</v>
      </c>
      <c r="H195" s="238">
        <f ca="1">COUNTIF(OFFSET(Synthèse!$G204,0,0,1,COUNTA(Synthèse!$10:$10)-6),"="&amp;$H$1)</f>
        <v>0</v>
      </c>
      <c r="I195" s="18">
        <f t="shared" ca="1" si="21"/>
        <v>0</v>
      </c>
      <c r="Q195" s="12"/>
      <c r="R195" s="12"/>
    </row>
    <row r="196" spans="2:47" x14ac:dyDescent="0.35">
      <c r="B196" s="106" t="str">
        <f>Modèle!B198</f>
        <v>Formulaires</v>
      </c>
      <c r="C196" s="116" t="str">
        <f>Modèle!D198</f>
        <v>11.4.1</v>
      </c>
      <c r="D196" s="114" t="str">
        <f>Modèle!E198</f>
        <v>A</v>
      </c>
      <c r="E196" s="239">
        <f ca="1">COUNTIF(OFFSET(Synthèse!$G205,0,0,1,COUNTA(Synthèse!$10:$10)-6),"="&amp;$E$1)</f>
        <v>0</v>
      </c>
      <c r="F196" s="239">
        <f ca="1">COUNTIF(OFFSET(Synthèse!$G205,0,0,1,COUNTA(Synthèse!$10:$10)-6),"="&amp;$F$1)</f>
        <v>0</v>
      </c>
      <c r="G196" s="239">
        <f ca="1">COUNTIF(OFFSET(Synthèse!$G205,0,0,1,COUNTA(Synthèse!$10:$10)-6),"="&amp;$G$1)</f>
        <v>0</v>
      </c>
      <c r="H196" s="239">
        <f ca="1">COUNTIF(OFFSET(Synthèse!$G205,0,0,1,COUNTA(Synthèse!$10:$10)-6),"="&amp;$H$1)</f>
        <v>0</v>
      </c>
      <c r="I196" s="18">
        <f t="shared" ca="1" si="21"/>
        <v>0</v>
      </c>
      <c r="Q196" s="12"/>
      <c r="R196" s="12"/>
    </row>
    <row r="197" spans="2:47" x14ac:dyDescent="0.35">
      <c r="B197" s="106" t="str">
        <f>Modèle!B199</f>
        <v>Formulaires</v>
      </c>
      <c r="C197" s="116" t="str">
        <f>Modèle!D199</f>
        <v>11.4.2</v>
      </c>
      <c r="D197" s="114" t="str">
        <f>Modèle!E199</f>
        <v>A</v>
      </c>
      <c r="E197" s="239">
        <f ca="1">COUNTIF(OFFSET(Synthèse!$G206,0,0,1,COUNTA(Synthèse!$10:$10)-6),"="&amp;$E$1)</f>
        <v>0</v>
      </c>
      <c r="F197" s="239">
        <f ca="1">COUNTIF(OFFSET(Synthèse!$G206,0,0,1,COUNTA(Synthèse!$10:$10)-6),"="&amp;$F$1)</f>
        <v>0</v>
      </c>
      <c r="G197" s="239">
        <f ca="1">COUNTIF(OFFSET(Synthèse!$G206,0,0,1,COUNTA(Synthèse!$10:$10)-6),"="&amp;$G$1)</f>
        <v>0</v>
      </c>
      <c r="H197" s="239">
        <f ca="1">COUNTIF(OFFSET(Synthèse!$G206,0,0,1,COUNTA(Synthèse!$10:$10)-6),"="&amp;$H$1)</f>
        <v>0</v>
      </c>
      <c r="I197" s="18">
        <f t="shared" ca="1" si="21"/>
        <v>0</v>
      </c>
      <c r="Q197" s="12"/>
      <c r="R197" s="12"/>
    </row>
    <row r="198" spans="2:47" x14ac:dyDescent="0.35">
      <c r="B198" s="106" t="str">
        <f>Modèle!B200</f>
        <v>Formulaires</v>
      </c>
      <c r="C198" s="116" t="str">
        <f>Modèle!D200</f>
        <v>11.4.3</v>
      </c>
      <c r="D198" s="114" t="str">
        <f>Modèle!E200</f>
        <v>A</v>
      </c>
      <c r="E198" s="239">
        <f ca="1">COUNTIF(OFFSET(Synthèse!$G207,0,0,1,COUNTA(Synthèse!$10:$10)-6),"="&amp;$E$1)</f>
        <v>0</v>
      </c>
      <c r="F198" s="239">
        <f ca="1">COUNTIF(OFFSET(Synthèse!$G207,0,0,1,COUNTA(Synthèse!$10:$10)-6),"="&amp;$F$1)</f>
        <v>0</v>
      </c>
      <c r="G198" s="239">
        <f ca="1">COUNTIF(OFFSET(Synthèse!$G207,0,0,1,COUNTA(Synthèse!$10:$10)-6),"="&amp;$G$1)</f>
        <v>0</v>
      </c>
      <c r="H198" s="239">
        <f ca="1">COUNTIF(OFFSET(Synthèse!$G207,0,0,1,COUNTA(Synthèse!$10:$10)-6),"="&amp;$H$1)</f>
        <v>0</v>
      </c>
      <c r="I198" s="18">
        <f t="shared" ref="I198:I258" ca="1" si="22">SUM(E198:H198)</f>
        <v>0</v>
      </c>
      <c r="Q198" s="12"/>
      <c r="R198" s="12"/>
    </row>
    <row r="199" spans="2:47" x14ac:dyDescent="0.35">
      <c r="B199" s="105" t="str">
        <f>Modèle!B201</f>
        <v>Formulaires</v>
      </c>
      <c r="C199" s="115" t="str">
        <f>Modèle!D201</f>
        <v>11.5.1</v>
      </c>
      <c r="D199" s="112" t="str">
        <f>Modèle!E201</f>
        <v>A</v>
      </c>
      <c r="E199" s="238">
        <f ca="1">COUNTIF(OFFSET(Synthèse!$G208,0,0,1,COUNTA(Synthèse!$10:$10)-6),"="&amp;$E$1)</f>
        <v>0</v>
      </c>
      <c r="F199" s="238">
        <f ca="1">COUNTIF(OFFSET(Synthèse!$G208,0,0,1,COUNTA(Synthèse!$10:$10)-6),"="&amp;$F$1)</f>
        <v>0</v>
      </c>
      <c r="G199" s="238">
        <f ca="1">COUNTIF(OFFSET(Synthèse!$G208,0,0,1,COUNTA(Synthèse!$10:$10)-6),"="&amp;$G$1)</f>
        <v>0</v>
      </c>
      <c r="H199" s="238">
        <f ca="1">COUNTIF(OFFSET(Synthèse!$G208,0,0,1,COUNTA(Synthèse!$10:$10)-6),"="&amp;$H$1)</f>
        <v>0</v>
      </c>
      <c r="I199" s="18">
        <f t="shared" ca="1" si="22"/>
        <v>0</v>
      </c>
      <c r="Q199" s="12"/>
      <c r="R199" s="12"/>
    </row>
    <row r="200" spans="2:47" x14ac:dyDescent="0.35">
      <c r="B200" s="106" t="str">
        <f>Modèle!B202</f>
        <v>Formulaires</v>
      </c>
      <c r="C200" s="116" t="str">
        <f>Modèle!D202</f>
        <v>11.6.1</v>
      </c>
      <c r="D200" s="114" t="str">
        <f>Modèle!E202</f>
        <v>A</v>
      </c>
      <c r="E200" s="239">
        <f ca="1">COUNTIF(OFFSET(Synthèse!$G209,0,0,1,COUNTA(Synthèse!$10:$10)-6),"="&amp;$E$1)</f>
        <v>0</v>
      </c>
      <c r="F200" s="239">
        <f ca="1">COUNTIF(OFFSET(Synthèse!$G209,0,0,1,COUNTA(Synthèse!$10:$10)-6),"="&amp;$F$1)</f>
        <v>0</v>
      </c>
      <c r="G200" s="239">
        <f ca="1">COUNTIF(OFFSET(Synthèse!$G209,0,0,1,COUNTA(Synthèse!$10:$10)-6),"="&amp;$G$1)</f>
        <v>0</v>
      </c>
      <c r="H200" s="239">
        <f ca="1">COUNTIF(OFFSET(Synthèse!$G209,0,0,1,COUNTA(Synthèse!$10:$10)-6),"="&amp;$H$1)</f>
        <v>0</v>
      </c>
      <c r="I200" s="18">
        <f t="shared" ca="1" si="22"/>
        <v>0</v>
      </c>
      <c r="Q200" s="12"/>
      <c r="R200" s="12"/>
    </row>
    <row r="201" spans="2:47" x14ac:dyDescent="0.35">
      <c r="B201" s="105" t="str">
        <f>Modèle!B203</f>
        <v>Formulaires</v>
      </c>
      <c r="C201" s="115" t="str">
        <f>Modèle!D203</f>
        <v>11.7.1</v>
      </c>
      <c r="D201" s="112" t="str">
        <f>Modèle!E203</f>
        <v>A</v>
      </c>
      <c r="E201" s="238">
        <f ca="1">COUNTIF(OFFSET(Synthèse!$G210,0,0,1,COUNTA(Synthèse!$10:$10)-6),"="&amp;$E$1)</f>
        <v>0</v>
      </c>
      <c r="F201" s="238">
        <f ca="1">COUNTIF(OFFSET(Synthèse!$G210,0,0,1,COUNTA(Synthèse!$10:$10)-6),"="&amp;$F$1)</f>
        <v>0</v>
      </c>
      <c r="G201" s="238">
        <f ca="1">COUNTIF(OFFSET(Synthèse!$G210,0,0,1,COUNTA(Synthèse!$10:$10)-6),"="&amp;$G$1)</f>
        <v>0</v>
      </c>
      <c r="H201" s="238">
        <f ca="1">COUNTIF(OFFSET(Synthèse!$G210,0,0,1,COUNTA(Synthèse!$10:$10)-6),"="&amp;$H$1)</f>
        <v>0</v>
      </c>
      <c r="I201" s="18">
        <f t="shared" ca="1" si="22"/>
        <v>0</v>
      </c>
      <c r="Q201" s="12"/>
      <c r="R201" s="12"/>
    </row>
    <row r="202" spans="2:47" x14ac:dyDescent="0.35">
      <c r="B202" s="106" t="str">
        <f>Modèle!B204</f>
        <v>Formulaires</v>
      </c>
      <c r="C202" s="116" t="str">
        <f>Modèle!D204</f>
        <v>11.8.1</v>
      </c>
      <c r="D202" s="114" t="str">
        <f>Modèle!E204</f>
        <v>A</v>
      </c>
      <c r="E202" s="239">
        <f ca="1">COUNTIF(OFFSET(Synthèse!$G211,0,0,1,COUNTA(Synthèse!$10:$10)-6),"="&amp;$E$1)</f>
        <v>0</v>
      </c>
      <c r="F202" s="239">
        <f ca="1">COUNTIF(OFFSET(Synthèse!$G211,0,0,1,COUNTA(Synthèse!$10:$10)-6),"="&amp;$F$1)</f>
        <v>0</v>
      </c>
      <c r="G202" s="239">
        <f ca="1">COUNTIF(OFFSET(Synthèse!$G211,0,0,1,COUNTA(Synthèse!$10:$10)-6),"="&amp;$G$1)</f>
        <v>0</v>
      </c>
      <c r="H202" s="239">
        <f ca="1">COUNTIF(OFFSET(Synthèse!$G211,0,0,1,COUNTA(Synthèse!$10:$10)-6),"="&amp;$H$1)</f>
        <v>0</v>
      </c>
      <c r="I202" s="18">
        <f t="shared" ca="1" si="22"/>
        <v>0</v>
      </c>
      <c r="Q202" s="12"/>
      <c r="R202" s="12"/>
    </row>
    <row r="203" spans="2:47" x14ac:dyDescent="0.35">
      <c r="B203" s="106" t="str">
        <f>Modèle!B205</f>
        <v>Formulaires</v>
      </c>
      <c r="C203" s="116" t="str">
        <f>Modèle!D205</f>
        <v>11.8.2</v>
      </c>
      <c r="D203" s="114" t="str">
        <f>Modèle!E205</f>
        <v>A</v>
      </c>
      <c r="E203" s="239">
        <f ca="1">COUNTIF(OFFSET(Synthèse!$G212,0,0,1,COUNTA(Synthèse!$10:$10)-6),"="&amp;$E$1)</f>
        <v>0</v>
      </c>
      <c r="F203" s="239">
        <f ca="1">COUNTIF(OFFSET(Synthèse!$G212,0,0,1,COUNTA(Synthèse!$10:$10)-6),"="&amp;$F$1)</f>
        <v>0</v>
      </c>
      <c r="G203" s="239">
        <f ca="1">COUNTIF(OFFSET(Synthèse!$G212,0,0,1,COUNTA(Synthèse!$10:$10)-6),"="&amp;$G$1)</f>
        <v>0</v>
      </c>
      <c r="H203" s="239">
        <f ca="1">COUNTIF(OFFSET(Synthèse!$G212,0,0,1,COUNTA(Synthèse!$10:$10)-6),"="&amp;$H$1)</f>
        <v>0</v>
      </c>
      <c r="I203" s="18">
        <f t="shared" ca="1" si="22"/>
        <v>0</v>
      </c>
      <c r="Q203" s="12"/>
      <c r="R203" s="12"/>
    </row>
    <row r="204" spans="2:47" x14ac:dyDescent="0.35">
      <c r="B204" s="106" t="str">
        <f>Modèle!B206</f>
        <v>Formulaires</v>
      </c>
      <c r="C204" s="116" t="str">
        <f>Modèle!D206</f>
        <v>11.8.3</v>
      </c>
      <c r="D204" s="114" t="str">
        <f>Modèle!E206</f>
        <v>A</v>
      </c>
      <c r="E204" s="239">
        <f ca="1">COUNTIF(OFFSET(Synthèse!$G213,0,0,1,COUNTA(Synthèse!$10:$10)-6),"="&amp;$E$1)</f>
        <v>0</v>
      </c>
      <c r="F204" s="239">
        <f ca="1">COUNTIF(OFFSET(Synthèse!$G213,0,0,1,COUNTA(Synthèse!$10:$10)-6),"="&amp;$F$1)</f>
        <v>0</v>
      </c>
      <c r="G204" s="239">
        <f ca="1">COUNTIF(OFFSET(Synthèse!$G213,0,0,1,COUNTA(Synthèse!$10:$10)-6),"="&amp;$G$1)</f>
        <v>0</v>
      </c>
      <c r="H204" s="239">
        <f ca="1">COUNTIF(OFFSET(Synthèse!$G213,0,0,1,COUNTA(Synthèse!$10:$10)-6),"="&amp;$H$1)</f>
        <v>0</v>
      </c>
      <c r="I204" s="18">
        <f t="shared" ca="1" si="22"/>
        <v>0</v>
      </c>
      <c r="Q204" s="12"/>
      <c r="R204" s="12"/>
    </row>
    <row r="205" spans="2:47" x14ac:dyDescent="0.35">
      <c r="B205" s="105" t="str">
        <f>Modèle!B207</f>
        <v>Formulaires</v>
      </c>
      <c r="C205" s="115" t="str">
        <f>Modèle!D207</f>
        <v>11.9.1</v>
      </c>
      <c r="D205" s="112" t="str">
        <f>Modèle!E207</f>
        <v>A</v>
      </c>
      <c r="E205" s="238">
        <f ca="1">COUNTIF(OFFSET(Synthèse!$G214,0,0,1,COUNTA(Synthèse!$10:$10)-6),"="&amp;$E$1)</f>
        <v>0</v>
      </c>
      <c r="F205" s="238">
        <f ca="1">COUNTIF(OFFSET(Synthèse!$G214,0,0,1,COUNTA(Synthèse!$10:$10)-6),"="&amp;$F$1)</f>
        <v>0</v>
      </c>
      <c r="G205" s="238">
        <f ca="1">COUNTIF(OFFSET(Synthèse!$G214,0,0,1,COUNTA(Synthèse!$10:$10)-6),"="&amp;$G$1)</f>
        <v>0</v>
      </c>
      <c r="H205" s="238">
        <f ca="1">COUNTIF(OFFSET(Synthèse!$G214,0,0,1,COUNTA(Synthèse!$10:$10)-6),"="&amp;$H$1)</f>
        <v>0</v>
      </c>
      <c r="I205" s="18">
        <f t="shared" ca="1" si="22"/>
        <v>0</v>
      </c>
      <c r="Q205" s="12"/>
      <c r="R205" s="12"/>
    </row>
    <row r="206" spans="2:47" x14ac:dyDescent="0.35">
      <c r="B206" s="105" t="str">
        <f>Modèle!B208</f>
        <v>Formulaires</v>
      </c>
      <c r="C206" s="115" t="str">
        <f>Modèle!D208</f>
        <v>11.9.2</v>
      </c>
      <c r="D206" s="112" t="str">
        <f>Modèle!E208</f>
        <v>A</v>
      </c>
      <c r="E206" s="238">
        <f ca="1">COUNTIF(OFFSET(Synthèse!$G215,0,0,1,COUNTA(Synthèse!$10:$10)-6),"="&amp;$E$1)</f>
        <v>0</v>
      </c>
      <c r="F206" s="238">
        <f ca="1">COUNTIF(OFFSET(Synthèse!$G215,0,0,1,COUNTA(Synthèse!$10:$10)-6),"="&amp;$F$1)</f>
        <v>0</v>
      </c>
      <c r="G206" s="238">
        <f ca="1">COUNTIF(OFFSET(Synthèse!$G215,0,0,1,COUNTA(Synthèse!$10:$10)-6),"="&amp;$G$1)</f>
        <v>0</v>
      </c>
      <c r="H206" s="238">
        <f ca="1">COUNTIF(OFFSET(Synthèse!$G215,0,0,1,COUNTA(Synthèse!$10:$10)-6),"="&amp;$H$1)</f>
        <v>0</v>
      </c>
      <c r="I206" s="18">
        <f t="shared" ca="1" si="22"/>
        <v>0</v>
      </c>
      <c r="Q206" s="12"/>
      <c r="R206" s="12"/>
    </row>
    <row r="207" spans="2:47" x14ac:dyDescent="0.35">
      <c r="B207" s="106" t="str">
        <f>Modèle!B209</f>
        <v>Formulaires</v>
      </c>
      <c r="C207" s="116" t="str">
        <f>Modèle!D209</f>
        <v>11.10.1</v>
      </c>
      <c r="D207" s="114" t="str">
        <f>Modèle!E209</f>
        <v>A</v>
      </c>
      <c r="E207" s="239">
        <f ca="1">COUNTIF(OFFSET(Synthèse!$G216,0,0,1,COUNTA(Synthèse!$10:$10)-6),"="&amp;$E$1)</f>
        <v>0</v>
      </c>
      <c r="F207" s="239">
        <f ca="1">COUNTIF(OFFSET(Synthèse!$G216,0,0,1,COUNTA(Synthèse!$10:$10)-6),"="&amp;$F$1)</f>
        <v>0</v>
      </c>
      <c r="G207" s="239">
        <f ca="1">COUNTIF(OFFSET(Synthèse!$G216,0,0,1,COUNTA(Synthèse!$10:$10)-6),"="&amp;$G$1)</f>
        <v>0</v>
      </c>
      <c r="H207" s="239">
        <f ca="1">COUNTIF(OFFSET(Synthèse!$G216,0,0,1,COUNTA(Synthèse!$10:$10)-6),"="&amp;$H$1)</f>
        <v>0</v>
      </c>
      <c r="I207" s="18">
        <f t="shared" ca="1" si="22"/>
        <v>0</v>
      </c>
      <c r="Q207" s="12"/>
      <c r="R207" s="12"/>
    </row>
    <row r="208" spans="2:47" x14ac:dyDescent="0.35">
      <c r="B208" s="106" t="str">
        <f>Modèle!B210</f>
        <v>Formulaires</v>
      </c>
      <c r="C208" s="116" t="str">
        <f>Modèle!D210</f>
        <v>11.10.2</v>
      </c>
      <c r="D208" s="114" t="str">
        <f>Modèle!E210</f>
        <v>A</v>
      </c>
      <c r="E208" s="239">
        <f ca="1">COUNTIF(OFFSET(Synthèse!$G217,0,0,1,COUNTA(Synthèse!$10:$10)-6),"="&amp;$E$1)</f>
        <v>0</v>
      </c>
      <c r="F208" s="239">
        <f ca="1">COUNTIF(OFFSET(Synthèse!$G217,0,0,1,COUNTA(Synthèse!$10:$10)-6),"="&amp;$F$1)</f>
        <v>0</v>
      </c>
      <c r="G208" s="239">
        <f ca="1">COUNTIF(OFFSET(Synthèse!$G217,0,0,1,COUNTA(Synthèse!$10:$10)-6),"="&amp;$G$1)</f>
        <v>0</v>
      </c>
      <c r="H208" s="239">
        <f ca="1">COUNTIF(OFFSET(Synthèse!$G217,0,0,1,COUNTA(Synthèse!$10:$10)-6),"="&amp;$H$1)</f>
        <v>0</v>
      </c>
      <c r="I208" s="18">
        <f t="shared" ca="1" si="22"/>
        <v>0</v>
      </c>
      <c r="Q208" s="12"/>
      <c r="R208" s="12"/>
    </row>
    <row r="209" spans="2:18" x14ac:dyDescent="0.35">
      <c r="B209" s="106" t="str">
        <f>Modèle!B211</f>
        <v>Formulaires</v>
      </c>
      <c r="C209" s="116" t="str">
        <f>Modèle!D211</f>
        <v>11.10.3</v>
      </c>
      <c r="D209" s="114" t="str">
        <f>Modèle!E211</f>
        <v>A</v>
      </c>
      <c r="E209" s="239">
        <f ca="1">COUNTIF(OFFSET(Synthèse!$G218,0,0,1,COUNTA(Synthèse!$10:$10)-6),"="&amp;$E$1)</f>
        <v>0</v>
      </c>
      <c r="F209" s="239">
        <f ca="1">COUNTIF(OFFSET(Synthèse!$G218,0,0,1,COUNTA(Synthèse!$10:$10)-6),"="&amp;$F$1)</f>
        <v>0</v>
      </c>
      <c r="G209" s="239">
        <f ca="1">COUNTIF(OFFSET(Synthèse!$G218,0,0,1,COUNTA(Synthèse!$10:$10)-6),"="&amp;$G$1)</f>
        <v>0</v>
      </c>
      <c r="H209" s="239">
        <f ca="1">COUNTIF(OFFSET(Synthèse!$G218,0,0,1,COUNTA(Synthèse!$10:$10)-6),"="&amp;$H$1)</f>
        <v>0</v>
      </c>
      <c r="I209" s="18">
        <f t="shared" ca="1" si="22"/>
        <v>0</v>
      </c>
      <c r="Q209" s="12"/>
      <c r="R209" s="12"/>
    </row>
    <row r="210" spans="2:18" x14ac:dyDescent="0.35">
      <c r="B210" s="106" t="str">
        <f>Modèle!B212</f>
        <v>Formulaires</v>
      </c>
      <c r="C210" s="116" t="str">
        <f>Modèle!D212</f>
        <v>11.10.4</v>
      </c>
      <c r="D210" s="114" t="str">
        <f>Modèle!E212</f>
        <v>A</v>
      </c>
      <c r="E210" s="239">
        <f ca="1">COUNTIF(OFFSET(Synthèse!$G219,0,0,1,COUNTA(Synthèse!$10:$10)-6),"="&amp;$E$1)</f>
        <v>0</v>
      </c>
      <c r="F210" s="239">
        <f ca="1">COUNTIF(OFFSET(Synthèse!$G219,0,0,1,COUNTA(Synthèse!$10:$10)-6),"="&amp;$F$1)</f>
        <v>0</v>
      </c>
      <c r="G210" s="239">
        <f ca="1">COUNTIF(OFFSET(Synthèse!$G219,0,0,1,COUNTA(Synthèse!$10:$10)-6),"="&amp;$G$1)</f>
        <v>0</v>
      </c>
      <c r="H210" s="239">
        <f ca="1">COUNTIF(OFFSET(Synthèse!$G219,0,0,1,COUNTA(Synthèse!$10:$10)-6),"="&amp;$H$1)</f>
        <v>0</v>
      </c>
      <c r="I210" s="18">
        <f t="shared" ca="1" si="22"/>
        <v>0</v>
      </c>
      <c r="Q210" s="12"/>
      <c r="R210" s="12"/>
    </row>
    <row r="211" spans="2:18" x14ac:dyDescent="0.35">
      <c r="B211" s="106" t="str">
        <f>Modèle!B213</f>
        <v>Formulaires</v>
      </c>
      <c r="C211" s="116" t="str">
        <f>Modèle!D213</f>
        <v>11.10.5</v>
      </c>
      <c r="D211" s="114" t="str">
        <f>Modèle!E213</f>
        <v>A</v>
      </c>
      <c r="E211" s="239">
        <f ca="1">COUNTIF(OFFSET(Synthèse!$G220,0,0,1,COUNTA(Synthèse!$10:$10)-6),"="&amp;$E$1)</f>
        <v>0</v>
      </c>
      <c r="F211" s="239">
        <f ca="1">COUNTIF(OFFSET(Synthèse!$G220,0,0,1,COUNTA(Synthèse!$10:$10)-6),"="&amp;$F$1)</f>
        <v>0</v>
      </c>
      <c r="G211" s="239">
        <f ca="1">COUNTIF(OFFSET(Synthèse!$G220,0,0,1,COUNTA(Synthèse!$10:$10)-6),"="&amp;$G$1)</f>
        <v>0</v>
      </c>
      <c r="H211" s="239">
        <f ca="1">COUNTIF(OFFSET(Synthèse!$G220,0,0,1,COUNTA(Synthèse!$10:$10)-6),"="&amp;$H$1)</f>
        <v>0</v>
      </c>
      <c r="I211" s="18">
        <f t="shared" ca="1" si="22"/>
        <v>0</v>
      </c>
      <c r="Q211" s="12"/>
      <c r="R211" s="12"/>
    </row>
    <row r="212" spans="2:18" x14ac:dyDescent="0.35">
      <c r="B212" s="106" t="str">
        <f>Modèle!B214</f>
        <v>Formulaires</v>
      </c>
      <c r="C212" s="116" t="str">
        <f>Modèle!D214</f>
        <v>11.10.6</v>
      </c>
      <c r="D212" s="114" t="str">
        <f>Modèle!E214</f>
        <v>A</v>
      </c>
      <c r="E212" s="239">
        <f ca="1">COUNTIF(OFFSET(Synthèse!$G221,0,0,1,COUNTA(Synthèse!$10:$10)-6),"="&amp;$E$1)</f>
        <v>0</v>
      </c>
      <c r="F212" s="239">
        <f ca="1">COUNTIF(OFFSET(Synthèse!$G221,0,0,1,COUNTA(Synthèse!$10:$10)-6),"="&amp;$F$1)</f>
        <v>0</v>
      </c>
      <c r="G212" s="239">
        <f ca="1">COUNTIF(OFFSET(Synthèse!$G221,0,0,1,COUNTA(Synthèse!$10:$10)-6),"="&amp;$G$1)</f>
        <v>0</v>
      </c>
      <c r="H212" s="239">
        <f ca="1">COUNTIF(OFFSET(Synthèse!$G221,0,0,1,COUNTA(Synthèse!$10:$10)-6),"="&amp;$H$1)</f>
        <v>0</v>
      </c>
      <c r="I212" s="18">
        <f t="shared" ca="1" si="22"/>
        <v>0</v>
      </c>
      <c r="Q212" s="12"/>
      <c r="R212" s="12"/>
    </row>
    <row r="213" spans="2:18" x14ac:dyDescent="0.35">
      <c r="B213" s="106" t="str">
        <f>Modèle!B215</f>
        <v>Formulaires</v>
      </c>
      <c r="C213" s="116" t="str">
        <f>Modèle!D215</f>
        <v>11.10.7</v>
      </c>
      <c r="D213" s="114" t="str">
        <f>Modèle!E215</f>
        <v>A</v>
      </c>
      <c r="E213" s="239">
        <f ca="1">COUNTIF(OFFSET(Synthèse!$G222,0,0,1,COUNTA(Synthèse!$10:$10)-6),"="&amp;$E$1)</f>
        <v>0</v>
      </c>
      <c r="F213" s="239">
        <f ca="1">COUNTIF(OFFSET(Synthèse!$G222,0,0,1,COUNTA(Synthèse!$10:$10)-6),"="&amp;$F$1)</f>
        <v>0</v>
      </c>
      <c r="G213" s="239">
        <f ca="1">COUNTIF(OFFSET(Synthèse!$G222,0,0,1,COUNTA(Synthèse!$10:$10)-6),"="&amp;$G$1)</f>
        <v>0</v>
      </c>
      <c r="H213" s="239">
        <f ca="1">COUNTIF(OFFSET(Synthèse!$G222,0,0,1,COUNTA(Synthèse!$10:$10)-6),"="&amp;$H$1)</f>
        <v>0</v>
      </c>
      <c r="I213" s="18">
        <f t="shared" ca="1" si="22"/>
        <v>0</v>
      </c>
      <c r="Q213" s="12"/>
      <c r="R213" s="12"/>
    </row>
    <row r="214" spans="2:18" x14ac:dyDescent="0.35">
      <c r="B214" s="105" t="str">
        <f>Modèle!B216</f>
        <v>Formulaires</v>
      </c>
      <c r="C214" s="115" t="str">
        <f>Modèle!D216</f>
        <v>11.11.1</v>
      </c>
      <c r="D214" s="112" t="str">
        <f>Modèle!E216</f>
        <v>AA</v>
      </c>
      <c r="E214" s="238">
        <f ca="1">COUNTIF(OFFSET(Synthèse!$G223,0,0,1,COUNTA(Synthèse!$10:$10)-6),"="&amp;$E$1)</f>
        <v>0</v>
      </c>
      <c r="F214" s="238">
        <f ca="1">COUNTIF(OFFSET(Synthèse!$G223,0,0,1,COUNTA(Synthèse!$10:$10)-6),"="&amp;$F$1)</f>
        <v>0</v>
      </c>
      <c r="G214" s="238">
        <f ca="1">COUNTIF(OFFSET(Synthèse!$G223,0,0,1,COUNTA(Synthèse!$10:$10)-6),"="&amp;$G$1)</f>
        <v>0</v>
      </c>
      <c r="H214" s="238">
        <f ca="1">COUNTIF(OFFSET(Synthèse!$G223,0,0,1,COUNTA(Synthèse!$10:$10)-6),"="&amp;$H$1)</f>
        <v>0</v>
      </c>
      <c r="I214" s="18">
        <f t="shared" ca="1" si="22"/>
        <v>0</v>
      </c>
      <c r="Q214" s="12"/>
      <c r="R214" s="12"/>
    </row>
    <row r="215" spans="2:18" x14ac:dyDescent="0.35">
      <c r="B215" s="105" t="str">
        <f>Modèle!B217</f>
        <v>Formulaires</v>
      </c>
      <c r="C215" s="115" t="str">
        <f>Modèle!D217</f>
        <v>11.11.2</v>
      </c>
      <c r="D215" s="112" t="str">
        <f>Modèle!E217</f>
        <v>AA</v>
      </c>
      <c r="E215" s="238">
        <f ca="1">COUNTIF(OFFSET(Synthèse!$G224,0,0,1,COUNTA(Synthèse!$10:$10)-6),"="&amp;$E$1)</f>
        <v>0</v>
      </c>
      <c r="F215" s="238">
        <f ca="1">COUNTIF(OFFSET(Synthèse!$G224,0,0,1,COUNTA(Synthèse!$10:$10)-6),"="&amp;$F$1)</f>
        <v>0</v>
      </c>
      <c r="G215" s="238">
        <f ca="1">COUNTIF(OFFSET(Synthèse!$G224,0,0,1,COUNTA(Synthèse!$10:$10)-6),"="&amp;$G$1)</f>
        <v>0</v>
      </c>
      <c r="H215" s="238">
        <f ca="1">COUNTIF(OFFSET(Synthèse!$G224,0,0,1,COUNTA(Synthèse!$10:$10)-6),"="&amp;$H$1)</f>
        <v>0</v>
      </c>
      <c r="I215" s="18">
        <f t="shared" ca="1" si="22"/>
        <v>0</v>
      </c>
      <c r="Q215" s="12"/>
      <c r="R215" s="12"/>
    </row>
    <row r="216" spans="2:18" x14ac:dyDescent="0.35">
      <c r="B216" s="106" t="str">
        <f>Modèle!B218</f>
        <v>Formulaires</v>
      </c>
      <c r="C216" s="116" t="str">
        <f>Modèle!D218</f>
        <v>11.12.1</v>
      </c>
      <c r="D216" s="114" t="str">
        <f>Modèle!E218</f>
        <v>AA</v>
      </c>
      <c r="E216" s="239">
        <f ca="1">COUNTIF(OFFSET(Synthèse!$G225,0,0,1,COUNTA(Synthèse!$10:$10)-6),"="&amp;$E$1)</f>
        <v>0</v>
      </c>
      <c r="F216" s="239">
        <f ca="1">COUNTIF(OFFSET(Synthèse!$G225,0,0,1,COUNTA(Synthèse!$10:$10)-6),"="&amp;$F$1)</f>
        <v>0</v>
      </c>
      <c r="G216" s="239">
        <f ca="1">COUNTIF(OFFSET(Synthèse!$G225,0,0,1,COUNTA(Synthèse!$10:$10)-6),"="&amp;$G$1)</f>
        <v>0</v>
      </c>
      <c r="H216" s="239">
        <f ca="1">COUNTIF(OFFSET(Synthèse!$G225,0,0,1,COUNTA(Synthèse!$10:$10)-6),"="&amp;$H$1)</f>
        <v>0</v>
      </c>
      <c r="I216" s="18">
        <f t="shared" ca="1" si="22"/>
        <v>0</v>
      </c>
      <c r="Q216" s="12"/>
      <c r="R216" s="12"/>
    </row>
    <row r="217" spans="2:18" x14ac:dyDescent="0.35">
      <c r="B217" s="106" t="str">
        <f>Modèle!B219</f>
        <v>Formulaires</v>
      </c>
      <c r="C217" s="116" t="str">
        <f>Modèle!D219</f>
        <v>11.12.2</v>
      </c>
      <c r="D217" s="114" t="str">
        <f>Modèle!E219</f>
        <v>AA</v>
      </c>
      <c r="E217" s="239">
        <f ca="1">COUNTIF(OFFSET(Synthèse!$G226,0,0,1,COUNTA(Synthèse!$10:$10)-6),"="&amp;$E$1)</f>
        <v>0</v>
      </c>
      <c r="F217" s="239">
        <f ca="1">COUNTIF(OFFSET(Synthèse!$G226,0,0,1,COUNTA(Synthèse!$10:$10)-6),"="&amp;$F$1)</f>
        <v>0</v>
      </c>
      <c r="G217" s="239">
        <f ca="1">COUNTIF(OFFSET(Synthèse!$G226,0,0,1,COUNTA(Synthèse!$10:$10)-6),"="&amp;$G$1)</f>
        <v>0</v>
      </c>
      <c r="H217" s="239">
        <f ca="1">COUNTIF(OFFSET(Synthèse!$G226,0,0,1,COUNTA(Synthèse!$10:$10)-6),"="&amp;$H$1)</f>
        <v>0</v>
      </c>
      <c r="I217" s="18">
        <f t="shared" ca="1" si="22"/>
        <v>0</v>
      </c>
      <c r="Q217" s="12"/>
      <c r="R217" s="12"/>
    </row>
    <row r="218" spans="2:18" x14ac:dyDescent="0.35">
      <c r="B218" s="105" t="str">
        <f>Modèle!B220</f>
        <v>Formulaires</v>
      </c>
      <c r="C218" s="115" t="str">
        <f>Modèle!D220</f>
        <v>11.13.1</v>
      </c>
      <c r="D218" s="112" t="str">
        <f>Modèle!E220</f>
        <v>AA</v>
      </c>
      <c r="E218" s="238">
        <f ca="1">COUNTIF(OFFSET(Synthèse!$G227,0,0,1,COUNTA(Synthèse!$10:$10)-6),"="&amp;$E$1)</f>
        <v>0</v>
      </c>
      <c r="F218" s="238">
        <f ca="1">COUNTIF(OFFSET(Synthèse!$G227,0,0,1,COUNTA(Synthèse!$10:$10)-6),"="&amp;$F$1)</f>
        <v>0</v>
      </c>
      <c r="G218" s="238">
        <f ca="1">COUNTIF(OFFSET(Synthèse!$G227,0,0,1,COUNTA(Synthèse!$10:$10)-6),"="&amp;$G$1)</f>
        <v>0</v>
      </c>
      <c r="H218" s="238">
        <f ca="1">COUNTIF(OFFSET(Synthèse!$G227,0,0,1,COUNTA(Synthèse!$10:$10)-6),"="&amp;$H$1)</f>
        <v>0</v>
      </c>
      <c r="I218" s="18">
        <f t="shared" ca="1" si="22"/>
        <v>0</v>
      </c>
      <c r="Q218" s="12"/>
      <c r="R218" s="12"/>
    </row>
    <row r="219" spans="2:18" x14ac:dyDescent="0.35">
      <c r="B219" s="106" t="str">
        <f>Modèle!B221</f>
        <v>Navigation</v>
      </c>
      <c r="C219" s="116" t="str">
        <f>Modèle!D221</f>
        <v>12.1.1</v>
      </c>
      <c r="D219" s="114" t="str">
        <f>Modèle!E221</f>
        <v>AA</v>
      </c>
      <c r="E219" s="239">
        <f ca="1">COUNTIF(OFFSET(Synthèse!$G228,0,0,1,COUNTA(Synthèse!$10:$10)-6),"="&amp;$E$1)</f>
        <v>0</v>
      </c>
      <c r="F219" s="239">
        <f ca="1">COUNTIF(OFFSET(Synthèse!$G228,0,0,1,COUNTA(Synthèse!$10:$10)-6),"="&amp;$F$1)</f>
        <v>0</v>
      </c>
      <c r="G219" s="239">
        <f ca="1">COUNTIF(OFFSET(Synthèse!$G228,0,0,1,COUNTA(Synthèse!$10:$10)-6),"="&amp;$G$1)</f>
        <v>0</v>
      </c>
      <c r="H219" s="239">
        <f ca="1">COUNTIF(OFFSET(Synthèse!$G228,0,0,1,COUNTA(Synthèse!$10:$10)-6),"="&amp;$H$1)</f>
        <v>0</v>
      </c>
      <c r="I219" s="18">
        <f t="shared" ca="1" si="22"/>
        <v>0</v>
      </c>
      <c r="Q219" s="12"/>
      <c r="R219" s="12"/>
    </row>
    <row r="220" spans="2:18" x14ac:dyDescent="0.35">
      <c r="B220" s="105" t="str">
        <f>Modèle!B222</f>
        <v>Navigation</v>
      </c>
      <c r="C220" s="115" t="str">
        <f>Modèle!D222</f>
        <v>12.2.1</v>
      </c>
      <c r="D220" s="112" t="str">
        <f>Modèle!E222</f>
        <v>AA</v>
      </c>
      <c r="E220" s="238">
        <f ca="1">COUNTIF(OFFSET(Synthèse!$G229,0,0,1,COUNTA(Synthèse!$10:$10)-6),"="&amp;$E$1)</f>
        <v>0</v>
      </c>
      <c r="F220" s="238">
        <f ca="1">COUNTIF(OFFSET(Synthèse!$G229,0,0,1,COUNTA(Synthèse!$10:$10)-6),"="&amp;$F$1)</f>
        <v>0</v>
      </c>
      <c r="G220" s="238">
        <f ca="1">COUNTIF(OFFSET(Synthèse!$G229,0,0,1,COUNTA(Synthèse!$10:$10)-6),"="&amp;$G$1)</f>
        <v>0</v>
      </c>
      <c r="H220" s="238">
        <f ca="1">COUNTIF(OFFSET(Synthèse!$G229,0,0,1,COUNTA(Synthèse!$10:$10)-6),"="&amp;$H$1)</f>
        <v>0</v>
      </c>
      <c r="I220" s="18">
        <f t="shared" ca="1" si="22"/>
        <v>0</v>
      </c>
      <c r="Q220" s="12"/>
      <c r="R220" s="12"/>
    </row>
    <row r="221" spans="2:18" x14ac:dyDescent="0.35">
      <c r="B221" s="106" t="str">
        <f>Modèle!B223</f>
        <v>Navigation</v>
      </c>
      <c r="C221" s="116" t="str">
        <f>Modèle!D223</f>
        <v>12.3.1</v>
      </c>
      <c r="D221" s="114" t="str">
        <f>Modèle!E223</f>
        <v>AA</v>
      </c>
      <c r="E221" s="239">
        <f ca="1">COUNTIF(OFFSET(Synthèse!$G230,0,0,1,COUNTA(Synthèse!$10:$10)-6),"="&amp;$E$1)</f>
        <v>0</v>
      </c>
      <c r="F221" s="239">
        <f ca="1">COUNTIF(OFFSET(Synthèse!$G230,0,0,1,COUNTA(Synthèse!$10:$10)-6),"="&amp;$F$1)</f>
        <v>0</v>
      </c>
      <c r="G221" s="239">
        <f ca="1">COUNTIF(OFFSET(Synthèse!$G230,0,0,1,COUNTA(Synthèse!$10:$10)-6),"="&amp;$G$1)</f>
        <v>0</v>
      </c>
      <c r="H221" s="239">
        <f ca="1">COUNTIF(OFFSET(Synthèse!$G230,0,0,1,COUNTA(Synthèse!$10:$10)-6),"="&amp;$H$1)</f>
        <v>0</v>
      </c>
      <c r="I221" s="18">
        <f t="shared" ca="1" si="22"/>
        <v>0</v>
      </c>
      <c r="Q221" s="12"/>
      <c r="R221" s="12"/>
    </row>
    <row r="222" spans="2:18" x14ac:dyDescent="0.35">
      <c r="B222" s="106" t="str">
        <f>Modèle!B224</f>
        <v>Navigation</v>
      </c>
      <c r="C222" s="116" t="str">
        <f>Modèle!D224</f>
        <v>12.3.2</v>
      </c>
      <c r="D222" s="114" t="str">
        <f>Modèle!E224</f>
        <v>AA</v>
      </c>
      <c r="E222" s="239">
        <f ca="1">COUNTIF(OFFSET(Synthèse!$G231,0,0,1,COUNTA(Synthèse!$10:$10)-6),"="&amp;$E$1)</f>
        <v>0</v>
      </c>
      <c r="F222" s="239">
        <f ca="1">COUNTIF(OFFSET(Synthèse!$G231,0,0,1,COUNTA(Synthèse!$10:$10)-6),"="&amp;$F$1)</f>
        <v>0</v>
      </c>
      <c r="G222" s="239">
        <f ca="1">COUNTIF(OFFSET(Synthèse!$G231,0,0,1,COUNTA(Synthèse!$10:$10)-6),"="&amp;$G$1)</f>
        <v>0</v>
      </c>
      <c r="H222" s="239">
        <f ca="1">COUNTIF(OFFSET(Synthèse!$G231,0,0,1,COUNTA(Synthèse!$10:$10)-6),"="&amp;$H$1)</f>
        <v>0</v>
      </c>
      <c r="I222" s="18">
        <f t="shared" ca="1" si="22"/>
        <v>0</v>
      </c>
      <c r="Q222" s="12"/>
      <c r="R222" s="12"/>
    </row>
    <row r="223" spans="2:18" x14ac:dyDescent="0.35">
      <c r="B223" s="106" t="str">
        <f>Modèle!B225</f>
        <v>Navigation</v>
      </c>
      <c r="C223" s="116" t="str">
        <f>Modèle!D225</f>
        <v>12.3.3</v>
      </c>
      <c r="D223" s="114" t="str">
        <f>Modèle!E225</f>
        <v>AA</v>
      </c>
      <c r="E223" s="239">
        <f ca="1">COUNTIF(OFFSET(Synthèse!$G232,0,0,1,COUNTA(Synthèse!$10:$10)-6),"="&amp;$E$1)</f>
        <v>0</v>
      </c>
      <c r="F223" s="239">
        <f ca="1">COUNTIF(OFFSET(Synthèse!$G232,0,0,1,COUNTA(Synthèse!$10:$10)-6),"="&amp;$F$1)</f>
        <v>0</v>
      </c>
      <c r="G223" s="239">
        <f ca="1">COUNTIF(OFFSET(Synthèse!$G232,0,0,1,COUNTA(Synthèse!$10:$10)-6),"="&amp;$G$1)</f>
        <v>0</v>
      </c>
      <c r="H223" s="239">
        <f ca="1">COUNTIF(OFFSET(Synthèse!$G232,0,0,1,COUNTA(Synthèse!$10:$10)-6),"="&amp;$H$1)</f>
        <v>0</v>
      </c>
      <c r="I223" s="18">
        <f t="shared" ca="1" si="22"/>
        <v>0</v>
      </c>
      <c r="Q223" s="12"/>
      <c r="R223" s="12"/>
    </row>
    <row r="224" spans="2:18" x14ac:dyDescent="0.35">
      <c r="B224" s="105" t="str">
        <f>Modèle!B226</f>
        <v>Navigation</v>
      </c>
      <c r="C224" s="115" t="str">
        <f>Modèle!D226</f>
        <v>12.4.1</v>
      </c>
      <c r="D224" s="112" t="str">
        <f>Modèle!E226</f>
        <v>AA</v>
      </c>
      <c r="E224" s="238">
        <f ca="1">COUNTIF(OFFSET(Synthèse!$G233,0,0,1,COUNTA(Synthèse!$10:$10)-6),"="&amp;$E$1)</f>
        <v>0</v>
      </c>
      <c r="F224" s="238">
        <f ca="1">COUNTIF(OFFSET(Synthèse!$G233,0,0,1,COUNTA(Synthèse!$10:$10)-6),"="&amp;$F$1)</f>
        <v>0</v>
      </c>
      <c r="G224" s="238">
        <f ca="1">COUNTIF(OFFSET(Synthèse!$G233,0,0,1,COUNTA(Synthèse!$10:$10)-6),"="&amp;$G$1)</f>
        <v>0</v>
      </c>
      <c r="H224" s="238">
        <f ca="1">COUNTIF(OFFSET(Synthèse!$G233,0,0,1,COUNTA(Synthèse!$10:$10)-6),"="&amp;$H$1)</f>
        <v>0</v>
      </c>
      <c r="I224" s="18">
        <f t="shared" ca="1" si="22"/>
        <v>0</v>
      </c>
      <c r="Q224" s="12"/>
      <c r="R224" s="12"/>
    </row>
    <row r="225" spans="2:18" x14ac:dyDescent="0.35">
      <c r="B225" s="105" t="str">
        <f>Modèle!B227</f>
        <v>Navigation</v>
      </c>
      <c r="C225" s="115" t="str">
        <f>Modèle!D227</f>
        <v>12.4.2</v>
      </c>
      <c r="D225" s="112" t="str">
        <f>Modèle!E227</f>
        <v>AA</v>
      </c>
      <c r="E225" s="238">
        <f ca="1">COUNTIF(OFFSET(Synthèse!$G234,0,0,1,COUNTA(Synthèse!$10:$10)-6),"="&amp;$E$1)</f>
        <v>0</v>
      </c>
      <c r="F225" s="238">
        <f ca="1">COUNTIF(OFFSET(Synthèse!$G234,0,0,1,COUNTA(Synthèse!$10:$10)-6),"="&amp;$F$1)</f>
        <v>0</v>
      </c>
      <c r="G225" s="238">
        <f ca="1">COUNTIF(OFFSET(Synthèse!$G234,0,0,1,COUNTA(Synthèse!$10:$10)-6),"="&amp;$G$1)</f>
        <v>0</v>
      </c>
      <c r="H225" s="238">
        <f ca="1">COUNTIF(OFFSET(Synthèse!$G234,0,0,1,COUNTA(Synthèse!$10:$10)-6),"="&amp;$H$1)</f>
        <v>0</v>
      </c>
      <c r="I225" s="18">
        <f t="shared" ca="1" si="22"/>
        <v>0</v>
      </c>
      <c r="Q225" s="12"/>
      <c r="R225" s="12"/>
    </row>
    <row r="226" spans="2:18" x14ac:dyDescent="0.35">
      <c r="B226" s="105" t="str">
        <f>Modèle!B228</f>
        <v>Navigation</v>
      </c>
      <c r="C226" s="115" t="str">
        <f>Modèle!D228</f>
        <v>12.4.3</v>
      </c>
      <c r="D226" s="112" t="str">
        <f>Modèle!E228</f>
        <v>AA</v>
      </c>
      <c r="E226" s="238">
        <f ca="1">COUNTIF(OFFSET(Synthèse!$G235,0,0,1,COUNTA(Synthèse!$10:$10)-6),"="&amp;$E$1)</f>
        <v>0</v>
      </c>
      <c r="F226" s="238">
        <f ca="1">COUNTIF(OFFSET(Synthèse!$G235,0,0,1,COUNTA(Synthèse!$10:$10)-6),"="&amp;$F$1)</f>
        <v>0</v>
      </c>
      <c r="G226" s="238">
        <f ca="1">COUNTIF(OFFSET(Synthèse!$G235,0,0,1,COUNTA(Synthèse!$10:$10)-6),"="&amp;$G$1)</f>
        <v>0</v>
      </c>
      <c r="H226" s="238">
        <f ca="1">COUNTIF(OFFSET(Synthèse!$G235,0,0,1,COUNTA(Synthèse!$10:$10)-6),"="&amp;$H$1)</f>
        <v>0</v>
      </c>
      <c r="I226" s="18">
        <f t="shared" ca="1" si="22"/>
        <v>0</v>
      </c>
      <c r="Q226" s="12"/>
      <c r="R226" s="12"/>
    </row>
    <row r="227" spans="2:18" x14ac:dyDescent="0.35">
      <c r="B227" s="106" t="str">
        <f>Modèle!B229</f>
        <v>Navigation</v>
      </c>
      <c r="C227" s="116" t="str">
        <f>Modèle!D229</f>
        <v>12.5.1</v>
      </c>
      <c r="D227" s="114" t="str">
        <f>Modèle!E229</f>
        <v>AA</v>
      </c>
      <c r="E227" s="239">
        <f ca="1">COUNTIF(OFFSET(Synthèse!$G236,0,0,1,COUNTA(Synthèse!$10:$10)-6),"="&amp;$E$1)</f>
        <v>0</v>
      </c>
      <c r="F227" s="239">
        <f ca="1">COUNTIF(OFFSET(Synthèse!$G236,0,0,1,COUNTA(Synthèse!$10:$10)-6),"="&amp;$F$1)</f>
        <v>0</v>
      </c>
      <c r="G227" s="239">
        <f ca="1">COUNTIF(OFFSET(Synthèse!$G236,0,0,1,COUNTA(Synthèse!$10:$10)-6),"="&amp;$G$1)</f>
        <v>0</v>
      </c>
      <c r="H227" s="239">
        <f ca="1">COUNTIF(OFFSET(Synthèse!$G236,0,0,1,COUNTA(Synthèse!$10:$10)-6),"="&amp;$H$1)</f>
        <v>0</v>
      </c>
      <c r="I227" s="18">
        <f t="shared" ca="1" si="22"/>
        <v>0</v>
      </c>
      <c r="Q227" s="12"/>
      <c r="R227" s="12"/>
    </row>
    <row r="228" spans="2:18" x14ac:dyDescent="0.35">
      <c r="B228" s="106" t="str">
        <f>Modèle!B230</f>
        <v>Navigation</v>
      </c>
      <c r="C228" s="116" t="str">
        <f>Modèle!D230</f>
        <v>12.5.2</v>
      </c>
      <c r="D228" s="114" t="str">
        <f>Modèle!E230</f>
        <v>AA</v>
      </c>
      <c r="E228" s="239">
        <f ca="1">COUNTIF(OFFSET(Synthèse!$G237,0,0,1,COUNTA(Synthèse!$10:$10)-6),"="&amp;$E$1)</f>
        <v>0</v>
      </c>
      <c r="F228" s="239">
        <f ca="1">COUNTIF(OFFSET(Synthèse!$G237,0,0,1,COUNTA(Synthèse!$10:$10)-6),"="&amp;$F$1)</f>
        <v>0</v>
      </c>
      <c r="G228" s="239">
        <f ca="1">COUNTIF(OFFSET(Synthèse!$G237,0,0,1,COUNTA(Synthèse!$10:$10)-6),"="&amp;$G$1)</f>
        <v>0</v>
      </c>
      <c r="H228" s="239">
        <f ca="1">COUNTIF(OFFSET(Synthèse!$G237,0,0,1,COUNTA(Synthèse!$10:$10)-6),"="&amp;$H$1)</f>
        <v>0</v>
      </c>
      <c r="I228" s="18">
        <f t="shared" ca="1" si="22"/>
        <v>0</v>
      </c>
      <c r="Q228" s="12"/>
      <c r="R228" s="12"/>
    </row>
    <row r="229" spans="2:18" x14ac:dyDescent="0.35">
      <c r="B229" s="106" t="str">
        <f>Modèle!B231</f>
        <v>Navigation</v>
      </c>
      <c r="C229" s="116" t="str">
        <f>Modèle!D231</f>
        <v>12.5.3</v>
      </c>
      <c r="D229" s="114" t="str">
        <f>Modèle!E231</f>
        <v>AA</v>
      </c>
      <c r="E229" s="239">
        <f ca="1">COUNTIF(OFFSET(Synthèse!$G238,0,0,1,COUNTA(Synthèse!$10:$10)-6),"="&amp;$E$1)</f>
        <v>0</v>
      </c>
      <c r="F229" s="239">
        <f ca="1">COUNTIF(OFFSET(Synthèse!$G238,0,0,1,COUNTA(Synthèse!$10:$10)-6),"="&amp;$F$1)</f>
        <v>0</v>
      </c>
      <c r="G229" s="239">
        <f ca="1">COUNTIF(OFFSET(Synthèse!$G238,0,0,1,COUNTA(Synthèse!$10:$10)-6),"="&amp;$G$1)</f>
        <v>0</v>
      </c>
      <c r="H229" s="239">
        <f ca="1">COUNTIF(OFFSET(Synthèse!$G238,0,0,1,COUNTA(Synthèse!$10:$10)-6),"="&amp;$H$1)</f>
        <v>0</v>
      </c>
      <c r="I229" s="18">
        <f t="shared" ca="1" si="22"/>
        <v>0</v>
      </c>
      <c r="Q229" s="12"/>
      <c r="R229" s="12"/>
    </row>
    <row r="230" spans="2:18" x14ac:dyDescent="0.35">
      <c r="B230" s="105" t="str">
        <f>Modèle!B232</f>
        <v>Navigation</v>
      </c>
      <c r="C230" s="115" t="str">
        <f>Modèle!D232</f>
        <v>12.6.1</v>
      </c>
      <c r="D230" s="112" t="str">
        <f>Modèle!E232</f>
        <v>A</v>
      </c>
      <c r="E230" s="238">
        <f ca="1">COUNTIF(OFFSET(Synthèse!$G239,0,0,1,COUNTA(Synthèse!$10:$10)-6),"="&amp;$E$1)</f>
        <v>0</v>
      </c>
      <c r="F230" s="238">
        <f ca="1">COUNTIF(OFFSET(Synthèse!$G239,0,0,1,COUNTA(Synthèse!$10:$10)-6),"="&amp;$F$1)</f>
        <v>0</v>
      </c>
      <c r="G230" s="238">
        <f ca="1">COUNTIF(OFFSET(Synthèse!$G239,0,0,1,COUNTA(Synthèse!$10:$10)-6),"="&amp;$G$1)</f>
        <v>0</v>
      </c>
      <c r="H230" s="238">
        <f ca="1">COUNTIF(OFFSET(Synthèse!$G239,0,0,1,COUNTA(Synthèse!$10:$10)-6),"="&amp;$H$1)</f>
        <v>0</v>
      </c>
      <c r="I230" s="18">
        <f t="shared" ca="1" si="22"/>
        <v>0</v>
      </c>
      <c r="Q230" s="12"/>
      <c r="R230" s="12"/>
    </row>
    <row r="231" spans="2:18" x14ac:dyDescent="0.35">
      <c r="B231" s="106" t="str">
        <f>Modèle!B233</f>
        <v>Navigation</v>
      </c>
      <c r="C231" s="116" t="str">
        <f>Modèle!D233</f>
        <v>12.7.1</v>
      </c>
      <c r="D231" s="114" t="str">
        <f>Modèle!E233</f>
        <v>A</v>
      </c>
      <c r="E231" s="239">
        <f ca="1">COUNTIF(OFFSET(Synthèse!$G240,0,0,1,COUNTA(Synthèse!$10:$10)-6),"="&amp;$E$1)</f>
        <v>0</v>
      </c>
      <c r="F231" s="239">
        <f ca="1">COUNTIF(OFFSET(Synthèse!$G240,0,0,1,COUNTA(Synthèse!$10:$10)-6),"="&amp;$F$1)</f>
        <v>0</v>
      </c>
      <c r="G231" s="239">
        <f ca="1">COUNTIF(OFFSET(Synthèse!$G240,0,0,1,COUNTA(Synthèse!$10:$10)-6),"="&amp;$G$1)</f>
        <v>0</v>
      </c>
      <c r="H231" s="239">
        <f ca="1">COUNTIF(OFFSET(Synthèse!$G240,0,0,1,COUNTA(Synthèse!$10:$10)-6),"="&amp;$H$1)</f>
        <v>0</v>
      </c>
      <c r="I231" s="18">
        <f t="shared" ca="1" si="22"/>
        <v>0</v>
      </c>
      <c r="Q231" s="12"/>
      <c r="R231" s="12"/>
    </row>
    <row r="232" spans="2:18" x14ac:dyDescent="0.35">
      <c r="B232" s="106" t="str">
        <f>Modèle!B234</f>
        <v>Navigation</v>
      </c>
      <c r="C232" s="116" t="str">
        <f>Modèle!D234</f>
        <v>12.7.2</v>
      </c>
      <c r="D232" s="114" t="str">
        <f>Modèle!E234</f>
        <v>A</v>
      </c>
      <c r="E232" s="239">
        <f ca="1">COUNTIF(OFFSET(Synthèse!$G241,0,0,1,COUNTA(Synthèse!$10:$10)-6),"="&amp;$E$1)</f>
        <v>0</v>
      </c>
      <c r="F232" s="239">
        <f ca="1">COUNTIF(OFFSET(Synthèse!$G241,0,0,1,COUNTA(Synthèse!$10:$10)-6),"="&amp;$F$1)</f>
        <v>0</v>
      </c>
      <c r="G232" s="239">
        <f ca="1">COUNTIF(OFFSET(Synthèse!$G241,0,0,1,COUNTA(Synthèse!$10:$10)-6),"="&amp;$G$1)</f>
        <v>0</v>
      </c>
      <c r="H232" s="239">
        <f ca="1">COUNTIF(OFFSET(Synthèse!$G241,0,0,1,COUNTA(Synthèse!$10:$10)-6),"="&amp;$H$1)</f>
        <v>0</v>
      </c>
      <c r="I232" s="18">
        <f t="shared" ca="1" si="22"/>
        <v>0</v>
      </c>
      <c r="Q232" s="12"/>
      <c r="R232" s="12"/>
    </row>
    <row r="233" spans="2:18" x14ac:dyDescent="0.35">
      <c r="B233" s="105" t="str">
        <f>Modèle!B235</f>
        <v>Navigation</v>
      </c>
      <c r="C233" s="115" t="str">
        <f>Modèle!D235</f>
        <v>12.8.1</v>
      </c>
      <c r="D233" s="112" t="str">
        <f>Modèle!E235</f>
        <v>A</v>
      </c>
      <c r="E233" s="238">
        <f ca="1">COUNTIF(OFFSET(Synthèse!$G242,0,0,1,COUNTA(Synthèse!$10:$10)-6),"="&amp;$E$1)</f>
        <v>0</v>
      </c>
      <c r="F233" s="238">
        <f ca="1">COUNTIF(OFFSET(Synthèse!$G242,0,0,1,COUNTA(Synthèse!$10:$10)-6),"="&amp;$F$1)</f>
        <v>0</v>
      </c>
      <c r="G233" s="238">
        <f ca="1">COUNTIF(OFFSET(Synthèse!$G242,0,0,1,COUNTA(Synthèse!$10:$10)-6),"="&amp;$G$1)</f>
        <v>0</v>
      </c>
      <c r="H233" s="238">
        <f ca="1">COUNTIF(OFFSET(Synthèse!$G242,0,0,1,COUNTA(Synthèse!$10:$10)-6),"="&amp;$H$1)</f>
        <v>0</v>
      </c>
      <c r="I233" s="18">
        <f t="shared" ca="1" si="22"/>
        <v>0</v>
      </c>
      <c r="Q233" s="12"/>
      <c r="R233" s="12"/>
    </row>
    <row r="234" spans="2:18" x14ac:dyDescent="0.35">
      <c r="B234" s="105" t="str">
        <f>Modèle!B236</f>
        <v>Navigation</v>
      </c>
      <c r="C234" s="115" t="str">
        <f>Modèle!D236</f>
        <v>12.8.2</v>
      </c>
      <c r="D234" s="112" t="str">
        <f>Modèle!E236</f>
        <v>A</v>
      </c>
      <c r="E234" s="238">
        <f ca="1">COUNTIF(OFFSET(Synthèse!$G243,0,0,1,COUNTA(Synthèse!$10:$10)-6),"="&amp;$E$1)</f>
        <v>0</v>
      </c>
      <c r="F234" s="238">
        <f ca="1">COUNTIF(OFFSET(Synthèse!$G243,0,0,1,COUNTA(Synthèse!$10:$10)-6),"="&amp;$F$1)</f>
        <v>0</v>
      </c>
      <c r="G234" s="238">
        <f ca="1">COUNTIF(OFFSET(Synthèse!$G243,0,0,1,COUNTA(Synthèse!$10:$10)-6),"="&amp;$G$1)</f>
        <v>0</v>
      </c>
      <c r="H234" s="238">
        <f ca="1">COUNTIF(OFFSET(Synthèse!$G243,0,0,1,COUNTA(Synthèse!$10:$10)-6),"="&amp;$H$1)</f>
        <v>0</v>
      </c>
      <c r="I234" s="18">
        <f t="shared" ca="1" si="22"/>
        <v>0</v>
      </c>
      <c r="Q234" s="12"/>
      <c r="R234" s="12"/>
    </row>
    <row r="235" spans="2:18" x14ac:dyDescent="0.35">
      <c r="B235" s="106" t="str">
        <f>Modèle!B237</f>
        <v>Navigation</v>
      </c>
      <c r="C235" s="116" t="str">
        <f>Modèle!D237</f>
        <v>12.9.1</v>
      </c>
      <c r="D235" s="114" t="str">
        <f>Modèle!E237</f>
        <v>A</v>
      </c>
      <c r="E235" s="239">
        <f ca="1">COUNTIF(OFFSET(Synthèse!$G244,0,0,1,COUNTA(Synthèse!$10:$10)-6),"="&amp;$E$1)</f>
        <v>0</v>
      </c>
      <c r="F235" s="239">
        <f ca="1">COUNTIF(OFFSET(Synthèse!$G244,0,0,1,COUNTA(Synthèse!$10:$10)-6),"="&amp;$F$1)</f>
        <v>0</v>
      </c>
      <c r="G235" s="239">
        <f ca="1">COUNTIF(OFFSET(Synthèse!$G244,0,0,1,COUNTA(Synthèse!$10:$10)-6),"="&amp;$G$1)</f>
        <v>0</v>
      </c>
      <c r="H235" s="239">
        <f ca="1">COUNTIF(OFFSET(Synthèse!$G244,0,0,1,COUNTA(Synthèse!$10:$10)-6),"="&amp;$H$1)</f>
        <v>0</v>
      </c>
      <c r="I235" s="18">
        <f t="shared" ca="1" si="22"/>
        <v>0</v>
      </c>
      <c r="Q235" s="12"/>
      <c r="R235" s="12"/>
    </row>
    <row r="236" spans="2:18" x14ac:dyDescent="0.35">
      <c r="B236" s="105" t="str">
        <f>Modèle!B238</f>
        <v>Navigation</v>
      </c>
      <c r="C236" s="115" t="str">
        <f>Modèle!D238</f>
        <v>12.10.1</v>
      </c>
      <c r="D236" s="112" t="str">
        <f>Modèle!E238</f>
        <v>A</v>
      </c>
      <c r="E236" s="238">
        <f ca="1">COUNTIF(OFFSET(Synthèse!$G245,0,0,1,COUNTA(Synthèse!$10:$10)-6),"="&amp;$E$1)</f>
        <v>0</v>
      </c>
      <c r="F236" s="238">
        <f ca="1">COUNTIF(OFFSET(Synthèse!$G245,0,0,1,COUNTA(Synthèse!$10:$10)-6),"="&amp;$F$1)</f>
        <v>0</v>
      </c>
      <c r="G236" s="238">
        <f ca="1">COUNTIF(OFFSET(Synthèse!$G245,0,0,1,COUNTA(Synthèse!$10:$10)-6),"="&amp;$G$1)</f>
        <v>0</v>
      </c>
      <c r="H236" s="238">
        <f ca="1">COUNTIF(OFFSET(Synthèse!$G245,0,0,1,COUNTA(Synthèse!$10:$10)-6),"="&amp;$H$1)</f>
        <v>0</v>
      </c>
      <c r="I236" s="18">
        <f t="shared" ca="1" si="22"/>
        <v>0</v>
      </c>
      <c r="Q236" s="12"/>
      <c r="R236" s="12"/>
    </row>
    <row r="237" spans="2:18" x14ac:dyDescent="0.35">
      <c r="B237" s="106" t="str">
        <f>Modèle!B239</f>
        <v>Navigation</v>
      </c>
      <c r="C237" s="116" t="str">
        <f>Modèle!D239</f>
        <v>12.11.1</v>
      </c>
      <c r="D237" s="114" t="str">
        <f>Modèle!E239</f>
        <v>A</v>
      </c>
      <c r="E237" s="239">
        <f ca="1">COUNTIF(OFFSET(Synthèse!$G246,0,0,1,COUNTA(Synthèse!$10:$10)-6),"="&amp;$E$1)</f>
        <v>0</v>
      </c>
      <c r="F237" s="239">
        <f ca="1">COUNTIF(OFFSET(Synthèse!$G246,0,0,1,COUNTA(Synthèse!$10:$10)-6),"="&amp;$F$1)</f>
        <v>0</v>
      </c>
      <c r="G237" s="239">
        <f ca="1">COUNTIF(OFFSET(Synthèse!$G246,0,0,1,COUNTA(Synthèse!$10:$10)-6),"="&amp;$G$1)</f>
        <v>0</v>
      </c>
      <c r="H237" s="239">
        <f ca="1">COUNTIF(OFFSET(Synthèse!$G246,0,0,1,COUNTA(Synthèse!$10:$10)-6),"="&amp;$H$1)</f>
        <v>0</v>
      </c>
      <c r="I237" s="18">
        <f t="shared" ca="1" si="22"/>
        <v>0</v>
      </c>
      <c r="Q237" s="12"/>
      <c r="R237" s="12"/>
    </row>
    <row r="238" spans="2:18" x14ac:dyDescent="0.35">
      <c r="B238" s="105" t="str">
        <f>Modèle!B240</f>
        <v>Consultation</v>
      </c>
      <c r="C238" s="115" t="str">
        <f>Modèle!D240</f>
        <v>13.1.1</v>
      </c>
      <c r="D238" s="112" t="str">
        <f>Modèle!E240</f>
        <v>A</v>
      </c>
      <c r="E238" s="238">
        <f ca="1">COUNTIF(OFFSET(Synthèse!$G247,0,0,1,COUNTA(Synthèse!$10:$10)-6),"="&amp;$E$1)</f>
        <v>0</v>
      </c>
      <c r="F238" s="238">
        <f ca="1">COUNTIF(OFFSET(Synthèse!$G247,0,0,1,COUNTA(Synthèse!$10:$10)-6),"="&amp;$F$1)</f>
        <v>0</v>
      </c>
      <c r="G238" s="238">
        <f ca="1">COUNTIF(OFFSET(Synthèse!$G247,0,0,1,COUNTA(Synthèse!$10:$10)-6),"="&amp;$G$1)</f>
        <v>0</v>
      </c>
      <c r="H238" s="238">
        <f ca="1">COUNTIF(OFFSET(Synthèse!$G247,0,0,1,COUNTA(Synthèse!$10:$10)-6),"="&amp;$H$1)</f>
        <v>0</v>
      </c>
      <c r="I238" s="18">
        <f t="shared" ca="1" si="22"/>
        <v>0</v>
      </c>
      <c r="Q238" s="12"/>
      <c r="R238" s="12"/>
    </row>
    <row r="239" spans="2:18" x14ac:dyDescent="0.35">
      <c r="B239" s="105" t="str">
        <f>Modèle!B241</f>
        <v>Consultation</v>
      </c>
      <c r="C239" s="115" t="str">
        <f>Modèle!D241</f>
        <v>13.1.2</v>
      </c>
      <c r="D239" s="112" t="str">
        <f>Modèle!E241</f>
        <v>A</v>
      </c>
      <c r="E239" s="238">
        <f ca="1">COUNTIF(OFFSET(Synthèse!$G248,0,0,1,COUNTA(Synthèse!$10:$10)-6),"="&amp;$E$1)</f>
        <v>0</v>
      </c>
      <c r="F239" s="238">
        <f ca="1">COUNTIF(OFFSET(Synthèse!$G248,0,0,1,COUNTA(Synthèse!$10:$10)-6),"="&amp;$F$1)</f>
        <v>0</v>
      </c>
      <c r="G239" s="238">
        <f ca="1">COUNTIF(OFFSET(Synthèse!$G248,0,0,1,COUNTA(Synthèse!$10:$10)-6),"="&amp;$G$1)</f>
        <v>0</v>
      </c>
      <c r="H239" s="238">
        <f ca="1">COUNTIF(OFFSET(Synthèse!$G248,0,0,1,COUNTA(Synthèse!$10:$10)-6),"="&amp;$H$1)</f>
        <v>0</v>
      </c>
      <c r="I239" s="18">
        <f t="shared" ca="1" si="22"/>
        <v>0</v>
      </c>
      <c r="Q239" s="12"/>
      <c r="R239" s="12"/>
    </row>
    <row r="240" spans="2:18" x14ac:dyDescent="0.35">
      <c r="B240" s="105" t="str">
        <f>Modèle!B242</f>
        <v>Consultation</v>
      </c>
      <c r="C240" s="115" t="str">
        <f>Modèle!D242</f>
        <v>13.1.3</v>
      </c>
      <c r="D240" s="112" t="str">
        <f>Modèle!E242</f>
        <v>A</v>
      </c>
      <c r="E240" s="238">
        <f ca="1">COUNTIF(OFFSET(Synthèse!$G249,0,0,1,COUNTA(Synthèse!$10:$10)-6),"="&amp;$E$1)</f>
        <v>0</v>
      </c>
      <c r="F240" s="238">
        <f ca="1">COUNTIF(OFFSET(Synthèse!$G249,0,0,1,COUNTA(Synthèse!$10:$10)-6),"="&amp;$F$1)</f>
        <v>0</v>
      </c>
      <c r="G240" s="238">
        <f ca="1">COUNTIF(OFFSET(Synthèse!$G249,0,0,1,COUNTA(Synthèse!$10:$10)-6),"="&amp;$G$1)</f>
        <v>0</v>
      </c>
      <c r="H240" s="238">
        <f ca="1">COUNTIF(OFFSET(Synthèse!$G249,0,0,1,COUNTA(Synthèse!$10:$10)-6),"="&amp;$H$1)</f>
        <v>0</v>
      </c>
      <c r="I240" s="18">
        <f t="shared" ca="1" si="22"/>
        <v>0</v>
      </c>
      <c r="Q240" s="12"/>
      <c r="R240" s="12"/>
    </row>
    <row r="241" spans="2:18" x14ac:dyDescent="0.35">
      <c r="B241" s="105" t="str">
        <f>Modèle!B243</f>
        <v>Consultation</v>
      </c>
      <c r="C241" s="115" t="str">
        <f>Modèle!D243</f>
        <v>13.1.4</v>
      </c>
      <c r="D241" s="112" t="str">
        <f>Modèle!E243</f>
        <v>A</v>
      </c>
      <c r="E241" s="238">
        <f ca="1">COUNTIF(OFFSET(Synthèse!$G250,0,0,1,COUNTA(Synthèse!$10:$10)-6),"="&amp;$E$1)</f>
        <v>0</v>
      </c>
      <c r="F241" s="238">
        <f ca="1">COUNTIF(OFFSET(Synthèse!$G250,0,0,1,COUNTA(Synthèse!$10:$10)-6),"="&amp;$F$1)</f>
        <v>0</v>
      </c>
      <c r="G241" s="238">
        <f ca="1">COUNTIF(OFFSET(Synthèse!$G250,0,0,1,COUNTA(Synthèse!$10:$10)-6),"="&amp;$G$1)</f>
        <v>0</v>
      </c>
      <c r="H241" s="238">
        <f ca="1">COUNTIF(OFFSET(Synthèse!$G250,0,0,1,COUNTA(Synthèse!$10:$10)-6),"="&amp;$H$1)</f>
        <v>0</v>
      </c>
      <c r="I241" s="18">
        <f t="shared" ca="1" si="22"/>
        <v>0</v>
      </c>
      <c r="Q241" s="12"/>
      <c r="R241" s="12"/>
    </row>
    <row r="242" spans="2:18" x14ac:dyDescent="0.35">
      <c r="B242" s="106" t="str">
        <f>Modèle!B244</f>
        <v>Consultation</v>
      </c>
      <c r="C242" s="116" t="str">
        <f>Modèle!D244</f>
        <v>13.2.1</v>
      </c>
      <c r="D242" s="114" t="str">
        <f>Modèle!E244</f>
        <v>A</v>
      </c>
      <c r="E242" s="239">
        <f ca="1">COUNTIF(OFFSET(Synthèse!$G251,0,0,1,COUNTA(Synthèse!$10:$10)-6),"="&amp;$E$1)</f>
        <v>0</v>
      </c>
      <c r="F242" s="239">
        <f ca="1">COUNTIF(OFFSET(Synthèse!$G251,0,0,1,COUNTA(Synthèse!$10:$10)-6),"="&amp;$F$1)</f>
        <v>0</v>
      </c>
      <c r="G242" s="239">
        <f ca="1">COUNTIF(OFFSET(Synthèse!$G251,0,0,1,COUNTA(Synthèse!$10:$10)-6),"="&amp;$G$1)</f>
        <v>0</v>
      </c>
      <c r="H242" s="239">
        <f ca="1">COUNTIF(OFFSET(Synthèse!$G251,0,0,1,COUNTA(Synthèse!$10:$10)-6),"="&amp;$H$1)</f>
        <v>0</v>
      </c>
      <c r="I242" s="18">
        <f t="shared" ca="1" si="22"/>
        <v>0</v>
      </c>
      <c r="Q242" s="12"/>
      <c r="R242" s="12"/>
    </row>
    <row r="243" spans="2:18" x14ac:dyDescent="0.35">
      <c r="B243" s="105" t="str">
        <f>Modèle!B245</f>
        <v>Consultation</v>
      </c>
      <c r="C243" s="115" t="str">
        <f>Modèle!D245</f>
        <v>13.3.1</v>
      </c>
      <c r="D243" s="112" t="str">
        <f>Modèle!E245</f>
        <v>A</v>
      </c>
      <c r="E243" s="238">
        <f ca="1">COUNTIF(OFFSET(Synthèse!$G252,0,0,1,COUNTA(Synthèse!$10:$10)-6),"="&amp;$E$1)</f>
        <v>0</v>
      </c>
      <c r="F243" s="238">
        <f ca="1">COUNTIF(OFFSET(Synthèse!$G252,0,0,1,COUNTA(Synthèse!$10:$10)-6),"="&amp;$F$1)</f>
        <v>0</v>
      </c>
      <c r="G243" s="238">
        <f ca="1">COUNTIF(OFFSET(Synthèse!$G252,0,0,1,COUNTA(Synthèse!$10:$10)-6),"="&amp;$G$1)</f>
        <v>0</v>
      </c>
      <c r="H243" s="238">
        <f ca="1">COUNTIF(OFFSET(Synthèse!$G252,0,0,1,COUNTA(Synthèse!$10:$10)-6),"="&amp;$H$1)</f>
        <v>0</v>
      </c>
      <c r="I243" s="18">
        <f t="shared" ca="1" si="22"/>
        <v>0</v>
      </c>
      <c r="Q243" s="12"/>
      <c r="R243" s="12"/>
    </row>
    <row r="244" spans="2:18" x14ac:dyDescent="0.35">
      <c r="B244" s="106" t="str">
        <f>Modèle!B246</f>
        <v>Consultation</v>
      </c>
      <c r="C244" s="116" t="str">
        <f>Modèle!D246</f>
        <v>13.4.1</v>
      </c>
      <c r="D244" s="114" t="str">
        <f>Modèle!E246</f>
        <v>A</v>
      </c>
      <c r="E244" s="239">
        <f ca="1">COUNTIF(OFFSET(Synthèse!$G253,0,0,1,COUNTA(Synthèse!$10:$10)-6),"="&amp;$E$1)</f>
        <v>0</v>
      </c>
      <c r="F244" s="239">
        <f ca="1">COUNTIF(OFFSET(Synthèse!$G253,0,0,1,COUNTA(Synthèse!$10:$10)-6),"="&amp;$F$1)</f>
        <v>0</v>
      </c>
      <c r="G244" s="239">
        <f ca="1">COUNTIF(OFFSET(Synthèse!$G253,0,0,1,COUNTA(Synthèse!$10:$10)-6),"="&amp;$G$1)</f>
        <v>0</v>
      </c>
      <c r="H244" s="239">
        <f ca="1">COUNTIF(OFFSET(Synthèse!$G253,0,0,1,COUNTA(Synthèse!$10:$10)-6),"="&amp;$H$1)</f>
        <v>0</v>
      </c>
      <c r="I244" s="18">
        <f t="shared" ca="1" si="22"/>
        <v>0</v>
      </c>
      <c r="Q244" s="12"/>
      <c r="R244" s="12"/>
    </row>
    <row r="245" spans="2:18" x14ac:dyDescent="0.35">
      <c r="B245" s="105" t="str">
        <f>Modèle!B247</f>
        <v>Consultation</v>
      </c>
      <c r="C245" s="115" t="str">
        <f>Modèle!D247</f>
        <v>13.5.1</v>
      </c>
      <c r="D245" s="112" t="str">
        <f>Modèle!E247</f>
        <v>A</v>
      </c>
      <c r="E245" s="238">
        <f ca="1">COUNTIF(OFFSET(Synthèse!$G254,0,0,1,COUNTA(Synthèse!$10:$10)-6),"="&amp;$E$1)</f>
        <v>0</v>
      </c>
      <c r="F245" s="238">
        <f ca="1">COUNTIF(OFFSET(Synthèse!$G254,0,0,1,COUNTA(Synthèse!$10:$10)-6),"="&amp;$F$1)</f>
        <v>0</v>
      </c>
      <c r="G245" s="238">
        <f ca="1">COUNTIF(OFFSET(Synthèse!$G254,0,0,1,COUNTA(Synthèse!$10:$10)-6),"="&amp;$G$1)</f>
        <v>0</v>
      </c>
      <c r="H245" s="238">
        <f ca="1">COUNTIF(OFFSET(Synthèse!$G254,0,0,1,COUNTA(Synthèse!$10:$10)-6),"="&amp;$H$1)</f>
        <v>0</v>
      </c>
      <c r="I245" s="18">
        <f t="shared" ca="1" si="22"/>
        <v>0</v>
      </c>
      <c r="Q245" s="12"/>
      <c r="R245" s="12"/>
    </row>
    <row r="246" spans="2:18" x14ac:dyDescent="0.35">
      <c r="B246" s="106" t="str">
        <f>Modèle!B248</f>
        <v>Consultation</v>
      </c>
      <c r="C246" s="116" t="str">
        <f>Modèle!D248</f>
        <v>13.6.1</v>
      </c>
      <c r="D246" s="114" t="str">
        <f>Modèle!E248</f>
        <v>A</v>
      </c>
      <c r="E246" s="239">
        <f ca="1">COUNTIF(OFFSET(Synthèse!$G255,0,0,1,COUNTA(Synthèse!$10:$10)-6),"="&amp;$E$1)</f>
        <v>0</v>
      </c>
      <c r="F246" s="239">
        <f ca="1">COUNTIF(OFFSET(Synthèse!$G255,0,0,1,COUNTA(Synthèse!$10:$10)-6),"="&amp;$F$1)</f>
        <v>0</v>
      </c>
      <c r="G246" s="239">
        <f ca="1">COUNTIF(OFFSET(Synthèse!$G255,0,0,1,COUNTA(Synthèse!$10:$10)-6),"="&amp;$G$1)</f>
        <v>0</v>
      </c>
      <c r="H246" s="239">
        <f ca="1">COUNTIF(OFFSET(Synthèse!$G255,0,0,1,COUNTA(Synthèse!$10:$10)-6),"="&amp;$H$1)</f>
        <v>0</v>
      </c>
      <c r="I246" s="18">
        <f t="shared" ca="1" si="22"/>
        <v>0</v>
      </c>
      <c r="Q246" s="12"/>
      <c r="R246" s="12"/>
    </row>
    <row r="247" spans="2:18" x14ac:dyDescent="0.35">
      <c r="B247" s="105" t="str">
        <f>Modèle!B249</f>
        <v>Consultation</v>
      </c>
      <c r="C247" s="115" t="str">
        <f>Modèle!D249</f>
        <v>13.7.1</v>
      </c>
      <c r="D247" s="112" t="str">
        <f>Modèle!E249</f>
        <v>A</v>
      </c>
      <c r="E247" s="238">
        <f ca="1">COUNTIF(OFFSET(Synthèse!$G256,0,0,1,COUNTA(Synthèse!$10:$10)-6),"="&amp;$E$1)</f>
        <v>0</v>
      </c>
      <c r="F247" s="238">
        <f ca="1">COUNTIF(OFFSET(Synthèse!$G256,0,0,1,COUNTA(Synthèse!$10:$10)-6),"="&amp;$F$1)</f>
        <v>0</v>
      </c>
      <c r="G247" s="238">
        <f ca="1">COUNTIF(OFFSET(Synthèse!$G256,0,0,1,COUNTA(Synthèse!$10:$10)-6),"="&amp;$G$1)</f>
        <v>0</v>
      </c>
      <c r="H247" s="238">
        <f ca="1">COUNTIF(OFFSET(Synthèse!$G256,0,0,1,COUNTA(Synthèse!$10:$10)-6),"="&amp;$H$1)</f>
        <v>0</v>
      </c>
      <c r="I247" s="18">
        <f t="shared" ca="1" si="22"/>
        <v>0</v>
      </c>
      <c r="Q247" s="12"/>
      <c r="R247" s="12"/>
    </row>
    <row r="248" spans="2:18" x14ac:dyDescent="0.35">
      <c r="B248" s="105" t="str">
        <f>Modèle!B250</f>
        <v>Consultation</v>
      </c>
      <c r="C248" s="115" t="str">
        <f>Modèle!D250</f>
        <v>13.7.2</v>
      </c>
      <c r="D248" s="112" t="str">
        <f>Modèle!E250</f>
        <v>A</v>
      </c>
      <c r="E248" s="238">
        <f ca="1">COUNTIF(OFFSET(Synthèse!$G257,0,0,1,COUNTA(Synthèse!$10:$10)-6),"="&amp;$E$1)</f>
        <v>0</v>
      </c>
      <c r="F248" s="238">
        <f ca="1">COUNTIF(OFFSET(Synthèse!$G257,0,0,1,COUNTA(Synthèse!$10:$10)-6),"="&amp;$F$1)</f>
        <v>0</v>
      </c>
      <c r="G248" s="238">
        <f ca="1">COUNTIF(OFFSET(Synthèse!$G257,0,0,1,COUNTA(Synthèse!$10:$10)-6),"="&amp;$G$1)</f>
        <v>0</v>
      </c>
      <c r="H248" s="238">
        <f ca="1">COUNTIF(OFFSET(Synthèse!$G257,0,0,1,COUNTA(Synthèse!$10:$10)-6),"="&amp;$H$1)</f>
        <v>0</v>
      </c>
      <c r="I248" s="18">
        <f t="shared" ca="1" si="22"/>
        <v>0</v>
      </c>
      <c r="Q248" s="12"/>
      <c r="R248" s="12"/>
    </row>
    <row r="249" spans="2:18" x14ac:dyDescent="0.35">
      <c r="B249" s="105" t="str">
        <f>Modèle!B251</f>
        <v>Consultation</v>
      </c>
      <c r="C249" s="115" t="str">
        <f>Modèle!D251</f>
        <v>13.7.3</v>
      </c>
      <c r="D249" s="112" t="str">
        <f>Modèle!E251</f>
        <v>A</v>
      </c>
      <c r="E249" s="238">
        <f ca="1">COUNTIF(OFFSET(Synthèse!$G258,0,0,1,COUNTA(Synthèse!$10:$10)-6),"="&amp;$E$1)</f>
        <v>0</v>
      </c>
      <c r="F249" s="238">
        <f ca="1">COUNTIF(OFFSET(Synthèse!$G258,0,0,1,COUNTA(Synthèse!$10:$10)-6),"="&amp;$F$1)</f>
        <v>0</v>
      </c>
      <c r="G249" s="238">
        <f ca="1">COUNTIF(OFFSET(Synthèse!$G258,0,0,1,COUNTA(Synthèse!$10:$10)-6),"="&amp;$G$1)</f>
        <v>0</v>
      </c>
      <c r="H249" s="238">
        <f ca="1">COUNTIF(OFFSET(Synthèse!$G258,0,0,1,COUNTA(Synthèse!$10:$10)-6),"="&amp;$H$1)</f>
        <v>0</v>
      </c>
      <c r="I249" s="18">
        <f t="shared" ca="1" si="22"/>
        <v>0</v>
      </c>
      <c r="Q249" s="12"/>
      <c r="R249" s="12"/>
    </row>
    <row r="250" spans="2:18" x14ac:dyDescent="0.35">
      <c r="B250" s="106" t="str">
        <f>Modèle!B252</f>
        <v>Consultation</v>
      </c>
      <c r="C250" s="116" t="str">
        <f>Modèle!D252</f>
        <v>13.8.1</v>
      </c>
      <c r="D250" s="114" t="str">
        <f>Modèle!E252</f>
        <v>A</v>
      </c>
      <c r="E250" s="239">
        <f ca="1">COUNTIF(OFFSET(Synthèse!$G259,0,0,1,COUNTA(Synthèse!$10:$10)-6),"="&amp;$E$1)</f>
        <v>0</v>
      </c>
      <c r="F250" s="239">
        <f ca="1">COUNTIF(OFFSET(Synthèse!$G259,0,0,1,COUNTA(Synthèse!$10:$10)-6),"="&amp;$F$1)</f>
        <v>0</v>
      </c>
      <c r="G250" s="239">
        <f ca="1">COUNTIF(OFFSET(Synthèse!$G259,0,0,1,COUNTA(Synthèse!$10:$10)-6),"="&amp;$G$1)</f>
        <v>0</v>
      </c>
      <c r="H250" s="239">
        <f ca="1">COUNTIF(OFFSET(Synthèse!$G259,0,0,1,COUNTA(Synthèse!$10:$10)-6),"="&amp;$H$1)</f>
        <v>0</v>
      </c>
      <c r="I250" s="18">
        <f t="shared" ca="1" si="22"/>
        <v>0</v>
      </c>
      <c r="Q250" s="12"/>
      <c r="R250" s="12"/>
    </row>
    <row r="251" spans="2:18" x14ac:dyDescent="0.35">
      <c r="B251" s="106" t="str">
        <f>Modèle!B253</f>
        <v>Consultation</v>
      </c>
      <c r="C251" s="116" t="str">
        <f>Modèle!D253</f>
        <v>13.8.2</v>
      </c>
      <c r="D251" s="114" t="str">
        <f>Modèle!E253</f>
        <v>A</v>
      </c>
      <c r="E251" s="239">
        <f ca="1">COUNTIF(OFFSET(Synthèse!$G260,0,0,1,COUNTA(Synthèse!$10:$10)-6),"="&amp;$E$1)</f>
        <v>0</v>
      </c>
      <c r="F251" s="239">
        <f ca="1">COUNTIF(OFFSET(Synthèse!$G260,0,0,1,COUNTA(Synthèse!$10:$10)-6),"="&amp;$F$1)</f>
        <v>0</v>
      </c>
      <c r="G251" s="239">
        <f ca="1">COUNTIF(OFFSET(Synthèse!$G260,0,0,1,COUNTA(Synthèse!$10:$10)-6),"="&amp;$G$1)</f>
        <v>0</v>
      </c>
      <c r="H251" s="239">
        <f ca="1">COUNTIF(OFFSET(Synthèse!$G260,0,0,1,COUNTA(Synthèse!$10:$10)-6),"="&amp;$H$1)</f>
        <v>0</v>
      </c>
      <c r="I251" s="18">
        <f t="shared" ca="1" si="22"/>
        <v>0</v>
      </c>
      <c r="Q251" s="12"/>
      <c r="R251" s="12"/>
    </row>
    <row r="252" spans="2:18" x14ac:dyDescent="0.35">
      <c r="B252" s="105" t="str">
        <f>Modèle!B254</f>
        <v>Consultation</v>
      </c>
      <c r="C252" s="115" t="str">
        <f>Modèle!D254</f>
        <v>13.9.1</v>
      </c>
      <c r="D252" s="112" t="str">
        <f>Modèle!E254</f>
        <v>AA</v>
      </c>
      <c r="E252" s="238">
        <f ca="1">COUNTIF(OFFSET(Synthèse!$G261,0,0,1,COUNTA(Synthèse!$10:$10)-6),"="&amp;$E$1)</f>
        <v>0</v>
      </c>
      <c r="F252" s="238">
        <f ca="1">COUNTIF(OFFSET(Synthèse!$G261,0,0,1,COUNTA(Synthèse!$10:$10)-6),"="&amp;$F$1)</f>
        <v>0</v>
      </c>
      <c r="G252" s="238">
        <f ca="1">COUNTIF(OFFSET(Synthèse!$G261,0,0,1,COUNTA(Synthèse!$10:$10)-6),"="&amp;$G$1)</f>
        <v>0</v>
      </c>
      <c r="H252" s="238">
        <f ca="1">COUNTIF(OFFSET(Synthèse!$G261,0,0,1,COUNTA(Synthèse!$10:$10)-6),"="&amp;$H$1)</f>
        <v>0</v>
      </c>
      <c r="I252" s="18">
        <f t="shared" ca="1" si="22"/>
        <v>0</v>
      </c>
      <c r="Q252" s="12"/>
      <c r="R252" s="12"/>
    </row>
    <row r="253" spans="2:18" x14ac:dyDescent="0.35">
      <c r="B253" s="106" t="str">
        <f>Modèle!B255</f>
        <v>Consultation</v>
      </c>
      <c r="C253" s="116" t="str">
        <f>Modèle!D255</f>
        <v>13.10.1</v>
      </c>
      <c r="D253" s="114" t="str">
        <f>Modèle!E255</f>
        <v>A</v>
      </c>
      <c r="E253" s="239">
        <f ca="1">COUNTIF(OFFSET(Synthèse!$G262,0,0,1,COUNTA(Synthèse!$10:$10)-6),"="&amp;$E$1)</f>
        <v>0</v>
      </c>
      <c r="F253" s="239">
        <f ca="1">COUNTIF(OFFSET(Synthèse!$G262,0,0,1,COUNTA(Synthèse!$10:$10)-6),"="&amp;$F$1)</f>
        <v>0</v>
      </c>
      <c r="G253" s="239">
        <f ca="1">COUNTIF(OFFSET(Synthèse!$G262,0,0,1,COUNTA(Synthèse!$10:$10)-6),"="&amp;$G$1)</f>
        <v>0</v>
      </c>
      <c r="H253" s="239">
        <f ca="1">COUNTIF(OFFSET(Synthèse!$G262,0,0,1,COUNTA(Synthèse!$10:$10)-6),"="&amp;$H$1)</f>
        <v>0</v>
      </c>
      <c r="I253" s="18">
        <f t="shared" ca="1" si="22"/>
        <v>0</v>
      </c>
      <c r="Q253" s="12"/>
      <c r="R253" s="12"/>
    </row>
    <row r="254" spans="2:18" x14ac:dyDescent="0.35">
      <c r="B254" s="106" t="str">
        <f>Modèle!B256</f>
        <v>Consultation</v>
      </c>
      <c r="C254" s="116" t="str">
        <f>Modèle!D256</f>
        <v>13.10.2</v>
      </c>
      <c r="D254" s="114" t="str">
        <f>Modèle!E256</f>
        <v>A</v>
      </c>
      <c r="E254" s="239">
        <f ca="1">COUNTIF(OFFSET(Synthèse!$G263,0,0,1,COUNTA(Synthèse!$10:$10)-6),"="&amp;$E$1)</f>
        <v>0</v>
      </c>
      <c r="F254" s="239">
        <f ca="1">COUNTIF(OFFSET(Synthèse!$G263,0,0,1,COUNTA(Synthèse!$10:$10)-6),"="&amp;$F$1)</f>
        <v>0</v>
      </c>
      <c r="G254" s="239">
        <f ca="1">COUNTIF(OFFSET(Synthèse!$G263,0,0,1,COUNTA(Synthèse!$10:$10)-6),"="&amp;$G$1)</f>
        <v>0</v>
      </c>
      <c r="H254" s="239">
        <f ca="1">COUNTIF(OFFSET(Synthèse!$G263,0,0,1,COUNTA(Synthèse!$10:$10)-6),"="&amp;$H$1)</f>
        <v>0</v>
      </c>
      <c r="I254" s="18">
        <f t="shared" ca="1" si="22"/>
        <v>0</v>
      </c>
      <c r="Q254" s="12"/>
      <c r="R254" s="12"/>
    </row>
    <row r="255" spans="2:18" x14ac:dyDescent="0.35">
      <c r="B255" s="105" t="str">
        <f>Modèle!B257</f>
        <v>Consultation</v>
      </c>
      <c r="C255" s="115" t="str">
        <f>Modèle!D257</f>
        <v>13.11.1</v>
      </c>
      <c r="D255" s="112" t="str">
        <f>Modèle!E257</f>
        <v>A</v>
      </c>
      <c r="E255" s="238">
        <f ca="1">COUNTIF(OFFSET(Synthèse!$G264,0,0,1,COUNTA(Synthèse!$10:$10)-6),"="&amp;$E$1)</f>
        <v>0</v>
      </c>
      <c r="F255" s="238">
        <f ca="1">COUNTIF(OFFSET(Synthèse!$G264,0,0,1,COUNTA(Synthèse!$10:$10)-6),"="&amp;$F$1)</f>
        <v>0</v>
      </c>
      <c r="G255" s="238">
        <f ca="1">COUNTIF(OFFSET(Synthèse!$G264,0,0,1,COUNTA(Synthèse!$10:$10)-6),"="&amp;$G$1)</f>
        <v>0</v>
      </c>
      <c r="H255" s="238">
        <f ca="1">COUNTIF(OFFSET(Synthèse!$G264,0,0,1,COUNTA(Synthèse!$10:$10)-6),"="&amp;$H$1)</f>
        <v>0</v>
      </c>
      <c r="I255" s="18">
        <f t="shared" ca="1" si="22"/>
        <v>0</v>
      </c>
      <c r="Q255" s="12"/>
      <c r="R255" s="12"/>
    </row>
    <row r="256" spans="2:18" x14ac:dyDescent="0.35">
      <c r="B256" s="106" t="str">
        <f>Modèle!B258</f>
        <v>Consultation</v>
      </c>
      <c r="C256" s="116" t="str">
        <f>Modèle!D258</f>
        <v>13.12.1</v>
      </c>
      <c r="D256" s="114" t="str">
        <f>Modèle!E258</f>
        <v>A</v>
      </c>
      <c r="E256" s="239">
        <f ca="1">COUNTIF(OFFSET(Synthèse!$G265,0,0,1,COUNTA(Synthèse!$10:$10)-6),"="&amp;$E$1)</f>
        <v>0</v>
      </c>
      <c r="F256" s="239">
        <f ca="1">COUNTIF(OFFSET(Synthèse!$G265,0,0,1,COUNTA(Synthèse!$10:$10)-6),"="&amp;$F$1)</f>
        <v>0</v>
      </c>
      <c r="G256" s="239">
        <f ca="1">COUNTIF(OFFSET(Synthèse!$G265,0,0,1,COUNTA(Synthèse!$10:$10)-6),"="&amp;$G$1)</f>
        <v>0</v>
      </c>
      <c r="H256" s="239">
        <f ca="1">COUNTIF(OFFSET(Synthèse!$G265,0,0,1,COUNTA(Synthèse!$10:$10)-6),"="&amp;$H$1)</f>
        <v>0</v>
      </c>
      <c r="I256" s="18">
        <f t="shared" ca="1" si="22"/>
        <v>0</v>
      </c>
      <c r="Q256" s="12"/>
      <c r="R256" s="12"/>
    </row>
    <row r="257" spans="2:18" x14ac:dyDescent="0.35">
      <c r="B257" s="106" t="str">
        <f>Modèle!B259</f>
        <v>Consultation</v>
      </c>
      <c r="C257" s="116" t="str">
        <f>Modèle!D259</f>
        <v>13.12.2</v>
      </c>
      <c r="D257" s="114" t="str">
        <f>Modèle!E259</f>
        <v>A</v>
      </c>
      <c r="E257" s="239">
        <f ca="1">COUNTIF(OFFSET(Synthèse!$G266,0,0,1,COUNTA(Synthèse!$10:$10)-6),"="&amp;$E$1)</f>
        <v>0</v>
      </c>
      <c r="F257" s="239">
        <f ca="1">COUNTIF(OFFSET(Synthèse!$G266,0,0,1,COUNTA(Synthèse!$10:$10)-6),"="&amp;$F$1)</f>
        <v>0</v>
      </c>
      <c r="G257" s="239">
        <f ca="1">COUNTIF(OFFSET(Synthèse!$G266,0,0,1,COUNTA(Synthèse!$10:$10)-6),"="&amp;$G$1)</f>
        <v>0</v>
      </c>
      <c r="H257" s="239">
        <f ca="1">COUNTIF(OFFSET(Synthèse!$G266,0,0,1,COUNTA(Synthèse!$10:$10)-6),"="&amp;$H$1)</f>
        <v>0</v>
      </c>
      <c r="I257" s="18">
        <f t="shared" ca="1" si="22"/>
        <v>0</v>
      </c>
      <c r="Q257" s="12"/>
      <c r="R257" s="12"/>
    </row>
    <row r="258" spans="2:18" x14ac:dyDescent="0.35">
      <c r="B258" s="106" t="str">
        <f>Modèle!B260</f>
        <v>Consultation</v>
      </c>
      <c r="C258" s="116" t="str">
        <f>Modèle!D260</f>
        <v>13.12.3</v>
      </c>
      <c r="D258" s="114" t="str">
        <f>Modèle!E260</f>
        <v>A</v>
      </c>
      <c r="E258" s="239">
        <f ca="1">COUNTIF(OFFSET(Synthèse!$G267,0,0,1,COUNTA(Synthèse!$10:$10)-6),"="&amp;$E$1)</f>
        <v>0</v>
      </c>
      <c r="F258" s="239">
        <f ca="1">COUNTIF(OFFSET(Synthèse!$G267,0,0,1,COUNTA(Synthèse!$10:$10)-6),"="&amp;$F$1)</f>
        <v>0</v>
      </c>
      <c r="G258" s="239">
        <f ca="1">COUNTIF(OFFSET(Synthèse!$G267,0,0,1,COUNTA(Synthèse!$10:$10)-6),"="&amp;$G$1)</f>
        <v>0</v>
      </c>
      <c r="H258" s="239">
        <f ca="1">COUNTIF(OFFSET(Synthèse!$G267,0,0,1,COUNTA(Synthèse!$10:$10)-6),"="&amp;$H$1)</f>
        <v>0</v>
      </c>
      <c r="I258" s="18">
        <f t="shared" ca="1" si="22"/>
        <v>0</v>
      </c>
      <c r="Q258" s="12"/>
      <c r="R258" s="12"/>
    </row>
    <row r="259" spans="2:18" x14ac:dyDescent="0.35">
      <c r="D259" s="37" t="s">
        <v>42</v>
      </c>
      <c r="E259" s="37">
        <f ca="1">SUM($E$2:$E$258)</f>
        <v>0</v>
      </c>
      <c r="F259" s="37">
        <f ca="1">SUM($F$2:$F$258)</f>
        <v>0</v>
      </c>
      <c r="G259" s="37">
        <f ca="1">SUM($G$2:$G$258)</f>
        <v>0</v>
      </c>
      <c r="H259" s="37">
        <f ca="1">SUM($H$2:$H$258)</f>
        <v>0</v>
      </c>
      <c r="Q259" s="12"/>
      <c r="R259" s="12"/>
    </row>
    <row r="260" spans="2:18" x14ac:dyDescent="0.35">
      <c r="Q260" s="12"/>
      <c r="R260" s="12"/>
    </row>
    <row r="261" spans="2:18" x14ac:dyDescent="0.35">
      <c r="Q261" s="12"/>
      <c r="R261" s="12"/>
    </row>
    <row r="262" spans="2:18" x14ac:dyDescent="0.35">
      <c r="Q262" s="12"/>
      <c r="R262" s="12"/>
    </row>
    <row r="263" spans="2:18" x14ac:dyDescent="0.35">
      <c r="Q263" s="12"/>
      <c r="R263" s="12"/>
    </row>
    <row r="264" spans="2:18" x14ac:dyDescent="0.35">
      <c r="Q264" s="12"/>
      <c r="R264" s="12"/>
    </row>
    <row r="265" spans="2:18" x14ac:dyDescent="0.35">
      <c r="Q265" s="12"/>
      <c r="R265" s="12"/>
    </row>
    <row r="266" spans="2:18" x14ac:dyDescent="0.35">
      <c r="Q266" s="12"/>
      <c r="R266" s="12"/>
    </row>
    <row r="267" spans="2:18" x14ac:dyDescent="0.35">
      <c r="Q267" s="12"/>
      <c r="R267" s="12"/>
    </row>
    <row r="268" spans="2:18" x14ac:dyDescent="0.35">
      <c r="Q268" s="12"/>
      <c r="R268" s="12"/>
    </row>
    <row r="269" spans="2:18" x14ac:dyDescent="0.35">
      <c r="Q269" s="12"/>
      <c r="R269" s="12"/>
    </row>
    <row r="270" spans="2:18" x14ac:dyDescent="0.35">
      <c r="Q270" s="12"/>
      <c r="R270" s="12"/>
    </row>
    <row r="271" spans="2:18" x14ac:dyDescent="0.35">
      <c r="Q271" s="12"/>
      <c r="R271" s="12"/>
    </row>
    <row r="272" spans="2:18" x14ac:dyDescent="0.35">
      <c r="Q272" s="12"/>
      <c r="R272" s="12"/>
    </row>
    <row r="273" spans="17:18" x14ac:dyDescent="0.35">
      <c r="Q273" s="12"/>
      <c r="R273" s="12"/>
    </row>
    <row r="274" spans="17:18" x14ac:dyDescent="0.35">
      <c r="Q274" s="12"/>
      <c r="R274" s="12"/>
    </row>
    <row r="275" spans="17:18" x14ac:dyDescent="0.35">
      <c r="Q275" s="12"/>
      <c r="R275" s="12"/>
    </row>
    <row r="276" spans="17:18" x14ac:dyDescent="0.35">
      <c r="Q276" s="12"/>
      <c r="R276" s="12"/>
    </row>
    <row r="277" spans="17:18" x14ac:dyDescent="0.35">
      <c r="Q277" s="12"/>
      <c r="R277" s="12"/>
    </row>
    <row r="278" spans="17:18" x14ac:dyDescent="0.35">
      <c r="Q278" s="12"/>
      <c r="R278" s="12"/>
    </row>
    <row r="279" spans="17:18" x14ac:dyDescent="0.35">
      <c r="Q279" s="12"/>
      <c r="R279" s="12"/>
    </row>
    <row r="280" spans="17:18" x14ac:dyDescent="0.35">
      <c r="Q280" s="12"/>
      <c r="R280" s="12"/>
    </row>
    <row r="281" spans="17:18" x14ac:dyDescent="0.35">
      <c r="Q281" s="12"/>
      <c r="R281" s="12"/>
    </row>
    <row r="282" spans="17:18" x14ac:dyDescent="0.35">
      <c r="Q282" s="12"/>
      <c r="R282" s="12"/>
    </row>
    <row r="283" spans="17:18" x14ac:dyDescent="0.35">
      <c r="Q283" s="12"/>
      <c r="R283" s="12"/>
    </row>
    <row r="284" spans="17:18" x14ac:dyDescent="0.35">
      <c r="Q284" s="12"/>
      <c r="R284" s="12"/>
    </row>
    <row r="285" spans="17:18" x14ac:dyDescent="0.35">
      <c r="Q285" s="12"/>
      <c r="R285" s="12"/>
    </row>
    <row r="286" spans="17:18" x14ac:dyDescent="0.35">
      <c r="Q286" s="12"/>
      <c r="R286" s="12"/>
    </row>
    <row r="287" spans="17:18" x14ac:dyDescent="0.35">
      <c r="Q287" s="12"/>
      <c r="R287" s="12"/>
    </row>
    <row r="288" spans="17:18" x14ac:dyDescent="0.35">
      <c r="Q288" s="12"/>
      <c r="R288" s="12"/>
    </row>
    <row r="289" spans="17:18" x14ac:dyDescent="0.35">
      <c r="Q289" s="12"/>
      <c r="R289" s="12"/>
    </row>
    <row r="290" spans="17:18" x14ac:dyDescent="0.35">
      <c r="Q290" s="12"/>
      <c r="R290" s="12"/>
    </row>
    <row r="291" spans="17:18" x14ac:dyDescent="0.35">
      <c r="Q291" s="12"/>
      <c r="R291" s="12"/>
    </row>
    <row r="292" spans="17:18" x14ac:dyDescent="0.35">
      <c r="Q292" s="12"/>
      <c r="R292" s="12"/>
    </row>
    <row r="293" spans="17:18" x14ac:dyDescent="0.35">
      <c r="Q293" s="12"/>
      <c r="R293" s="12"/>
    </row>
    <row r="294" spans="17:18" x14ac:dyDescent="0.35">
      <c r="Q294" s="12"/>
      <c r="R294" s="12"/>
    </row>
    <row r="295" spans="17:18" x14ac:dyDescent="0.35">
      <c r="Q295" s="12"/>
      <c r="R295" s="12"/>
    </row>
    <row r="296" spans="17:18" x14ac:dyDescent="0.35">
      <c r="Q296" s="12"/>
      <c r="R296" s="12"/>
    </row>
    <row r="297" spans="17:18" x14ac:dyDescent="0.35">
      <c r="Q297" s="12"/>
      <c r="R297" s="12"/>
    </row>
    <row r="298" spans="17:18" x14ac:dyDescent="0.35">
      <c r="Q298" s="12"/>
      <c r="R298" s="12"/>
    </row>
    <row r="299" spans="17:18" x14ac:dyDescent="0.35">
      <c r="Q299" s="12"/>
      <c r="R299" s="12"/>
    </row>
    <row r="300" spans="17:18" x14ac:dyDescent="0.35">
      <c r="Q300" s="12"/>
      <c r="R300" s="12"/>
    </row>
    <row r="301" spans="17:18" x14ac:dyDescent="0.35">
      <c r="Q301" s="12"/>
      <c r="R301" s="12"/>
    </row>
    <row r="302" spans="17:18" x14ac:dyDescent="0.35">
      <c r="Q302" s="12"/>
      <c r="R302" s="12"/>
    </row>
    <row r="303" spans="17:18" x14ac:dyDescent="0.35">
      <c r="Q303" s="12"/>
      <c r="R303" s="12"/>
    </row>
    <row r="304" spans="17:18" x14ac:dyDescent="0.35">
      <c r="Q304" s="12"/>
      <c r="R304" s="12"/>
    </row>
    <row r="305" spans="17:18" x14ac:dyDescent="0.35">
      <c r="Q305" s="12"/>
      <c r="R305" s="12"/>
    </row>
    <row r="306" spans="17:18" x14ac:dyDescent="0.35">
      <c r="Q306" s="12"/>
      <c r="R306" s="12"/>
    </row>
    <row r="307" spans="17:18" x14ac:dyDescent="0.35">
      <c r="Q307" s="12"/>
      <c r="R307" s="12"/>
    </row>
    <row r="308" spans="17:18" x14ac:dyDescent="0.35">
      <c r="Q308" s="12"/>
      <c r="R308" s="12"/>
    </row>
    <row r="309" spans="17:18" x14ac:dyDescent="0.35">
      <c r="Q309" s="12"/>
      <c r="R309" s="12"/>
    </row>
    <row r="310" spans="17:18" x14ac:dyDescent="0.35">
      <c r="Q310" s="12"/>
      <c r="R310" s="12"/>
    </row>
    <row r="311" spans="17:18" x14ac:dyDescent="0.35">
      <c r="Q311" s="12"/>
      <c r="R311" s="12"/>
    </row>
    <row r="312" spans="17:18" x14ac:dyDescent="0.35">
      <c r="Q312" s="12"/>
      <c r="R312" s="12"/>
    </row>
    <row r="313" spans="17:18" x14ac:dyDescent="0.35">
      <c r="Q313" s="12"/>
      <c r="R313" s="12"/>
    </row>
    <row r="314" spans="17:18" x14ac:dyDescent="0.35">
      <c r="Q314" s="12"/>
      <c r="R314" s="12"/>
    </row>
    <row r="315" spans="17:18" x14ac:dyDescent="0.35">
      <c r="Q315" s="12"/>
      <c r="R315" s="12"/>
    </row>
    <row r="316" spans="17:18" x14ac:dyDescent="0.35">
      <c r="Q316" s="12"/>
      <c r="R316" s="12"/>
    </row>
    <row r="317" spans="17:18" x14ac:dyDescent="0.35">
      <c r="Q317" s="12"/>
      <c r="R317" s="12"/>
    </row>
    <row r="318" spans="17:18" x14ac:dyDescent="0.35">
      <c r="Q318" s="12"/>
      <c r="R318" s="12"/>
    </row>
    <row r="319" spans="17:18" x14ac:dyDescent="0.35">
      <c r="Q319" s="12"/>
      <c r="R319" s="12"/>
    </row>
    <row r="320" spans="17:18" x14ac:dyDescent="0.35">
      <c r="Q320" s="12"/>
      <c r="R320" s="12"/>
    </row>
    <row r="321" spans="17:18" x14ac:dyDescent="0.35">
      <c r="Q321" s="12"/>
      <c r="R321" s="12"/>
    </row>
    <row r="322" spans="17:18" x14ac:dyDescent="0.35">
      <c r="Q322" s="12"/>
      <c r="R322" s="12"/>
    </row>
    <row r="323" spans="17:18" x14ac:dyDescent="0.35">
      <c r="Q323" s="12"/>
      <c r="R323" s="12"/>
    </row>
    <row r="324" spans="17:18" x14ac:dyDescent="0.35">
      <c r="Q324" s="12"/>
      <c r="R324" s="12"/>
    </row>
    <row r="325" spans="17:18" x14ac:dyDescent="0.35">
      <c r="Q325" s="12"/>
      <c r="R325" s="12"/>
    </row>
    <row r="326" spans="17:18" x14ac:dyDescent="0.35">
      <c r="Q326" s="12"/>
      <c r="R326" s="12"/>
    </row>
    <row r="327" spans="17:18" x14ac:dyDescent="0.35">
      <c r="Q327" s="12"/>
      <c r="R327" s="12"/>
    </row>
    <row r="328" spans="17:18" x14ac:dyDescent="0.35">
      <c r="Q328" s="12"/>
      <c r="R328" s="12"/>
    </row>
    <row r="329" spans="17:18" x14ac:dyDescent="0.35">
      <c r="Q329" s="12"/>
      <c r="R329" s="12"/>
    </row>
    <row r="330" spans="17:18" x14ac:dyDescent="0.35">
      <c r="Q330" s="12"/>
      <c r="R330" s="12"/>
    </row>
    <row r="331" spans="17:18" x14ac:dyDescent="0.35">
      <c r="Q331" s="12"/>
      <c r="R331" s="12"/>
    </row>
    <row r="332" spans="17:18" x14ac:dyDescent="0.35">
      <c r="Q332" s="12"/>
      <c r="R332" s="12"/>
    </row>
    <row r="333" spans="17:18" x14ac:dyDescent="0.35">
      <c r="Q333" s="12"/>
      <c r="R333" s="12"/>
    </row>
    <row r="334" spans="17:18" x14ac:dyDescent="0.35">
      <c r="Q334" s="12"/>
      <c r="R334" s="12"/>
    </row>
    <row r="335" spans="17:18" x14ac:dyDescent="0.35">
      <c r="Q335" s="12"/>
      <c r="R335" s="12"/>
    </row>
    <row r="336" spans="17:18" x14ac:dyDescent="0.35">
      <c r="Q336" s="12"/>
      <c r="R336" s="12"/>
    </row>
    <row r="337" spans="17:18" x14ac:dyDescent="0.35">
      <c r="Q337" s="12"/>
      <c r="R337" s="12"/>
    </row>
    <row r="338" spans="17:18" x14ac:dyDescent="0.35">
      <c r="Q338" s="12"/>
      <c r="R338" s="12"/>
    </row>
    <row r="339" spans="17:18" x14ac:dyDescent="0.35">
      <c r="Q339" s="12"/>
      <c r="R339" s="12"/>
    </row>
    <row r="340" spans="17:18" x14ac:dyDescent="0.35">
      <c r="Q340" s="12"/>
      <c r="R340" s="12"/>
    </row>
    <row r="341" spans="17:18" x14ac:dyDescent="0.35">
      <c r="Q341" s="12"/>
      <c r="R341" s="12"/>
    </row>
    <row r="342" spans="17:18" x14ac:dyDescent="0.35">
      <c r="Q342" s="12"/>
      <c r="R342" s="12"/>
    </row>
    <row r="343" spans="17:18" x14ac:dyDescent="0.35">
      <c r="Q343" s="12"/>
      <c r="R343" s="12"/>
    </row>
    <row r="344" spans="17:18" x14ac:dyDescent="0.35">
      <c r="Q344" s="12"/>
      <c r="R344" s="12"/>
    </row>
    <row r="345" spans="17:18" x14ac:dyDescent="0.35">
      <c r="Q345" s="12"/>
      <c r="R345" s="12"/>
    </row>
    <row r="346" spans="17:18" x14ac:dyDescent="0.35">
      <c r="Q346" s="12"/>
      <c r="R346" s="12"/>
    </row>
    <row r="347" spans="17:18" x14ac:dyDescent="0.35">
      <c r="Q347" s="12"/>
      <c r="R347" s="12"/>
    </row>
    <row r="348" spans="17:18" x14ac:dyDescent="0.35">
      <c r="Q348" s="12"/>
      <c r="R348" s="12"/>
    </row>
    <row r="349" spans="17:18" x14ac:dyDescent="0.35">
      <c r="Q349" s="12"/>
      <c r="R349" s="12"/>
    </row>
    <row r="350" spans="17:18" x14ac:dyDescent="0.35">
      <c r="Q350" s="12"/>
      <c r="R350" s="12"/>
    </row>
    <row r="351" spans="17:18" x14ac:dyDescent="0.35">
      <c r="Q351" s="12"/>
      <c r="R351" s="12"/>
    </row>
    <row r="352" spans="17: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Julie MOYNAT</cp:lastModifiedBy>
  <cp:lastPrinted>2013-06-03T14:54:24Z</cp:lastPrinted>
  <dcterms:created xsi:type="dcterms:W3CDTF">2013-05-22T15:37:01Z</dcterms:created>
  <dcterms:modified xsi:type="dcterms:W3CDTF">2020-01-22T16:14:05Z</dcterms:modified>
</cp:coreProperties>
</file>