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oceaneconsultinggroup-my.sharepoint.com/personal/fhalna_oceaneconsulting_com/Documents/Document/Documents_références/Grille d'audit/Français/"/>
    </mc:Choice>
  </mc:AlternateContent>
  <xr:revisionPtr revIDLastSave="6" documentId="8_{5861182D-44BA-40BE-AC09-C334CCD34825}" xr6:coauthVersionLast="47" xr6:coauthVersionMax="47" xr10:uidLastSave="{482DDAF9-D28B-4FF7-9849-DFB4A7AE3B23}"/>
  <bookViews>
    <workbookView xWindow="12900" yWindow="495" windowWidth="35535" windowHeight="16275" tabRatio="576" xr2:uid="{00000000-000D-0000-FFFF-FFFF00000000}"/>
  </bookViews>
  <sheets>
    <sheet name="Projet" sheetId="4" r:id="rId1"/>
    <sheet name="Transverse" sheetId="109" r:id="rId2"/>
    <sheet name="Synthèse" sheetId="1" r:id="rId3"/>
    <sheet name="Synthèse Graphique" sheetId="9" r:id="rId4"/>
    <sheet name="Récapitulatif" sheetId="10" r:id="rId5"/>
    <sheet name="RTC" sheetId="110" state="hidden" r:id="rId6"/>
    <sheet name="Aide" sheetId="108" r:id="rId7"/>
    <sheet name="Licences - Crédits" sheetId="107" r:id="rId8"/>
    <sheet name="Modèle" sheetId="2" state="hidden" r:id="rId9"/>
    <sheet name="Value" sheetId="8" state="hidden" r:id="rId10"/>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6" i="8" l="1"/>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108" i="8"/>
  <c r="F108" i="8"/>
  <c r="G108" i="8"/>
  <c r="H108" i="8"/>
  <c r="E109" i="8"/>
  <c r="F109" i="8"/>
  <c r="G109" i="8"/>
  <c r="H109" i="8"/>
  <c r="E110" i="8"/>
  <c r="F110" i="8"/>
  <c r="G110" i="8"/>
  <c r="H110" i="8"/>
  <c r="E111" i="8"/>
  <c r="F111" i="8"/>
  <c r="G111" i="8"/>
  <c r="H111" i="8"/>
  <c r="E112" i="8"/>
  <c r="F112" i="8"/>
  <c r="G112" i="8"/>
  <c r="H112" i="8"/>
  <c r="E113" i="8"/>
  <c r="F113" i="8"/>
  <c r="G113" i="8"/>
  <c r="H113" i="8"/>
  <c r="E114" i="8"/>
  <c r="F114" i="8"/>
  <c r="G114" i="8"/>
  <c r="H114" i="8"/>
  <c r="E115" i="8"/>
  <c r="F115" i="8"/>
  <c r="G115" i="8"/>
  <c r="H115" i="8"/>
  <c r="E116" i="8"/>
  <c r="F116" i="8"/>
  <c r="G116" i="8"/>
  <c r="H116" i="8"/>
  <c r="E117" i="8"/>
  <c r="F117" i="8"/>
  <c r="G117" i="8"/>
  <c r="H117" i="8"/>
  <c r="E118" i="8"/>
  <c r="F118" i="8"/>
  <c r="G118" i="8"/>
  <c r="H118" i="8"/>
  <c r="E119" i="8"/>
  <c r="F119" i="8"/>
  <c r="G119" i="8"/>
  <c r="H119" i="8"/>
  <c r="E120" i="8"/>
  <c r="F120" i="8"/>
  <c r="G120" i="8"/>
  <c r="H120" i="8"/>
  <c r="E121" i="8"/>
  <c r="F121" i="8"/>
  <c r="G121" i="8"/>
  <c r="H121" i="8"/>
  <c r="E122" i="8"/>
  <c r="F122" i="8"/>
  <c r="G122" i="8"/>
  <c r="H122" i="8"/>
  <c r="E123" i="8"/>
  <c r="F123" i="8"/>
  <c r="G123" i="8"/>
  <c r="H123" i="8"/>
  <c r="E124" i="8"/>
  <c r="F124" i="8"/>
  <c r="G124" i="8"/>
  <c r="H124" i="8"/>
  <c r="E125" i="8"/>
  <c r="F125" i="8"/>
  <c r="G125" i="8"/>
  <c r="H125" i="8"/>
  <c r="E126" i="8"/>
  <c r="F126" i="8"/>
  <c r="G126" i="8"/>
  <c r="H126" i="8"/>
  <c r="E127" i="8"/>
  <c r="F127" i="8"/>
  <c r="G127" i="8"/>
  <c r="H127" i="8"/>
  <c r="E128" i="8"/>
  <c r="F128" i="8"/>
  <c r="G128" i="8"/>
  <c r="H128" i="8"/>
  <c r="E129" i="8"/>
  <c r="F129" i="8"/>
  <c r="G129" i="8"/>
  <c r="H129" i="8"/>
  <c r="E130" i="8"/>
  <c r="F130" i="8"/>
  <c r="G130" i="8"/>
  <c r="H130" i="8"/>
  <c r="E131" i="8"/>
  <c r="F131" i="8"/>
  <c r="G131" i="8"/>
  <c r="H131" i="8"/>
  <c r="E132" i="8"/>
  <c r="F132" i="8"/>
  <c r="G132" i="8"/>
  <c r="H132" i="8"/>
  <c r="E133" i="8"/>
  <c r="F133" i="8"/>
  <c r="G133" i="8"/>
  <c r="H133" i="8"/>
  <c r="E134" i="8"/>
  <c r="F134" i="8"/>
  <c r="G134" i="8"/>
  <c r="H134" i="8"/>
  <c r="E135" i="8"/>
  <c r="F135" i="8"/>
  <c r="G135" i="8"/>
  <c r="H135" i="8"/>
  <c r="E136" i="8"/>
  <c r="F136" i="8"/>
  <c r="G136" i="8"/>
  <c r="H136" i="8"/>
  <c r="E137" i="8"/>
  <c r="F137" i="8"/>
  <c r="G137" i="8"/>
  <c r="H137" i="8"/>
  <c r="E138" i="8"/>
  <c r="F138" i="8"/>
  <c r="G138" i="8"/>
  <c r="H138" i="8"/>
  <c r="E139" i="8"/>
  <c r="F139" i="8"/>
  <c r="G139" i="8"/>
  <c r="H139" i="8"/>
  <c r="E140" i="8"/>
  <c r="F140" i="8"/>
  <c r="G140" i="8"/>
  <c r="H140" i="8"/>
  <c r="E141" i="8"/>
  <c r="F141" i="8"/>
  <c r="G141" i="8"/>
  <c r="H141" i="8"/>
  <c r="E142" i="8"/>
  <c r="F142" i="8"/>
  <c r="G142" i="8"/>
  <c r="H142" i="8"/>
  <c r="E143" i="8"/>
  <c r="F143" i="8"/>
  <c r="G143" i="8"/>
  <c r="H143" i="8"/>
  <c r="E144" i="8"/>
  <c r="F144" i="8"/>
  <c r="G144" i="8"/>
  <c r="H144" i="8"/>
  <c r="E145" i="8"/>
  <c r="F145" i="8"/>
  <c r="G145" i="8"/>
  <c r="H145" i="8"/>
  <c r="E146" i="8"/>
  <c r="F146" i="8"/>
  <c r="G146" i="8"/>
  <c r="H146" i="8"/>
  <c r="E147" i="8"/>
  <c r="F147" i="8"/>
  <c r="G147" i="8"/>
  <c r="H147" i="8"/>
  <c r="E148" i="8"/>
  <c r="F148" i="8"/>
  <c r="G148" i="8"/>
  <c r="H148" i="8"/>
  <c r="E149" i="8"/>
  <c r="F149" i="8"/>
  <c r="G149" i="8"/>
  <c r="H149" i="8"/>
  <c r="E150" i="8"/>
  <c r="F150" i="8"/>
  <c r="G150" i="8"/>
  <c r="H150" i="8"/>
  <c r="E151" i="8"/>
  <c r="F151" i="8"/>
  <c r="G151" i="8"/>
  <c r="H151" i="8"/>
  <c r="E152" i="8"/>
  <c r="F152" i="8"/>
  <c r="G152" i="8"/>
  <c r="H152" i="8"/>
  <c r="E153" i="8"/>
  <c r="F153" i="8"/>
  <c r="G153" i="8"/>
  <c r="H153" i="8"/>
  <c r="E154" i="8"/>
  <c r="F154" i="8"/>
  <c r="G154" i="8"/>
  <c r="H154" i="8"/>
  <c r="E155" i="8"/>
  <c r="F155" i="8"/>
  <c r="G155" i="8"/>
  <c r="H155" i="8"/>
  <c r="E156" i="8"/>
  <c r="F156" i="8"/>
  <c r="G156" i="8"/>
  <c r="H156" i="8"/>
  <c r="E157" i="8"/>
  <c r="F157" i="8"/>
  <c r="G157" i="8"/>
  <c r="H157" i="8"/>
  <c r="E158" i="8"/>
  <c r="F158" i="8"/>
  <c r="G158" i="8"/>
  <c r="H158" i="8"/>
  <c r="E159" i="8"/>
  <c r="F159" i="8"/>
  <c r="G159" i="8"/>
  <c r="H159" i="8"/>
  <c r="E160" i="8"/>
  <c r="F160" i="8"/>
  <c r="G160" i="8"/>
  <c r="H160" i="8"/>
  <c r="E161" i="8"/>
  <c r="F161" i="8"/>
  <c r="G161" i="8"/>
  <c r="H161" i="8"/>
  <c r="E162" i="8"/>
  <c r="F162" i="8"/>
  <c r="G162" i="8"/>
  <c r="H162" i="8"/>
  <c r="E163" i="8"/>
  <c r="F163" i="8"/>
  <c r="G163" i="8"/>
  <c r="H163" i="8"/>
  <c r="E164" i="8"/>
  <c r="F164" i="8"/>
  <c r="G164" i="8"/>
  <c r="H164" i="8"/>
  <c r="E165" i="8"/>
  <c r="F165" i="8"/>
  <c r="G165" i="8"/>
  <c r="H165" i="8"/>
  <c r="E166" i="8"/>
  <c r="F166" i="8"/>
  <c r="G166" i="8"/>
  <c r="H166" i="8"/>
  <c r="E167" i="8"/>
  <c r="F167" i="8"/>
  <c r="G167" i="8"/>
  <c r="H167" i="8"/>
  <c r="E168" i="8"/>
  <c r="F168" i="8"/>
  <c r="G168" i="8"/>
  <c r="H168" i="8"/>
  <c r="E169" i="8"/>
  <c r="F169" i="8"/>
  <c r="G169" i="8"/>
  <c r="H169" i="8"/>
  <c r="E170" i="8"/>
  <c r="F170" i="8"/>
  <c r="G170" i="8"/>
  <c r="H170" i="8"/>
  <c r="E171" i="8"/>
  <c r="F171" i="8"/>
  <c r="G171" i="8"/>
  <c r="H171" i="8"/>
  <c r="E172" i="8"/>
  <c r="F172" i="8"/>
  <c r="G172" i="8"/>
  <c r="H172" i="8"/>
  <c r="E173" i="8"/>
  <c r="F173" i="8"/>
  <c r="G173" i="8"/>
  <c r="H173" i="8"/>
  <c r="E174" i="8"/>
  <c r="F174" i="8"/>
  <c r="G174" i="8"/>
  <c r="H174" i="8"/>
  <c r="E175" i="8"/>
  <c r="F175" i="8"/>
  <c r="G175" i="8"/>
  <c r="H175" i="8"/>
  <c r="E176" i="8"/>
  <c r="F176" i="8"/>
  <c r="G176" i="8"/>
  <c r="H176" i="8"/>
  <c r="E177" i="8"/>
  <c r="F177" i="8"/>
  <c r="G177" i="8"/>
  <c r="H177" i="8"/>
  <c r="E178" i="8"/>
  <c r="F178" i="8"/>
  <c r="G178" i="8"/>
  <c r="H178" i="8"/>
  <c r="E179" i="8"/>
  <c r="F179" i="8"/>
  <c r="G179" i="8"/>
  <c r="H179" i="8"/>
  <c r="E180" i="8"/>
  <c r="F180" i="8"/>
  <c r="G180" i="8"/>
  <c r="H180" i="8"/>
  <c r="E181" i="8"/>
  <c r="F181" i="8"/>
  <c r="G181" i="8"/>
  <c r="H181" i="8"/>
  <c r="E182" i="8"/>
  <c r="F182" i="8"/>
  <c r="G182" i="8"/>
  <c r="H182" i="8"/>
  <c r="E183" i="8"/>
  <c r="F183" i="8"/>
  <c r="G183" i="8"/>
  <c r="H183" i="8"/>
  <c r="E184" i="8"/>
  <c r="F184" i="8"/>
  <c r="G184" i="8"/>
  <c r="H184" i="8"/>
  <c r="E185" i="8"/>
  <c r="F185" i="8"/>
  <c r="G185" i="8"/>
  <c r="H185" i="8"/>
  <c r="E186" i="8"/>
  <c r="F186" i="8"/>
  <c r="G186" i="8"/>
  <c r="H186" i="8"/>
  <c r="E187" i="8"/>
  <c r="F187" i="8"/>
  <c r="G187" i="8"/>
  <c r="H187" i="8"/>
  <c r="E188" i="8"/>
  <c r="F188" i="8"/>
  <c r="G188" i="8"/>
  <c r="H188" i="8"/>
  <c r="E189" i="8"/>
  <c r="F189" i="8"/>
  <c r="G189" i="8"/>
  <c r="H189" i="8"/>
  <c r="E190" i="8"/>
  <c r="F190" i="8"/>
  <c r="G190" i="8"/>
  <c r="H190" i="8"/>
  <c r="E191" i="8"/>
  <c r="F191" i="8"/>
  <c r="G191" i="8"/>
  <c r="H191" i="8"/>
  <c r="E192" i="8"/>
  <c r="F192" i="8"/>
  <c r="G192" i="8"/>
  <c r="H192" i="8"/>
  <c r="E193" i="8"/>
  <c r="F193" i="8"/>
  <c r="G193" i="8"/>
  <c r="H193" i="8"/>
  <c r="E194" i="8"/>
  <c r="F194" i="8"/>
  <c r="G194" i="8"/>
  <c r="H194" i="8"/>
  <c r="E195" i="8"/>
  <c r="F195" i="8"/>
  <c r="G195" i="8"/>
  <c r="H195" i="8"/>
  <c r="E196" i="8"/>
  <c r="F196" i="8"/>
  <c r="G196" i="8"/>
  <c r="H196" i="8"/>
  <c r="E197" i="8"/>
  <c r="F197" i="8"/>
  <c r="G197" i="8"/>
  <c r="H197" i="8"/>
  <c r="E198" i="8"/>
  <c r="F198" i="8"/>
  <c r="G198" i="8"/>
  <c r="H198" i="8"/>
  <c r="E199" i="8"/>
  <c r="F199" i="8"/>
  <c r="G199" i="8"/>
  <c r="H199" i="8"/>
  <c r="E200" i="8"/>
  <c r="F200" i="8"/>
  <c r="G200" i="8"/>
  <c r="H200" i="8"/>
  <c r="E201" i="8"/>
  <c r="F201" i="8"/>
  <c r="G201" i="8"/>
  <c r="H201" i="8"/>
  <c r="E202" i="8"/>
  <c r="F202" i="8"/>
  <c r="G202" i="8"/>
  <c r="H202" i="8"/>
  <c r="E203" i="8"/>
  <c r="F203" i="8"/>
  <c r="G203" i="8"/>
  <c r="H203" i="8"/>
  <c r="E204" i="8"/>
  <c r="F204" i="8"/>
  <c r="G204" i="8"/>
  <c r="H204" i="8"/>
  <c r="E205" i="8"/>
  <c r="F205" i="8"/>
  <c r="G205" i="8"/>
  <c r="H205" i="8"/>
  <c r="E206" i="8"/>
  <c r="F206" i="8"/>
  <c r="G206" i="8"/>
  <c r="H206" i="8"/>
  <c r="E207" i="8"/>
  <c r="F207" i="8"/>
  <c r="G207" i="8"/>
  <c r="H207" i="8"/>
  <c r="E208" i="8"/>
  <c r="F208" i="8"/>
  <c r="G208" i="8"/>
  <c r="H208" i="8"/>
  <c r="E209" i="8"/>
  <c r="F209" i="8"/>
  <c r="G209" i="8"/>
  <c r="H209" i="8"/>
  <c r="E210" i="8"/>
  <c r="F210" i="8"/>
  <c r="G210" i="8"/>
  <c r="H210" i="8"/>
  <c r="E211" i="8"/>
  <c r="F211" i="8"/>
  <c r="G211" i="8"/>
  <c r="H211" i="8"/>
  <c r="E212" i="8"/>
  <c r="F212" i="8"/>
  <c r="G212" i="8"/>
  <c r="H212" i="8"/>
  <c r="E213" i="8"/>
  <c r="F213" i="8"/>
  <c r="G213" i="8"/>
  <c r="H213" i="8"/>
  <c r="E214" i="8"/>
  <c r="F214" i="8"/>
  <c r="G214" i="8"/>
  <c r="H214" i="8"/>
  <c r="E215" i="8"/>
  <c r="F215" i="8"/>
  <c r="G215" i="8"/>
  <c r="H215" i="8"/>
  <c r="E216" i="8"/>
  <c r="F216" i="8"/>
  <c r="G216" i="8"/>
  <c r="H216" i="8"/>
  <c r="E217" i="8"/>
  <c r="F217" i="8"/>
  <c r="G217" i="8"/>
  <c r="H217" i="8"/>
  <c r="E218" i="8"/>
  <c r="F218" i="8"/>
  <c r="G218" i="8"/>
  <c r="H218" i="8"/>
  <c r="E219" i="8"/>
  <c r="F219" i="8"/>
  <c r="G219" i="8"/>
  <c r="H219" i="8"/>
  <c r="E220" i="8"/>
  <c r="F220" i="8"/>
  <c r="G220" i="8"/>
  <c r="H220" i="8"/>
  <c r="E221" i="8"/>
  <c r="F221" i="8"/>
  <c r="G221" i="8"/>
  <c r="H221" i="8"/>
  <c r="E222" i="8"/>
  <c r="F222" i="8"/>
  <c r="G222" i="8"/>
  <c r="H222" i="8"/>
  <c r="E223" i="8"/>
  <c r="F223" i="8"/>
  <c r="G223" i="8"/>
  <c r="H223" i="8"/>
  <c r="E224" i="8"/>
  <c r="F224" i="8"/>
  <c r="G224" i="8"/>
  <c r="H224" i="8"/>
  <c r="E225" i="8"/>
  <c r="F225" i="8"/>
  <c r="G225" i="8"/>
  <c r="H225" i="8"/>
  <c r="E226" i="8"/>
  <c r="F226" i="8"/>
  <c r="G226" i="8"/>
  <c r="H226" i="8"/>
  <c r="E227" i="8"/>
  <c r="F227" i="8"/>
  <c r="G227" i="8"/>
  <c r="H227" i="8"/>
  <c r="E228" i="8"/>
  <c r="F228" i="8"/>
  <c r="G228" i="8"/>
  <c r="H228" i="8"/>
  <c r="E229" i="8"/>
  <c r="F229" i="8"/>
  <c r="G229" i="8"/>
  <c r="H229" i="8"/>
  <c r="E230" i="8"/>
  <c r="F230" i="8"/>
  <c r="G230" i="8"/>
  <c r="H230" i="8"/>
  <c r="E231" i="8"/>
  <c r="F231" i="8"/>
  <c r="G231" i="8"/>
  <c r="H231" i="8"/>
  <c r="E232" i="8"/>
  <c r="F232" i="8"/>
  <c r="G232" i="8"/>
  <c r="H232" i="8"/>
  <c r="E233" i="8"/>
  <c r="F233" i="8"/>
  <c r="G233" i="8"/>
  <c r="H233" i="8"/>
  <c r="E234" i="8"/>
  <c r="F234" i="8"/>
  <c r="G234" i="8"/>
  <c r="H234" i="8"/>
  <c r="E235" i="8"/>
  <c r="F235" i="8"/>
  <c r="G235" i="8"/>
  <c r="H235" i="8"/>
  <c r="E236" i="8"/>
  <c r="F236" i="8"/>
  <c r="G236" i="8"/>
  <c r="H236" i="8"/>
  <c r="E237" i="8"/>
  <c r="F237" i="8"/>
  <c r="G237" i="8"/>
  <c r="H237" i="8"/>
  <c r="E238" i="8"/>
  <c r="F238" i="8"/>
  <c r="G238" i="8"/>
  <c r="H238" i="8"/>
  <c r="E239" i="8"/>
  <c r="F239" i="8"/>
  <c r="G239" i="8"/>
  <c r="H239" i="8"/>
  <c r="E240" i="8"/>
  <c r="F240" i="8"/>
  <c r="G240" i="8"/>
  <c r="H240" i="8"/>
  <c r="E241" i="8"/>
  <c r="F241" i="8"/>
  <c r="G241" i="8"/>
  <c r="H241" i="8"/>
  <c r="E242" i="8"/>
  <c r="F242" i="8"/>
  <c r="G242" i="8"/>
  <c r="H242" i="8"/>
  <c r="E243" i="8"/>
  <c r="F243" i="8"/>
  <c r="G243" i="8"/>
  <c r="H243" i="8"/>
  <c r="E244" i="8"/>
  <c r="F244" i="8"/>
  <c r="G244" i="8"/>
  <c r="H244" i="8"/>
  <c r="E245" i="8"/>
  <c r="F245" i="8"/>
  <c r="G245" i="8"/>
  <c r="H245" i="8"/>
  <c r="E246" i="8"/>
  <c r="F246" i="8"/>
  <c r="G246" i="8"/>
  <c r="H246" i="8"/>
  <c r="E247" i="8"/>
  <c r="F247" i="8"/>
  <c r="G247" i="8"/>
  <c r="H247" i="8"/>
  <c r="E248" i="8"/>
  <c r="F248" i="8"/>
  <c r="G248" i="8"/>
  <c r="H248" i="8"/>
  <c r="E249" i="8"/>
  <c r="F249" i="8"/>
  <c r="G249" i="8"/>
  <c r="H249" i="8"/>
  <c r="E250" i="8"/>
  <c r="F250" i="8"/>
  <c r="G250" i="8"/>
  <c r="H250" i="8"/>
  <c r="E251" i="8"/>
  <c r="F251" i="8"/>
  <c r="G251" i="8"/>
  <c r="H251" i="8"/>
  <c r="E252" i="8"/>
  <c r="F252" i="8"/>
  <c r="G252" i="8"/>
  <c r="H252" i="8"/>
  <c r="E253" i="8"/>
  <c r="F253" i="8"/>
  <c r="G253" i="8"/>
  <c r="H253" i="8"/>
  <c r="E254" i="8"/>
  <c r="F254" i="8"/>
  <c r="G254" i="8"/>
  <c r="H254" i="8"/>
  <c r="E255" i="8"/>
  <c r="F255" i="8"/>
  <c r="G255" i="8"/>
  <c r="H255" i="8"/>
  <c r="E256" i="8"/>
  <c r="F256" i="8"/>
  <c r="G256" i="8"/>
  <c r="H256" i="8"/>
  <c r="E257" i="8"/>
  <c r="F257" i="8"/>
  <c r="G257" i="8"/>
  <c r="H257" i="8"/>
  <c r="E258" i="8"/>
  <c r="F258" i="8"/>
  <c r="G258" i="8"/>
  <c r="H258" i="8"/>
  <c r="E259" i="8"/>
  <c r="F259" i="8"/>
  <c r="G259" i="8"/>
  <c r="H259" i="8"/>
  <c r="A1" i="1"/>
  <c r="H6" i="1"/>
  <c r="I6" i="1"/>
  <c r="J6" i="1"/>
  <c r="K6" i="1"/>
  <c r="L6" i="1"/>
  <c r="M6" i="1"/>
  <c r="N6" i="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H269" i="1"/>
  <c r="I269" i="1"/>
  <c r="J269"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G269" i="1"/>
  <c r="AG5" i="8" l="1" a="1"/>
  <c r="AG5" i="8" s="1"/>
  <c r="AG4" i="8" a="1"/>
  <c r="AG4" i="8" s="1"/>
  <c r="AG3" i="8" a="1"/>
  <c r="AG3" i="8" s="1"/>
  <c r="AG2" i="8" a="1"/>
  <c r="AG2" i="8" s="1"/>
  <c r="AG9" i="8"/>
  <c r="AG8" i="8"/>
  <c r="AG7" i="8"/>
  <c r="AG6" i="8"/>
  <c r="B110" i="8"/>
  <c r="C110" i="8"/>
  <c r="D110" i="8"/>
  <c r="B54" i="8"/>
  <c r="C54" i="8"/>
  <c r="D54" i="8"/>
  <c r="E54" i="8"/>
  <c r="F54" i="8"/>
  <c r="G54" i="8"/>
  <c r="H54" i="8"/>
  <c r="B55" i="8"/>
  <c r="C55" i="8"/>
  <c r="D55" i="8"/>
  <c r="E55" i="8"/>
  <c r="F55" i="8"/>
  <c r="G55" i="8"/>
  <c r="H55" i="8"/>
  <c r="I55" i="8" l="1"/>
  <c r="I110" i="8"/>
  <c r="I54" i="8"/>
  <c r="AF355"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136" i="8"/>
  <c r="M152" i="8" l="1"/>
  <c r="M151" i="8"/>
  <c r="M150"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350" i="8"/>
  <c r="AG351"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312" i="8"/>
  <c r="AG313" i="8"/>
  <c r="AG246"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46" i="8"/>
  <c r="AG245" i="8"/>
  <c r="M153" i="8" l="1"/>
  <c r="AG358" i="8"/>
  <c r="D257" i="8"/>
  <c r="D258" i="8"/>
  <c r="D259" i="8"/>
  <c r="D256" i="8"/>
  <c r="D255" i="8"/>
  <c r="D254" i="8"/>
  <c r="D253" i="8"/>
  <c r="D252" i="8"/>
  <c r="D251" i="8"/>
  <c r="D250" i="8"/>
  <c r="D249" i="8"/>
  <c r="C259" i="8"/>
  <c r="C258" i="8"/>
  <c r="C257" i="8"/>
  <c r="C256" i="8"/>
  <c r="C255" i="8"/>
  <c r="C254" i="8"/>
  <c r="C253" i="8"/>
  <c r="C252" i="8"/>
  <c r="C251" i="8"/>
  <c r="C250" i="8"/>
  <c r="C249" i="8"/>
  <c r="B259" i="8"/>
  <c r="B258" i="8"/>
  <c r="B257" i="8"/>
  <c r="B256" i="8"/>
  <c r="B255" i="8"/>
  <c r="B254" i="8"/>
  <c r="B253" i="8"/>
  <c r="B252" i="8"/>
  <c r="B251" i="8"/>
  <c r="B250" i="8"/>
  <c r="B249" i="8"/>
  <c r="B248" i="8"/>
  <c r="C248" i="8"/>
  <c r="D248" i="8"/>
  <c r="D247" i="8"/>
  <c r="C247" i="8"/>
  <c r="B247" i="8"/>
  <c r="B246" i="8"/>
  <c r="C246" i="8"/>
  <c r="D246" i="8"/>
  <c r="D245" i="8"/>
  <c r="C245" i="8"/>
  <c r="B245" i="8"/>
  <c r="B244" i="8"/>
  <c r="C244" i="8"/>
  <c r="D244" i="8"/>
  <c r="B243" i="8"/>
  <c r="C243" i="8"/>
  <c r="D243" i="8"/>
  <c r="D242" i="8"/>
  <c r="C242" i="8"/>
  <c r="B242" i="8"/>
  <c r="D241" i="8"/>
  <c r="C241" i="8"/>
  <c r="B241" i="8"/>
  <c r="AG366" i="8" l="1"/>
  <c r="G5" i="1" s="1"/>
  <c r="I245" i="8"/>
  <c r="I249" i="8"/>
  <c r="I253" i="8"/>
  <c r="I257" i="8"/>
  <c r="I244" i="8"/>
  <c r="I248" i="8"/>
  <c r="I252" i="8"/>
  <c r="I256" i="8"/>
  <c r="I243" i="8"/>
  <c r="I247" i="8"/>
  <c r="I251" i="8"/>
  <c r="I255" i="8"/>
  <c r="I259" i="8"/>
  <c r="I246" i="8"/>
  <c r="I250" i="8"/>
  <c r="I254" i="8"/>
  <c r="I258" i="8"/>
  <c r="I242" i="8"/>
  <c r="I241" i="8"/>
  <c r="R141" i="8"/>
  <c r="R139" i="8"/>
  <c r="R137" i="8"/>
  <c r="R136" i="8"/>
  <c r="R135" i="8"/>
  <c r="R134" i="8"/>
  <c r="R133" i="8"/>
  <c r="R132" i="8"/>
  <c r="R138" i="8"/>
  <c r="R140" i="8"/>
  <c r="R131" i="8"/>
  <c r="Q141" i="8"/>
  <c r="Q140" i="8"/>
  <c r="Q139" i="8"/>
  <c r="Q138" i="8"/>
  <c r="Q137" i="8"/>
  <c r="Q136" i="8"/>
  <c r="Q135" i="8"/>
  <c r="Q134" i="8"/>
  <c r="Q133" i="8"/>
  <c r="Q132" i="8"/>
  <c r="Q131" i="8"/>
  <c r="P141" i="8"/>
  <c r="P139" i="8"/>
  <c r="P140" i="8"/>
  <c r="P138" i="8"/>
  <c r="P137" i="8"/>
  <c r="P136" i="8"/>
  <c r="P135" i="8"/>
  <c r="P134" i="8"/>
  <c r="P133" i="8"/>
  <c r="P132" i="8"/>
  <c r="P131" i="8"/>
  <c r="O141" i="8"/>
  <c r="O140" i="8"/>
  <c r="O139" i="8"/>
  <c r="O138" i="8"/>
  <c r="O137" i="8"/>
  <c r="O136" i="8"/>
  <c r="O135" i="8"/>
  <c r="O134" i="8"/>
  <c r="O133" i="8"/>
  <c r="O132" i="8"/>
  <c r="O131" i="8"/>
  <c r="AG128" i="8" l="1"/>
  <c r="AG127" i="8"/>
  <c r="AG126" i="8"/>
  <c r="AG125" i="8"/>
  <c r="AG124" i="8"/>
  <c r="AG123" i="8"/>
  <c r="AG122" i="8"/>
  <c r="AG121" i="8"/>
  <c r="AG120" i="8"/>
  <c r="AG119" i="8"/>
  <c r="AG118" i="8"/>
  <c r="AG117" i="8"/>
  <c r="AG116" i="8"/>
  <c r="AG115" i="8"/>
  <c r="AG114" i="8"/>
  <c r="AG113" i="8"/>
  <c r="AG112" i="8"/>
  <c r="AG111"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7"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136" i="8"/>
  <c r="AG20" i="8"/>
  <c r="AG135" i="8"/>
  <c r="AF115" i="8"/>
  <c r="AF116" i="8"/>
  <c r="AF117" i="8"/>
  <c r="AF118" i="8"/>
  <c r="AF119" i="8"/>
  <c r="AF120" i="8"/>
  <c r="AF121" i="8"/>
  <c r="AF122" i="8"/>
  <c r="AF123" i="8"/>
  <c r="AF124" i="8"/>
  <c r="AF125" i="8"/>
  <c r="AF126" i="8"/>
  <c r="AF127" i="8"/>
  <c r="AF128" i="8"/>
  <c r="AG354" i="8"/>
  <c r="AF354" i="8"/>
  <c r="AF22" i="8"/>
  <c r="AF23" i="8"/>
  <c r="AF24" i="8"/>
  <c r="AF25" i="8"/>
  <c r="AF26" i="8"/>
  <c r="AF27" i="8"/>
  <c r="AF29" i="8"/>
  <c r="AF30" i="8"/>
  <c r="AF31" i="8"/>
  <c r="AF32" i="8"/>
  <c r="AF33" i="8"/>
  <c r="AF34" i="8"/>
  <c r="AF35" i="8"/>
  <c r="AF36" i="8"/>
  <c r="AF37" i="8"/>
  <c r="AF38" i="8"/>
  <c r="AF39" i="8"/>
  <c r="AF40" i="8"/>
  <c r="AF41" i="8"/>
  <c r="AF42" i="8"/>
  <c r="AF43" i="8"/>
  <c r="AF44" i="8"/>
  <c r="AF45" i="8"/>
  <c r="AF46" i="8"/>
  <c r="AF47" i="8"/>
  <c r="AF48" i="8"/>
  <c r="AF49" i="8"/>
  <c r="AF50" i="8"/>
  <c r="AF51" i="8"/>
  <c r="AF52"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1" i="8"/>
  <c r="AF112" i="8"/>
  <c r="AF113" i="8"/>
  <c r="AF114" i="8"/>
  <c r="AF21" i="8"/>
  <c r="AG365" i="8" l="1"/>
  <c r="G4" i="1" s="1"/>
  <c r="AG356" i="8"/>
  <c r="AG364" i="8" s="1"/>
  <c r="C2" i="8"/>
  <c r="B2" i="8"/>
  <c r="G3" i="1" l="1"/>
  <c r="AG359" i="8"/>
  <c r="AG367" i="8" s="1"/>
  <c r="AG360" i="8"/>
  <c r="AG361" i="8" l="1"/>
  <c r="G6" i="1" s="1"/>
  <c r="D240" i="8"/>
  <c r="C240" i="8"/>
  <c r="B240" i="8"/>
  <c r="D239" i="8"/>
  <c r="C239" i="8"/>
  <c r="B239" i="8"/>
  <c r="D238" i="8"/>
  <c r="C238" i="8"/>
  <c r="B238" i="8"/>
  <c r="D237" i="8"/>
  <c r="C237" i="8"/>
  <c r="B237" i="8"/>
  <c r="D236" i="8"/>
  <c r="C236" i="8"/>
  <c r="B236" i="8"/>
  <c r="D235" i="8"/>
  <c r="C235" i="8"/>
  <c r="B235" i="8"/>
  <c r="D234" i="8"/>
  <c r="C234" i="8"/>
  <c r="B234" i="8"/>
  <c r="D233" i="8"/>
  <c r="C233" i="8"/>
  <c r="B233" i="8"/>
  <c r="D232" i="8"/>
  <c r="C232" i="8"/>
  <c r="B232" i="8"/>
  <c r="D231" i="8"/>
  <c r="C231" i="8"/>
  <c r="B231" i="8"/>
  <c r="D230" i="8"/>
  <c r="C230" i="8"/>
  <c r="B230" i="8"/>
  <c r="D229" i="8"/>
  <c r="C229" i="8"/>
  <c r="B229" i="8"/>
  <c r="D228" i="8"/>
  <c r="C228" i="8"/>
  <c r="B228" i="8"/>
  <c r="D227" i="8"/>
  <c r="C227" i="8"/>
  <c r="B227" i="8"/>
  <c r="D226" i="8"/>
  <c r="C226" i="8"/>
  <c r="B226" i="8"/>
  <c r="D225" i="8"/>
  <c r="C225" i="8"/>
  <c r="B225" i="8"/>
  <c r="D224" i="8"/>
  <c r="C224" i="8"/>
  <c r="B224" i="8"/>
  <c r="D223" i="8"/>
  <c r="C223" i="8"/>
  <c r="B223" i="8"/>
  <c r="D222" i="8"/>
  <c r="C222" i="8"/>
  <c r="B222" i="8"/>
  <c r="D221" i="8"/>
  <c r="C221" i="8"/>
  <c r="B221" i="8"/>
  <c r="D220" i="8"/>
  <c r="C220" i="8"/>
  <c r="B220" i="8"/>
  <c r="D219" i="8"/>
  <c r="C219" i="8"/>
  <c r="B219" i="8"/>
  <c r="D218" i="8"/>
  <c r="C218" i="8"/>
  <c r="B218" i="8"/>
  <c r="D217" i="8"/>
  <c r="C217" i="8"/>
  <c r="B217" i="8"/>
  <c r="D216" i="8"/>
  <c r="C216" i="8"/>
  <c r="B216" i="8"/>
  <c r="D215" i="8"/>
  <c r="C215" i="8"/>
  <c r="B215" i="8"/>
  <c r="D214" i="8"/>
  <c r="C214" i="8"/>
  <c r="B214" i="8"/>
  <c r="D213" i="8"/>
  <c r="C213" i="8"/>
  <c r="B213" i="8"/>
  <c r="D212" i="8"/>
  <c r="C212" i="8"/>
  <c r="B212" i="8"/>
  <c r="D211" i="8"/>
  <c r="C211" i="8"/>
  <c r="B211" i="8"/>
  <c r="D210" i="8"/>
  <c r="C210" i="8"/>
  <c r="B210" i="8"/>
  <c r="D209" i="8"/>
  <c r="C209" i="8"/>
  <c r="B209" i="8"/>
  <c r="D208" i="8"/>
  <c r="C208" i="8"/>
  <c r="B208" i="8"/>
  <c r="D207" i="8"/>
  <c r="C207" i="8"/>
  <c r="B207" i="8"/>
  <c r="D206" i="8"/>
  <c r="C206" i="8"/>
  <c r="B206" i="8"/>
  <c r="D205" i="8"/>
  <c r="C205" i="8"/>
  <c r="B205" i="8"/>
  <c r="D204" i="8"/>
  <c r="C204" i="8"/>
  <c r="B204" i="8"/>
  <c r="D203" i="8"/>
  <c r="C203" i="8"/>
  <c r="B203" i="8"/>
  <c r="D202" i="8"/>
  <c r="C202" i="8"/>
  <c r="B202" i="8"/>
  <c r="D201" i="8"/>
  <c r="C201" i="8"/>
  <c r="B201" i="8"/>
  <c r="D200" i="8"/>
  <c r="C200" i="8"/>
  <c r="B200" i="8"/>
  <c r="D199" i="8"/>
  <c r="C199" i="8"/>
  <c r="B199" i="8"/>
  <c r="D198" i="8"/>
  <c r="C198" i="8"/>
  <c r="B198" i="8"/>
  <c r="D197" i="8"/>
  <c r="C197" i="8"/>
  <c r="B197" i="8"/>
  <c r="D196" i="8"/>
  <c r="C196" i="8"/>
  <c r="B196" i="8"/>
  <c r="D195" i="8"/>
  <c r="C195" i="8"/>
  <c r="B195" i="8"/>
  <c r="D194" i="8"/>
  <c r="C194" i="8"/>
  <c r="B194" i="8"/>
  <c r="D193" i="8"/>
  <c r="C193" i="8"/>
  <c r="B193" i="8"/>
  <c r="D192" i="8"/>
  <c r="C192" i="8"/>
  <c r="B192" i="8"/>
  <c r="D191" i="8"/>
  <c r="C191" i="8"/>
  <c r="B191" i="8"/>
  <c r="D190" i="8"/>
  <c r="C190" i="8"/>
  <c r="B190" i="8"/>
  <c r="D189" i="8"/>
  <c r="C189" i="8"/>
  <c r="B189" i="8"/>
  <c r="D188" i="8"/>
  <c r="C188" i="8"/>
  <c r="B188" i="8"/>
  <c r="D187" i="8"/>
  <c r="C187" i="8"/>
  <c r="B187" i="8"/>
  <c r="D186" i="8"/>
  <c r="C186" i="8"/>
  <c r="B186" i="8"/>
  <c r="D185" i="8"/>
  <c r="C185" i="8"/>
  <c r="B185" i="8"/>
  <c r="D184" i="8"/>
  <c r="C184" i="8"/>
  <c r="B184" i="8"/>
  <c r="D183" i="8"/>
  <c r="C183" i="8"/>
  <c r="B183" i="8"/>
  <c r="D182" i="8"/>
  <c r="C182" i="8"/>
  <c r="B182" i="8"/>
  <c r="D181" i="8"/>
  <c r="C181" i="8"/>
  <c r="B181" i="8"/>
  <c r="D180" i="8"/>
  <c r="C180" i="8"/>
  <c r="B180" i="8"/>
  <c r="D179" i="8"/>
  <c r="C179" i="8"/>
  <c r="B179" i="8"/>
  <c r="D178" i="8"/>
  <c r="C178" i="8"/>
  <c r="B178" i="8"/>
  <c r="D177" i="8"/>
  <c r="C177" i="8"/>
  <c r="B177" i="8"/>
  <c r="D176" i="8"/>
  <c r="C176" i="8"/>
  <c r="B176" i="8"/>
  <c r="D175" i="8"/>
  <c r="C175" i="8"/>
  <c r="B175" i="8"/>
  <c r="D174" i="8"/>
  <c r="C174" i="8"/>
  <c r="B174" i="8"/>
  <c r="D173" i="8"/>
  <c r="C173" i="8"/>
  <c r="B173" i="8"/>
  <c r="D172" i="8"/>
  <c r="C172" i="8"/>
  <c r="B172" i="8"/>
  <c r="D171" i="8"/>
  <c r="C171" i="8"/>
  <c r="B171" i="8"/>
  <c r="D170" i="8"/>
  <c r="C170" i="8"/>
  <c r="B170" i="8"/>
  <c r="D169" i="8"/>
  <c r="C169" i="8"/>
  <c r="B169" i="8"/>
  <c r="D168" i="8"/>
  <c r="C168" i="8"/>
  <c r="B168" i="8"/>
  <c r="D167" i="8"/>
  <c r="C167" i="8"/>
  <c r="B167" i="8"/>
  <c r="D166" i="8"/>
  <c r="C166" i="8"/>
  <c r="B166" i="8"/>
  <c r="D165" i="8"/>
  <c r="C165" i="8"/>
  <c r="B165" i="8"/>
  <c r="D164" i="8"/>
  <c r="C164" i="8"/>
  <c r="B164" i="8"/>
  <c r="D163" i="8"/>
  <c r="C163" i="8"/>
  <c r="B163" i="8"/>
  <c r="D162" i="8"/>
  <c r="C162" i="8"/>
  <c r="B162" i="8"/>
  <c r="D161" i="8"/>
  <c r="C161" i="8"/>
  <c r="B161" i="8"/>
  <c r="D160" i="8"/>
  <c r="C160" i="8"/>
  <c r="B160" i="8"/>
  <c r="D159" i="8"/>
  <c r="C159" i="8"/>
  <c r="B159" i="8"/>
  <c r="D158" i="8"/>
  <c r="C158" i="8"/>
  <c r="B158" i="8"/>
  <c r="D157" i="8"/>
  <c r="C157" i="8"/>
  <c r="B157" i="8"/>
  <c r="D156" i="8"/>
  <c r="C156" i="8"/>
  <c r="B156" i="8"/>
  <c r="D155" i="8"/>
  <c r="C155" i="8"/>
  <c r="B155" i="8"/>
  <c r="D154" i="8"/>
  <c r="C154" i="8"/>
  <c r="B154" i="8"/>
  <c r="D153" i="8"/>
  <c r="C153" i="8"/>
  <c r="B153" i="8"/>
  <c r="D152" i="8"/>
  <c r="C152" i="8"/>
  <c r="B152" i="8"/>
  <c r="D151" i="8"/>
  <c r="C151" i="8"/>
  <c r="B151" i="8"/>
  <c r="D150" i="8"/>
  <c r="C150" i="8"/>
  <c r="B150" i="8"/>
  <c r="D149" i="8"/>
  <c r="C149" i="8"/>
  <c r="B149" i="8"/>
  <c r="D148" i="8"/>
  <c r="C148" i="8"/>
  <c r="B148" i="8"/>
  <c r="D147" i="8"/>
  <c r="C147" i="8"/>
  <c r="B147" i="8"/>
  <c r="D146" i="8"/>
  <c r="C146" i="8"/>
  <c r="B146" i="8"/>
  <c r="D145" i="8"/>
  <c r="C145" i="8"/>
  <c r="B145" i="8"/>
  <c r="D144" i="8"/>
  <c r="C144" i="8"/>
  <c r="B144" i="8"/>
  <c r="D143" i="8"/>
  <c r="C143" i="8"/>
  <c r="B143" i="8"/>
  <c r="D142" i="8"/>
  <c r="C142" i="8"/>
  <c r="B142" i="8"/>
  <c r="D141" i="8"/>
  <c r="C141" i="8"/>
  <c r="B141" i="8"/>
  <c r="D140" i="8"/>
  <c r="C140" i="8"/>
  <c r="B140" i="8"/>
  <c r="D139" i="8"/>
  <c r="C139" i="8"/>
  <c r="B139" i="8"/>
  <c r="D138" i="8"/>
  <c r="C138" i="8"/>
  <c r="B138" i="8"/>
  <c r="D137" i="8"/>
  <c r="C137" i="8"/>
  <c r="B137" i="8"/>
  <c r="D136" i="8"/>
  <c r="C136" i="8"/>
  <c r="B136" i="8"/>
  <c r="D135" i="8"/>
  <c r="C135" i="8"/>
  <c r="B135" i="8"/>
  <c r="D134" i="8"/>
  <c r="C134" i="8"/>
  <c r="B134" i="8"/>
  <c r="D133" i="8"/>
  <c r="C133" i="8"/>
  <c r="B133" i="8"/>
  <c r="D132" i="8"/>
  <c r="C132" i="8"/>
  <c r="B132" i="8"/>
  <c r="D131" i="8"/>
  <c r="C131" i="8"/>
  <c r="B131" i="8"/>
  <c r="D130" i="8"/>
  <c r="C130" i="8"/>
  <c r="B130" i="8"/>
  <c r="D129" i="8"/>
  <c r="C129" i="8"/>
  <c r="B129" i="8"/>
  <c r="D128" i="8"/>
  <c r="C128" i="8"/>
  <c r="B128" i="8"/>
  <c r="D127" i="8"/>
  <c r="C127" i="8"/>
  <c r="B127" i="8"/>
  <c r="D126" i="8"/>
  <c r="C126" i="8"/>
  <c r="B126" i="8"/>
  <c r="D125" i="8"/>
  <c r="C125" i="8"/>
  <c r="B125" i="8"/>
  <c r="D124" i="8"/>
  <c r="C124" i="8"/>
  <c r="B124" i="8"/>
  <c r="D123" i="8"/>
  <c r="C123" i="8"/>
  <c r="B123" i="8"/>
  <c r="D122" i="8"/>
  <c r="C122" i="8"/>
  <c r="B122" i="8"/>
  <c r="D121" i="8"/>
  <c r="C121" i="8"/>
  <c r="B121" i="8"/>
  <c r="D120" i="8"/>
  <c r="C120" i="8"/>
  <c r="B120" i="8"/>
  <c r="D119" i="8"/>
  <c r="C119" i="8"/>
  <c r="B119" i="8"/>
  <c r="D118" i="8"/>
  <c r="C118" i="8"/>
  <c r="B118" i="8"/>
  <c r="D117" i="8"/>
  <c r="C117" i="8"/>
  <c r="B117" i="8"/>
  <c r="D116" i="8"/>
  <c r="C116" i="8"/>
  <c r="B116" i="8"/>
  <c r="D115" i="8"/>
  <c r="C115" i="8"/>
  <c r="B115" i="8"/>
  <c r="D114" i="8"/>
  <c r="C114" i="8"/>
  <c r="B114" i="8"/>
  <c r="D113" i="8"/>
  <c r="C113" i="8"/>
  <c r="B113" i="8"/>
  <c r="D112" i="8"/>
  <c r="C112" i="8"/>
  <c r="B112" i="8"/>
  <c r="D111" i="8"/>
  <c r="C111" i="8"/>
  <c r="B111" i="8"/>
  <c r="D109" i="8"/>
  <c r="C109" i="8"/>
  <c r="B109" i="8"/>
  <c r="D108" i="8"/>
  <c r="C108" i="8"/>
  <c r="B108" i="8"/>
  <c r="D107" i="8"/>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M7" i="8" l="1"/>
  <c r="P15" i="8"/>
  <c r="N15" i="8"/>
  <c r="O15" i="8"/>
  <c r="N22" i="8"/>
  <c r="N23" i="8"/>
  <c r="M15" i="8"/>
  <c r="E260" i="8"/>
  <c r="G260" i="8"/>
  <c r="F260" i="8"/>
  <c r="H260" i="8"/>
  <c r="O130" i="8"/>
  <c r="R130" i="8"/>
  <c r="P130" i="8"/>
  <c r="Q130" i="8"/>
  <c r="R126" i="8"/>
  <c r="R129" i="8"/>
  <c r="R128" i="8"/>
  <c r="R127" i="8"/>
  <c r="R121" i="8"/>
  <c r="R125" i="8"/>
  <c r="R124" i="8"/>
  <c r="R123" i="8"/>
  <c r="R122" i="8"/>
  <c r="R120" i="8"/>
  <c r="R119" i="8"/>
  <c r="R118" i="8"/>
  <c r="R117" i="8"/>
  <c r="R116" i="8"/>
  <c r="R115" i="8"/>
  <c r="R114" i="8"/>
  <c r="R113" i="8"/>
  <c r="R88" i="8"/>
  <c r="R101" i="8"/>
  <c r="R105" i="8"/>
  <c r="R112" i="8"/>
  <c r="R111" i="8"/>
  <c r="R109" i="8"/>
  <c r="R108" i="8"/>
  <c r="R107" i="8"/>
  <c r="R106" i="8"/>
  <c r="R99" i="8"/>
  <c r="R90" i="8"/>
  <c r="R104" i="8"/>
  <c r="R103" i="8"/>
  <c r="R100" i="8"/>
  <c r="R102" i="8"/>
  <c r="R98" i="8"/>
  <c r="R97" i="8"/>
  <c r="R96" i="8"/>
  <c r="R95" i="8"/>
  <c r="R94" i="8"/>
  <c r="R93" i="8"/>
  <c r="R92" i="8"/>
  <c r="R91" i="8"/>
  <c r="R89" i="8"/>
  <c r="R87" i="8"/>
  <c r="R86" i="8"/>
  <c r="R85" i="8"/>
  <c r="R79" i="8"/>
  <c r="R83" i="8"/>
  <c r="R84" i="8"/>
  <c r="R82" i="8"/>
  <c r="R81" i="8"/>
  <c r="R80" i="8"/>
  <c r="R73" i="8"/>
  <c r="R75" i="8"/>
  <c r="R78" i="8"/>
  <c r="R77" i="8"/>
  <c r="R76" i="8"/>
  <c r="R71" i="8"/>
  <c r="R74" i="8"/>
  <c r="R72" i="8"/>
  <c r="R70" i="8"/>
  <c r="R69" i="8"/>
  <c r="R68" i="8"/>
  <c r="R65" i="8"/>
  <c r="R67" i="8"/>
  <c r="R66" i="8"/>
  <c r="R64" i="8"/>
  <c r="R63" i="8"/>
  <c r="R62" i="8"/>
  <c r="R57" i="8"/>
  <c r="R61" i="8"/>
  <c r="R60" i="8"/>
  <c r="R59" i="8"/>
  <c r="R58" i="8"/>
  <c r="R56" i="8"/>
  <c r="R55" i="8"/>
  <c r="R53" i="8"/>
  <c r="R52" i="8"/>
  <c r="R51" i="8"/>
  <c r="R50" i="8"/>
  <c r="R49" i="8"/>
  <c r="R47" i="8"/>
  <c r="R48" i="8"/>
  <c r="R45" i="8"/>
  <c r="R46" i="8"/>
  <c r="R44" i="8"/>
  <c r="R43" i="8"/>
  <c r="R42" i="8"/>
  <c r="R41" i="8"/>
  <c r="R40" i="8"/>
  <c r="R39" i="8"/>
  <c r="R37" i="8"/>
  <c r="R38" i="8"/>
  <c r="R36" i="8"/>
  <c r="Q65" i="8"/>
  <c r="Q71" i="8"/>
  <c r="Q75" i="8"/>
  <c r="Q79" i="8"/>
  <c r="Q83" i="8"/>
  <c r="Q88" i="8"/>
  <c r="Q112" i="8"/>
  <c r="Q126" i="8"/>
  <c r="Q129" i="8"/>
  <c r="R35" i="8"/>
  <c r="Q114" i="8"/>
  <c r="Q128" i="8"/>
  <c r="Q127" i="8"/>
  <c r="Q125" i="8"/>
  <c r="Q121" i="8"/>
  <c r="Q124" i="8"/>
  <c r="Q123" i="8"/>
  <c r="Q90" i="8"/>
  <c r="Q99" i="8"/>
  <c r="Q120" i="8"/>
  <c r="Q122" i="8"/>
  <c r="Q101" i="8"/>
  <c r="Q118" i="8"/>
  <c r="Q119" i="8"/>
  <c r="Q117" i="8"/>
  <c r="Q116" i="8"/>
  <c r="Q115" i="8"/>
  <c r="Q100" i="8"/>
  <c r="Q111" i="8"/>
  <c r="Q113" i="8"/>
  <c r="Q109" i="8"/>
  <c r="Q108" i="8"/>
  <c r="Q107" i="8"/>
  <c r="Q106" i="8"/>
  <c r="Q105" i="8"/>
  <c r="Q104" i="8"/>
  <c r="Q103" i="8"/>
  <c r="Q102" i="8"/>
  <c r="Q98" i="8"/>
  <c r="Q97" i="8"/>
  <c r="Q92" i="8"/>
  <c r="Q96" i="8"/>
  <c r="Q95" i="8"/>
  <c r="Q94" i="8"/>
  <c r="Q93" i="8"/>
  <c r="Q91" i="8"/>
  <c r="Q89" i="8"/>
  <c r="Q87" i="8"/>
  <c r="Q86" i="8"/>
  <c r="Q85" i="8"/>
  <c r="Q84" i="8"/>
  <c r="Q77" i="8"/>
  <c r="Q78" i="8"/>
  <c r="Q82" i="8"/>
  <c r="Q81" i="8"/>
  <c r="Q80" i="8"/>
  <c r="Q76" i="8"/>
  <c r="Q73" i="8"/>
  <c r="Q74" i="8"/>
  <c r="Q72" i="8"/>
  <c r="Q70" i="8"/>
  <c r="Q69" i="8"/>
  <c r="Q58" i="8"/>
  <c r="Q62" i="8"/>
  <c r="Q66" i="8"/>
  <c r="Q68" i="8"/>
  <c r="Q67" i="8"/>
  <c r="Q64" i="8"/>
  <c r="Q63" i="8"/>
  <c r="Q61" i="8"/>
  <c r="Q60" i="8"/>
  <c r="Q59" i="8"/>
  <c r="Q44" i="8"/>
  <c r="Q51" i="8"/>
  <c r="Q57" i="8"/>
  <c r="Q56" i="8"/>
  <c r="Q52" i="8"/>
  <c r="Q55" i="8"/>
  <c r="Q53" i="8"/>
  <c r="Q47" i="8"/>
  <c r="P71" i="8"/>
  <c r="P75" i="8"/>
  <c r="P79" i="8"/>
  <c r="P83" i="8"/>
  <c r="Q50" i="8"/>
  <c r="Q49" i="8"/>
  <c r="Q48" i="8"/>
  <c r="Q46" i="8"/>
  <c r="Q45" i="8"/>
  <c r="Q43" i="8"/>
  <c r="Q42" i="8"/>
  <c r="Q41" i="8"/>
  <c r="Q40" i="8"/>
  <c r="Q39" i="8"/>
  <c r="Q38" i="8"/>
  <c r="Q37" i="8"/>
  <c r="Q36" i="8"/>
  <c r="Q35" i="8"/>
  <c r="Q34" i="8"/>
  <c r="R34" i="8"/>
  <c r="P126" i="8"/>
  <c r="O129" i="8"/>
  <c r="P129" i="8"/>
  <c r="O128" i="8"/>
  <c r="P128" i="8"/>
  <c r="P127" i="8"/>
  <c r="P125" i="8"/>
  <c r="P123" i="8"/>
  <c r="P124" i="8"/>
  <c r="P121" i="8"/>
  <c r="P122" i="8"/>
  <c r="P117" i="8"/>
  <c r="P114" i="8"/>
  <c r="O120" i="8"/>
  <c r="P120" i="8"/>
  <c r="P119" i="8"/>
  <c r="P118" i="8"/>
  <c r="P116" i="8"/>
  <c r="P115" i="8"/>
  <c r="P101" i="8"/>
  <c r="P113" i="8"/>
  <c r="P108" i="8"/>
  <c r="O112" i="8"/>
  <c r="P112" i="8"/>
  <c r="O111" i="8"/>
  <c r="P111" i="8"/>
  <c r="P109" i="8"/>
  <c r="P90" i="8"/>
  <c r="P105" i="8"/>
  <c r="P107" i="8"/>
  <c r="P106" i="8"/>
  <c r="P104" i="8"/>
  <c r="P103" i="8"/>
  <c r="P65" i="8"/>
  <c r="P100" i="8"/>
  <c r="P99" i="8"/>
  <c r="O102" i="8"/>
  <c r="P102" i="8"/>
  <c r="P95" i="8"/>
  <c r="O98" i="8"/>
  <c r="P98" i="8"/>
  <c r="O97" i="8"/>
  <c r="P97" i="8"/>
  <c r="O96" i="8"/>
  <c r="P96" i="8"/>
  <c r="P94" i="8"/>
  <c r="P73" i="8"/>
  <c r="P91" i="8"/>
  <c r="O93" i="8"/>
  <c r="P93" i="8"/>
  <c r="P92" i="8"/>
  <c r="O92" i="8"/>
  <c r="P89" i="8"/>
  <c r="P87" i="8"/>
  <c r="O88" i="8"/>
  <c r="P88" i="8"/>
  <c r="P86" i="8"/>
  <c r="P85" i="8"/>
  <c r="P84" i="8"/>
  <c r="P82" i="8"/>
  <c r="P81" i="8"/>
  <c r="P77" i="8"/>
  <c r="O80" i="8"/>
  <c r="P80" i="8"/>
  <c r="O78" i="8"/>
  <c r="P78" i="8"/>
  <c r="P76" i="8"/>
  <c r="P74" i="8"/>
  <c r="P72" i="8"/>
  <c r="P70" i="8"/>
  <c r="P69" i="8"/>
  <c r="P68" i="8"/>
  <c r="P67" i="8"/>
  <c r="O66" i="8"/>
  <c r="P66" i="8"/>
  <c r="P64" i="8"/>
  <c r="P62" i="8"/>
  <c r="O63" i="8"/>
  <c r="P63" i="8"/>
  <c r="P61" i="8"/>
  <c r="P60" i="8"/>
  <c r="P59" i="8"/>
  <c r="O58" i="8"/>
  <c r="P58" i="8"/>
  <c r="O57" i="8"/>
  <c r="P57" i="8"/>
  <c r="P55" i="8"/>
  <c r="P56" i="8"/>
  <c r="O55"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N11" i="8"/>
  <c r="N14" i="8"/>
  <c r="N13" i="8"/>
  <c r="N9" i="8"/>
  <c r="N12" i="8"/>
  <c r="N10" i="8"/>
  <c r="N8" i="8"/>
  <c r="N5" i="8"/>
  <c r="N7" i="8"/>
  <c r="M10" i="8"/>
  <c r="M13" i="8"/>
  <c r="N4" i="8"/>
  <c r="N3" i="8"/>
  <c r="O119" i="8"/>
  <c r="M14" i="8"/>
  <c r="M12" i="8"/>
  <c r="M9" i="8"/>
  <c r="M11" i="8"/>
  <c r="M8" i="8"/>
  <c r="M5" i="8"/>
  <c r="M4" i="8"/>
  <c r="O36" i="8"/>
  <c r="O38" i="8"/>
  <c r="O40" i="8"/>
  <c r="O46" i="8"/>
  <c r="O53" i="8"/>
  <c r="O61" i="8"/>
  <c r="O70" i="8"/>
  <c r="O117" i="8"/>
  <c r="O115" i="8"/>
  <c r="O103" i="8"/>
  <c r="O106" i="8"/>
  <c r="O108" i="8"/>
  <c r="O122" i="8"/>
  <c r="O107" i="8"/>
  <c r="O90" i="8"/>
  <c r="O114" i="8"/>
  <c r="O126" i="8"/>
  <c r="O49" i="8"/>
  <c r="O82" i="8"/>
  <c r="O86" i="8"/>
  <c r="O94" i="8"/>
  <c r="O56" i="8"/>
  <c r="O59" i="8"/>
  <c r="O67" i="8"/>
  <c r="O69" i="8"/>
  <c r="O74" i="8"/>
  <c r="O81" i="8"/>
  <c r="O85" i="8"/>
  <c r="O91" i="8"/>
  <c r="O95" i="8"/>
  <c r="O104" i="8"/>
  <c r="O35" i="8"/>
  <c r="O39" i="8"/>
  <c r="O41" i="8"/>
  <c r="O45" i="8"/>
  <c r="O52" i="8"/>
  <c r="O60" i="8"/>
  <c r="O62" i="8"/>
  <c r="O68" i="8"/>
  <c r="O72" i="8"/>
  <c r="O76" i="8"/>
  <c r="O84" i="8"/>
  <c r="O87" i="8"/>
  <c r="O89" i="8"/>
  <c r="O43" i="8"/>
  <c r="O64" i="8"/>
  <c r="O34" i="8"/>
  <c r="O42" i="8"/>
  <c r="O50" i="8"/>
  <c r="O37" i="8"/>
  <c r="O47" i="8"/>
  <c r="O48" i="8"/>
  <c r="O65" i="8"/>
  <c r="O71" i="8"/>
  <c r="O73" i="8"/>
  <c r="O75" i="8"/>
  <c r="O77" i="8"/>
  <c r="O79" i="8"/>
  <c r="O83" i="8"/>
  <c r="O99" i="8"/>
  <c r="O100" i="8"/>
  <c r="O101" i="8"/>
  <c r="O105" i="8"/>
  <c r="O121" i="8"/>
  <c r="O113" i="8"/>
  <c r="O123" i="8"/>
  <c r="O125" i="8"/>
  <c r="O127" i="8"/>
  <c r="O109" i="8"/>
  <c r="O116" i="8"/>
  <c r="O118" i="8"/>
  <c r="O124"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9" i="8"/>
  <c r="I63" i="8"/>
  <c r="I67" i="8"/>
  <c r="I71" i="8"/>
  <c r="I75" i="8"/>
  <c r="I79" i="8"/>
  <c r="I83" i="8"/>
  <c r="I87" i="8"/>
  <c r="I91" i="8"/>
  <c r="I95" i="8"/>
  <c r="I99" i="8"/>
  <c r="I103" i="8"/>
  <c r="I107" i="8"/>
  <c r="I112" i="8"/>
  <c r="I116" i="8"/>
  <c r="I120" i="8"/>
  <c r="I124" i="8"/>
  <c r="I128" i="8"/>
  <c r="I132" i="8"/>
  <c r="I136" i="8"/>
  <c r="I140" i="8"/>
  <c r="I144" i="8"/>
  <c r="I148" i="8"/>
  <c r="I152" i="8"/>
  <c r="I156" i="8"/>
  <c r="I160" i="8"/>
  <c r="I167" i="8"/>
  <c r="I171" i="8"/>
  <c r="I175" i="8"/>
  <c r="I179" i="8"/>
  <c r="I183" i="8"/>
  <c r="I187" i="8"/>
  <c r="I191" i="8"/>
  <c r="I195" i="8"/>
  <c r="I199" i="8"/>
  <c r="I203" i="8"/>
  <c r="I207" i="8"/>
  <c r="I211" i="8"/>
  <c r="I215" i="8"/>
  <c r="I219" i="8"/>
  <c r="I223" i="8"/>
  <c r="I227" i="8"/>
  <c r="I231" i="8"/>
  <c r="I235" i="8"/>
  <c r="I239" i="8"/>
  <c r="I2" i="8"/>
  <c r="I5" i="8"/>
  <c r="I9" i="8"/>
  <c r="I13" i="8"/>
  <c r="I17" i="8"/>
  <c r="I21" i="8"/>
  <c r="I25" i="8"/>
  <c r="I29" i="8"/>
  <c r="I33" i="8"/>
  <c r="I37" i="8"/>
  <c r="I41" i="8"/>
  <c r="I45" i="8"/>
  <c r="I49" i="8"/>
  <c r="I53" i="8"/>
  <c r="I58" i="8"/>
  <c r="I62" i="8"/>
  <c r="I66" i="8"/>
  <c r="I70" i="8"/>
  <c r="I74" i="8"/>
  <c r="I78" i="8"/>
  <c r="I82" i="8"/>
  <c r="I86" i="8"/>
  <c r="I90" i="8"/>
  <c r="I94" i="8"/>
  <c r="I98" i="8"/>
  <c r="I102" i="8"/>
  <c r="I106" i="8"/>
  <c r="I111" i="8"/>
  <c r="I115" i="8"/>
  <c r="I119" i="8"/>
  <c r="I123" i="8"/>
  <c r="I127" i="8"/>
  <c r="I131" i="8"/>
  <c r="I135" i="8"/>
  <c r="I139" i="8"/>
  <c r="I143" i="8"/>
  <c r="I147" i="8"/>
  <c r="I151" i="8"/>
  <c r="I155" i="8"/>
  <c r="I159" i="8"/>
  <c r="I163" i="8"/>
  <c r="I166" i="8"/>
  <c r="I170" i="8"/>
  <c r="I174" i="8"/>
  <c r="I178" i="8"/>
  <c r="I182" i="8"/>
  <c r="I186" i="8"/>
  <c r="I190" i="8"/>
  <c r="I194" i="8"/>
  <c r="I198" i="8"/>
  <c r="I202" i="8"/>
  <c r="I206" i="8"/>
  <c r="I210" i="8"/>
  <c r="I214" i="8"/>
  <c r="I218" i="8"/>
  <c r="I222" i="8"/>
  <c r="I226" i="8"/>
  <c r="I230" i="8"/>
  <c r="I234" i="8"/>
  <c r="I238" i="8"/>
  <c r="I4" i="8"/>
  <c r="I8" i="8"/>
  <c r="I12" i="8"/>
  <c r="I16" i="8"/>
  <c r="I20" i="8"/>
  <c r="I24" i="8"/>
  <c r="I28" i="8"/>
  <c r="I32" i="8"/>
  <c r="I36" i="8"/>
  <c r="I40" i="8"/>
  <c r="I44" i="8"/>
  <c r="I48" i="8"/>
  <c r="I52" i="8"/>
  <c r="I57" i="8"/>
  <c r="I61" i="8"/>
  <c r="I65" i="8"/>
  <c r="I69" i="8"/>
  <c r="I73" i="8"/>
  <c r="I77" i="8"/>
  <c r="I81" i="8"/>
  <c r="I85" i="8"/>
  <c r="I89" i="8"/>
  <c r="I93" i="8"/>
  <c r="I97" i="8"/>
  <c r="I101" i="8"/>
  <c r="I105" i="8"/>
  <c r="I109" i="8"/>
  <c r="I114" i="8"/>
  <c r="I118" i="8"/>
  <c r="I122" i="8"/>
  <c r="I126" i="8"/>
  <c r="I130" i="8"/>
  <c r="I134" i="8"/>
  <c r="I138" i="8"/>
  <c r="I142" i="8"/>
  <c r="I146" i="8"/>
  <c r="I150" i="8"/>
  <c r="I154" i="8"/>
  <c r="I158" i="8"/>
  <c r="I162" i="8"/>
  <c r="I165" i="8"/>
  <c r="I169" i="8"/>
  <c r="I173" i="8"/>
  <c r="I3" i="8"/>
  <c r="I7" i="8"/>
  <c r="I11" i="8"/>
  <c r="I15" i="8"/>
  <c r="I19" i="8"/>
  <c r="I23" i="8"/>
  <c r="I27" i="8"/>
  <c r="I31" i="8"/>
  <c r="I35" i="8"/>
  <c r="I39" i="8"/>
  <c r="I43" i="8"/>
  <c r="I47" i="8"/>
  <c r="I51" i="8"/>
  <c r="I56" i="8"/>
  <c r="I60" i="8"/>
  <c r="I64" i="8"/>
  <c r="I68" i="8"/>
  <c r="I72" i="8"/>
  <c r="I76" i="8"/>
  <c r="I80" i="8"/>
  <c r="I84" i="8"/>
  <c r="I88" i="8"/>
  <c r="I92" i="8"/>
  <c r="I96" i="8"/>
  <c r="I100" i="8"/>
  <c r="I104" i="8"/>
  <c r="I108" i="8"/>
  <c r="I113" i="8"/>
  <c r="I117" i="8"/>
  <c r="I121" i="8"/>
  <c r="I125" i="8"/>
  <c r="I129" i="8"/>
  <c r="I133" i="8"/>
  <c r="I137" i="8"/>
  <c r="I141" i="8"/>
  <c r="I145" i="8"/>
  <c r="I149" i="8"/>
  <c r="I153" i="8"/>
  <c r="I157" i="8"/>
  <c r="I161" i="8"/>
  <c r="I164" i="8"/>
  <c r="I168" i="8"/>
  <c r="I172" i="8"/>
  <c r="I177" i="8"/>
  <c r="I181" i="8"/>
  <c r="I185" i="8"/>
  <c r="I189" i="8"/>
  <c r="I193" i="8"/>
  <c r="I197" i="8"/>
  <c r="I201" i="8"/>
  <c r="I205" i="8"/>
  <c r="I209" i="8"/>
  <c r="I213" i="8"/>
  <c r="I217" i="8"/>
  <c r="I221" i="8"/>
  <c r="I225" i="8"/>
  <c r="I229" i="8"/>
  <c r="I233" i="8"/>
  <c r="I237" i="8"/>
  <c r="I176" i="8"/>
  <c r="I180" i="8"/>
  <c r="I184" i="8"/>
  <c r="I188" i="8"/>
  <c r="I192" i="8"/>
  <c r="I196" i="8"/>
  <c r="I200" i="8"/>
  <c r="I204" i="8"/>
  <c r="I208" i="8"/>
  <c r="I212" i="8"/>
  <c r="I216" i="8"/>
  <c r="I220" i="8"/>
  <c r="I224" i="8"/>
  <c r="I228" i="8"/>
  <c r="I232" i="8"/>
  <c r="I236" i="8"/>
  <c r="I240" i="8"/>
  <c r="Q142" i="8" l="1"/>
  <c r="P142" i="8"/>
  <c r="O142" i="8"/>
  <c r="P147" i="8"/>
  <c r="P144" i="8"/>
  <c r="P146" i="8"/>
  <c r="P145" i="8"/>
  <c r="O143" i="8" l="1"/>
  <c r="P143" i="8"/>
  <c r="Q30" i="8"/>
  <c r="O30" i="8"/>
  <c r="N30" i="8"/>
  <c r="P30" i="8"/>
  <c r="M30" i="8"/>
  <c r="R7" i="1"/>
  <c r="Q7" i="1"/>
  <c r="P7" i="1"/>
  <c r="O7" i="1"/>
  <c r="N7" i="1"/>
  <c r="M7" i="1"/>
  <c r="L7" i="1"/>
  <c r="K7" i="1"/>
  <c r="J7" i="1"/>
  <c r="I7" i="1"/>
  <c r="H7" i="1"/>
  <c r="G7" i="1"/>
  <c r="AG10" i="8" l="1"/>
  <c r="AG14" i="8" s="1"/>
  <c r="AF9" i="8"/>
  <c r="AF4" i="8"/>
  <c r="AF5" i="8"/>
  <c r="AF6" i="8"/>
  <c r="AF7" i="8"/>
  <c r="AF8" i="8"/>
  <c r="AF3" i="8"/>
  <c r="AF2" i="8"/>
  <c r="AG11" i="8"/>
  <c r="AG16" i="8"/>
  <c r="AG15" i="8" l="1"/>
  <c r="AG13" i="8"/>
  <c r="AF10" i="8"/>
  <c r="AF11" i="8"/>
  <c r="H262" i="109" l="1"/>
  <c r="M147" i="8" l="1"/>
  <c r="M146" i="8"/>
  <c r="M145" i="8"/>
  <c r="H262" i="2" l="1"/>
  <c r="M144" i="8" l="1"/>
  <c r="M22" i="8" l="1"/>
  <c r="M23" i="8"/>
  <c r="R142" i="8"/>
  <c r="O147" i="8"/>
  <c r="O145" i="8"/>
  <c r="O146" i="8"/>
  <c r="O144" i="8"/>
  <c r="P150" i="8" l="1"/>
  <c r="P152" i="8"/>
  <c r="P153" i="8"/>
  <c r="P151" i="8"/>
  <c r="Q145" i="8"/>
  <c r="Q144" i="8"/>
  <c r="Q147" i="8"/>
  <c r="Q146" i="8"/>
  <c r="P154" i="8"/>
  <c r="O17" i="8"/>
  <c r="N17" i="8"/>
  <c r="P17" i="8"/>
  <c r="M17" i="8"/>
  <c r="M18" i="8" l="1"/>
  <c r="N18" i="8"/>
  <c r="M148" i="8" l="1"/>
  <c r="A5" i="1" l="1"/>
  <c r="G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<sst xmlns="http://schemas.openxmlformats.org/spreadsheetml/2006/main" count="5366" uniqueCount="1247">
  <si>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</si>
  <si>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</si>
  <si>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</si>
  <si>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</si>
  <si>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</si>
  <si>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</si>
  <si>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</si>
  <si>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</si>
  <si>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</si>
  <si>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</si>
  <si>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</si>
  <si>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</si>
  <si>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</si>
  <si>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</si>
  <si>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</si>
  <si>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</si>
  <si>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</si>
  <si>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</si>
  <si>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</si>
  <si>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</si>
  <si>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</si>
  <si>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</si>
  <si>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</si>
  <si>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</si>
  <si>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</si>
  <si>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</si>
  <si>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</si>
  <si>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</si>
  <si>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</si>
  <si>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</si>
  <si>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</si>
  <si>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</si>
  <si>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</si>
  <si>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</si>
  <si>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</si>
  <si>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</si>
  <si>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</si>
  <si>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</si>
  <si>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</si>
  <si>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</si>
  <si>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</si>
  <si>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</si>
  <si>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</si>
  <si>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</si>
  <si>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</si>
  <si>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</si>
  <si>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</si>
  <si>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</si>
  <si>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</si>
  <si>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</si>
  <si>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</si>
  <si>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</si>
  <si>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</si>
  <si>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</si>
  <si>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</si>
  <si>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</si>
  <si>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</si>
  <si>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</si>
  <si>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</si>
  <si>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</si>
  <si>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</si>
  <si>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</si>
  <si>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</si>
  <si>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</si>
  <si>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</si>
  <si>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</si>
  <si>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</si>
  <si>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</si>
  <si>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</si>
  <si>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</si>
  <si>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</si>
  <si>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</si>
  <si>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</si>
  <si>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</si>
  <si>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</si>
  <si>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</si>
  <si>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</si>
  <si>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</si>
  <si>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</si>
  <si>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</si>
  <si>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</si>
  <si>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</si>
  <si>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</si>
  <si>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</si>
  <si>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</si>
  <si>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</si>
  <si>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</si>
  <si>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</si>
  <si>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</si>
  <si>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</si>
  <si>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</si>
  <si>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</si>
  <si>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</si>
  <si>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</si>
  <si>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</si>
  <si>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</si>
  <si>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</si>
  <si>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</si>
  <si>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</si>
  <si>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</si>
  <si>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</si>
  <si>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</si>
  <si>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</si>
  <si>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</si>
  <si>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</si>
  <si>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</si>
  <si>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</si>
  <si>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</si>
  <si>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</si>
  <si>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</si>
  <si>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</si>
  <si>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</si>
  <si>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</si>
  <si>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</si>
  <si>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</si>
  <si>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</si>
  <si>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</si>
  <si>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</si>
  <si>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</si>
  <si>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</si>
  <si>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</si>
  <si>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</si>
  <si>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</si>
  <si>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</si>
  <si>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</si>
  <si>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</si>
  <si>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</si>
  <si>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</si>
  <si>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</si>
  <si>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</si>
  <si>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</si>
  <si>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</si>
  <si>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</si>
  <si>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</si>
  <si>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</si>
  <si>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</si>
  <si>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</si>
  <si>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</si>
  <si>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</si>
  <si>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</si>
  <si>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</si>
  <si>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</si>
  <si>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</si>
  <si>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</si>
  <si>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</si>
  <si>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</si>
  <si>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</si>
  <si>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</si>
  <si>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</si>
  <si>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</si>
  <si>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</si>
  <si>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</si>
  <si>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</si>
  <si>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</si>
  <si>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</si>
  <si>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</si>
  <si>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</si>
  <si>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</si>
  <si>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</si>
  <si>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</si>
  <si>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</si>
  <si>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</si>
  <si>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</si>
  <si>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</si>
  <si>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</si>
  <si>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</si>
  <si>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</si>
  <si>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</si>
  <si>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</si>
  <si>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</si>
  <si>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</si>
  <si>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</si>
  <si>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</si>
  <si>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</si>
  <si>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</si>
  <si>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</si>
  <si>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</si>
  <si>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</si>
  <si>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</si>
  <si>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</si>
  <si>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</si>
  <si>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</si>
  <si>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</si>
  <si>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</si>
  <si>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</si>
  <si>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</si>
  <si>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</si>
  <si>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</si>
  <si>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</si>
  <si>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</si>
  <si>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</si>
  <si>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</si>
  <si>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</si>
  <si>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</si>
  <si>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</si>
  <si>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</si>
  <si>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</si>
  <si>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</si>
  <si>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</si>
  <si>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</si>
  <si>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</si>
  <si>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</si>
  <si>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</si>
  <si>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</si>
  <si>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</si>
  <si>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</si>
  <si>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</si>
  <si>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</si>
  <si>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</si>
  <si>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</si>
  <si>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</si>
  <si>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</si>
  <si>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</si>
  <si>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</si>
  <si>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</si>
  <si>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</si>
  <si>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</si>
  <si>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</si>
  <si>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</si>
  <si>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</si>
  <si>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</si>
  <si>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</si>
  <si>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</si>
  <si>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</si>
  <si>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</si>
  <si>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</si>
  <si>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</si>
  <si>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</si>
  <si>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</si>
  <si>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</si>
  <si>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</si>
  <si>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</si>
  <si>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</si>
  <si>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</si>
  <si>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</si>
  <si>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</si>
  <si>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</si>
  <si>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</si>
  <si>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</si>
  <si>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</si>
  <si>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</si>
  <si>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</si>
  <si>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</si>
  <si>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</si>
  <si>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</si>
  <si>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</si>
  <si>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</si>
  <si>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</si>
  <si>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</si>
  <si>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</si>
  <si>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</si>
  <si>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</si>
  <si>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</si>
  <si>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</si>
  <si>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</si>
  <si>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</si>
  <si>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</si>
  <si>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</si>
  <si>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</si>
  <si>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</si>
  <si>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</si>
  <si>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</si>
  <si>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</si>
  <si>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</si>
  <si>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</si>
  <si>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</si>
  <si>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</si>
  <si>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</si>
  <si>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</si>
  <si>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</si>
  <si>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</si>
  <si>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</si>
  <si>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</si>
  <si>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</si>
  <si>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</si>
  <si>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</si>
  <si>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</si>
  <si>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</si>
  <si>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</si>
  <si>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</si>
  <si>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</si>
  <si>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</si>
  <si>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</si>
  <si>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</si>
  <si>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</si>
  <si>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</si>
  <si>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</si>
  <si>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</si>
  <si>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</si>
  <si>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</si>
  <si>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</si>
  <si>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</si>
  <si>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</si>
  <si>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</si>
  <si>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</si>
  <si>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</si>
  <si>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</si>
  <si>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</si>
  <si>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</si>
  <si>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</si>
  <si>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</si>
  <si>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</si>
  <si>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</si>
  <si>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</si>
  <si>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</si>
  <si>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</si>
  <si>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</si>
  <si>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</si>
  <si>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</si>
  <si>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</si>
  <si>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</si>
  <si>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</si>
  <si>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</si>
  <si>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</si>
  <si>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</si>
  <si>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</si>
  <si>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</si>
  <si>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</si>
  <si>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</si>
  <si>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</si>
  <si>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</si>
  <si>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</si>
  <si>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</si>
  <si>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</si>
  <si>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</si>
  <si>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</si>
  <si>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</si>
  <si>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</si>
  <si>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</si>
  <si>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</si>
  <si>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</si>
  <si>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</si>
  <si>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</si>
  <si>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</si>
  <si>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</si>
  <si>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</si>
  <si>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</si>
  <si>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</si>
  <si>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</si>
  <si>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</si>
  <si>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</si>
  <si>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</si>
  <si>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</si>
  <si>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</si>
  <si>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</si>
  <si>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</si>
  <si>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</si>
  <si>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</si>
  <si>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</si>
  <si>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</si>
  <si>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</si>
  <si>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</si>
  <si>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</si>
  <si>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</si>
  <si>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</si>
  <si>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</si>
  <si>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</si>
  <si>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</si>
  <si>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</si>
  <si>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</si>
  <si>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</si>
  <si>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</si>
  <si>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</si>
  <si>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</si>
  <si>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</si>
  <si>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</si>
  <si>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</si>
  <si>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</si>
  <si>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</si>
  <si>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</si>
  <si>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</si>
  <si>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</si>
  <si>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</si>
  <si>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</si>
  <si>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</si>
  <si>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</si>
  <si>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</si>
  <si>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</si>
  <si>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</si>
  <si>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</si>
  <si>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</si>
  <si>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</si>
  <si>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</si>
  <si>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</si>
  <si>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</si>
  <si>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</si>
  <si>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</si>
  <si>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</si>
  <si>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</si>
  <si>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</si>
  <si>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</si>
  <si>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</si>
  <si>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</si>
  <si>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</si>
  <si>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</si>
  <si>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</si>
  <si>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</si>
  <si>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</si>
  <si>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</si>
  <si>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</si>
  <si>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</si>
  <si>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</si>
  <si>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</si>
  <si>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</si>
  <si>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</si>
  <si>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</si>
  <si>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</si>
  <si>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</si>
  <si>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</si>
  <si>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</si>
  <si>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</si>
  <si>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</si>
  <si>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</si>
  <si>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</si>
  <si>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</si>
  <si>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</si>
  <si>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</si>
  <si>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</si>
  <si>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</si>
  <si>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</si>
  <si>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</si>
  <si>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</si>
  <si>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</si>
  <si>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</si>
  <si>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</si>
  <si>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</si>
  <si>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</si>
  <si>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</si>
  <si>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</si>
  <si>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</si>
  <si>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</si>
  <si>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</si>
  <si>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</si>
  <si>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</si>
  <si>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</si>
  <si>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</si>
  <si>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</si>
  <si>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</si>
  <si>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</si>
  <si>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</si>
  <si>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</si>
  <si>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</si>
  <si>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</si>
  <si>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</si>
  <si>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</si>
  <si>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</si>
  <si>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</si>
  <si>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</si>
  <si>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</si>
  <si>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</si>
  <si>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</si>
  <si>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</si>
  <si>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</si>
  <si>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</si>
  <si>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</si>
  <si>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</si>
  <si>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</si>
  <si>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</si>
  <si>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</si>
  <si>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</si>
  <si>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</si>
  <si>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</si>
  <si>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</si>
  <si>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</si>
  <si>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</si>
  <si>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</si>
  <si>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</si>
  <si>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</si>
  <si>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</si>
  <si>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</si>
  <si>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</si>
  <si>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</si>
  <si>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</si>
  <si>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</si>
  <si>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</si>
  <si>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</si>
  <si>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</si>
  <si>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</si>
  <si>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</si>
  <si>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</si>
  <si>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</si>
  <si>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</si>
  <si>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</si>
  <si>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</si>
  <si>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</si>
  <si>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</si>
  <si>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</si>
  <si>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</si>
  <si>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</si>
  <si>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</si>
  <si>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</si>
  <si>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</si>
  <si>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</si>
  <si>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</si>
  <si>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</si>
  <si>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</si>
  <si>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</si>
  <si>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</si>
  <si>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</si>
  <si>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</si>
  <si>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</si>
  <si>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</si>
  <si>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</si>
  <si>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</si>
  <si>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</si>
  <si>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</si>
  <si>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</si>
  <si>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</si>
  <si>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</si>
  <si>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</si>
  <si>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</si>
  <si>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</si>
  <si>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</si>
  <si>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</si>
  <si>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</si>
  <si>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</si>
  <si>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</si>
  <si>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</si>
  <si>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</si>
  <si>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</si>
  <si>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</si>
  <si>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</si>
  <si>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</si>
  <si>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</si>
  <si>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</si>
  <si>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</si>
  <si>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</si>
  <si>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</si>
  <si>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</si>
  <si>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</si>
  <si>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</si>
  <si>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</si>
  <si>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</si>
  <si>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</si>
  <si>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</si>
  <si>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</si>
  <si>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</si>
  <si>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</si>
  <si>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</si>
  <si>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</si>
  <si>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</si>
  <si>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</si>
  <si>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</si>
  <si>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</si>
  <si>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</si>
  <si>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</si>
  <si>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</si>
  <si>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</si>
  <si>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</si>
  <si>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</si>
  <si>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</si>
  <si>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</si>
  <si>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</si>
  <si>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</si>
  <si>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</si>
  <si>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</si>
  <si>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</si>
  <si>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</si>
  <si>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</si>
  <si>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</si>
  <si>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</si>
  <si>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</si>
  <si>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</si>
  <si>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</si>
  <si>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</si>
  <si>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</si>
  <si>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</si>
  <si>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</si>
  <si>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</si>
  <si>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</si>
  <si>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</si>
  <si>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</si>
  <si>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</si>
  <si>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</si>
  <si>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</si>
  <si>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</si>
  <si>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</si>
  <si>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</si>
  <si>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</si>
  <si>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</si>
  <si>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</si>
  <si>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</si>
  <si>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</si>
  <si>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</si>
  <si>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</si>
  <si>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</si>
  <si>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</si>
  <si>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</si>
  <si>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</si>
  <si>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</si>
  <si>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</si>
  <si>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</si>
  <si>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</si>
  <si>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</si>
  <si>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</si>
  <si>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</si>
  <si>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</si>
  <si>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</si>
  <si>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</si>
  <si>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</si>
  <si>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</si>
  <si>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</si>
  <si>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</si>
  <si>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</si>
  <si>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</si>
  <si>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</si>
  <si>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</si>
  <si>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</si>
  <si>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</si>
  <si>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</si>
  <si>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</si>
  <si>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</si>
  <si>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</si>
  <si>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</si>
  <si>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</si>
  <si>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</si>
  <si>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</si>
  <si>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</si>
  <si>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</si>
  <si>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</si>
  <si>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</si>
  <si>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</si>
  <si>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</si>
  <si>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</si>
  <si>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</si>
  <si>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</si>
  <si>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</si>
  <si>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</si>
  <si>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</si>
  <si>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</si>
  <si>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</si>
  <si>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</si>
  <si>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</si>
  <si>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</si>
  <si>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</si>
  <si>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</si>
  <si>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</si>
  <si>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</si>
  <si>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</si>
  <si>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</si>
  <si>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</si>
  <si>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</si>
  <si>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</si>
  <si>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</si>
  <si>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</si>
  <si>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</si>
  <si>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</si>
  <si>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</si>
  <si>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</si>
  <si>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</si>
  <si>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</si>
  <si>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</si>
  <si>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</si>
  <si>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</si>
  <si>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</si>
  <si>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</si>
  <si>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</si>
  <si>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</si>
  <si>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</si>
  <si>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</si>
  <si>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</si>
  <si>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</si>
  <si>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</si>
  <si>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</si>
  <si>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</si>
  <si>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</si>
  <si>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</si>
  <si>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</si>
  <si>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</si>
  <si>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</si>
  <si>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</si>
  <si>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</si>
  <si>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</si>
  <si>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</si>
  <si>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</si>
  <si>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</si>
  <si>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</si>
  <si>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</si>
  <si>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</si>
  <si>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</si>
  <si>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</si>
  <si>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</si>
  <si>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</si>
  <si>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</si>
  <si>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</si>
  <si>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</si>
  <si>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</si>
  <si>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5.6.3</t>
  </si>
  <si>
    <t>5.7.5</t>
  </si>
  <si>
    <t>6.1.4</t>
  </si>
  <si>
    <t>6.1.5</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</si>
  <si>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</si>
  <si>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</si>
  <si>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</si>
  <si>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</si>
  <si>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</si>
  <si>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</si>
  <si>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</si>
  <si>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</si>
  <si>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</si>
  <si>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</si>
  <si>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</si>
  <si>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</si>
  <si>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</si>
  <si>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</si>
  <si>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</si>
  <si>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</si>
  <si>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</si>
  <si>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</si>
  <si>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</si>
  <si>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</si>
  <si>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</si>
  <si>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</si>
  <si>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</si>
  <si>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</si>
  <si>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</si>
  <si>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</si>
  <si>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</si>
  <si>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</si>
  <si>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</si>
  <si>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</si>
  <si>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</si>
  <si>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</si>
  <si>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</si>
  <si>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</si>
  <si>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</si>
  <si>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</si>
  <si>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</si>
  <si>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</si>
  <si>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</si>
  <si>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</si>
  <si>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</si>
  <si>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</si>
  <si>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</si>
  <si>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</si>
  <si>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</si>
  <si>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</si>
  <si>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</si>
  <si>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</si>
  <si>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</si>
  <si>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</si>
  <si>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</si>
  <si>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</si>
  <si>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</si>
  <si>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</si>
  <si>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</si>
  <si>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</si>
  <si>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</si>
  <si>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</si>
  <si>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</si>
  <si>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</si>
  <si>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</si>
  <si>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</si>
  <si>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</si>
  <si>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</si>
  <si>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</si>
  <si>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</si>
  <si>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</si>
  <si>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</si>
  <si>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</si>
  <si>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</si>
  <si>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</si>
  <si>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</si>
  <si>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</si>
  <si>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</si>
  <si>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</si>
  <si>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</si>
  <si>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</si>
  <si>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</si>
  <si>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</si>
  <si>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</si>
  <si>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</si>
  <si>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</si>
  <si>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</si>
  <si>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</si>
  <si>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</si>
  <si>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</si>
  <si>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</si>
  <si>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</si>
  <si>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</si>
  <si>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</si>
  <si>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</si>
  <si>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</si>
  <si>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</si>
  <si>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</si>
  <si>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</si>
  <si>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</si>
  <si>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</si>
  <si>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</si>
  <si>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</si>
  <si>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</si>
  <si>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</si>
  <si>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</si>
  <si>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</si>
  <si>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</si>
  <si>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</si>
  <si>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</si>
  <si>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</si>
  <si>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</si>
  <si>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</si>
  <si>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</si>
  <si>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</si>
  <si>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</si>
  <si>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</si>
  <si>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</si>
  <si>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</si>
  <si>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</si>
  <si>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</si>
  <si>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</si>
  <si>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</si>
  <si>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</si>
  <si>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</si>
  <si>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</si>
  <si>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</si>
  <si>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</si>
  <si>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</si>
  <si>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</si>
  <si>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</si>
  <si>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</si>
  <si>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</si>
  <si>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</si>
  <si>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</si>
  <si>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</si>
  <si>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</si>
  <si>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</si>
  <si>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</si>
  <si>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</si>
  <si>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</si>
  <si>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</si>
  <si>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</si>
  <si>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</si>
  <si>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</si>
  <si>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</si>
  <si>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</si>
  <si>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</si>
  <si>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</si>
  <si>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</si>
  <si>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</si>
  <si>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</si>
  <si>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</si>
  <si>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</si>
  <si>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</si>
  <si>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</si>
  <si>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</si>
  <si>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</si>
  <si>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</si>
  <si>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</si>
  <si>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</si>
  <si>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</si>
  <si>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</si>
  <si>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</si>
  <si>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</si>
  <si>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</si>
  <si>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</si>
  <si>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</si>
  <si>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</si>
  <si>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</si>
  <si>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</si>
  <si>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</si>
  <si>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</si>
  <si>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</si>
  <si>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</si>
  <si>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</si>
  <si>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</si>
  <si>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</si>
  <si>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</si>
  <si>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</si>
  <si>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</si>
  <si>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</si>
  <si>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</si>
  <si>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</si>
  <si>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</si>
  <si>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</si>
  <si>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</si>
  <si>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</si>
  <si>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</si>
  <si>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</si>
  <si>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</si>
  <si>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</si>
  <si>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</si>
  <si>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</si>
  <si>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</si>
  <si>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</si>
  <si>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</si>
  <si>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</si>
  <si>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</si>
  <si>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</si>
  <si>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</si>
  <si>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</si>
  <si>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</si>
  <si>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</si>
  <si>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</si>
  <si>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</si>
  <si>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</si>
  <si>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</si>
  <si>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</si>
  <si>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</si>
  <si>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</si>
  <si>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</si>
  <si>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</si>
  <si>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</si>
  <si>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</si>
  <si>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</si>
  <si>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</si>
  <si>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</si>
  <si>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</si>
  <si>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</si>
  <si>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</si>
  <si>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</si>
  <si>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</si>
  <si>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</si>
  <si>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</si>
  <si>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</si>
  <si>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</si>
  <si>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</si>
  <si>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</si>
  <si>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</si>
  <si>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</si>
  <si>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</si>
  <si>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</si>
  <si>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</si>
  <si>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</si>
  <si>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</si>
  <si>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</si>
  <si>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</si>
  <si>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</si>
  <si>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</si>
  <si>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</si>
  <si>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</si>
  <si>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</si>
  <si>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</si>
  <si>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</si>
  <si>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</si>
  <si>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</si>
  <si>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</si>
  <si>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</si>
  <si>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</si>
  <si>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</si>
  <si>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</si>
  <si>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</si>
  <si>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</si>
  <si>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</si>
  <si>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</si>
  <si>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</si>
  <si>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</si>
  <si>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</si>
  <si>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</si>
  <si>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</si>
  <si>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</si>
  <si>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</si>
  <si>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</si>
  <si>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</si>
  <si>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</si>
  <si>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</si>
  <si>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</si>
  <si>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</si>
  <si>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</si>
  <si>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</si>
  <si>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</si>
  <si>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</si>
  <si>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</si>
  <si>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</si>
  <si>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</si>
  <si>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</si>
  <si>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</si>
  <si>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</si>
  <si>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</si>
  <si>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</si>
  <si>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</si>
  <si>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</si>
  <si>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</si>
  <si>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</si>
  <si>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</si>
  <si>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</si>
  <si>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</si>
  <si>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</si>
  <si>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</si>
  <si>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</si>
  <si>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</si>
  <si>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</si>
  <si>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</si>
  <si>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</si>
  <si>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</si>
  <si>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</si>
  <si>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</si>
  <si>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</si>
  <si>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</si>
  <si>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</si>
  <si>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</si>
  <si>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</si>
  <si>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</si>
  <si>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</si>
  <si>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</si>
  <si>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</si>
  <si>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</si>
  <si>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</si>
  <si>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</si>
  <si>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</si>
  <si>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</si>
  <si>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</si>
  <si>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</si>
  <si>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</si>
  <si>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</si>
  <si>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</si>
  <si>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</si>
  <si>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</si>
  <si>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</si>
  <si>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</si>
  <si>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</si>
  <si>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</si>
  <si>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</si>
  <si>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</si>
  <si>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</si>
  <si>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</si>
  <si>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</si>
  <si>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</si>
  <si>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</si>
  <si>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</si>
  <si>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</si>
  <si>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</si>
  <si>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</si>
  <si>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</si>
  <si>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</si>
  <si>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</si>
  <si>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</si>
  <si>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</si>
  <si>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</si>
  <si>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</si>
  <si>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</si>
  <si>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</si>
  <si>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</si>
  <si>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</si>
  <si>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</si>
  <si>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</si>
  <si>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</si>
  <si>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</si>
  <si>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</si>
  <si>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</si>
  <si>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</si>
  <si>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</si>
  <si>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</si>
  <si>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</si>
  <si>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</si>
  <si>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</si>
  <si>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</si>
  <si>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</si>
  <si>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</si>
  <si>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</si>
  <si>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</si>
  <si>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</si>
  <si>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</si>
  <si>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</si>
  <si>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</si>
  <si>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</si>
  <si>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</si>
  <si>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</si>
  <si>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</si>
  <si>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</si>
  <si>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</si>
  <si>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</si>
  <si>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</si>
  <si>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</si>
  <si>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</si>
  <si>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</si>
  <si>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</si>
  <si>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</si>
  <si>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</si>
  <si>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</si>
  <si>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</si>
  <si>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</si>
  <si>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</si>
  <si>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</si>
  <si>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</si>
  <si>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</si>
  <si>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</si>
  <si>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</si>
  <si>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</si>
  <si>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</si>
  <si>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</si>
  <si>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</si>
  <si>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</si>
  <si>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</si>
  <si>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</si>
  <si>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</si>
  <si>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</si>
  <si>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</si>
  <si>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</si>
  <si>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</si>
  <si>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</si>
  <si>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</si>
  <si>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</si>
  <si>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</si>
  <si>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</si>
  <si>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</si>
  <si>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</si>
  <si>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</si>
  <si>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</si>
  <si>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</si>
  <si>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</si>
  <si>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</si>
  <si>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</si>
  <si>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</si>
  <si>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</si>
  <si>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</si>
  <si>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</si>
  <si>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</si>
  <si>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</si>
  <si>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</si>
  <si>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</si>
  <si>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</si>
  <si>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</si>
  <si>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</si>
  <si>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</si>
  <si>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</si>
  <si>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</si>
  <si>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</si>
  <si>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</si>
  <si>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</si>
  <si>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</si>
  <si>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</si>
  <si>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</si>
  <si>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</si>
  <si>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</si>
  <si>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</si>
  <si>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</si>
  <si>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</si>
  <si>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</si>
  <si>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</si>
  <si>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</si>
  <si>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</si>
  <si>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</si>
  <si>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</si>
  <si>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</si>
  <si>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</si>
  <si>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</si>
  <si>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</si>
  <si>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</si>
  <si>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</si>
  <si>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</si>
  <si>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</si>
  <si>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</si>
  <si>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</si>
  <si>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</si>
  <si>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</si>
  <si>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</si>
  <si>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</si>
  <si>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</si>
  <si>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</si>
  <si>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</si>
  <si>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</si>
  <si>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</si>
  <si>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</si>
  <si>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</si>
  <si>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</si>
  <si>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</si>
  <si>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</si>
  <si>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</si>
  <si>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</si>
  <si>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</si>
  <si>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</si>
  <si>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</si>
  <si>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</si>
  <si>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</si>
  <si>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</si>
  <si>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</si>
  <si>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</si>
  <si>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</si>
  <si>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</si>
  <si>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</si>
  <si>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</si>
  <si>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</si>
  <si>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</si>
  <si>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</si>
  <si>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</si>
  <si>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</si>
  <si>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</si>
  <si>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</si>
  <si>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</si>
  <si>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</si>
  <si>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</si>
  <si>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</si>
  <si>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</si>
  <si>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</si>
  <si>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</si>
  <si>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</si>
  <si>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</si>
  <si>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</si>
  <si>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</si>
  <si>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</si>
  <si>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</si>
  <si>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</si>
  <si>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</si>
  <si>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</si>
  <si>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</si>
  <si>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</si>
  <si>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</si>
  <si>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</si>
  <si>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</si>
  <si>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</si>
  <si>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</si>
  <si>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</si>
  <si>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</si>
  <si>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</si>
  <si>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Exemple de code corrigé</t>
  </si>
  <si>
    <t>Filed Against</t>
  </si>
  <si>
    <t>RTC : Informations complémentaires</t>
  </si>
  <si>
    <r>
      <t xml:space="preserve">Veuillez compléter les informations ci-dessous avant de cliquer sur le bouton pour générer le fichier .csv. 
Le fichier sera créé dans le même dossier que le présent classeur.
</t>
    </r>
    <r>
      <rPr>
        <b/>
        <i/>
        <u/>
        <sz val="11"/>
        <color rgb="FFFF0000"/>
        <rFont val="Calibri"/>
        <family val="2"/>
        <scheme val="minor"/>
      </rPr>
      <t>Attention!</t>
    </r>
    <r>
      <rPr>
        <i/>
        <sz val="11"/>
        <color theme="1"/>
        <rFont val="Calibri"/>
        <family val="2"/>
        <scheme val="minor"/>
      </rPr>
      <t xml:space="preserve">  Ne pas utiliser le caractère  </t>
    </r>
    <r>
      <rPr>
        <b/>
        <i/>
        <sz val="16"/>
        <color theme="1"/>
        <rFont val="Calibri"/>
        <family val="2"/>
        <scheme val="minor"/>
      </rPr>
      <t>;</t>
    </r>
    <r>
      <rPr>
        <i/>
        <sz val="11"/>
        <color theme="1"/>
        <rFont val="Calibri"/>
        <family val="2"/>
        <scheme val="minor"/>
      </rPr>
      <t xml:space="preserve">  [point-virgule]</t>
    </r>
  </si>
  <si>
    <t>#367379</t>
  </si>
  <si>
    <t>Task</t>
  </si>
  <si>
    <t>Recherche d emploi/179 - Accessibilité numérique/179 - Accessibilité numérique – OE</t>
  </si>
  <si>
    <t>Transverse</t>
  </si>
  <si>
    <t>#375455</t>
  </si>
  <si>
    <t>Tâche [Type]</t>
  </si>
  <si>
    <t>N° EPIC [Parent]</t>
  </si>
  <si>
    <t>Nom de l'Audit
[Summary]</t>
  </si>
  <si>
    <t>Recherches d'offres et postuler en ligne</t>
  </si>
  <si>
    <t>Header-Footer</t>
  </si>
  <si>
    <t>Chaque zone cliquable d’une image réactive côté serveur est-elle doublée d’un mécanisme utilisable quel que soit le dispositif de pointage utilisé et permettant d’accéder à la même destination ?</t>
  </si>
  <si>
    <r>
      <t xml:space="preserve">Chaque image objet (balise &lt;object&gt; avec l'attribut type="image/…") porteuse d'information, vérifie-t-elle une de ces conditions ?
</t>
    </r>
    <r>
      <rPr>
        <sz val="8"/>
        <rFont val="Arial"/>
        <family val="2"/>
      </rPr>
      <t>– La balise &lt;object&gt; possède une alternative textuelle et un attribut role="img"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</si>
  <si>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et un attribut role="img".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</si>
  <si>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et un attribut role="img".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</si>
  <si>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1.8.6</t>
  </si>
  <si>
    <t>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</si>
  <si>
    <r>
      <rPr>
        <b/>
        <sz val="8"/>
        <rFont val="Arial"/>
        <family val="2"/>
      </rPr>
      <t xml:space="preserve"> Chaque tableau de mise en forme vérifie-t-il ces conditions ?
</t>
    </r>
    <r>
      <rPr>
        <sz val="8"/>
        <rFont val="Arial"/>
        <family val="2"/>
      </rPr>
      <t>– Le contenu linéarisé reste compréhensible.
– La balise &lt;table&gt; possède un attribut role="presentation".</t>
    </r>
  </si>
  <si>
    <t>5.6.4</t>
  </si>
  <si>
    <t>Pour chaque tableau de données, chaque cellule associée à plusieurs en-têtes est-elle structurée au moyen d’une balise &lt;td&gt; ou &lt;th&gt; ?</t>
  </si>
  <si>
    <r>
      <rPr>
        <b/>
        <sz val="8"/>
        <rFont val="Arial"/>
        <family val="2"/>
      </rPr>
      <t xml:space="preserve">Chaque tableau de mise en forme (balise &lt;table&gt;) vérifie-t-il ces conditions ?
</t>
    </r>
    <r>
      <rPr>
        <sz val="8"/>
        <rFont val="Arial"/>
        <family val="2"/>
      </rPr>
      <t>- Le tableau de mise en forme (balise &lt;table&gt;) n’a pas d’attribut summary (sinon vide) et ne contient pas de balises &lt;caption&gt;, &lt;th&gt;, &lt;thead&gt;, &lt;tfoot&gt;, &lt;colgroup&gt; ou de balises ayant un attribut WAI-ARIA role="rowheader", role="columnheader".
– Les cellules du tableau de mise en forme (balises &lt;td&gt;) ne possèdent pas d'attributs scope, headers, axis.</t>
    </r>
  </si>
  <si>
    <t>Dans chaque page web, chaque lien a-t-il un intitulé entre &lt;a&gt; et &lt;/a&gt; ?</t>
  </si>
  <si>
    <r>
      <t xml:space="preserve">Pour chaque déclaration de type de document, le code source généré de la page vérifie-t-il ces conditions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</si>
  <si>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le contenu visible porteur d’information reste-t-il présent lorsque les feuilles de styles sont désactivées ?</t>
  </si>
  <si>
    <t>Pour chaque page web, les contenus peuvent-ils être présentés sans avoir recours à un défilement vertical pour une fenêtre ayant une hauteur de 256px ou à un défilement horizontal pour une fenêtre ayant une largeur de 320px (hors cas particuliers)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</si>
  <si>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élément &lt;label&gt; visuellement caché ou un attribut WAI-ARIA aria-label, aria-labelledby ou title lui fournit un nom accessible.</t>
    </r>
  </si>
  <si>
    <r>
      <t xml:space="preserve">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au-dessous ou à droite du champ de formulaire lorsque le sens de lecture de la langue de l’étiquette est de gauche à droite.
–L’étiquette est visuellement accolée immédiatement au-dessous ou à gauche du champ de formulaire lorsque le sens de lecture de la langue de l’étiquette est de droite à gauche.</t>
    </r>
  </si>
  <si>
    <t>Dans chaque formulaire, chaque regroupement de champs de même nature a-t-il une légende ?</t>
  </si>
  <si>
    <r>
      <rPr>
        <b/>
        <sz val="8"/>
        <rFont val="Arial"/>
        <family val="2"/>
      </rPr>
      <t xml:space="preserve">Les champs obligatoires ayant l'attribut aria-invalid="true" vérifient-ils une de ces conditions ?
</t>
    </r>
    <r>
      <rPr>
        <sz val="8"/>
        <rFont val="Arial"/>
        <family val="2"/>
      </rPr>
      <t>– Le message d’erreur indiquant le caractère invalide de la saisie est visible et situé dans l’étiquette associée au champ.
– Le message d’erreur indiquant le caractère invalide de la saisie est visible et situé dans le passage de texte associé au champ.</t>
    </r>
  </si>
  <si>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</si>
  <si>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ou, à défaut, visible à la prise de focus.</t>
    </r>
  </si>
  <si>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</si>
  <si>
    <r>
      <t xml:space="preserve">Dans chaque page web, chaque image ou élément multimédia (balise &lt;video&gt;, balise &lt;img&gt;, balise &lt;svg&gt;, balise &lt;canvas&gt;, balise &lt;embed&gt; ou balise &lt;object&gt;) qui provoque un changement brusque de luminosité ou un effet de flash vérifie-t-il une de ces conditions ?
</t>
    </r>
    <r>
      <rPr>
        <sz val="8"/>
        <rFont val="Arial"/>
        <family val="2"/>
      </rPr>
      <t>– La fréquence de l'effet est inférieure à 3 par seconde.
– La surface totale cumulée des effets est inférieure ou égale à 21 824 pixels.</t>
    </r>
  </si>
  <si>
    <t>Audit par tests RGAA 4.1 2021</t>
  </si>
  <si>
    <t>(Version 4.13)</t>
  </si>
  <si>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l’élément &lt;title&gt; est pertinent.
– S'il est présent, le contenu de l'attribut WAI-ARIA aria-label est pertinent.
– S'il est présent, le passage de texte associé via l'attribut WAI-ARIA aria-labelledby est pertinent.</t>
    </r>
  </si>
  <si>
    <r>
      <rPr>
        <b/>
        <sz val="8"/>
        <rFont val="Arial"/>
        <family val="2"/>
      </rPr>
      <t xml:space="preserve">Chaque média non temporel vérifie-t-il, si nécessaire, une de ces conditions (hors cas particuliers) ?
</t>
    </r>
    <r>
      <rPr>
        <sz val="8"/>
        <rFont val="Arial"/>
        <family val="2"/>
      </rPr>
      <t>– Un lien ou un bouton adjacent, clairement identifiable, permet d’accéder à une page contenant une alternative.
– Un lien ou bouton adjacent, clairement identifiable, permet d'accéder à une alternative dans la page.</t>
    </r>
  </si>
  <si>
    <t>Pour chaque tableau de mise en forme, le contenu linéarisé reste-t-il compréhensible ?</t>
  </si>
  <si>
    <t>Dans chaque page web, chaque lien a-t-il un intitulé ?</t>
  </si>
  <si>
    <t>Pour chaque page web, le code source généré est-il valide selon le type de document spécifié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</si>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</sst>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0&quot; %&quot;"/>
    <numFmt numFmtId="166" formatCode="&quot;+ &quot;0&quot; tests AAA&quot;"/>
    <numFmt numFmtId="167" formatCode="&quot;AN : &quot;@"/>
  </numFmts>
  <fonts count="74"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
      <sz val="14"/>
      <color theme="1"/>
      <name val="Calibri"/>
      <family val="2"/>
      <scheme val="minor"/>
    </font>
    <font>
      <i/>
      <sz val="11"/>
      <color theme="1"/>
      <name val="Calibri"/>
      <family val="2"/>
      <scheme val="minor"/>
    </font>
    <font>
      <b/>
      <i/>
      <u/>
      <sz val="11"/>
      <color rgb="FFFF0000"/>
      <name val="Calibri"/>
      <family val="2"/>
      <scheme val="minor"/>
    </font>
    <font>
      <b/>
      <i/>
      <sz val="16"/>
      <color theme="1"/>
      <name val="Calibri"/>
      <family val="2"/>
      <scheme val="minor"/>
    </font>
    <font>
      <b/>
      <sz val="12"/>
      <color theme="1" tint="0.34998626667073579"/>
      <name val="Calibri"/>
      <family val="2"/>
      <scheme val="minor"/>
    </font>
    <font>
      <b/>
      <i/>
      <sz val="14"/>
      <color theme="2"/>
      <name val="Calibri"/>
      <family val="2"/>
      <scheme val="minor"/>
    </font>
    <font>
      <sz val="20"/>
      <name val="Calibri"/>
      <family val="2"/>
      <scheme val="minor"/>
    </font>
  </fonts>
  <fills count="50">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
      <patternFill patternType="solid">
        <fgColor rgb="FFFF000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theme="5"/>
      </left>
      <right style="thick">
        <color theme="5"/>
      </right>
      <top style="thick">
        <color theme="5"/>
      </top>
      <bottom style="thick">
        <color theme="5"/>
      </bottom>
      <diagonal/>
    </border>
    <border>
      <left/>
      <right/>
      <top/>
      <bottom style="thick">
        <color theme="5"/>
      </bottom>
      <diagonal/>
    </border>
    <border>
      <left/>
      <right/>
      <top style="thick">
        <color theme="5"/>
      </top>
      <bottom/>
      <diagonal/>
    </border>
  </borders>
  <cellStyleXfs count="5">
    <xf numFmtId="0" fontId="0" fillId="0" borderId="0"/>
    <xf numFmtId="0" fontId="3" fillId="0" borderId="0"/>
    <xf numFmtId="0" fontId="7"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354">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9" fillId="0" borderId="0" xfId="0" applyFont="1" applyFill="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8" xfId="0" applyFont="1" applyBorder="1" applyAlignment="1">
      <alignment vertical="center"/>
    </xf>
    <xf numFmtId="0" fontId="7" fillId="0" borderId="8" xfId="2" applyBorder="1" applyAlignment="1">
      <alignment horizontal="center" vertical="center"/>
    </xf>
    <xf numFmtId="0" fontId="10" fillId="3" borderId="8" xfId="0" applyFont="1" applyFill="1" applyBorder="1" applyAlignment="1">
      <alignment horizontal="center" vertical="center"/>
    </xf>
    <xf numFmtId="166" fontId="12" fillId="0" borderId="8" xfId="0" applyNumberFormat="1" applyFont="1" applyFill="1" applyBorder="1" applyAlignment="1">
      <alignment horizontal="center" vertical="center"/>
    </xf>
    <xf numFmtId="0" fontId="10" fillId="3" borderId="8" xfId="0" applyFont="1" applyFill="1" applyBorder="1" applyAlignment="1">
      <alignment horizontal="center" vertical="center" wrapText="1"/>
    </xf>
    <xf numFmtId="0" fontId="13" fillId="19" borderId="0" xfId="0" applyFont="1" applyFill="1" applyAlignment="1">
      <alignment horizontal="center" vertical="center"/>
    </xf>
    <xf numFmtId="0" fontId="19" fillId="15" borderId="0" xfId="0" applyFont="1" applyFill="1" applyAlignment="1">
      <alignment horizontal="center" vertical="center"/>
    </xf>
    <xf numFmtId="0" fontId="20"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8" fillId="0" borderId="8" xfId="0" applyFont="1" applyFill="1" applyBorder="1" applyAlignment="1">
      <alignment horizontal="center" vertical="center" wrapText="1"/>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4" fontId="15" fillId="3" borderId="14"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Border="1" applyAlignment="1">
      <alignment horizontal="left" vertical="center" wrapText="1"/>
    </xf>
    <xf numFmtId="0" fontId="9" fillId="0" borderId="0" xfId="0" applyFont="1" applyAlignment="1">
      <alignment vertical="center"/>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5" fillId="7" borderId="4" xfId="1" applyNumberFormat="1" applyFont="1" applyFill="1" applyBorder="1" applyAlignment="1">
      <alignment vertical="center"/>
    </xf>
    <xf numFmtId="0" fontId="5" fillId="3" borderId="4" xfId="1" applyNumberFormat="1" applyFont="1" applyFill="1" applyBorder="1" applyAlignment="1">
      <alignment vertical="center"/>
    </xf>
    <xf numFmtId="0" fontId="5" fillId="7" borderId="4" xfId="1" applyNumberFormat="1" applyFont="1" applyFill="1" applyBorder="1" applyAlignment="1">
      <alignment vertical="center" wrapText="1"/>
    </xf>
    <xf numFmtId="0" fontId="5" fillId="3" borderId="4" xfId="1" applyNumberFormat="1" applyFont="1" applyFill="1" applyBorder="1" applyAlignment="1">
      <alignment vertical="center" wrapText="1"/>
    </xf>
    <xf numFmtId="0" fontId="5" fillId="7" borderId="4" xfId="1" applyNumberFormat="1" applyFont="1" applyFill="1" applyBorder="1" applyAlignment="1">
      <alignment horizontal="left" vertical="center" wrapText="1"/>
    </xf>
    <xf numFmtId="0" fontId="5" fillId="3" borderId="4" xfId="1" applyNumberFormat="1" applyFont="1" applyFill="1" applyBorder="1" applyAlignment="1">
      <alignment horizontal="left" vertical="center" wrapText="1"/>
    </xf>
    <xf numFmtId="0" fontId="5" fillId="7" borderId="0" xfId="1" applyNumberFormat="1" applyFont="1" applyFill="1" applyBorder="1" applyAlignment="1">
      <alignment vertical="center"/>
    </xf>
    <xf numFmtId="0" fontId="5" fillId="7" borderId="0" xfId="1" applyNumberFormat="1" applyFont="1" applyFill="1" applyBorder="1" applyAlignment="1">
      <alignment horizontal="center" vertical="center"/>
    </xf>
    <xf numFmtId="0" fontId="5" fillId="3" borderId="0" xfId="1" applyNumberFormat="1" applyFont="1" applyFill="1" applyBorder="1" applyAlignment="1">
      <alignment vertical="center"/>
    </xf>
    <xf numFmtId="0" fontId="5" fillId="3" borderId="0" xfId="1" applyNumberFormat="1" applyFont="1" applyFill="1" applyBorder="1" applyAlignment="1">
      <alignment horizontal="center" vertical="center"/>
    </xf>
    <xf numFmtId="0" fontId="5" fillId="7" borderId="0" xfId="1" applyNumberFormat="1" applyFont="1" applyFill="1" applyBorder="1" applyAlignment="1">
      <alignment vertical="center" wrapText="1"/>
    </xf>
    <xf numFmtId="0" fontId="5" fillId="7" borderId="0" xfId="1" applyNumberFormat="1" applyFont="1" applyFill="1" applyBorder="1" applyAlignment="1">
      <alignment horizontal="center" vertical="center" wrapText="1"/>
    </xf>
    <xf numFmtId="0" fontId="5" fillId="3" borderId="0" xfId="1" applyNumberFormat="1" applyFont="1" applyFill="1" applyBorder="1" applyAlignment="1">
      <alignment vertical="center" wrapText="1"/>
    </xf>
    <xf numFmtId="0" fontId="5" fillId="3" borderId="0" xfId="1" applyNumberFormat="1" applyFont="1" applyFill="1" applyBorder="1" applyAlignment="1">
      <alignment horizontal="center" vertical="center" wrapText="1"/>
    </xf>
    <xf numFmtId="0" fontId="5" fillId="7" borderId="0" xfId="1" applyNumberFormat="1" applyFont="1" applyFill="1" applyBorder="1" applyAlignment="1">
      <alignment horizontal="left" vertical="center" wrapText="1"/>
    </xf>
    <xf numFmtId="0" fontId="5" fillId="3" borderId="0" xfId="1" applyNumberFormat="1" applyFont="1" applyFill="1" applyBorder="1" applyAlignment="1">
      <alignment horizontal="left" vertical="center" wrapText="1"/>
    </xf>
    <xf numFmtId="0" fontId="5" fillId="7" borderId="0" xfId="1" applyFont="1" applyFill="1" applyBorder="1" applyAlignment="1">
      <alignment horizontal="center" vertical="center"/>
    </xf>
    <xf numFmtId="0" fontId="7" fillId="0" borderId="0" xfId="2" applyBorder="1" applyAlignment="1">
      <alignment horizontal="left"/>
    </xf>
    <xf numFmtId="0" fontId="34"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6" fillId="0" borderId="0" xfId="0" applyFont="1"/>
    <xf numFmtId="0" fontId="37"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2" fillId="0" borderId="0" xfId="0" applyFont="1" applyAlignment="1">
      <alignment vertical="center"/>
    </xf>
    <xf numFmtId="0" fontId="41"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2"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Fill="1" applyAlignment="1">
      <alignment vertical="center"/>
    </xf>
    <xf numFmtId="0" fontId="12" fillId="0" borderId="0" xfId="0" applyFont="1" applyAlignment="1">
      <alignment horizontal="left" vertical="center" wrapText="1"/>
    </xf>
    <xf numFmtId="0" fontId="43" fillId="7" borderId="0" xfId="1" applyFont="1" applyFill="1" applyBorder="1" applyAlignment="1">
      <alignment horizontal="center" vertical="center"/>
    </xf>
    <xf numFmtId="14" fontId="44" fillId="3" borderId="13"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4"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Fill="1" applyAlignment="1">
      <alignment vertical="center"/>
    </xf>
    <xf numFmtId="0" fontId="17" fillId="29" borderId="21" xfId="0" applyFont="1" applyFill="1" applyBorder="1" applyAlignment="1">
      <alignment vertical="center"/>
    </xf>
    <xf numFmtId="0" fontId="40" fillId="29" borderId="21" xfId="0" applyFont="1" applyFill="1" applyBorder="1" applyAlignment="1">
      <alignment vertical="center"/>
    </xf>
    <xf numFmtId="0" fontId="38" fillId="0" borderId="0" xfId="0" applyFont="1" applyBorder="1" applyAlignment="1">
      <alignment vertical="center"/>
    </xf>
    <xf numFmtId="14" fontId="45" fillId="3" borderId="13" xfId="0" applyNumberFormat="1" applyFont="1" applyFill="1" applyBorder="1" applyAlignment="1">
      <alignment horizontal="center" vertical="center"/>
    </xf>
    <xf numFmtId="14" fontId="45" fillId="3" borderId="12" xfId="0" applyNumberFormat="1" applyFont="1" applyFill="1" applyBorder="1" applyAlignment="1">
      <alignment horizontal="left" vertical="center"/>
    </xf>
    <xf numFmtId="0" fontId="47" fillId="0" borderId="0" xfId="0" applyFont="1" applyFill="1" applyBorder="1" applyAlignment="1">
      <alignment horizontal="left" vertical="center" wrapText="1"/>
    </xf>
    <xf numFmtId="0" fontId="47" fillId="0" borderId="0" xfId="0" applyFont="1" applyFill="1" applyBorder="1" applyAlignment="1">
      <alignment horizontal="center" vertical="center" wrapText="1"/>
    </xf>
    <xf numFmtId="0" fontId="47" fillId="0" borderId="0" xfId="0" applyFont="1" applyFill="1" applyBorder="1" applyAlignment="1">
      <alignment vertical="center"/>
    </xf>
    <xf numFmtId="0" fontId="47" fillId="0" borderId="0" xfId="1" applyNumberFormat="1" applyFont="1" applyFill="1" applyBorder="1" applyAlignment="1">
      <alignment vertical="center" wrapText="1"/>
    </xf>
    <xf numFmtId="0" fontId="46" fillId="0" borderId="0" xfId="1" applyNumberFormat="1" applyFont="1" applyFill="1" applyBorder="1" applyAlignment="1">
      <alignment vertical="center" wrapText="1"/>
    </xf>
    <xf numFmtId="0" fontId="47" fillId="0" borderId="0" xfId="1" applyNumberFormat="1" applyFont="1" applyFill="1" applyBorder="1" applyAlignment="1">
      <alignment horizontal="left" vertical="center" wrapText="1"/>
    </xf>
    <xf numFmtId="0" fontId="47" fillId="25" borderId="21" xfId="0" applyFont="1" applyFill="1" applyBorder="1" applyAlignment="1">
      <alignment vertical="center" wrapText="1"/>
    </xf>
    <xf numFmtId="0" fontId="38" fillId="8" borderId="0" xfId="0" applyFont="1" applyFill="1" applyAlignment="1">
      <alignment vertical="center"/>
    </xf>
    <xf numFmtId="0" fontId="47" fillId="0" borderId="0" xfId="0" applyFont="1" applyAlignment="1">
      <alignment vertical="top"/>
    </xf>
    <xf numFmtId="0" fontId="47" fillId="0" borderId="0" xfId="0" applyFont="1" applyAlignment="1">
      <alignment vertical="top" wrapText="1"/>
    </xf>
    <xf numFmtId="0" fontId="49" fillId="0" borderId="0" xfId="2" applyFont="1" applyAlignment="1" applyProtection="1">
      <alignment vertical="top" wrapText="1"/>
      <protection locked="0"/>
    </xf>
    <xf numFmtId="0" fontId="47" fillId="0" borderId="0" xfId="0" applyFont="1" applyFill="1" applyAlignment="1">
      <alignment vertical="top" wrapText="1"/>
    </xf>
    <xf numFmtId="0" fontId="38" fillId="0" borderId="0" xfId="0" applyFont="1" applyFill="1" applyBorder="1" applyAlignment="1">
      <alignment vertical="center"/>
    </xf>
    <xf numFmtId="0" fontId="48" fillId="0" borderId="0" xfId="1" applyNumberFormat="1" applyFont="1" applyFill="1" applyBorder="1" applyAlignment="1">
      <alignment horizontal="left" vertical="center" wrapText="1"/>
    </xf>
    <xf numFmtId="0" fontId="50" fillId="0" borderId="0" xfId="2" applyFont="1" applyAlignment="1" applyProtection="1">
      <alignment vertical="top" wrapText="1"/>
      <protection locked="0"/>
    </xf>
    <xf numFmtId="0" fontId="49" fillId="0" borderId="0" xfId="2" applyFont="1" applyAlignment="1" applyProtection="1">
      <alignment vertical="top"/>
      <protection locked="0"/>
    </xf>
    <xf numFmtId="0" fontId="48" fillId="0" borderId="0" xfId="1" applyNumberFormat="1" applyFont="1" applyFill="1" applyBorder="1" applyAlignment="1">
      <alignment vertical="center" wrapText="1"/>
    </xf>
    <xf numFmtId="0" fontId="46" fillId="30" borderId="22"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1" fillId="31" borderId="0" xfId="0" applyFont="1" applyFill="1" applyAlignment="1">
      <alignment horizontal="left" vertical="center" indent="3"/>
    </xf>
    <xf numFmtId="0" fontId="52" fillId="32" borderId="0" xfId="0" applyFont="1" applyFill="1" applyAlignment="1">
      <alignment horizontal="left" vertical="center" indent="3"/>
    </xf>
    <xf numFmtId="0" fontId="39"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2" xfId="1" applyFont="1" applyFill="1" applyBorder="1" applyAlignment="1">
      <alignment vertical="top" wrapText="1"/>
    </xf>
    <xf numFmtId="0" fontId="5" fillId="7" borderId="22" xfId="1" applyFont="1" applyFill="1" applyBorder="1" applyAlignment="1">
      <alignment vertical="top"/>
    </xf>
    <xf numFmtId="0" fontId="5" fillId="7" borderId="22" xfId="1" applyFont="1" applyFill="1" applyBorder="1" applyAlignment="1">
      <alignment horizontal="center" vertical="top"/>
    </xf>
    <xf numFmtId="0" fontId="5" fillId="3" borderId="22" xfId="1" applyFont="1" applyFill="1" applyBorder="1" applyAlignment="1">
      <alignment vertical="top" wrapText="1"/>
    </xf>
    <xf numFmtId="0" fontId="5" fillId="3" borderId="22" xfId="1" applyFont="1" applyFill="1" applyBorder="1" applyAlignment="1">
      <alignment vertical="top"/>
    </xf>
    <xf numFmtId="0" fontId="5" fillId="3" borderId="22" xfId="1" applyFont="1" applyFill="1" applyBorder="1" applyAlignment="1">
      <alignment horizontal="center" vertical="top"/>
    </xf>
    <xf numFmtId="0" fontId="5" fillId="0" borderId="22" xfId="1" applyFont="1" applyBorder="1" applyAlignment="1">
      <alignment horizontal="left" vertical="top" wrapText="1"/>
    </xf>
    <xf numFmtId="0" fontId="5" fillId="3" borderId="22" xfId="1" applyFont="1" applyFill="1" applyBorder="1" applyAlignment="1">
      <alignment horizontal="left" vertical="top" wrapText="1"/>
    </xf>
    <xf numFmtId="0" fontId="5" fillId="0" borderId="22" xfId="1" applyFont="1" applyBorder="1" applyAlignment="1">
      <alignment vertical="top" wrapText="1"/>
    </xf>
    <xf numFmtId="0" fontId="5" fillId="0" borderId="22" xfId="1" applyFont="1" applyBorder="1" applyAlignment="1">
      <alignment vertical="top"/>
    </xf>
    <xf numFmtId="0" fontId="5" fillId="0" borderId="22" xfId="1" applyFont="1" applyBorder="1" applyAlignment="1">
      <alignment horizontal="center" vertical="top"/>
    </xf>
    <xf numFmtId="0" fontId="5" fillId="3" borderId="22" xfId="1" applyFont="1" applyFill="1" applyBorder="1" applyAlignment="1">
      <alignment horizontal="center" vertical="top" wrapText="1"/>
    </xf>
    <xf numFmtId="0" fontId="5" fillId="7" borderId="22" xfId="1" applyFont="1" applyFill="1" applyBorder="1" applyAlignment="1">
      <alignment horizontal="center" vertical="top" wrapText="1"/>
    </xf>
    <xf numFmtId="0" fontId="5" fillId="7" borderId="22" xfId="1" applyFont="1" applyFill="1" applyBorder="1" applyAlignment="1">
      <alignment horizontal="left" vertical="top" wrapText="1"/>
    </xf>
    <xf numFmtId="0" fontId="33" fillId="24" borderId="0" xfId="0" applyFont="1" applyFill="1" applyAlignment="1">
      <alignment horizontal="center" vertical="center"/>
    </xf>
    <xf numFmtId="0" fontId="8" fillId="3" borderId="22" xfId="1" applyFont="1" applyFill="1" applyBorder="1" applyAlignment="1">
      <alignment horizontal="left" vertical="top" wrapText="1"/>
    </xf>
    <xf numFmtId="0" fontId="8" fillId="7" borderId="22" xfId="1" applyFont="1" applyFill="1" applyBorder="1" applyAlignment="1">
      <alignment horizontal="left" vertical="top" wrapText="1"/>
    </xf>
    <xf numFmtId="0" fontId="0" fillId="33" borderId="0" xfId="0" applyFill="1" applyAlignment="1">
      <alignment horizontal="left" vertical="center" wrapText="1" indent="2"/>
    </xf>
    <xf numFmtId="0" fontId="0" fillId="9" borderId="25" xfId="0" applyFill="1" applyBorder="1" applyAlignment="1">
      <alignment vertical="center"/>
    </xf>
    <xf numFmtId="0" fontId="0" fillId="6" borderId="25" xfId="0" applyFill="1" applyBorder="1" applyAlignment="1">
      <alignment horizontal="center" vertical="center"/>
    </xf>
    <xf numFmtId="0" fontId="0" fillId="9" borderId="25" xfId="0" applyFill="1" applyBorder="1" applyAlignment="1">
      <alignment vertical="center" wrapText="1"/>
    </xf>
    <xf numFmtId="0" fontId="5" fillId="7" borderId="0" xfId="1" applyNumberFormat="1" applyFont="1" applyFill="1" applyBorder="1" applyAlignment="1">
      <alignment horizontal="right" vertical="center"/>
    </xf>
    <xf numFmtId="0" fontId="5" fillId="3" borderId="0" xfId="1" applyNumberFormat="1" applyFont="1" applyFill="1" applyBorder="1" applyAlignment="1">
      <alignment horizontal="right" vertical="center"/>
    </xf>
    <xf numFmtId="0" fontId="0" fillId="13" borderId="26" xfId="0" applyFill="1" applyBorder="1" applyAlignment="1">
      <alignment vertical="center"/>
    </xf>
    <xf numFmtId="0" fontId="0" fillId="13" borderId="26" xfId="0" applyFill="1" applyBorder="1" applyAlignment="1">
      <alignment horizontal="right" vertical="center"/>
    </xf>
    <xf numFmtId="0" fontId="0" fillId="18" borderId="26" xfId="0" applyFill="1" applyBorder="1" applyAlignment="1">
      <alignment vertical="center"/>
    </xf>
    <xf numFmtId="0" fontId="0" fillId="18" borderId="26" xfId="0" applyFill="1" applyBorder="1" applyAlignment="1">
      <alignment horizontal="right" vertical="center"/>
    </xf>
    <xf numFmtId="0" fontId="30"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5" fillId="7" borderId="22" xfId="1" applyFont="1" applyFill="1" applyBorder="1" applyAlignment="1">
      <alignment vertical="center" wrapText="1"/>
    </xf>
    <xf numFmtId="0" fontId="5" fillId="3" borderId="22" xfId="1" applyFont="1" applyFill="1" applyBorder="1" applyAlignment="1">
      <alignment vertical="center" wrapText="1"/>
    </xf>
    <xf numFmtId="0" fontId="5" fillId="7" borderId="22" xfId="1" applyFont="1" applyFill="1" applyBorder="1" applyAlignment="1">
      <alignment horizontal="left" vertical="center" wrapText="1"/>
    </xf>
    <xf numFmtId="0" fontId="5" fillId="3" borderId="22" xfId="1" applyFont="1" applyFill="1" applyBorder="1" applyAlignment="1">
      <alignment horizontal="left" vertical="center" wrapText="1"/>
    </xf>
    <xf numFmtId="0" fontId="13" fillId="36" borderId="27" xfId="0" applyFont="1" applyFill="1" applyBorder="1" applyAlignment="1">
      <alignment vertical="center"/>
    </xf>
    <xf numFmtId="0" fontId="17" fillId="13" borderId="27" xfId="0" applyFont="1" applyFill="1" applyBorder="1" applyAlignment="1">
      <alignment horizontal="left" vertical="center" indent="1"/>
    </xf>
    <xf numFmtId="0" fontId="17" fillId="18" borderId="27" xfId="0" applyFont="1" applyFill="1" applyBorder="1" applyAlignment="1">
      <alignment horizontal="left" vertical="center" indent="1"/>
    </xf>
    <xf numFmtId="0" fontId="17" fillId="8" borderId="27" xfId="0" applyFont="1" applyFill="1" applyBorder="1" applyAlignment="1">
      <alignment horizontal="left" vertical="center" indent="1"/>
    </xf>
    <xf numFmtId="0" fontId="19" fillId="15" borderId="27" xfId="0" applyFont="1" applyFill="1" applyBorder="1" applyAlignment="1">
      <alignment horizontal="left" vertical="center" indent="1"/>
    </xf>
    <xf numFmtId="0" fontId="17" fillId="19" borderId="28" xfId="0" applyFont="1" applyFill="1" applyBorder="1" applyAlignment="1">
      <alignment horizontal="left" vertical="center" indent="1"/>
    </xf>
    <xf numFmtId="0" fontId="17" fillId="21" borderId="28" xfId="0" applyFont="1" applyFill="1" applyBorder="1" applyAlignment="1">
      <alignment horizontal="left" vertical="center" indent="1"/>
    </xf>
    <xf numFmtId="0" fontId="17" fillId="22" borderId="28"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3" fillId="14" borderId="0" xfId="0" applyFont="1" applyFill="1" applyAlignment="1">
      <alignment vertical="center" wrapText="1"/>
    </xf>
    <xf numFmtId="0" fontId="13" fillId="37" borderId="0" xfId="0" applyFont="1" applyFill="1" applyAlignment="1">
      <alignment horizontal="center" vertical="center"/>
    </xf>
    <xf numFmtId="0" fontId="17" fillId="38" borderId="0" xfId="0" applyFont="1" applyFill="1" applyAlignment="1">
      <alignment horizontal="center" vertical="center"/>
    </xf>
    <xf numFmtId="0" fontId="0" fillId="5" borderId="0" xfId="0" applyFill="1" applyAlignment="1">
      <alignment horizontal="center" vertical="center"/>
    </xf>
    <xf numFmtId="0" fontId="56" fillId="37" borderId="0" xfId="0" applyFont="1" applyFill="1" applyAlignment="1">
      <alignment horizontal="center" vertical="center"/>
    </xf>
    <xf numFmtId="0" fontId="17" fillId="41" borderId="0" xfId="0" applyFont="1" applyFill="1" applyAlignment="1">
      <alignment horizontal="center" vertical="center"/>
    </xf>
    <xf numFmtId="49" fontId="1" fillId="0" borderId="0" xfId="4" applyNumberFormat="1" applyFont="1" applyAlignment="1">
      <alignment horizontal="center" vertical="center" wrapText="1"/>
    </xf>
    <xf numFmtId="0" fontId="58" fillId="15" borderId="0" xfId="0" applyFont="1" applyFill="1" applyAlignment="1">
      <alignment vertical="center"/>
    </xf>
    <xf numFmtId="0" fontId="60" fillId="37" borderId="0" xfId="0" applyFont="1" applyFill="1" applyAlignment="1">
      <alignment horizontal="center" vertical="center"/>
    </xf>
    <xf numFmtId="0" fontId="61" fillId="32" borderId="0" xfId="0" applyFont="1" applyFill="1" applyAlignment="1">
      <alignment horizontal="center" vertical="center"/>
    </xf>
    <xf numFmtId="0" fontId="61" fillId="32" borderId="0" xfId="0" applyFont="1" applyFill="1" applyAlignment="1">
      <alignment vertical="center"/>
    </xf>
    <xf numFmtId="0" fontId="27" fillId="13" borderId="0" xfId="1" applyFont="1" applyFill="1" applyBorder="1" applyAlignment="1">
      <alignment horizontal="center" vertical="center" wrapText="1"/>
    </xf>
    <xf numFmtId="0" fontId="21" fillId="13" borderId="0" xfId="0" applyFont="1" applyFill="1" applyAlignment="1">
      <alignment horizontal="center" vertical="center"/>
    </xf>
    <xf numFmtId="0" fontId="27" fillId="18" borderId="0" xfId="1" applyFont="1" applyFill="1" applyBorder="1" applyAlignment="1">
      <alignment horizontal="center" vertical="center" wrapText="1"/>
    </xf>
    <xf numFmtId="0" fontId="27" fillId="8" borderId="0" xfId="1" applyFont="1" applyFill="1" applyBorder="1" applyAlignment="1">
      <alignment horizontal="center" vertical="center" wrapText="1"/>
    </xf>
    <xf numFmtId="0" fontId="23" fillId="8" borderId="0" xfId="0" applyFont="1" applyFill="1" applyAlignment="1">
      <alignment horizontal="center" vertical="center"/>
    </xf>
    <xf numFmtId="0" fontId="16" fillId="20" borderId="0" xfId="0" applyFont="1" applyFill="1" applyAlignment="1">
      <alignment horizontal="center" vertical="center"/>
    </xf>
    <xf numFmtId="0" fontId="22" fillId="21" borderId="0" xfId="0" applyFont="1" applyFill="1" applyAlignment="1">
      <alignment horizontal="center" vertical="center"/>
    </xf>
    <xf numFmtId="0" fontId="16" fillId="22" borderId="0" xfId="0" applyFont="1" applyFill="1" applyAlignment="1">
      <alignment horizontal="center" vertical="center"/>
    </xf>
    <xf numFmtId="0" fontId="22" fillId="22" borderId="0" xfId="0" applyFont="1" applyFill="1" applyAlignment="1">
      <alignment horizontal="center" vertical="center"/>
    </xf>
    <xf numFmtId="0" fontId="5" fillId="7" borderId="4" xfId="1" applyFont="1" applyFill="1" applyBorder="1" applyAlignment="1">
      <alignment horizontal="left" vertical="center" wrapText="1"/>
    </xf>
    <xf numFmtId="0" fontId="5" fillId="7" borderId="0" xfId="1" applyFont="1" applyFill="1" applyAlignment="1">
      <alignment horizontal="left" vertical="center" wrapText="1"/>
    </xf>
    <xf numFmtId="0" fontId="1" fillId="2" borderId="0" xfId="0" applyFont="1" applyFill="1" applyAlignment="1">
      <alignment horizontal="center" vertical="center"/>
    </xf>
    <xf numFmtId="0" fontId="5" fillId="3" borderId="4" xfId="1" applyFont="1" applyFill="1" applyBorder="1" applyAlignment="1">
      <alignment horizontal="left" vertical="center" wrapText="1"/>
    </xf>
    <xf numFmtId="0" fontId="5" fillId="3" borderId="0" xfId="1" applyFont="1" applyFill="1" applyAlignment="1">
      <alignment horizontal="left" vertical="center" wrapText="1"/>
    </xf>
    <xf numFmtId="0" fontId="5" fillId="3" borderId="0" xfId="1" applyFont="1" applyFill="1" applyAlignment="1">
      <alignment horizontal="center" vertical="center" wrapText="1"/>
    </xf>
    <xf numFmtId="0" fontId="18" fillId="14" borderId="0" xfId="0" applyFont="1" applyFill="1" applyAlignment="1">
      <alignment vertical="center"/>
    </xf>
    <xf numFmtId="1" fontId="30" fillId="15" borderId="0" xfId="0" applyNumberFormat="1" applyFont="1" applyFill="1" applyAlignment="1">
      <alignment vertical="center"/>
    </xf>
    <xf numFmtId="1" fontId="31" fillId="0" borderId="0" xfId="0" applyNumberFormat="1" applyFont="1" applyFill="1" applyBorder="1" applyAlignment="1">
      <alignment horizontal="right" vertical="center"/>
    </xf>
    <xf numFmtId="1" fontId="17" fillId="43" borderId="0" xfId="0" applyNumberFormat="1" applyFont="1" applyFill="1" applyAlignment="1">
      <alignment horizontal="center" vertical="center"/>
    </xf>
    <xf numFmtId="0" fontId="17" fillId="22" borderId="0" xfId="0" applyFont="1" applyFill="1" applyAlignment="1">
      <alignment vertical="center"/>
    </xf>
    <xf numFmtId="0" fontId="0" fillId="13" borderId="26" xfId="0" applyFill="1" applyBorder="1" applyAlignment="1">
      <alignment vertical="center" wrapText="1"/>
    </xf>
    <xf numFmtId="0" fontId="13" fillId="15" borderId="26" xfId="0" applyFont="1" applyFill="1" applyBorder="1" applyAlignment="1">
      <alignment vertical="center" wrapText="1"/>
    </xf>
    <xf numFmtId="0" fontId="42" fillId="47" borderId="0" xfId="0" applyFont="1" applyFill="1" applyAlignment="1">
      <alignment horizontal="centerContinuous" vertical="center"/>
    </xf>
    <xf numFmtId="0" fontId="46" fillId="47" borderId="0" xfId="0" applyFont="1" applyFill="1" applyAlignment="1">
      <alignment vertical="center"/>
    </xf>
    <xf numFmtId="0" fontId="59" fillId="46" borderId="0" xfId="0" applyFont="1" applyFill="1" applyAlignment="1">
      <alignment horizontal="centerContinuous" vertical="center"/>
    </xf>
    <xf numFmtId="0" fontId="57" fillId="46" borderId="0" xfId="0" applyFont="1" applyFill="1" applyAlignment="1">
      <alignment vertical="center"/>
    </xf>
    <xf numFmtId="0" fontId="0" fillId="8" borderId="0" xfId="0" applyFill="1" applyAlignment="1">
      <alignment horizontal="center" vertical="center"/>
    </xf>
    <xf numFmtId="0" fontId="42" fillId="45" borderId="0" xfId="0" applyFont="1" applyFill="1" applyAlignment="1">
      <alignment horizontal="centerContinuous" vertical="center"/>
    </xf>
    <xf numFmtId="0" fontId="46" fillId="45" borderId="0" xfId="0" applyFont="1" applyFill="1" applyAlignment="1">
      <alignment vertical="center"/>
    </xf>
    <xf numFmtId="0" fontId="13" fillId="35" borderId="0" xfId="0" applyFont="1" applyFill="1" applyAlignment="1">
      <alignment vertical="center"/>
    </xf>
    <xf numFmtId="0" fontId="30" fillId="35" borderId="0" xfId="0" applyFont="1" applyFill="1" applyAlignment="1">
      <alignment vertical="center"/>
    </xf>
    <xf numFmtId="0" fontId="13" fillId="36" borderId="0" xfId="0" applyFont="1" applyFill="1" applyAlignment="1">
      <alignment vertical="center"/>
    </xf>
    <xf numFmtId="0" fontId="30" fillId="36" borderId="0" xfId="0" applyFont="1" applyFill="1" applyAlignment="1">
      <alignment vertical="center"/>
    </xf>
    <xf numFmtId="0" fontId="13" fillId="39" borderId="0" xfId="0" applyFont="1" applyFill="1" applyAlignment="1">
      <alignment vertical="center"/>
    </xf>
    <xf numFmtId="0" fontId="30" fillId="39" borderId="0" xfId="0" applyFont="1" applyFill="1" applyAlignment="1">
      <alignment vertical="center"/>
    </xf>
    <xf numFmtId="0" fontId="13" fillId="39" borderId="0" xfId="0" applyFont="1" applyFill="1" applyAlignment="1">
      <alignment horizontal="center" vertical="center"/>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55" fillId="0" borderId="0" xfId="0" applyFont="1" applyFill="1" applyAlignment="1">
      <alignment horizontal="center" vertical="center"/>
    </xf>
    <xf numFmtId="0" fontId="17" fillId="0" borderId="0" xfId="0" applyFont="1" applyFill="1" applyAlignment="1">
      <alignment horizontal="center" vertical="center"/>
    </xf>
    <xf numFmtId="0" fontId="0" fillId="0" borderId="0" xfId="0" applyFill="1" applyAlignment="1">
      <alignment horizontal="center" vertical="center"/>
    </xf>
    <xf numFmtId="165" fontId="12" fillId="3" borderId="0" xfId="3" applyNumberFormat="1" applyFont="1" applyFill="1" applyAlignment="1">
      <alignment horizontal="left" vertical="center"/>
    </xf>
    <xf numFmtId="0" fontId="30" fillId="32" borderId="0" xfId="0" applyFont="1" applyFill="1" applyAlignment="1">
      <alignment horizontal="center" vertical="center"/>
    </xf>
    <xf numFmtId="0" fontId="62" fillId="44" borderId="0" xfId="0" applyFont="1" applyFill="1" applyAlignment="1">
      <alignment horizontal="center" vertical="center"/>
    </xf>
    <xf numFmtId="0" fontId="0" fillId="37" borderId="0" xfId="0" applyFont="1" applyFill="1" applyAlignment="1">
      <alignment horizontal="center" vertical="center"/>
    </xf>
    <xf numFmtId="0" fontId="63" fillId="40" borderId="0" xfId="0" applyFont="1" applyFill="1" applyAlignment="1">
      <alignment horizontal="center" vertical="center"/>
    </xf>
    <xf numFmtId="0" fontId="0" fillId="41" borderId="0" xfId="0" applyFont="1" applyFill="1" applyAlignment="1">
      <alignment vertical="center"/>
    </xf>
    <xf numFmtId="0" fontId="0" fillId="42" borderId="0" xfId="0" applyFont="1" applyFill="1" applyAlignment="1">
      <alignment vertical="center"/>
    </xf>
    <xf numFmtId="0" fontId="0" fillId="0" borderId="0" xfId="0" applyFont="1" applyFill="1" applyAlignment="1">
      <alignment vertical="center"/>
    </xf>
    <xf numFmtId="0" fontId="64" fillId="37" borderId="0" xfId="0" applyFont="1" applyFill="1" applyAlignment="1">
      <alignment horizontal="center" vertical="center"/>
    </xf>
    <xf numFmtId="0" fontId="13" fillId="48" borderId="0" xfId="0" applyFont="1" applyFill="1" applyAlignment="1">
      <alignment horizontal="center" vertical="center"/>
    </xf>
    <xf numFmtId="0" fontId="13" fillId="35" borderId="31" xfId="0" applyFont="1" applyFill="1" applyBorder="1" applyAlignment="1">
      <alignment vertical="center"/>
    </xf>
    <xf numFmtId="0" fontId="30" fillId="35" borderId="30" xfId="0" applyFont="1" applyFill="1" applyBorder="1" applyAlignment="1">
      <alignment vertical="center"/>
    </xf>
    <xf numFmtId="0" fontId="30" fillId="35" borderId="29" xfId="0" applyFont="1" applyFill="1" applyBorder="1" applyAlignment="1">
      <alignment vertical="center"/>
    </xf>
    <xf numFmtId="0" fontId="17" fillId="9" borderId="31" xfId="0" applyFont="1" applyFill="1" applyBorder="1" applyAlignment="1">
      <alignment vertical="center" wrapText="1"/>
    </xf>
    <xf numFmtId="0" fontId="0" fillId="9" borderId="30" xfId="0" applyFont="1" applyFill="1" applyBorder="1" applyAlignment="1">
      <alignment vertical="center"/>
    </xf>
    <xf numFmtId="1" fontId="0" fillId="9" borderId="29" xfId="0" applyNumberFormat="1" applyFont="1" applyFill="1" applyBorder="1" applyAlignment="1">
      <alignment vertical="center"/>
    </xf>
    <xf numFmtId="0" fontId="7" fillId="33" borderId="0" xfId="2" applyFill="1" applyAlignment="1">
      <alignment horizontal="left" vertical="center" wrapText="1" indent="1"/>
    </xf>
    <xf numFmtId="0" fontId="17" fillId="33" borderId="0" xfId="0" applyFont="1" applyFill="1" applyAlignment="1">
      <alignment horizontal="left" vertical="center" wrapText="1" indent="1"/>
    </xf>
    <xf numFmtId="0" fontId="8" fillId="0" borderId="6" xfId="1" applyFont="1" applyFill="1" applyBorder="1" applyAlignment="1">
      <alignment horizontal="center" vertical="center" wrapText="1"/>
    </xf>
    <xf numFmtId="0" fontId="8" fillId="0" borderId="23" xfId="1" applyFont="1" applyFill="1" applyBorder="1" applyAlignment="1">
      <alignment horizontal="center" vertical="center" wrapText="1"/>
    </xf>
    <xf numFmtId="14" fontId="8" fillId="0" borderId="23" xfId="1" applyNumberFormat="1" applyFont="1" applyFill="1" applyBorder="1" applyAlignment="1">
      <alignment horizontal="center" vertical="center" wrapText="1"/>
    </xf>
    <xf numFmtId="0" fontId="8" fillId="0" borderId="33" xfId="1" applyFont="1" applyFill="1" applyBorder="1" applyAlignment="1">
      <alignment horizontal="center" vertical="center" wrapText="1"/>
    </xf>
    <xf numFmtId="0" fontId="53" fillId="32" borderId="7" xfId="1" applyFont="1" applyFill="1" applyBorder="1" applyAlignment="1">
      <alignment horizontal="center" vertical="center" wrapText="1"/>
    </xf>
    <xf numFmtId="0" fontId="5" fillId="7" borderId="22" xfId="1" applyFont="1" applyFill="1" applyBorder="1" applyAlignment="1">
      <alignment horizontal="center" vertical="center"/>
    </xf>
    <xf numFmtId="0" fontId="12" fillId="7" borderId="22" xfId="0" applyFont="1" applyFill="1" applyBorder="1" applyAlignment="1">
      <alignment horizontal="center" vertical="center"/>
    </xf>
    <xf numFmtId="0" fontId="5" fillId="7" borderId="22" xfId="1" applyFont="1" applyFill="1" applyBorder="1" applyAlignment="1">
      <alignment horizontal="left" vertical="center"/>
    </xf>
    <xf numFmtId="0" fontId="5" fillId="7" borderId="34" xfId="1" applyFont="1" applyFill="1" applyBorder="1" applyAlignment="1">
      <alignment horizontal="center" vertical="center"/>
    </xf>
    <xf numFmtId="0" fontId="5" fillId="7" borderId="22" xfId="1" applyFont="1" applyFill="1" applyBorder="1" applyAlignment="1">
      <alignment vertical="center"/>
    </xf>
    <xf numFmtId="0" fontId="5" fillId="3" borderId="22" xfId="1" applyFont="1" applyFill="1" applyBorder="1" applyAlignment="1">
      <alignment horizontal="center" vertical="center"/>
    </xf>
    <xf numFmtId="0" fontId="12" fillId="3" borderId="22" xfId="0" applyFont="1" applyFill="1" applyBorder="1" applyAlignment="1">
      <alignment horizontal="center" vertical="center"/>
    </xf>
    <xf numFmtId="0" fontId="5" fillId="3" borderId="22" xfId="1" applyFont="1" applyFill="1" applyBorder="1" applyAlignment="1">
      <alignment vertical="center"/>
    </xf>
    <xf numFmtId="0" fontId="5" fillId="3" borderId="34" xfId="1" applyFont="1" applyFill="1" applyBorder="1" applyAlignment="1">
      <alignment horizontal="center" vertical="center"/>
    </xf>
    <xf numFmtId="0" fontId="5" fillId="3" borderId="22" xfId="1" applyFont="1" applyFill="1" applyBorder="1" applyAlignment="1" applyProtection="1">
      <alignment vertical="center"/>
      <protection locked="0"/>
    </xf>
    <xf numFmtId="0" fontId="8" fillId="7" borderId="22" xfId="0" applyFont="1" applyFill="1" applyBorder="1" applyAlignment="1">
      <alignment vertical="top" wrapText="1"/>
    </xf>
    <xf numFmtId="0" fontId="54" fillId="34" borderId="7" xfId="1" applyFont="1" applyFill="1" applyBorder="1" applyAlignment="1">
      <alignment horizontal="center" vertical="center" wrapText="1"/>
    </xf>
    <xf numFmtId="0" fontId="8" fillId="0" borderId="22" xfId="1" applyFont="1" applyBorder="1" applyAlignment="1">
      <alignment horizontal="left" vertical="top" wrapText="1"/>
    </xf>
    <xf numFmtId="0" fontId="5" fillId="7" borderId="22" xfId="1" applyFont="1" applyFill="1" applyBorder="1" applyAlignment="1">
      <alignment horizontal="center" vertical="center" wrapText="1"/>
    </xf>
    <xf numFmtId="0" fontId="5" fillId="7" borderId="34" xfId="1" applyFont="1" applyFill="1" applyBorder="1" applyAlignment="1">
      <alignment horizontal="center" vertical="center" wrapText="1"/>
    </xf>
    <xf numFmtId="0" fontId="5" fillId="3" borderId="22" xfId="1" applyFont="1" applyFill="1" applyBorder="1" applyAlignment="1">
      <alignment horizontal="center" vertical="center" wrapText="1"/>
    </xf>
    <xf numFmtId="0" fontId="5" fillId="3" borderId="34" xfId="1" applyFont="1" applyFill="1" applyBorder="1" applyAlignment="1">
      <alignment horizontal="center" vertical="center" wrapText="1"/>
    </xf>
    <xf numFmtId="0" fontId="53" fillId="32" borderId="20" xfId="1" applyFont="1" applyFill="1" applyBorder="1" applyAlignment="1">
      <alignment horizontal="center" vertical="center" wrapText="1"/>
    </xf>
    <xf numFmtId="0" fontId="5" fillId="3" borderId="35" xfId="1" applyFont="1" applyFill="1" applyBorder="1" applyAlignment="1">
      <alignment horizontal="left" vertical="top" wrapText="1"/>
    </xf>
    <xf numFmtId="0" fontId="5" fillId="3" borderId="35" xfId="1" applyFont="1" applyFill="1" applyBorder="1" applyAlignment="1">
      <alignment horizontal="center" vertical="top" wrapText="1"/>
    </xf>
    <xf numFmtId="0" fontId="8" fillId="3" borderId="35" xfId="1" applyFont="1" applyFill="1" applyBorder="1" applyAlignment="1">
      <alignment horizontal="left" vertical="top" wrapText="1"/>
    </xf>
    <xf numFmtId="0" fontId="5" fillId="3" borderId="35" xfId="1" applyFont="1" applyFill="1" applyBorder="1" applyAlignment="1">
      <alignment horizontal="center" vertical="center" wrapText="1"/>
    </xf>
    <xf numFmtId="0" fontId="12" fillId="3" borderId="35" xfId="0" applyFont="1" applyFill="1" applyBorder="1" applyAlignment="1">
      <alignment horizontal="center" vertical="center"/>
    </xf>
    <xf numFmtId="0" fontId="5" fillId="3" borderId="35" xfId="1" applyFont="1" applyFill="1" applyBorder="1" applyAlignment="1">
      <alignment horizontal="left" vertical="center" wrapText="1"/>
    </xf>
    <xf numFmtId="0" fontId="5" fillId="3" borderId="32" xfId="1" applyFont="1" applyFill="1" applyBorder="1" applyAlignment="1">
      <alignment horizontal="center" vertical="center" wrapText="1"/>
    </xf>
    <xf numFmtId="0" fontId="32" fillId="0" borderId="33" xfId="1" applyFont="1" applyFill="1" applyBorder="1" applyAlignment="1">
      <alignment horizontal="center" vertical="center" wrapText="1"/>
    </xf>
    <xf numFmtId="0" fontId="17" fillId="8" borderId="0" xfId="0" applyFont="1" applyFill="1" applyAlignment="1">
      <alignment horizontal="left" vertical="center" wrapText="1" indent="1"/>
    </xf>
    <xf numFmtId="0" fontId="65" fillId="27" borderId="0" xfId="0" applyFont="1" applyFill="1" applyBorder="1" applyAlignment="1">
      <alignment horizontal="center" vertical="center"/>
    </xf>
    <xf numFmtId="0" fontId="0" fillId="27" borderId="0" xfId="0" applyFill="1"/>
    <xf numFmtId="0" fontId="67" fillId="0" borderId="0" xfId="0" applyFont="1" applyAlignment="1">
      <alignment vertical="center"/>
    </xf>
    <xf numFmtId="0" fontId="0" fillId="26" borderId="36" xfId="0" applyFont="1" applyFill="1" applyBorder="1" applyAlignment="1">
      <alignment horizontal="left" vertical="center" indent="1"/>
    </xf>
    <xf numFmtId="0" fontId="0" fillId="26" borderId="36" xfId="0" applyFont="1" applyFill="1" applyBorder="1" applyAlignment="1">
      <alignment horizontal="left" vertical="center" indent="1"/>
    </xf>
    <xf numFmtId="167" fontId="0" fillId="26" borderId="36" xfId="0" applyNumberFormat="1" applyFont="1" applyFill="1" applyBorder="1" applyAlignment="1">
      <alignment horizontal="left" vertical="center" indent="1"/>
    </xf>
    <xf numFmtId="0" fontId="65" fillId="27" borderId="0" xfId="0" applyFont="1" applyFill="1" applyBorder="1" applyAlignment="1">
      <alignment horizontal="centerContinuous" vertical="distributed"/>
    </xf>
    <xf numFmtId="0" fontId="0" fillId="26" borderId="36" xfId="0" applyFont="1" applyFill="1" applyBorder="1" applyAlignment="1">
      <alignment horizontal="left" vertical="center" wrapText="1" indent="1"/>
    </xf>
    <xf numFmtId="0" fontId="71" fillId="0" borderId="36" xfId="0" applyFont="1" applyBorder="1" applyAlignment="1">
      <alignment horizontal="left" vertical="center" indent="1"/>
    </xf>
    <xf numFmtId="0" fontId="68" fillId="0" borderId="37" xfId="0" applyFont="1" applyBorder="1" applyAlignment="1">
      <alignment horizontal="left" vertical="center" wrapText="1" indent="1"/>
    </xf>
    <xf numFmtId="0" fontId="71" fillId="0" borderId="38" xfId="0" applyFont="1" applyBorder="1" applyAlignment="1">
      <alignment horizontal="left" vertical="center" indent="1"/>
    </xf>
    <xf numFmtId="0" fontId="71" fillId="0" borderId="36" xfId="0" applyFont="1" applyBorder="1" applyAlignment="1">
      <alignment horizontal="left" vertical="center" wrapText="1" indent="1"/>
    </xf>
    <xf numFmtId="0" fontId="72" fillId="15" borderId="36" xfId="0" applyFont="1" applyFill="1" applyBorder="1" applyAlignment="1">
      <alignment horizontal="left" vertical="center" wrapText="1" indent="1"/>
    </xf>
    <xf numFmtId="0" fontId="0" fillId="0" borderId="38" xfId="0" applyFont="1" applyFill="1" applyBorder="1" applyAlignment="1">
      <alignment horizontal="left" vertical="center" wrapText="1" indent="1"/>
    </xf>
    <xf numFmtId="0" fontId="8" fillId="13" borderId="22" xfId="1" applyFont="1" applyFill="1" applyBorder="1" applyAlignment="1">
      <alignment vertical="top" wrapText="1"/>
    </xf>
    <xf numFmtId="0" fontId="8" fillId="13" borderId="22" xfId="1" applyFont="1" applyFill="1" applyBorder="1" applyAlignment="1">
      <alignment horizontal="left" vertical="top" wrapText="1"/>
    </xf>
    <xf numFmtId="0" fontId="5" fillId="13" borderId="22" xfId="1" applyFont="1" applyFill="1" applyBorder="1" applyAlignment="1">
      <alignment horizontal="left" vertical="top" wrapText="1"/>
    </xf>
    <xf numFmtId="49" fontId="0" fillId="49" borderId="0" xfId="4" applyNumberFormat="1" applyFont="1" applyFill="1" applyAlignment="1">
      <alignment horizontal="center" vertical="center"/>
    </xf>
    <xf numFmtId="0" fontId="0" fillId="18" borderId="0" xfId="0" applyFont="1" applyFill="1" applyAlignment="1">
      <alignment horizontal="center" vertical="center"/>
    </xf>
    <xf numFmtId="0" fontId="5" fillId="7" borderId="0" xfId="1" applyNumberFormat="1" applyFont="1" applyFill="1" applyAlignment="1">
      <alignment horizontal="center" vertical="center"/>
    </xf>
    <xf numFmtId="0" fontId="5" fillId="7" borderId="0" xfId="1" applyFont="1" applyFill="1" applyAlignment="1">
      <alignment horizontal="center" vertical="center"/>
    </xf>
    <xf numFmtId="165" fontId="73" fillId="0" borderId="8" xfId="0" applyNumberFormat="1" applyFont="1" applyFill="1" applyBorder="1" applyAlignment="1">
      <alignment horizontal="center" vertical="center"/>
    </xf>
    <xf numFmtId="0" fontId="5" fillId="13" borderId="22" xfId="1" applyFont="1" applyFill="1" applyBorder="1" applyAlignment="1">
      <alignment vertical="top" wrapText="1"/>
    </xf>
    <xf numFmtId="0" fontId="13" fillId="28" borderId="5" xfId="0" applyFont="1" applyFill="1" applyBorder="1" applyAlignment="1">
      <alignment horizontal="center" vertical="center"/>
    </xf>
    <xf numFmtId="0" fontId="13" fillId="28" borderId="0" xfId="0" applyFont="1" applyFill="1" applyBorder="1" applyAlignment="1">
      <alignment horizontal="center" vertical="center"/>
    </xf>
    <xf numFmtId="0" fontId="65" fillId="27" borderId="0" xfId="0" applyFont="1" applyFill="1" applyBorder="1" applyAlignment="1">
      <alignment horizontal="center" vertical="center"/>
    </xf>
    <xf numFmtId="0" fontId="36" fillId="0" borderId="24" xfId="0" applyFont="1" applyBorder="1" applyAlignment="1">
      <alignment horizontal="center"/>
    </xf>
    <xf numFmtId="0" fontId="35" fillId="3" borderId="0" xfId="2" applyFont="1" applyFill="1" applyBorder="1" applyAlignment="1">
      <alignment horizontal="center" vertical="center"/>
    </xf>
    <xf numFmtId="0" fontId="0" fillId="27" borderId="0" xfId="0" applyFill="1" applyBorder="1" applyAlignment="1">
      <alignment horizontal="center"/>
    </xf>
    <xf numFmtId="0" fontId="66" fillId="8" borderId="0" xfId="0" applyFont="1" applyFill="1" applyAlignment="1">
      <alignment horizontal="center" vertical="center" wrapText="1"/>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4" fontId="15" fillId="3" borderId="11" xfId="0" applyNumberFormat="1" applyFont="1" applyFill="1" applyBorder="1" applyAlignment="1">
      <alignment horizontal="center" vertical="top"/>
    </xf>
    <xf numFmtId="165" fontId="11"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6" xfId="0" applyNumberFormat="1" applyFont="1" applyFill="1" applyBorder="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0" fontId="68" fillId="0" borderId="0" xfId="0" applyFont="1" applyBorder="1" applyAlignment="1">
      <alignment horizontal="left" vertical="center" wrapText="1" indent="1"/>
    </xf>
    <xf numFmtId="0" fontId="7"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31">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3366CC"/>
      <color rgb="FF3366FF"/>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Value!$O$142:$Q$142</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Value!$O$143:$P$143</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Value!$P$150:$P$154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7010400</xdr:colOff>
      <xdr:row>1</xdr:row>
      <xdr:rowOff>390525</xdr:rowOff>
    </xdr:from>
    <xdr:to>
      <xdr:col>3</xdr:col>
      <xdr:colOff>761775</xdr:colOff>
      <xdr:row>1</xdr:row>
      <xdr:rowOff>714525</xdr:rowOff>
    </xdr:to>
    <xdr:sp macro="[0]!RctCsv" textlink="">
      <xdr:nvSpPr>
        <xdr:cNvPr id="2" name="Rectangle à coins arrondis 1">
          <a:extLst>
            <a:ext uri="{FF2B5EF4-FFF2-40B4-BE49-F238E27FC236}">
              <a16:creationId xmlns:a16="http://schemas.microsoft.com/office/drawing/2014/main" id="{88A6382B-5DCD-4404-93BB-10F4E9F2BDB9}"/>
            </a:ext>
          </a:extLst>
        </xdr:cNvPr>
        <xdr:cNvSpPr>
          <a:spLocks noChangeAspect="1"/>
        </xdr:cNvSpPr>
      </xdr:nvSpPr>
      <xdr:spPr>
        <a:xfrm>
          <a:off x="8772525" y="895350"/>
          <a:ext cx="1800000" cy="324000"/>
        </a:xfrm>
        <a:prstGeom prst="roundRect">
          <a:avLst/>
        </a:prstGeom>
        <a:solidFill>
          <a:schemeClr val="tx2"/>
        </a:solidFill>
        <a:ln>
          <a:solidFill>
            <a:schemeClr val="tx2">
              <a:lumMod val="50000"/>
            </a:schemeClr>
          </a:solidFill>
        </a:ln>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fichier .csv</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30" dataDxfId="329">
  <autoFilter ref="A8:D11" xr:uid="{00000000-0009-0000-0100-000003000000}"/>
  <tableColumns count="4">
    <tableColumn id="1" xr3:uid="{00000000-0010-0000-0000-000001000000}" name="Page" dataDxfId="328"/>
    <tableColumn id="2" xr3:uid="{00000000-0010-0000-0000-000002000000}" name="Nom" dataDxfId="327"/>
    <tableColumn id="3" xr3:uid="{00000000-0010-0000-0000-000003000000}" name="Url" dataDxfId="326" dataCellStyle="Lien hypertexte"/>
    <tableColumn id="4" xr3:uid="{00000000-0010-0000-0000-000004000000}" name="Éléments significatifs" dataDxfId="325"/>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1" totalsRowShown="0" headerRowDxfId="312" dataDxfId="310" headerRowBorderDxfId="311" tableBorderDxfId="309" totalsRowBorderDxfId="308" headerRowCellStyle="Normal 2" dataCellStyle="Normal 2">
  <autoFilter ref="B3:Q261" xr:uid="{00000000-0009-0000-0100-000004000000}"/>
  <tableColumns count="16">
    <tableColumn id="1" xr3:uid="{00000000-0010-0000-0100-000001000000}" name="Thématique" dataDxfId="307" dataCellStyle="Normal 2"/>
    <tableColumn id="12" xr3:uid="{00000000-0010-0000-0100-00000C000000}" name="Intitulé du critère" dataDxfId="306" dataCellStyle="Normal 2"/>
    <tableColumn id="2" xr3:uid="{00000000-0010-0000-0100-000002000000}" name="Test" dataDxfId="305" dataCellStyle="Normal 2"/>
    <tableColumn id="4" xr3:uid="{00000000-0010-0000-0100-000004000000}" name="Niveau" dataDxfId="304" dataCellStyle="Normal 2"/>
    <tableColumn id="5" xr3:uid="{00000000-0010-0000-0100-000005000000}" name="Intitulé du test" dataDxfId="303" dataCellStyle="Normal 2"/>
    <tableColumn id="6" xr3:uid="{00000000-0010-0000-0100-000006000000}" name="Méthode" dataDxfId="302" dataCellStyle="Normal 2"/>
    <tableColumn id="7" xr3:uid="{00000000-0010-0000-0100-000007000000}" name="État" dataDxfId="301"/>
    <tableColumn id="3" xr3:uid="{00000000-0010-0000-0100-000003000000}" name="Label e-accessible" dataDxfId="300" dataCellStyle="Normal 2"/>
    <tableColumn id="8" xr3:uid="{00000000-0010-0000-0100-000008000000}" name="Date" dataDxfId="299" dataCellStyle="Normal 2"/>
    <tableColumn id="9" xr3:uid="{00000000-0010-0000-0100-000009000000}" name="Correctif" dataDxfId="298" dataCellStyle="Normal 2"/>
    <tableColumn id="14" xr3:uid="{00000000-0010-0000-0100-00000E000000}" name="Exemple de code corrigé" dataDxfId="297" dataCellStyle="Normal 2"/>
    <tableColumn id="15" xr3:uid="{00000000-0010-0000-0100-00000F000000}" name="Commentaires" dataDxfId="296" dataCellStyle="Normal 2"/>
    <tableColumn id="17" xr3:uid="{848BBC6C-A0DD-46C0-96F6-ECDBE1E0163E}" name="Dérogation" dataDxfId="295" dataCellStyle="Normal 2"/>
    <tableColumn id="16" xr3:uid="{00000000-0010-0000-0100-000010000000}" name="Erreur transverse" dataDxfId="294" dataCellStyle="Normal 2"/>
    <tableColumn id="10" xr3:uid="{00000000-0010-0000-0100-00000A000000}" name="Difficulté" dataDxfId="293" dataCellStyle="Normal 2"/>
    <tableColumn id="13" xr3:uid="{00000000-0010-0000-0100-00000D000000}" name="Priorité" dataDxfId="292"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8" totalsRowShown="0" headerRowDxfId="236" dataDxfId="234" headerRowBorderDxfId="235" tableBorderDxfId="233" headerRowCellStyle="Normal 2">
  <autoFilter ref="A10:GJ268" xr:uid="{00000000-0009-0000-0100-000001000000}"/>
  <tableColumns count="192">
    <tableColumn id="1" xr3:uid="{00000000-0010-0000-0500-000001000000}" name="Thématique" dataDxfId="232" dataCellStyle="Normal 2"/>
    <tableColumn id="7" xr3:uid="{00000000-0010-0000-0500-000007000000}" name="Intitulé du critère" dataDxfId="231" dataCellStyle="Normal 2"/>
    <tableColumn id="2" xr3:uid="{00000000-0010-0000-0500-000002000000}" name="Test" dataDxfId="230" dataCellStyle="Normal 2"/>
    <tableColumn id="3" xr3:uid="{00000000-0010-0000-0500-000003000000}" name="Niveau" dataDxfId="229" dataCellStyle="Normal 2"/>
    <tableColumn id="4" xr3:uid="{00000000-0010-0000-0500-000004000000}" name="Intitulé du test" dataDxfId="228" dataCellStyle="Normal 2"/>
    <tableColumn id="15" xr3:uid="{00000000-0010-0000-0500-00000F000000}" name="Commentaire Général" dataDxfId="227" dataCellStyle="Normal 2"/>
    <tableColumn id="8" xr3:uid="{00000000-0010-0000-0500-000008000000}" name="Colonne1" dataDxfId="226" dataCellStyle="Normal 2"/>
    <tableColumn id="9" xr3:uid="{00000000-0010-0000-0500-000009000000}" name="Colonne2" dataDxfId="225" dataCellStyle="Normal 2"/>
    <tableColumn id="10" xr3:uid="{00000000-0010-0000-0500-00000A000000}" name="Colonne3" dataDxfId="224" dataCellStyle="Normal 2"/>
    <tableColumn id="11" xr3:uid="{00000000-0010-0000-0500-00000B000000}" name="Colonne4" dataDxfId="223" dataCellStyle="Normal 2"/>
    <tableColumn id="12" xr3:uid="{00000000-0010-0000-0500-00000C000000}" name="Colonne5" dataDxfId="222" dataCellStyle="Normal 2"/>
    <tableColumn id="13" xr3:uid="{00000000-0010-0000-0500-00000D000000}" name="Colonne6" dataDxfId="221" dataCellStyle="Normal 2"/>
    <tableColumn id="14" xr3:uid="{00000000-0010-0000-0500-00000E000000}" name="Colonne7" dataDxfId="220" dataCellStyle="Normal 2"/>
    <tableColumn id="16" xr3:uid="{00000000-0010-0000-0500-000010000000}" name="Colonne8" dataDxfId="219" dataCellStyle="Normal 2"/>
    <tableColumn id="17" xr3:uid="{00000000-0010-0000-0500-000011000000}" name="Colonne9" dataDxfId="218" dataCellStyle="Normal 2"/>
    <tableColumn id="18" xr3:uid="{00000000-0010-0000-0500-000012000000}" name="Colonne10" dataDxfId="217" dataCellStyle="Normal 2"/>
    <tableColumn id="19" xr3:uid="{00000000-0010-0000-0500-000013000000}" name="Colonne11" dataDxfId="216" dataCellStyle="Normal 2"/>
    <tableColumn id="20" xr3:uid="{00000000-0010-0000-0500-000014000000}" name="Colonne12" dataDxfId="215" dataCellStyle="Normal 2"/>
    <tableColumn id="21" xr3:uid="{00000000-0010-0000-0500-000015000000}" name="Colonne13" dataDxfId="214" dataCellStyle="Normal 2"/>
    <tableColumn id="22" xr3:uid="{00000000-0010-0000-0500-000016000000}" name="Colonne14" dataDxfId="213" dataCellStyle="Normal 2"/>
    <tableColumn id="23" xr3:uid="{00000000-0010-0000-0500-000017000000}" name="Colonne15" dataDxfId="212" dataCellStyle="Normal 2"/>
    <tableColumn id="24" xr3:uid="{00000000-0010-0000-0500-000018000000}" name="Colonne16" dataDxfId="211" dataCellStyle="Normal 2"/>
    <tableColumn id="25" xr3:uid="{00000000-0010-0000-0500-000019000000}" name="Colonne17" dataDxfId="210" dataCellStyle="Normal 2"/>
    <tableColumn id="26" xr3:uid="{00000000-0010-0000-0500-00001A000000}" name="Colonne18" dataDxfId="209" dataCellStyle="Normal 2"/>
    <tableColumn id="27" xr3:uid="{00000000-0010-0000-0500-00001B000000}" name="Colonne19" dataDxfId="208" dataCellStyle="Normal 2"/>
    <tableColumn id="28" xr3:uid="{00000000-0010-0000-0500-00001C000000}" name="Colonne20" dataDxfId="207" dataCellStyle="Normal 2"/>
    <tableColumn id="29" xr3:uid="{00000000-0010-0000-0500-00001D000000}" name="Colonne21" dataDxfId="206" dataCellStyle="Normal 2"/>
    <tableColumn id="30" xr3:uid="{00000000-0010-0000-0500-00001E000000}" name="Colonne22" dataDxfId="205" dataCellStyle="Normal 2"/>
    <tableColumn id="31" xr3:uid="{00000000-0010-0000-0500-00001F000000}" name="Colonne23" dataDxfId="204" dataCellStyle="Normal 2"/>
    <tableColumn id="32" xr3:uid="{00000000-0010-0000-0500-000020000000}" name="Colonne24" dataDxfId="203" dataCellStyle="Normal 2"/>
    <tableColumn id="33" xr3:uid="{00000000-0010-0000-0500-000021000000}" name="Colonne25" dataDxfId="202" dataCellStyle="Normal 2"/>
    <tableColumn id="34" xr3:uid="{00000000-0010-0000-0500-000022000000}" name="Colonne26" dataDxfId="201" dataCellStyle="Normal 2"/>
    <tableColumn id="35" xr3:uid="{00000000-0010-0000-0500-000023000000}" name="Colonne27" dataDxfId="200" dataCellStyle="Normal 2"/>
    <tableColumn id="36" xr3:uid="{00000000-0010-0000-0500-000024000000}" name="Colonne28" dataDxfId="199" dataCellStyle="Normal 2"/>
    <tableColumn id="37" xr3:uid="{00000000-0010-0000-0500-000025000000}" name="Colonne29" dataDxfId="198" dataCellStyle="Normal 2"/>
    <tableColumn id="38" xr3:uid="{00000000-0010-0000-0500-000026000000}" name="Colonne30" dataDxfId="197" dataCellStyle="Normal 2"/>
    <tableColumn id="39" xr3:uid="{00000000-0010-0000-0500-000027000000}" name="Colonne31" dataDxfId="196" dataCellStyle="Normal 2"/>
    <tableColumn id="40" xr3:uid="{00000000-0010-0000-0500-000028000000}" name="Colonne32" dataDxfId="195" dataCellStyle="Normal 2"/>
    <tableColumn id="41" xr3:uid="{00000000-0010-0000-0500-000029000000}" name="Colonne33" dataDxfId="194" dataCellStyle="Normal 2"/>
    <tableColumn id="42" xr3:uid="{00000000-0010-0000-0500-00002A000000}" name="Colonne34" dataDxfId="193" dataCellStyle="Normal 2"/>
    <tableColumn id="43" xr3:uid="{00000000-0010-0000-0500-00002B000000}" name="Colonne35" dataDxfId="192" dataCellStyle="Normal 2"/>
    <tableColumn id="44" xr3:uid="{00000000-0010-0000-0500-00002C000000}" name="Colonne36" dataDxfId="191" dataCellStyle="Normal 2"/>
    <tableColumn id="45" xr3:uid="{00000000-0010-0000-0500-00002D000000}" name="Colonne37" dataDxfId="190" dataCellStyle="Normal 2"/>
    <tableColumn id="46" xr3:uid="{00000000-0010-0000-0500-00002E000000}" name="Colonne38" dataDxfId="189" dataCellStyle="Normal 2"/>
    <tableColumn id="47" xr3:uid="{00000000-0010-0000-0500-00002F000000}" name="Colonne39" dataDxfId="188" dataCellStyle="Normal 2"/>
    <tableColumn id="48" xr3:uid="{00000000-0010-0000-0500-000030000000}" name="Colonne40" dataDxfId="187" dataCellStyle="Normal 2"/>
    <tableColumn id="49" xr3:uid="{00000000-0010-0000-0500-000031000000}" name="Colonne41" dataDxfId="186" dataCellStyle="Normal 2"/>
    <tableColumn id="50" xr3:uid="{00000000-0010-0000-0500-000032000000}" name="Colonne42" dataDxfId="185" dataCellStyle="Normal 2"/>
    <tableColumn id="51" xr3:uid="{00000000-0010-0000-0500-000033000000}" name="Colonne43" dataDxfId="184" dataCellStyle="Normal 2"/>
    <tableColumn id="52" xr3:uid="{00000000-0010-0000-0500-000034000000}" name="Colonne44" dataDxfId="183" dataCellStyle="Normal 2"/>
    <tableColumn id="53" xr3:uid="{00000000-0010-0000-0500-000035000000}" name="Colonne45" dataDxfId="182" dataCellStyle="Normal 2"/>
    <tableColumn id="54" xr3:uid="{00000000-0010-0000-0500-000036000000}" name="Colonne46" dataDxfId="181" dataCellStyle="Normal 2"/>
    <tableColumn id="55" xr3:uid="{00000000-0010-0000-0500-000037000000}" name="Colonne47" dataDxfId="180" dataCellStyle="Normal 2"/>
    <tableColumn id="56" xr3:uid="{00000000-0010-0000-0500-000038000000}" name="Colonne48" dataDxfId="179" dataCellStyle="Normal 2"/>
    <tableColumn id="57" xr3:uid="{00000000-0010-0000-0500-000039000000}" name="Colonne49" dataDxfId="178" dataCellStyle="Normal 2"/>
    <tableColumn id="58" xr3:uid="{00000000-0010-0000-0500-00003A000000}" name="Colonne50" dataDxfId="177" dataCellStyle="Normal 2"/>
    <tableColumn id="59" xr3:uid="{00000000-0010-0000-0500-00003B000000}" name="Colonne51" dataDxfId="176" dataCellStyle="Normal 2"/>
    <tableColumn id="60" xr3:uid="{00000000-0010-0000-0500-00003C000000}" name="Colonne52" dataDxfId="175" dataCellStyle="Normal 2"/>
    <tableColumn id="61" xr3:uid="{00000000-0010-0000-0500-00003D000000}" name="Colonne53" dataDxfId="174" dataCellStyle="Normal 2"/>
    <tableColumn id="62" xr3:uid="{00000000-0010-0000-0500-00003E000000}" name="Colonne54" dataDxfId="173" dataCellStyle="Normal 2"/>
    <tableColumn id="63" xr3:uid="{00000000-0010-0000-0500-00003F000000}" name="Colonne55" dataDxfId="172" dataCellStyle="Normal 2"/>
    <tableColumn id="64" xr3:uid="{00000000-0010-0000-0500-000040000000}" name="Colonne56" dataDxfId="171" dataCellStyle="Normal 2"/>
    <tableColumn id="65" xr3:uid="{00000000-0010-0000-0500-000041000000}" name="Colonne57" dataDxfId="170" dataCellStyle="Normal 2"/>
    <tableColumn id="66" xr3:uid="{00000000-0010-0000-0500-000042000000}" name="Colonne58" dataDxfId="169" dataCellStyle="Normal 2"/>
    <tableColumn id="67" xr3:uid="{00000000-0010-0000-0500-000043000000}" name="Colonne59" dataDxfId="168" dataCellStyle="Normal 2"/>
    <tableColumn id="68" xr3:uid="{00000000-0010-0000-0500-000044000000}" name="Colonne60" dataDxfId="167" dataCellStyle="Normal 2"/>
    <tableColumn id="69" xr3:uid="{00000000-0010-0000-0500-000045000000}" name="Colonne61" dataDxfId="166" dataCellStyle="Normal 2"/>
    <tableColumn id="70" xr3:uid="{00000000-0010-0000-0500-000046000000}" name="Colonne62" dataDxfId="165" dataCellStyle="Normal 2"/>
    <tableColumn id="71" xr3:uid="{00000000-0010-0000-0500-000047000000}" name="Colonne63" dataDxfId="164" dataCellStyle="Normal 2"/>
    <tableColumn id="72" xr3:uid="{00000000-0010-0000-0500-000048000000}" name="Colonne64" dataDxfId="163" dataCellStyle="Normal 2"/>
    <tableColumn id="73" xr3:uid="{00000000-0010-0000-0500-000049000000}" name="Colonne65" dataDxfId="162" dataCellStyle="Normal 2"/>
    <tableColumn id="74" xr3:uid="{00000000-0010-0000-0500-00004A000000}" name="Colonne66" dataDxfId="161" dataCellStyle="Normal 2"/>
    <tableColumn id="75" xr3:uid="{00000000-0010-0000-0500-00004B000000}" name="Colonne67" dataDxfId="160" dataCellStyle="Normal 2"/>
    <tableColumn id="76" xr3:uid="{00000000-0010-0000-0500-00004C000000}" name="Colonne68" dataDxfId="159" dataCellStyle="Normal 2"/>
    <tableColumn id="77" xr3:uid="{00000000-0010-0000-0500-00004D000000}" name="Colonne69" dataDxfId="158" dataCellStyle="Normal 2"/>
    <tableColumn id="78" xr3:uid="{00000000-0010-0000-0500-00004E000000}" name="Colonne70" dataDxfId="157" dataCellStyle="Normal 2"/>
    <tableColumn id="79" xr3:uid="{00000000-0010-0000-0500-00004F000000}" name="Colonne71" dataDxfId="156" dataCellStyle="Normal 2"/>
    <tableColumn id="80" xr3:uid="{00000000-0010-0000-0500-000050000000}" name="Colonne72" dataDxfId="155" dataCellStyle="Normal 2"/>
    <tableColumn id="81" xr3:uid="{00000000-0010-0000-0500-000051000000}" name="Colonne73" dataDxfId="154" dataCellStyle="Normal 2"/>
    <tableColumn id="82" xr3:uid="{00000000-0010-0000-0500-000052000000}" name="Colonne74" dataDxfId="153" dataCellStyle="Normal 2"/>
    <tableColumn id="83" xr3:uid="{00000000-0010-0000-0500-000053000000}" name="Colonne75" dataDxfId="152" dataCellStyle="Normal 2"/>
    <tableColumn id="84" xr3:uid="{00000000-0010-0000-0500-000054000000}" name="Colonne76" dataDxfId="151" dataCellStyle="Normal 2"/>
    <tableColumn id="85" xr3:uid="{00000000-0010-0000-0500-000055000000}" name="Colonne77" dataDxfId="150" dataCellStyle="Normal 2"/>
    <tableColumn id="86" xr3:uid="{00000000-0010-0000-0500-000056000000}" name="Colonne78" dataDxfId="149" dataCellStyle="Normal 2"/>
    <tableColumn id="87" xr3:uid="{00000000-0010-0000-0500-000057000000}" name="Colonne79" dataDxfId="148" dataCellStyle="Normal 2"/>
    <tableColumn id="88" xr3:uid="{00000000-0010-0000-0500-000058000000}" name="Colonne80" dataDxfId="147" dataCellStyle="Normal 2"/>
    <tableColumn id="89" xr3:uid="{00000000-0010-0000-0500-000059000000}" name="Colonne81" dataDxfId="146" dataCellStyle="Normal 2"/>
    <tableColumn id="90" xr3:uid="{00000000-0010-0000-0500-00005A000000}" name="Colonne82" dataDxfId="145" dataCellStyle="Normal 2"/>
    <tableColumn id="91" xr3:uid="{00000000-0010-0000-0500-00005B000000}" name="Colonne83" dataDxfId="144" dataCellStyle="Normal 2"/>
    <tableColumn id="92" xr3:uid="{00000000-0010-0000-0500-00005C000000}" name="Colonne84" dataDxfId="143" dataCellStyle="Normal 2"/>
    <tableColumn id="93" xr3:uid="{00000000-0010-0000-0500-00005D000000}" name="Colonne85" dataDxfId="142" dataCellStyle="Normal 2"/>
    <tableColumn id="94" xr3:uid="{00000000-0010-0000-0500-00005E000000}" name="Colonne86" dataDxfId="141" dataCellStyle="Normal 2"/>
    <tableColumn id="95" xr3:uid="{00000000-0010-0000-0500-00005F000000}" name="Colonne87" dataDxfId="140" dataCellStyle="Normal 2"/>
    <tableColumn id="96" xr3:uid="{00000000-0010-0000-0500-000060000000}" name="Colonne88" dataDxfId="139" dataCellStyle="Normal 2"/>
    <tableColumn id="97" xr3:uid="{00000000-0010-0000-0500-000061000000}" name="Colonne89" dataDxfId="138" dataCellStyle="Normal 2"/>
    <tableColumn id="98" xr3:uid="{00000000-0010-0000-0500-000062000000}" name="Colonne90" dataDxfId="137" dataCellStyle="Normal 2"/>
    <tableColumn id="99" xr3:uid="{00000000-0010-0000-0500-000063000000}" name="Colonne91" dataDxfId="136" dataCellStyle="Normal 2"/>
    <tableColumn id="100" xr3:uid="{00000000-0010-0000-0500-000064000000}" name="Colonne92" dataDxfId="135" dataCellStyle="Normal 2"/>
    <tableColumn id="101" xr3:uid="{00000000-0010-0000-0500-000065000000}" name="Colonne93" dataDxfId="134" dataCellStyle="Normal 2"/>
    <tableColumn id="102" xr3:uid="{00000000-0010-0000-0500-000066000000}" name="Colonne94" dataDxfId="133" dataCellStyle="Normal 2"/>
    <tableColumn id="103" xr3:uid="{00000000-0010-0000-0500-000067000000}" name="Colonne95" dataDxfId="132" dataCellStyle="Normal 2"/>
    <tableColumn id="104" xr3:uid="{00000000-0010-0000-0500-000068000000}" name="Colonne96" dataDxfId="131" dataCellStyle="Normal 2"/>
    <tableColumn id="105" xr3:uid="{00000000-0010-0000-0500-000069000000}" name="Colonne97" dataDxfId="130" dataCellStyle="Normal 2"/>
    <tableColumn id="106" xr3:uid="{00000000-0010-0000-0500-00006A000000}" name="Colonne98" dataDxfId="129" dataCellStyle="Normal 2"/>
    <tableColumn id="107" xr3:uid="{00000000-0010-0000-0500-00006B000000}" name="Colonne99" dataDxfId="128" dataCellStyle="Normal 2"/>
    <tableColumn id="108" xr3:uid="{00000000-0010-0000-0500-00006C000000}" name="Colonne100" dataDxfId="127" dataCellStyle="Normal 2"/>
    <tableColumn id="109" xr3:uid="{00000000-0010-0000-0500-00006D000000}" name="Colonne101" dataDxfId="126" dataCellStyle="Normal 2"/>
    <tableColumn id="110" xr3:uid="{00000000-0010-0000-0500-00006E000000}" name="Colonne102" dataDxfId="125" dataCellStyle="Normal 2"/>
    <tableColumn id="111" xr3:uid="{00000000-0010-0000-0500-00006F000000}" name="Colonne103" dataDxfId="124" dataCellStyle="Normal 2"/>
    <tableColumn id="112" xr3:uid="{00000000-0010-0000-0500-000070000000}" name="Colonne104" dataDxfId="123" dataCellStyle="Normal 2"/>
    <tableColumn id="113" xr3:uid="{00000000-0010-0000-0500-000071000000}" name="Colonne105" dataDxfId="122" dataCellStyle="Normal 2"/>
    <tableColumn id="114" xr3:uid="{00000000-0010-0000-0500-000072000000}" name="Colonne106" dataDxfId="121" dataCellStyle="Normal 2"/>
    <tableColumn id="115" xr3:uid="{00000000-0010-0000-0500-000073000000}" name="Colonne107" dataDxfId="120" dataCellStyle="Normal 2"/>
    <tableColumn id="116" xr3:uid="{00000000-0010-0000-0500-000074000000}" name="Colonne108" dataDxfId="119" dataCellStyle="Normal 2"/>
    <tableColumn id="117" xr3:uid="{00000000-0010-0000-0500-000075000000}" name="Colonne109" dataDxfId="118" dataCellStyle="Normal 2"/>
    <tableColumn id="118" xr3:uid="{00000000-0010-0000-0500-000076000000}" name="Colonne110" dataDxfId="117" dataCellStyle="Normal 2"/>
    <tableColumn id="119" xr3:uid="{00000000-0010-0000-0500-000077000000}" name="Colonne111" dataDxfId="116" dataCellStyle="Normal 2"/>
    <tableColumn id="120" xr3:uid="{00000000-0010-0000-0500-000078000000}" name="Colonne112" dataDxfId="115" dataCellStyle="Normal 2"/>
    <tableColumn id="121" xr3:uid="{00000000-0010-0000-0500-000079000000}" name="Colonne113" dataDxfId="114" dataCellStyle="Normal 2"/>
    <tableColumn id="122" xr3:uid="{00000000-0010-0000-0500-00007A000000}" name="Colonne114" dataDxfId="113" dataCellStyle="Normal 2"/>
    <tableColumn id="123" xr3:uid="{00000000-0010-0000-0500-00007B000000}" name="Colonne115" dataDxfId="112" dataCellStyle="Normal 2"/>
    <tableColumn id="124" xr3:uid="{00000000-0010-0000-0500-00007C000000}" name="Colonne116" dataDxfId="111" dataCellStyle="Normal 2"/>
    <tableColumn id="125" xr3:uid="{00000000-0010-0000-0500-00007D000000}" name="Colonne117" dataDxfId="110" dataCellStyle="Normal 2"/>
    <tableColumn id="126" xr3:uid="{00000000-0010-0000-0500-00007E000000}" name="Colonne118" dataDxfId="109" dataCellStyle="Normal 2"/>
    <tableColumn id="127" xr3:uid="{00000000-0010-0000-0500-00007F000000}" name="Colonne119" dataDxfId="108" dataCellStyle="Normal 2"/>
    <tableColumn id="128" xr3:uid="{00000000-0010-0000-0500-000080000000}" name="Colonne120" dataDxfId="107" dataCellStyle="Normal 2"/>
    <tableColumn id="129" xr3:uid="{00000000-0010-0000-0500-000081000000}" name="Colonne121" dataDxfId="106" dataCellStyle="Normal 2"/>
    <tableColumn id="130" xr3:uid="{00000000-0010-0000-0500-000082000000}" name="Colonne122" dataDxfId="105" dataCellStyle="Normal 2"/>
    <tableColumn id="131" xr3:uid="{00000000-0010-0000-0500-000083000000}" name="Colonne123" dataDxfId="104" dataCellStyle="Normal 2"/>
    <tableColumn id="132" xr3:uid="{00000000-0010-0000-0500-000084000000}" name="Colonne124" dataDxfId="103" dataCellStyle="Normal 2"/>
    <tableColumn id="133" xr3:uid="{00000000-0010-0000-0500-000085000000}" name="Colonne125" dataDxfId="102" dataCellStyle="Normal 2"/>
    <tableColumn id="134" xr3:uid="{00000000-0010-0000-0500-000086000000}" name="Colonne126" dataDxfId="101" dataCellStyle="Normal 2"/>
    <tableColumn id="135" xr3:uid="{00000000-0010-0000-0500-000087000000}" name="Colonne127" dataDxfId="100" dataCellStyle="Normal 2"/>
    <tableColumn id="136" xr3:uid="{00000000-0010-0000-0500-000088000000}" name="Colonne128" dataDxfId="99" dataCellStyle="Normal 2"/>
    <tableColumn id="137" xr3:uid="{00000000-0010-0000-0500-000089000000}" name="Colonne129" dataDxfId="98" dataCellStyle="Normal 2"/>
    <tableColumn id="138" xr3:uid="{00000000-0010-0000-0500-00008A000000}" name="Colonne130" dataDxfId="97" dataCellStyle="Normal 2"/>
    <tableColumn id="139" xr3:uid="{00000000-0010-0000-0500-00008B000000}" name="Colonne131" dataDxfId="96" dataCellStyle="Normal 2"/>
    <tableColumn id="140" xr3:uid="{00000000-0010-0000-0500-00008C000000}" name="Colonne132" dataDxfId="95" dataCellStyle="Normal 2"/>
    <tableColumn id="141" xr3:uid="{00000000-0010-0000-0500-00008D000000}" name="Colonne133" dataDxfId="94" dataCellStyle="Normal 2"/>
    <tableColumn id="142" xr3:uid="{00000000-0010-0000-0500-00008E000000}" name="Colonne134" dataDxfId="93" dataCellStyle="Normal 2"/>
    <tableColumn id="143" xr3:uid="{00000000-0010-0000-0500-00008F000000}" name="Colonne135" dataDxfId="92" dataCellStyle="Normal 2"/>
    <tableColumn id="144" xr3:uid="{00000000-0010-0000-0500-000090000000}" name="Colonne136" dataDxfId="91" dataCellStyle="Normal 2"/>
    <tableColumn id="145" xr3:uid="{00000000-0010-0000-0500-000091000000}" name="Colonne137" dataDxfId="90" dataCellStyle="Normal 2"/>
    <tableColumn id="146" xr3:uid="{00000000-0010-0000-0500-000092000000}" name="Colonne138" dataDxfId="89" dataCellStyle="Normal 2"/>
    <tableColumn id="147" xr3:uid="{00000000-0010-0000-0500-000093000000}" name="Colonne139" dataDxfId="88" dataCellStyle="Normal 2"/>
    <tableColumn id="148" xr3:uid="{00000000-0010-0000-0500-000094000000}" name="Colonne140" dataDxfId="87" dataCellStyle="Normal 2"/>
    <tableColumn id="149" xr3:uid="{00000000-0010-0000-0500-000095000000}" name="Colonne141" dataDxfId="86" dataCellStyle="Normal 2"/>
    <tableColumn id="150" xr3:uid="{00000000-0010-0000-0500-000096000000}" name="Colonne142" dataDxfId="85" dataCellStyle="Normal 2"/>
    <tableColumn id="151" xr3:uid="{00000000-0010-0000-0500-000097000000}" name="Colonne143" dataDxfId="84" dataCellStyle="Normal 2"/>
    <tableColumn id="152" xr3:uid="{00000000-0010-0000-0500-000098000000}" name="Colonne144" dataDxfId="83" dataCellStyle="Normal 2"/>
    <tableColumn id="153" xr3:uid="{00000000-0010-0000-0500-000099000000}" name="Colonne145" dataDxfId="82" dataCellStyle="Normal 2"/>
    <tableColumn id="154" xr3:uid="{00000000-0010-0000-0500-00009A000000}" name="Colonne146" dataDxfId="81" dataCellStyle="Normal 2"/>
    <tableColumn id="155" xr3:uid="{00000000-0010-0000-0500-00009B000000}" name="Colonne147" dataDxfId="80" dataCellStyle="Normal 2"/>
    <tableColumn id="156" xr3:uid="{00000000-0010-0000-0500-00009C000000}" name="Colonne148" dataDxfId="79" dataCellStyle="Normal 2"/>
    <tableColumn id="157" xr3:uid="{00000000-0010-0000-0500-00009D000000}" name="Colonne149" dataDxfId="78" dataCellStyle="Normal 2"/>
    <tableColumn id="158" xr3:uid="{00000000-0010-0000-0500-00009E000000}" name="Colonne150" dataDxfId="77" dataCellStyle="Normal 2"/>
    <tableColumn id="159" xr3:uid="{00000000-0010-0000-0500-00009F000000}" name="Colonne151" dataDxfId="76" dataCellStyle="Normal 2"/>
    <tableColumn id="160" xr3:uid="{00000000-0010-0000-0500-0000A0000000}" name="Colonne152" dataDxfId="75" dataCellStyle="Normal 2"/>
    <tableColumn id="161" xr3:uid="{00000000-0010-0000-0500-0000A1000000}" name="Colonne153" dataDxfId="74" dataCellStyle="Normal 2"/>
    <tableColumn id="162" xr3:uid="{00000000-0010-0000-0500-0000A2000000}" name="Colonne154" dataDxfId="73" dataCellStyle="Normal 2"/>
    <tableColumn id="163" xr3:uid="{00000000-0010-0000-0500-0000A3000000}" name="Colonne155" dataDxfId="72" dataCellStyle="Normal 2"/>
    <tableColumn id="164" xr3:uid="{00000000-0010-0000-0500-0000A4000000}" name="Colonne156" dataDxfId="71" dataCellStyle="Normal 2"/>
    <tableColumn id="165" xr3:uid="{00000000-0010-0000-0500-0000A5000000}" name="Colonne157" dataDxfId="70" dataCellStyle="Normal 2"/>
    <tableColumn id="166" xr3:uid="{00000000-0010-0000-0500-0000A6000000}" name="Colonne158" dataDxfId="69" dataCellStyle="Normal 2"/>
    <tableColumn id="167" xr3:uid="{00000000-0010-0000-0500-0000A7000000}" name="Colonne159" dataDxfId="68" dataCellStyle="Normal 2"/>
    <tableColumn id="168" xr3:uid="{00000000-0010-0000-0500-0000A8000000}" name="Colonne160" dataDxfId="67" dataCellStyle="Normal 2"/>
    <tableColumn id="169" xr3:uid="{00000000-0010-0000-0500-0000A9000000}" name="Colonne161" dataDxfId="66" dataCellStyle="Normal 2"/>
    <tableColumn id="170" xr3:uid="{00000000-0010-0000-0500-0000AA000000}" name="Colonne162" dataDxfId="65" dataCellStyle="Normal 2"/>
    <tableColumn id="171" xr3:uid="{00000000-0010-0000-0500-0000AB000000}" name="Colonne163" dataDxfId="64" dataCellStyle="Normal 2"/>
    <tableColumn id="172" xr3:uid="{00000000-0010-0000-0500-0000AC000000}" name="Colonne164" dataDxfId="63" dataCellStyle="Normal 2"/>
    <tableColumn id="173" xr3:uid="{00000000-0010-0000-0500-0000AD000000}" name="Colonne165" dataDxfId="62" dataCellStyle="Normal 2"/>
    <tableColumn id="174" xr3:uid="{00000000-0010-0000-0500-0000AE000000}" name="Colonne166" dataDxfId="61" dataCellStyle="Normal 2"/>
    <tableColumn id="175" xr3:uid="{00000000-0010-0000-0500-0000AF000000}" name="Colonne167" dataDxfId="60" dataCellStyle="Normal 2"/>
    <tableColumn id="176" xr3:uid="{00000000-0010-0000-0500-0000B0000000}" name="Colonne168" dataDxfId="59" dataCellStyle="Normal 2"/>
    <tableColumn id="177" xr3:uid="{00000000-0010-0000-0500-0000B1000000}" name="Colonne169" dataDxfId="58" dataCellStyle="Normal 2"/>
    <tableColumn id="178" xr3:uid="{00000000-0010-0000-0500-0000B2000000}" name="Colonne170" dataDxfId="57" dataCellStyle="Normal 2"/>
    <tableColumn id="179" xr3:uid="{00000000-0010-0000-0500-0000B3000000}" name="Colonne171" dataDxfId="56" dataCellStyle="Normal 2"/>
    <tableColumn id="180" xr3:uid="{00000000-0010-0000-0500-0000B4000000}" name="Colonne172" dataDxfId="55" dataCellStyle="Normal 2"/>
    <tableColumn id="181" xr3:uid="{00000000-0010-0000-0500-0000B5000000}" name="Colonne173" dataDxfId="54" dataCellStyle="Normal 2"/>
    <tableColumn id="182" xr3:uid="{00000000-0010-0000-0500-0000B6000000}" name="Colonne174" dataDxfId="53" dataCellStyle="Normal 2"/>
    <tableColumn id="183" xr3:uid="{00000000-0010-0000-0500-0000B7000000}" name="Colonne175" dataDxfId="52" dataCellStyle="Normal 2"/>
    <tableColumn id="184" xr3:uid="{00000000-0010-0000-0500-0000B8000000}" name="Colonne176" dataDxfId="51" dataCellStyle="Normal 2"/>
    <tableColumn id="185" xr3:uid="{00000000-0010-0000-0500-0000B9000000}" name="Colonne177" dataDxfId="50" dataCellStyle="Normal 2"/>
    <tableColumn id="186" xr3:uid="{00000000-0010-0000-0500-0000BA000000}" name="Colonne178" dataDxfId="49" dataCellStyle="Normal 2"/>
    <tableColumn id="187" xr3:uid="{00000000-0010-0000-0500-0000BB000000}" name="Colonne179" dataDxfId="48" dataCellStyle="Normal 2"/>
    <tableColumn id="188" xr3:uid="{00000000-0010-0000-0500-0000BC000000}" name="Colonne180" dataDxfId="47" dataCellStyle="Normal 2"/>
    <tableColumn id="189" xr3:uid="{00000000-0010-0000-0500-0000BD000000}" name="Colonne181" dataDxfId="46" dataCellStyle="Normal 2"/>
    <tableColumn id="190" xr3:uid="{00000000-0010-0000-0500-0000BE000000}" name="Colonne182" dataDxfId="45" dataCellStyle="Normal 2"/>
    <tableColumn id="191" xr3:uid="{00000000-0010-0000-0500-0000BF000000}" name="Colonne183" dataDxfId="44" dataCellStyle="Normal 2"/>
    <tableColumn id="192" xr3:uid="{00000000-0010-0000-0500-0000C0000000}" name="Colonne184" dataDxfId="43" dataCellStyle="Normal 2"/>
    <tableColumn id="193" xr3:uid="{00000000-0010-0000-0500-0000C1000000}" name="Colonne185" dataDxfId="42" dataCellStyle="Normal 2"/>
    <tableColumn id="194" xr3:uid="{00000000-0010-0000-0500-0000C2000000}" name="Colonne186" dataDxfId="41"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1" totalsRowShown="0" headerRowDxfId="20" dataDxfId="18" headerRowBorderDxfId="19" tableBorderDxfId="17" totalsRowBorderDxfId="16" headerRowCellStyle="Normal 2">
  <autoFilter ref="B3:Q261"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corrigé" dataDxfId="5" dataCellStyle="Normal 2"/>
    <tableColumn id="16" xr3:uid="{00000000-0010-0000-0600-000010000000}" name="Commentaires" dataDxfId="4" dataCellStyle="Normal 2"/>
    <tableColumn id="17" xr3:uid="{E01E7443-9243-4B6E-B400-FCCC0A75FE65}" name="Dérogation" dataDxfId="3" dataCellStyle="Normal 2"/>
    <tableColumn id="15" xr3:uid="{00000000-0010-0000-0600-00000F000000}" name="Erreur transverse" dataDxfId="2" dataCellStyle="Normal 2"/>
    <tableColumn id="10" xr3:uid="{00000000-0010-0000-0600-00000A000000}" name="Difficul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numerique.gouv.fr/publications/rgaa-accessibilite/obligations/"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www.atalan.fr/"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tabSelected="1" workbookViewId="0">
      <selection activeCell="D13" sqref="D13"/>
    </sheetView>
  </sheetViews>
  <sheetFormatPr baseColWidth="10" defaultRowHeight="15" x14ac:dyDescent="0.25"/>
  <cols>
    <col min="1" max="1" width="13.85546875" customWidth="1"/>
    <col min="2" max="2" width="16" customWidth="1"/>
    <col min="3" max="3" width="31.7109375" customWidth="1"/>
    <col min="4" max="4" width="83" customWidth="1"/>
    <col min="5" max="12" width="11.42578125" style="4"/>
    <col min="14" max="14" width="11.42578125" style="4"/>
    <col min="18" max="18" width="11.42578125" style="4"/>
    <col min="20" max="21" width="15.42578125" customWidth="1"/>
    <col min="23" max="23" width="11.42578125" style="4"/>
    <col min="27" max="27" width="16.140625" customWidth="1"/>
    <col min="29" max="29" width="11.42578125" style="4"/>
    <col min="36" max="36" width="11.42578125" style="4"/>
    <col min="44" max="44" width="11.42578125" style="4"/>
    <col min="53" max="53" width="11.42578125" style="4"/>
  </cols>
  <sheetData>
    <row r="1" spans="1:53" ht="43.5" customHeight="1" x14ac:dyDescent="0.25">
      <c r="A1" s="331" t="s">
        <v>1239</v>
      </c>
      <c r="B1" s="331"/>
      <c r="C1" s="331"/>
      <c r="D1" s="331"/>
      <c r="E1" s="334"/>
      <c r="F1" s="334"/>
      <c r="G1" s="4" t="s">
        <v>1240</v>
      </c>
    </row>
    <row r="2" spans="1:53" s="4" customFormat="1" ht="26.25" x14ac:dyDescent="0.4">
      <c r="A2" s="332" t="s">
        <v>1161</v>
      </c>
      <c r="B2" s="332"/>
      <c r="C2" s="332"/>
      <c r="D2" s="332"/>
      <c r="E2" s="334"/>
      <c r="F2" s="334"/>
      <c r="G2" s="6"/>
      <c r="H2" s="6"/>
      <c r="I2" s="6"/>
      <c r="J2" s="6"/>
      <c r="K2" s="6"/>
      <c r="L2" s="6"/>
      <c r="M2" s="6"/>
      <c r="N2" s="6"/>
      <c r="O2" s="6"/>
      <c r="P2" s="6"/>
      <c r="Q2" s="6"/>
      <c r="R2" s="6"/>
      <c r="S2" s="6"/>
      <c r="T2" s="6"/>
      <c r="U2" s="5"/>
      <c r="W2" s="6"/>
      <c r="AC2" s="6"/>
      <c r="AJ2" s="6"/>
      <c r="AR2" s="6"/>
      <c r="BA2" s="6"/>
    </row>
    <row r="3" spans="1:53" s="4" customFormat="1" ht="21" x14ac:dyDescent="0.35">
      <c r="A3" s="333"/>
      <c r="B3" s="333"/>
      <c r="C3" s="333"/>
      <c r="D3" s="333"/>
      <c r="E3" s="92"/>
      <c r="F3" s="92"/>
      <c r="G3" s="92"/>
      <c r="H3" s="92"/>
      <c r="I3" s="92"/>
      <c r="J3" s="92"/>
      <c r="K3" s="92"/>
      <c r="L3" s="92"/>
      <c r="M3" s="92"/>
      <c r="N3" s="92"/>
      <c r="O3" s="92"/>
      <c r="P3" s="92"/>
      <c r="Q3" s="92"/>
      <c r="R3" s="92"/>
      <c r="S3" s="92"/>
      <c r="T3" s="92"/>
      <c r="U3" s="91"/>
    </row>
    <row r="4" spans="1:53" s="10" customFormat="1" ht="21" x14ac:dyDescent="0.25">
      <c r="A4" s="333"/>
      <c r="B4" s="333"/>
      <c r="C4" s="333"/>
      <c r="D4" s="333"/>
      <c r="E4" s="123"/>
      <c r="F4" s="123"/>
      <c r="G4" s="123"/>
      <c r="H4" s="123"/>
      <c r="I4" s="123"/>
      <c r="J4" s="123"/>
      <c r="K4" s="123"/>
      <c r="L4" s="123"/>
      <c r="M4" s="123"/>
      <c r="N4" s="123"/>
      <c r="O4" s="123"/>
      <c r="P4" s="123"/>
      <c r="Q4" s="123"/>
      <c r="R4" s="123"/>
      <c r="S4" s="123"/>
      <c r="T4" s="123"/>
      <c r="U4" s="124"/>
    </row>
    <row r="5" spans="1:53" s="10" customFormat="1" ht="24.95" customHeight="1" x14ac:dyDescent="0.25">
      <c r="A5" s="333"/>
      <c r="B5" s="333"/>
      <c r="C5" s="333"/>
      <c r="D5" s="333"/>
    </row>
    <row r="6" spans="1:53" s="10" customFormat="1" x14ac:dyDescent="0.25">
      <c r="A6" s="333"/>
      <c r="B6" s="333"/>
      <c r="C6" s="333"/>
      <c r="D6" s="333"/>
    </row>
    <row r="7" spans="1:53" s="10" customFormat="1" ht="24.95" customHeight="1" x14ac:dyDescent="0.25">
      <c r="A7" s="329" t="s">
        <v>613</v>
      </c>
      <c r="B7" s="330"/>
      <c r="C7" s="330"/>
      <c r="D7" s="330"/>
    </row>
    <row r="8" spans="1:53" s="7" customFormat="1" ht="21" customHeight="1" x14ac:dyDescent="0.25">
      <c r="A8" s="16" t="s">
        <v>14</v>
      </c>
      <c r="B8" s="16" t="s">
        <v>15</v>
      </c>
      <c r="C8" s="16" t="s">
        <v>16</v>
      </c>
      <c r="D8" s="125" t="s">
        <v>17</v>
      </c>
    </row>
    <row r="9" spans="1:53" s="7" customFormat="1" ht="21" customHeight="1" x14ac:dyDescent="0.25">
      <c r="A9" s="139" t="s">
        <v>46</v>
      </c>
      <c r="B9" s="140" t="s">
        <v>661</v>
      </c>
      <c r="C9" s="146" t="s">
        <v>665</v>
      </c>
      <c r="D9" s="142"/>
    </row>
    <row r="10" spans="1:53" s="7" customFormat="1" ht="21" customHeight="1" x14ac:dyDescent="0.25">
      <c r="A10" s="139" t="s">
        <v>47</v>
      </c>
      <c r="B10" s="140" t="s">
        <v>666</v>
      </c>
      <c r="C10" s="145" t="s">
        <v>665</v>
      </c>
      <c r="D10" s="142"/>
    </row>
    <row r="11" spans="1:53" s="10" customFormat="1" ht="21" customHeight="1" x14ac:dyDescent="0.25">
      <c r="A11" s="139" t="s">
        <v>48</v>
      </c>
      <c r="B11" s="140" t="s">
        <v>667</v>
      </c>
      <c r="C11" s="141" t="s">
        <v>665</v>
      </c>
      <c r="D11" s="142"/>
    </row>
    <row r="12" spans="1:53" s="10" customFormat="1" x14ac:dyDescent="0.25">
      <c r="A12" s="9"/>
      <c r="B12" s="9"/>
      <c r="C12" s="9"/>
      <c r="D12" s="9"/>
    </row>
    <row r="13" spans="1:53" s="16" customFormat="1" x14ac:dyDescent="0.25">
      <c r="A13" s="9"/>
      <c r="B13" s="9"/>
      <c r="C13" s="9"/>
      <c r="D13" s="9"/>
      <c r="E13" s="106"/>
      <c r="F13" s="106"/>
      <c r="G13" s="106"/>
    </row>
    <row r="14" spans="1:53" s="9" customFormat="1" ht="15.75" customHeight="1" x14ac:dyDescent="0.25">
      <c r="E14" s="10"/>
      <c r="F14" s="10"/>
    </row>
    <row r="15" spans="1:53" s="9" customFormat="1" x14ac:dyDescent="0.25">
      <c r="E15" s="10"/>
      <c r="F15" s="10"/>
    </row>
    <row r="16" spans="1:53" s="9" customFormat="1" x14ac:dyDescent="0.25">
      <c r="C16" s="122" t="s">
        <v>1162</v>
      </c>
      <c r="D16" s="122"/>
      <c r="E16" s="10"/>
      <c r="F16" s="10"/>
      <c r="G16" s="10"/>
      <c r="H16" s="10"/>
      <c r="I16" s="10"/>
      <c r="J16" s="10"/>
      <c r="K16" s="10"/>
      <c r="L16" s="10"/>
      <c r="N16" s="10"/>
      <c r="R16" s="10"/>
      <c r="W16" s="10"/>
      <c r="AC16" s="10"/>
      <c r="AJ16" s="10"/>
      <c r="AR16" s="10"/>
      <c r="BA16" s="10"/>
    </row>
    <row r="17" spans="3:53" s="9" customFormat="1" x14ac:dyDescent="0.25">
      <c r="C17" s="126" t="s">
        <v>15</v>
      </c>
      <c r="D17" s="127" t="s">
        <v>621</v>
      </c>
      <c r="E17" s="10"/>
      <c r="F17" s="10"/>
      <c r="G17" s="10"/>
      <c r="H17" s="10"/>
      <c r="I17" s="10"/>
      <c r="J17" s="10"/>
      <c r="K17" s="10"/>
      <c r="L17" s="10"/>
      <c r="N17" s="10"/>
      <c r="R17" s="10"/>
      <c r="W17" s="10"/>
      <c r="AC17" s="10"/>
      <c r="AJ17" s="10"/>
      <c r="AR17" s="10"/>
      <c r="BA17" s="10"/>
    </row>
    <row r="18" spans="3:53" s="9" customFormat="1" x14ac:dyDescent="0.25">
      <c r="C18" s="137"/>
      <c r="D18" s="137"/>
      <c r="E18" s="10"/>
      <c r="F18" s="10"/>
      <c r="G18" s="10"/>
      <c r="H18" s="10"/>
      <c r="I18" s="10"/>
      <c r="J18" s="10"/>
      <c r="K18" s="10"/>
      <c r="L18" s="10"/>
      <c r="N18" s="10"/>
      <c r="R18" s="10"/>
      <c r="W18" s="10"/>
      <c r="AC18" s="10"/>
      <c r="AJ18" s="10"/>
      <c r="AR18" s="10"/>
      <c r="BA18" s="10"/>
    </row>
    <row r="19" spans="3:53" s="9" customFormat="1" x14ac:dyDescent="0.25">
      <c r="C19" s="138"/>
      <c r="D19" s="138"/>
      <c r="E19" s="10"/>
      <c r="F19" s="10"/>
      <c r="G19" s="10"/>
      <c r="H19" s="10"/>
      <c r="I19" s="10"/>
      <c r="J19" s="10"/>
      <c r="K19" s="10"/>
      <c r="L19" s="10"/>
      <c r="N19" s="10"/>
      <c r="R19" s="10"/>
      <c r="W19" s="10"/>
      <c r="AC19" s="10"/>
      <c r="AJ19" s="10"/>
      <c r="AR19" s="10"/>
      <c r="BA19" s="10"/>
    </row>
    <row r="20" spans="3:53" s="9" customFormat="1" x14ac:dyDescent="0.25">
      <c r="C20" s="137"/>
      <c r="D20" s="137"/>
      <c r="E20" s="10"/>
      <c r="F20" s="10"/>
      <c r="G20" s="10"/>
      <c r="H20" s="10"/>
      <c r="I20" s="10"/>
      <c r="J20" s="10"/>
      <c r="K20" s="10"/>
      <c r="L20" s="10"/>
      <c r="N20" s="10"/>
      <c r="R20" s="10"/>
      <c r="W20" s="10"/>
      <c r="AC20" s="10"/>
      <c r="AJ20" s="10"/>
      <c r="AR20" s="10"/>
      <c r="BA20" s="10"/>
    </row>
    <row r="21" spans="3:53" s="9" customFormat="1" x14ac:dyDescent="0.25">
      <c r="C21" s="138"/>
      <c r="D21" s="138"/>
      <c r="E21" s="10"/>
      <c r="F21" s="10"/>
      <c r="G21" s="10"/>
      <c r="H21" s="10"/>
      <c r="I21" s="10"/>
      <c r="J21" s="10"/>
      <c r="K21" s="10"/>
      <c r="L21" s="10"/>
      <c r="N21" s="10"/>
      <c r="R21" s="10"/>
      <c r="W21" s="10"/>
      <c r="AC21" s="10"/>
      <c r="AJ21" s="10"/>
      <c r="AR21" s="10"/>
      <c r="BA21" s="10"/>
    </row>
    <row r="22" spans="3:53" s="9" customFormat="1" x14ac:dyDescent="0.25">
      <c r="C22" s="137"/>
      <c r="D22" s="137"/>
      <c r="E22" s="10"/>
      <c r="F22" s="10"/>
      <c r="G22" s="10"/>
      <c r="H22" s="10"/>
      <c r="I22" s="10"/>
      <c r="J22" s="10"/>
      <c r="K22" s="10"/>
      <c r="L22" s="10"/>
      <c r="N22" s="10"/>
      <c r="R22" s="10"/>
      <c r="W22" s="10"/>
      <c r="AC22" s="10"/>
      <c r="AJ22" s="10"/>
      <c r="AR22" s="10"/>
      <c r="BA22" s="10"/>
    </row>
    <row r="23" spans="3:53" s="9" customFormat="1" x14ac:dyDescent="0.25">
      <c r="C23" s="138"/>
      <c r="D23" s="138"/>
      <c r="E23" s="10"/>
      <c r="F23" s="10"/>
      <c r="G23" s="10"/>
      <c r="H23" s="10"/>
      <c r="I23" s="10"/>
      <c r="J23" s="10"/>
      <c r="K23" s="10"/>
      <c r="L23" s="10"/>
      <c r="N23" s="10"/>
      <c r="R23" s="10"/>
      <c r="W23" s="10"/>
      <c r="AC23" s="10"/>
      <c r="AJ23" s="10"/>
      <c r="AR23" s="10"/>
      <c r="BA23" s="10"/>
    </row>
    <row r="24" spans="3:53" s="9" customFormat="1" x14ac:dyDescent="0.25">
      <c r="C24" s="137"/>
      <c r="D24" s="137"/>
      <c r="E24" s="10"/>
      <c r="F24" s="10"/>
      <c r="G24" s="10"/>
      <c r="H24" s="10"/>
      <c r="I24" s="10"/>
      <c r="J24" s="10"/>
      <c r="K24" s="10"/>
      <c r="L24" s="10"/>
      <c r="N24" s="10"/>
      <c r="R24" s="10"/>
      <c r="W24" s="10"/>
      <c r="AC24" s="10"/>
      <c r="AJ24" s="10"/>
      <c r="AR24" s="10"/>
      <c r="BA24" s="10"/>
    </row>
    <row r="25" spans="3:53" s="9" customFormat="1" x14ac:dyDescent="0.25">
      <c r="C25" s="138"/>
      <c r="D25" s="138"/>
      <c r="E25" s="10"/>
      <c r="F25" s="10"/>
      <c r="G25" s="10"/>
      <c r="H25" s="10"/>
      <c r="I25" s="10"/>
      <c r="J25" s="10"/>
      <c r="K25" s="10"/>
      <c r="L25" s="10"/>
      <c r="N25" s="10"/>
      <c r="R25" s="10"/>
      <c r="W25" s="10"/>
      <c r="AC25" s="10"/>
      <c r="AJ25" s="10"/>
      <c r="AR25" s="10"/>
      <c r="BA25" s="10"/>
    </row>
    <row r="26" spans="3:53" s="9" customFormat="1" x14ac:dyDescent="0.25">
      <c r="C26" s="137"/>
      <c r="D26" s="137"/>
      <c r="E26" s="10"/>
      <c r="F26" s="10"/>
      <c r="G26" s="10"/>
      <c r="H26" s="10"/>
      <c r="I26" s="10"/>
      <c r="J26" s="10"/>
      <c r="K26" s="10"/>
      <c r="L26" s="10"/>
      <c r="N26" s="10"/>
      <c r="R26" s="10"/>
      <c r="W26" s="10"/>
      <c r="AC26" s="10"/>
      <c r="AJ26" s="10"/>
      <c r="AR26" s="10"/>
      <c r="BA26" s="10"/>
    </row>
    <row r="27" spans="3:53" s="9" customFormat="1" x14ac:dyDescent="0.25">
      <c r="E27" s="10"/>
      <c r="F27" s="10"/>
      <c r="G27" s="10"/>
      <c r="H27" s="10"/>
      <c r="I27" s="10"/>
      <c r="J27" s="10"/>
      <c r="K27" s="10"/>
      <c r="L27" s="10"/>
      <c r="N27" s="10"/>
      <c r="R27" s="10"/>
      <c r="W27" s="10"/>
      <c r="AC27" s="10"/>
      <c r="AJ27" s="10"/>
      <c r="AR27" s="10"/>
      <c r="BA27" s="10"/>
    </row>
    <row r="28" spans="3:53" s="9" customFormat="1" x14ac:dyDescent="0.25">
      <c r="E28" s="10"/>
      <c r="F28" s="10"/>
      <c r="G28" s="10"/>
      <c r="H28" s="10"/>
      <c r="I28" s="10"/>
      <c r="J28" s="10"/>
      <c r="K28" s="10"/>
      <c r="L28" s="10"/>
      <c r="N28" s="10"/>
      <c r="R28" s="10"/>
      <c r="W28" s="10"/>
      <c r="AC28" s="10"/>
      <c r="AJ28" s="10"/>
      <c r="AR28" s="10"/>
      <c r="BA28" s="10"/>
    </row>
    <row r="29" spans="3:53" s="9" customFormat="1" x14ac:dyDescent="0.25">
      <c r="E29" s="10"/>
      <c r="F29" s="10"/>
      <c r="G29" s="10"/>
      <c r="H29" s="10"/>
      <c r="I29" s="10"/>
      <c r="J29" s="10"/>
      <c r="K29" s="10"/>
      <c r="L29" s="10"/>
      <c r="N29" s="10"/>
      <c r="R29" s="10"/>
      <c r="W29" s="10"/>
      <c r="AC29" s="10"/>
      <c r="AJ29" s="10"/>
      <c r="AR29" s="10"/>
      <c r="BA29" s="10"/>
    </row>
    <row r="30" spans="3:53" s="9" customFormat="1" x14ac:dyDescent="0.25">
      <c r="E30" s="10"/>
      <c r="F30" s="10"/>
      <c r="G30" s="10"/>
      <c r="H30" s="10"/>
      <c r="I30" s="10"/>
      <c r="J30" s="10"/>
      <c r="K30" s="10"/>
      <c r="L30" s="10"/>
      <c r="N30" s="10"/>
      <c r="R30" s="10"/>
      <c r="W30" s="10"/>
      <c r="AC30" s="10"/>
      <c r="AJ30" s="10"/>
      <c r="AR30" s="10"/>
      <c r="BA30" s="10"/>
    </row>
    <row r="31" spans="3:53" s="9" customFormat="1" x14ac:dyDescent="0.25">
      <c r="E31" s="10"/>
      <c r="F31" s="10"/>
      <c r="G31" s="10"/>
      <c r="H31" s="10"/>
      <c r="I31" s="10"/>
      <c r="J31" s="10"/>
      <c r="K31" s="10"/>
      <c r="L31" s="10"/>
      <c r="N31" s="10"/>
      <c r="R31" s="10"/>
      <c r="W31" s="10"/>
      <c r="AC31" s="10"/>
      <c r="AJ31" s="10"/>
      <c r="AR31" s="10"/>
      <c r="BA31" s="10"/>
    </row>
    <row r="32" spans="3:53" s="9" customFormat="1" x14ac:dyDescent="0.25">
      <c r="E32" s="10"/>
      <c r="F32" s="10"/>
      <c r="G32" s="10"/>
      <c r="H32" s="10"/>
      <c r="I32" s="10"/>
      <c r="J32" s="10"/>
      <c r="K32" s="10"/>
      <c r="L32" s="10"/>
      <c r="N32" s="10"/>
      <c r="R32" s="10"/>
      <c r="W32" s="10"/>
      <c r="AC32" s="10"/>
      <c r="AJ32" s="10"/>
      <c r="AR32" s="10"/>
      <c r="BA32" s="10"/>
    </row>
    <row r="33" spans="5:53" s="9" customFormat="1" x14ac:dyDescent="0.25">
      <c r="E33" s="10"/>
      <c r="F33" s="10"/>
      <c r="G33" s="10"/>
      <c r="H33" s="10"/>
      <c r="I33" s="10"/>
      <c r="J33" s="10"/>
      <c r="K33" s="10"/>
      <c r="L33" s="10"/>
      <c r="N33" s="10"/>
      <c r="R33" s="10"/>
      <c r="W33" s="10"/>
      <c r="AC33" s="10"/>
      <c r="AJ33" s="10"/>
      <c r="AR33" s="10"/>
      <c r="BA33" s="10"/>
    </row>
    <row r="34" spans="5:53" s="9" customFormat="1" x14ac:dyDescent="0.25">
      <c r="E34" s="10"/>
      <c r="F34" s="10"/>
      <c r="G34" s="10"/>
      <c r="H34" s="10"/>
      <c r="I34" s="10"/>
      <c r="J34" s="10"/>
      <c r="K34" s="10"/>
      <c r="L34" s="10"/>
      <c r="N34" s="10"/>
      <c r="R34" s="10"/>
      <c r="W34" s="10"/>
      <c r="AC34" s="10"/>
      <c r="AJ34" s="10"/>
      <c r="AR34" s="10"/>
      <c r="BA34" s="10"/>
    </row>
    <row r="35" spans="5:53" s="9" customFormat="1" x14ac:dyDescent="0.25">
      <c r="E35" s="10"/>
      <c r="F35" s="10"/>
      <c r="G35" s="10"/>
      <c r="H35" s="10"/>
      <c r="I35" s="10"/>
      <c r="J35" s="10"/>
      <c r="K35" s="10"/>
      <c r="L35" s="10"/>
      <c r="N35" s="10"/>
      <c r="R35" s="10"/>
      <c r="W35" s="10"/>
      <c r="AC35" s="10"/>
      <c r="AJ35" s="10"/>
      <c r="AR35" s="10"/>
      <c r="BA35" s="10"/>
    </row>
    <row r="36" spans="5:53" s="9" customFormat="1" x14ac:dyDescent="0.25">
      <c r="E36" s="10"/>
      <c r="F36" s="10"/>
      <c r="G36" s="10"/>
      <c r="H36" s="10"/>
      <c r="I36" s="10"/>
      <c r="J36" s="10"/>
      <c r="K36" s="10"/>
      <c r="L36" s="10"/>
      <c r="N36" s="10"/>
      <c r="R36" s="10"/>
      <c r="W36" s="10"/>
      <c r="AC36" s="10"/>
      <c r="AJ36" s="10"/>
      <c r="AR36" s="10"/>
      <c r="BA36" s="10"/>
    </row>
    <row r="37" spans="5:53" s="9" customFormat="1" x14ac:dyDescent="0.25">
      <c r="E37" s="10"/>
      <c r="F37" s="10"/>
      <c r="G37" s="10"/>
      <c r="H37" s="10"/>
      <c r="I37" s="10"/>
      <c r="J37" s="10"/>
      <c r="K37" s="10"/>
      <c r="L37" s="10"/>
      <c r="N37" s="10"/>
      <c r="R37" s="10"/>
      <c r="W37" s="10"/>
      <c r="AC37" s="10"/>
      <c r="AJ37" s="10"/>
      <c r="AR37" s="10"/>
      <c r="BA37" s="10"/>
    </row>
    <row r="38" spans="5:53" s="9" customFormat="1" x14ac:dyDescent="0.25">
      <c r="E38" s="10"/>
      <c r="F38" s="10"/>
      <c r="G38" s="10"/>
      <c r="H38" s="10"/>
      <c r="I38" s="10"/>
      <c r="J38" s="10"/>
      <c r="K38" s="10"/>
      <c r="L38" s="10"/>
      <c r="N38" s="10"/>
      <c r="R38" s="10"/>
      <c r="W38" s="10"/>
      <c r="AC38" s="10"/>
      <c r="AJ38" s="10"/>
      <c r="AR38" s="10"/>
      <c r="BA38" s="10"/>
    </row>
    <row r="39" spans="5:53" s="9" customFormat="1" x14ac:dyDescent="0.25">
      <c r="E39" s="10"/>
      <c r="F39" s="10"/>
      <c r="G39" s="10"/>
      <c r="H39" s="10"/>
      <c r="I39" s="10"/>
      <c r="J39" s="10"/>
      <c r="K39" s="10"/>
      <c r="L39" s="10"/>
      <c r="N39" s="10"/>
      <c r="R39" s="10"/>
      <c r="W39" s="10"/>
      <c r="AC39" s="10"/>
      <c r="AJ39" s="10"/>
      <c r="AR39" s="10"/>
      <c r="BA39" s="10"/>
    </row>
    <row r="40" spans="5:53" s="9" customFormat="1" x14ac:dyDescent="0.25">
      <c r="E40" s="10"/>
      <c r="F40" s="10"/>
      <c r="G40" s="10"/>
      <c r="H40" s="10"/>
      <c r="I40" s="10"/>
      <c r="J40" s="10"/>
      <c r="K40" s="10"/>
      <c r="L40" s="10"/>
      <c r="N40" s="10"/>
      <c r="R40" s="10"/>
      <c r="W40" s="10"/>
      <c r="AC40" s="10"/>
      <c r="AJ40" s="10"/>
      <c r="AR40" s="10"/>
      <c r="BA40" s="10"/>
    </row>
    <row r="41" spans="5:53" s="9" customFormat="1" x14ac:dyDescent="0.25">
      <c r="E41" s="10"/>
      <c r="F41" s="10"/>
      <c r="G41" s="10"/>
      <c r="H41" s="10"/>
      <c r="I41" s="10"/>
      <c r="J41" s="10"/>
      <c r="K41" s="10"/>
      <c r="L41" s="10"/>
      <c r="N41" s="10"/>
      <c r="R41" s="10"/>
      <c r="W41" s="10"/>
      <c r="AC41" s="10"/>
      <c r="AJ41" s="10"/>
      <c r="AR41" s="10"/>
      <c r="BA41" s="10"/>
    </row>
    <row r="42" spans="5:53" s="9" customFormat="1" x14ac:dyDescent="0.25">
      <c r="E42" s="10"/>
      <c r="F42" s="10"/>
      <c r="G42" s="10"/>
      <c r="H42" s="10"/>
      <c r="I42" s="10"/>
      <c r="J42" s="10"/>
      <c r="K42" s="10"/>
      <c r="L42" s="10"/>
      <c r="N42" s="10"/>
      <c r="R42" s="10"/>
      <c r="W42" s="10"/>
      <c r="AC42" s="10"/>
      <c r="AJ42" s="10"/>
      <c r="AR42" s="10"/>
      <c r="BA42" s="10"/>
    </row>
    <row r="43" spans="5:53" s="9" customFormat="1" x14ac:dyDescent="0.25">
      <c r="E43" s="10"/>
      <c r="F43" s="10"/>
      <c r="G43" s="10"/>
      <c r="H43" s="10"/>
      <c r="I43" s="10"/>
      <c r="J43" s="10"/>
      <c r="K43" s="10"/>
      <c r="L43" s="10"/>
      <c r="N43" s="10"/>
      <c r="R43" s="10"/>
      <c r="W43" s="10"/>
      <c r="AC43" s="10"/>
      <c r="AJ43" s="10"/>
      <c r="AR43" s="10"/>
      <c r="BA43" s="10"/>
    </row>
    <row r="44" spans="5:53" s="9" customFormat="1" x14ac:dyDescent="0.25">
      <c r="E44" s="10"/>
      <c r="F44" s="10"/>
      <c r="G44" s="10"/>
      <c r="H44" s="10"/>
      <c r="I44" s="10"/>
      <c r="J44" s="10"/>
      <c r="K44" s="10"/>
      <c r="L44" s="10"/>
      <c r="N44" s="10"/>
      <c r="R44" s="10"/>
      <c r="W44" s="10"/>
      <c r="AC44" s="10"/>
      <c r="AJ44" s="10"/>
      <c r="AR44" s="10"/>
      <c r="BA44" s="10"/>
    </row>
    <row r="45" spans="5:53" s="9" customFormat="1" x14ac:dyDescent="0.25">
      <c r="E45" s="10"/>
      <c r="F45" s="10"/>
      <c r="G45" s="10"/>
      <c r="H45" s="10"/>
      <c r="I45" s="10"/>
      <c r="J45" s="10"/>
      <c r="K45" s="10"/>
      <c r="L45" s="10"/>
      <c r="N45" s="10"/>
      <c r="R45" s="10"/>
      <c r="W45" s="10"/>
      <c r="AC45" s="10"/>
      <c r="AJ45" s="10"/>
      <c r="AR45" s="10"/>
      <c r="BA45" s="10"/>
    </row>
    <row r="46" spans="5:53" s="9" customFormat="1" x14ac:dyDescent="0.25">
      <c r="E46" s="10"/>
      <c r="F46" s="10"/>
      <c r="G46" s="10"/>
      <c r="H46" s="10"/>
      <c r="I46" s="10"/>
      <c r="J46" s="10"/>
      <c r="K46" s="10"/>
      <c r="L46" s="10"/>
      <c r="N46" s="10"/>
      <c r="R46" s="10"/>
      <c r="W46" s="10"/>
      <c r="AC46" s="10"/>
      <c r="AJ46" s="10"/>
      <c r="AR46" s="10"/>
      <c r="BA46" s="10"/>
    </row>
    <row r="47" spans="5:53" s="9" customFormat="1" x14ac:dyDescent="0.25">
      <c r="E47" s="10"/>
      <c r="F47" s="10"/>
      <c r="G47" s="10"/>
      <c r="H47" s="10"/>
      <c r="I47" s="10"/>
      <c r="J47" s="10"/>
      <c r="K47" s="10"/>
      <c r="L47" s="10"/>
      <c r="N47" s="10"/>
      <c r="R47" s="10"/>
      <c r="W47" s="10"/>
      <c r="AC47" s="10"/>
      <c r="AJ47" s="10"/>
      <c r="AR47" s="10"/>
      <c r="BA47" s="10"/>
    </row>
    <row r="48" spans="5:53" s="9" customFormat="1" x14ac:dyDescent="0.25">
      <c r="E48" s="10"/>
      <c r="F48" s="10"/>
      <c r="G48" s="10"/>
      <c r="H48" s="10"/>
      <c r="I48" s="10"/>
      <c r="J48" s="10"/>
      <c r="K48" s="10"/>
      <c r="L48" s="10"/>
      <c r="N48" s="10"/>
      <c r="R48" s="10"/>
      <c r="W48" s="10"/>
      <c r="AC48" s="10"/>
      <c r="AJ48" s="10"/>
      <c r="AR48" s="10"/>
      <c r="BA48" s="10"/>
    </row>
    <row r="49" spans="5:53" s="9" customFormat="1" x14ac:dyDescent="0.25">
      <c r="E49" s="10"/>
      <c r="F49" s="10"/>
      <c r="G49" s="10"/>
      <c r="H49" s="10"/>
      <c r="I49" s="10"/>
      <c r="J49" s="10"/>
      <c r="K49" s="10"/>
      <c r="L49" s="10"/>
      <c r="N49" s="10"/>
      <c r="R49" s="10"/>
      <c r="W49" s="10"/>
      <c r="AC49" s="10"/>
      <c r="AJ49" s="10"/>
      <c r="AR49" s="10"/>
      <c r="BA49" s="10"/>
    </row>
    <row r="50" spans="5:53" s="9" customFormat="1" x14ac:dyDescent="0.25">
      <c r="E50" s="10"/>
      <c r="F50" s="10"/>
      <c r="G50" s="10"/>
      <c r="H50" s="10"/>
      <c r="I50" s="10"/>
      <c r="J50" s="10"/>
      <c r="K50" s="10"/>
      <c r="L50" s="10"/>
      <c r="N50" s="10"/>
      <c r="R50" s="10"/>
      <c r="W50" s="10"/>
      <c r="AC50" s="10"/>
      <c r="AJ50" s="10"/>
      <c r="AR50" s="10"/>
      <c r="BA50" s="10"/>
    </row>
    <row r="51" spans="5:53" s="9" customFormat="1" x14ac:dyDescent="0.25">
      <c r="E51" s="10"/>
      <c r="F51" s="10"/>
      <c r="G51" s="10"/>
      <c r="H51" s="10"/>
      <c r="I51" s="10"/>
      <c r="J51" s="10"/>
      <c r="K51" s="10"/>
      <c r="L51" s="10"/>
      <c r="N51" s="10"/>
      <c r="R51" s="10"/>
      <c r="W51" s="10"/>
      <c r="AC51" s="10"/>
      <c r="AJ51" s="10"/>
      <c r="AR51" s="10"/>
      <c r="BA51" s="10"/>
    </row>
    <row r="52" spans="5:53" s="9" customFormat="1" x14ac:dyDescent="0.25">
      <c r="E52" s="10"/>
      <c r="F52" s="10"/>
      <c r="G52" s="10"/>
      <c r="H52" s="10"/>
      <c r="I52" s="10"/>
      <c r="J52" s="10"/>
      <c r="K52" s="10"/>
      <c r="L52" s="10"/>
      <c r="N52" s="10"/>
      <c r="R52" s="10"/>
      <c r="W52" s="10"/>
      <c r="AC52" s="10"/>
      <c r="AJ52" s="10"/>
      <c r="AR52" s="10"/>
      <c r="BA52" s="10"/>
    </row>
    <row r="53" spans="5:53" s="9" customFormat="1" x14ac:dyDescent="0.25">
      <c r="E53" s="10"/>
      <c r="F53" s="10"/>
      <c r="G53" s="10"/>
      <c r="H53" s="10"/>
      <c r="I53" s="10"/>
      <c r="J53" s="10"/>
      <c r="K53" s="10"/>
      <c r="L53" s="10"/>
      <c r="N53" s="10"/>
      <c r="R53" s="10"/>
      <c r="W53" s="10"/>
      <c r="AC53" s="10"/>
      <c r="AJ53" s="10"/>
      <c r="AR53" s="10"/>
      <c r="BA53" s="10"/>
    </row>
    <row r="54" spans="5:53" s="9" customFormat="1" x14ac:dyDescent="0.25">
      <c r="E54" s="10"/>
      <c r="F54" s="10"/>
      <c r="G54" s="10"/>
      <c r="H54" s="10"/>
      <c r="I54" s="10"/>
      <c r="J54" s="10"/>
      <c r="K54" s="10"/>
      <c r="L54" s="10"/>
      <c r="N54" s="10"/>
      <c r="R54" s="10"/>
      <c r="W54" s="10"/>
      <c r="AC54" s="10"/>
      <c r="AJ54" s="10"/>
      <c r="AR54" s="10"/>
      <c r="BA54" s="10"/>
    </row>
    <row r="55" spans="5:53" s="9" customFormat="1" x14ac:dyDescent="0.25">
      <c r="E55" s="10"/>
      <c r="F55" s="10"/>
      <c r="G55" s="10"/>
      <c r="H55" s="10"/>
      <c r="I55" s="10"/>
      <c r="J55" s="10"/>
      <c r="K55" s="10"/>
      <c r="L55" s="10"/>
      <c r="N55" s="10"/>
      <c r="R55" s="10"/>
      <c r="W55" s="10"/>
      <c r="AC55" s="10"/>
      <c r="AJ55" s="10"/>
      <c r="AR55" s="10"/>
      <c r="BA55" s="10"/>
    </row>
    <row r="56" spans="5:53" s="9" customFormat="1" x14ac:dyDescent="0.25">
      <c r="E56" s="10"/>
      <c r="F56" s="10"/>
      <c r="G56" s="10"/>
      <c r="H56" s="10"/>
      <c r="I56" s="10"/>
      <c r="J56" s="10"/>
      <c r="K56" s="10"/>
      <c r="L56" s="10"/>
      <c r="N56" s="10"/>
      <c r="R56" s="10"/>
      <c r="W56" s="10"/>
      <c r="AC56" s="10"/>
      <c r="AJ56" s="10"/>
      <c r="AR56" s="10"/>
      <c r="BA56" s="10"/>
    </row>
    <row r="57" spans="5:53" s="9" customFormat="1" x14ac:dyDescent="0.25">
      <c r="E57" s="10"/>
      <c r="F57" s="10"/>
      <c r="G57" s="10"/>
      <c r="H57" s="10"/>
      <c r="I57" s="10"/>
      <c r="J57" s="10"/>
      <c r="K57" s="10"/>
      <c r="L57" s="10"/>
      <c r="N57" s="10"/>
      <c r="R57" s="10"/>
      <c r="W57" s="10"/>
      <c r="AC57" s="10"/>
      <c r="AJ57" s="10"/>
      <c r="AR57" s="10"/>
      <c r="BA57" s="10"/>
    </row>
    <row r="58" spans="5:53" s="9" customFormat="1" x14ac:dyDescent="0.25">
      <c r="E58" s="10"/>
      <c r="F58" s="10"/>
      <c r="G58" s="10"/>
      <c r="H58" s="10"/>
      <c r="I58" s="10"/>
      <c r="J58" s="10"/>
      <c r="K58" s="10"/>
      <c r="L58" s="10"/>
      <c r="N58" s="10"/>
      <c r="R58" s="10"/>
      <c r="W58" s="10"/>
      <c r="AC58" s="10"/>
      <c r="AJ58" s="10"/>
      <c r="AR58" s="10"/>
      <c r="BA58" s="10"/>
    </row>
    <row r="59" spans="5:53" s="9" customFormat="1" x14ac:dyDescent="0.25">
      <c r="E59" s="10"/>
      <c r="F59" s="10"/>
      <c r="G59" s="10"/>
      <c r="H59" s="10"/>
      <c r="I59" s="10"/>
      <c r="J59" s="10"/>
      <c r="K59" s="10"/>
      <c r="L59" s="10"/>
      <c r="N59" s="10"/>
      <c r="R59" s="10"/>
      <c r="W59" s="10"/>
      <c r="AC59" s="10"/>
      <c r="AJ59" s="10"/>
      <c r="AR59" s="10"/>
      <c r="BA59" s="10"/>
    </row>
    <row r="60" spans="5:53" s="9" customFormat="1" x14ac:dyDescent="0.25">
      <c r="E60" s="10"/>
      <c r="F60" s="10"/>
      <c r="G60" s="10"/>
      <c r="H60" s="10"/>
      <c r="I60" s="10"/>
      <c r="J60" s="10"/>
      <c r="K60" s="10"/>
      <c r="L60" s="10"/>
      <c r="N60" s="10"/>
      <c r="R60" s="10"/>
      <c r="W60" s="10"/>
      <c r="AC60" s="10"/>
      <c r="AJ60" s="10"/>
      <c r="AR60" s="10"/>
      <c r="BA60" s="10"/>
    </row>
    <row r="61" spans="5:53" s="9" customFormat="1" x14ac:dyDescent="0.25">
      <c r="E61" s="10"/>
      <c r="F61" s="10"/>
      <c r="G61" s="10"/>
      <c r="H61" s="10"/>
      <c r="I61" s="10"/>
      <c r="J61" s="10"/>
      <c r="K61" s="10"/>
      <c r="L61" s="10"/>
      <c r="N61" s="10"/>
      <c r="R61" s="10"/>
      <c r="W61" s="10"/>
      <c r="AC61" s="10"/>
      <c r="AJ61" s="10"/>
      <c r="AR61" s="10"/>
      <c r="BA61" s="10"/>
    </row>
    <row r="62" spans="5:53" s="9" customFormat="1" x14ac:dyDescent="0.25">
      <c r="E62" s="10"/>
      <c r="F62" s="10"/>
      <c r="G62" s="10"/>
      <c r="H62" s="10"/>
      <c r="I62" s="10"/>
      <c r="J62" s="10"/>
      <c r="K62" s="10"/>
      <c r="L62" s="10"/>
      <c r="N62" s="10"/>
      <c r="R62" s="10"/>
      <c r="W62" s="10"/>
      <c r="AC62" s="10"/>
      <c r="AJ62" s="10"/>
      <c r="AR62" s="10"/>
      <c r="BA62" s="10"/>
    </row>
    <row r="63" spans="5:53" s="9" customFormat="1" x14ac:dyDescent="0.25">
      <c r="E63" s="10"/>
      <c r="F63" s="10"/>
      <c r="G63" s="10"/>
      <c r="H63" s="10"/>
      <c r="I63" s="10"/>
      <c r="J63" s="10"/>
      <c r="K63" s="10"/>
      <c r="L63" s="10"/>
      <c r="N63" s="10"/>
      <c r="R63" s="10"/>
      <c r="W63" s="10"/>
      <c r="AC63" s="10"/>
      <c r="AJ63" s="10"/>
      <c r="AR63" s="10"/>
      <c r="BA63" s="10"/>
    </row>
    <row r="64" spans="5:53" s="9" customFormat="1" x14ac:dyDescent="0.25">
      <c r="E64" s="10"/>
      <c r="F64" s="10"/>
      <c r="G64" s="10"/>
      <c r="H64" s="10"/>
      <c r="I64" s="10"/>
      <c r="J64" s="10"/>
      <c r="K64" s="10"/>
      <c r="L64" s="10"/>
      <c r="N64" s="10"/>
      <c r="R64" s="10"/>
      <c r="W64" s="10"/>
      <c r="AC64" s="10"/>
      <c r="AJ64" s="10"/>
      <c r="AR64" s="10"/>
      <c r="BA64" s="10"/>
    </row>
    <row r="65" spans="5:53" s="9" customFormat="1" x14ac:dyDescent="0.25">
      <c r="E65" s="10"/>
      <c r="F65" s="10"/>
      <c r="G65" s="10"/>
      <c r="H65" s="10"/>
      <c r="I65" s="10"/>
      <c r="J65" s="10"/>
      <c r="K65" s="10"/>
      <c r="L65" s="10"/>
      <c r="N65" s="10"/>
      <c r="R65" s="10"/>
      <c r="W65" s="10"/>
      <c r="AC65" s="10"/>
      <c r="AJ65" s="10"/>
      <c r="AR65" s="10"/>
      <c r="BA65" s="10"/>
    </row>
    <row r="66" spans="5:53" s="9" customFormat="1" x14ac:dyDescent="0.25">
      <c r="E66" s="10"/>
      <c r="F66" s="10"/>
      <c r="G66" s="10"/>
      <c r="H66" s="10"/>
      <c r="I66" s="10"/>
      <c r="J66" s="10"/>
      <c r="K66" s="10"/>
      <c r="L66" s="10"/>
      <c r="N66" s="10"/>
      <c r="R66" s="10"/>
      <c r="W66" s="10"/>
      <c r="AC66" s="10"/>
      <c r="AJ66" s="10"/>
      <c r="AR66" s="10"/>
      <c r="BA66" s="10"/>
    </row>
    <row r="67" spans="5:53" s="9" customFormat="1" x14ac:dyDescent="0.25">
      <c r="E67" s="10"/>
      <c r="F67" s="10"/>
      <c r="G67" s="10"/>
      <c r="H67" s="10"/>
      <c r="I67" s="10"/>
      <c r="J67" s="10"/>
      <c r="K67" s="10"/>
      <c r="L67" s="10"/>
      <c r="N67" s="10"/>
      <c r="R67" s="10"/>
      <c r="W67" s="10"/>
      <c r="AC67" s="10"/>
      <c r="AJ67" s="10"/>
      <c r="AR67" s="10"/>
      <c r="BA67" s="10"/>
    </row>
    <row r="68" spans="5:53" s="9" customFormat="1" x14ac:dyDescent="0.25">
      <c r="E68" s="10"/>
      <c r="F68" s="10"/>
      <c r="G68" s="10"/>
      <c r="H68" s="10"/>
      <c r="I68" s="10"/>
      <c r="J68" s="10"/>
      <c r="K68" s="10"/>
      <c r="L68" s="10"/>
      <c r="N68" s="10"/>
      <c r="R68" s="10"/>
      <c r="W68" s="10"/>
      <c r="AC68" s="10"/>
      <c r="AJ68" s="10"/>
      <c r="AR68" s="10"/>
      <c r="BA68" s="10"/>
    </row>
    <row r="69" spans="5:53" s="9" customFormat="1" x14ac:dyDescent="0.25">
      <c r="E69" s="10"/>
      <c r="F69" s="10"/>
      <c r="G69" s="10"/>
      <c r="H69" s="10"/>
      <c r="I69" s="10"/>
      <c r="J69" s="10"/>
      <c r="K69" s="10"/>
      <c r="L69" s="10"/>
      <c r="N69" s="10"/>
      <c r="R69" s="10"/>
      <c r="W69" s="10"/>
      <c r="AC69" s="10"/>
      <c r="AJ69" s="10"/>
      <c r="AR69" s="10"/>
      <c r="BA69" s="10"/>
    </row>
    <row r="70" spans="5:53" s="9" customFormat="1" x14ac:dyDescent="0.25">
      <c r="E70" s="10"/>
      <c r="F70" s="10"/>
      <c r="G70" s="10"/>
      <c r="H70" s="10"/>
      <c r="I70" s="10"/>
      <c r="J70" s="10"/>
      <c r="K70" s="10"/>
      <c r="L70" s="10"/>
      <c r="N70" s="10"/>
      <c r="R70" s="10"/>
      <c r="W70" s="10"/>
      <c r="AC70" s="10"/>
      <c r="AJ70" s="10"/>
      <c r="AR70" s="10"/>
      <c r="BA70" s="10"/>
    </row>
    <row r="71" spans="5:53" s="9" customFormat="1" x14ac:dyDescent="0.25">
      <c r="E71" s="10"/>
      <c r="F71" s="10"/>
      <c r="G71" s="10"/>
      <c r="H71" s="10"/>
      <c r="I71" s="10"/>
      <c r="J71" s="10"/>
      <c r="K71" s="10"/>
      <c r="L71" s="10"/>
      <c r="N71" s="10"/>
      <c r="R71" s="10"/>
      <c r="W71" s="10"/>
      <c r="AC71" s="10"/>
      <c r="AJ71" s="10"/>
      <c r="AR71" s="10"/>
      <c r="BA71" s="10"/>
    </row>
    <row r="72" spans="5:53" s="9" customFormat="1" x14ac:dyDescent="0.25">
      <c r="E72" s="10"/>
      <c r="F72" s="10"/>
      <c r="G72" s="10"/>
      <c r="H72" s="10"/>
      <c r="I72" s="10"/>
      <c r="J72" s="10"/>
      <c r="K72" s="10"/>
      <c r="L72" s="10"/>
      <c r="N72" s="10"/>
      <c r="R72" s="10"/>
      <c r="W72" s="10"/>
      <c r="AC72" s="10"/>
      <c r="AJ72" s="10"/>
      <c r="AR72" s="10"/>
      <c r="BA72" s="10"/>
    </row>
    <row r="73" spans="5:53" s="9" customFormat="1" x14ac:dyDescent="0.25">
      <c r="E73" s="10"/>
      <c r="F73" s="10"/>
      <c r="G73" s="10"/>
      <c r="H73" s="10"/>
      <c r="I73" s="10"/>
      <c r="J73" s="10"/>
      <c r="K73" s="10"/>
      <c r="L73" s="10"/>
      <c r="N73" s="10"/>
      <c r="R73" s="10"/>
      <c r="W73" s="10"/>
      <c r="AC73" s="10"/>
      <c r="AJ73" s="10"/>
      <c r="AR73" s="10"/>
      <c r="BA73" s="10"/>
    </row>
    <row r="74" spans="5:53" s="9" customFormat="1" x14ac:dyDescent="0.25">
      <c r="E74" s="10"/>
      <c r="F74" s="10"/>
      <c r="G74" s="10"/>
      <c r="H74" s="10"/>
      <c r="I74" s="10"/>
      <c r="J74" s="10"/>
      <c r="K74" s="10"/>
      <c r="L74" s="10"/>
      <c r="N74" s="10"/>
      <c r="R74" s="10"/>
      <c r="W74" s="10"/>
      <c r="AC74" s="10"/>
      <c r="AJ74" s="10"/>
      <c r="AR74" s="10"/>
      <c r="BA74" s="10"/>
    </row>
    <row r="75" spans="5:53" s="9" customFormat="1" x14ac:dyDescent="0.25">
      <c r="E75" s="10"/>
      <c r="F75" s="10"/>
      <c r="G75" s="10"/>
      <c r="H75" s="10"/>
      <c r="I75" s="10"/>
      <c r="J75" s="10"/>
      <c r="K75" s="10"/>
      <c r="L75" s="10"/>
      <c r="N75" s="10"/>
      <c r="R75" s="10"/>
      <c r="W75" s="10"/>
      <c r="AC75" s="10"/>
      <c r="AJ75" s="10"/>
      <c r="AR75" s="10"/>
      <c r="BA75" s="10"/>
    </row>
    <row r="76" spans="5:53" s="9" customFormat="1" x14ac:dyDescent="0.25">
      <c r="E76" s="10"/>
      <c r="F76" s="10"/>
      <c r="G76" s="10"/>
      <c r="H76" s="10"/>
      <c r="I76" s="10"/>
      <c r="J76" s="10"/>
      <c r="K76" s="10"/>
      <c r="L76" s="10"/>
      <c r="N76" s="10"/>
      <c r="R76" s="10"/>
      <c r="W76" s="10"/>
      <c r="AC76" s="10"/>
      <c r="AJ76" s="10"/>
      <c r="AR76" s="10"/>
      <c r="BA76" s="10"/>
    </row>
    <row r="77" spans="5:53" s="9" customFormat="1" x14ac:dyDescent="0.25">
      <c r="E77" s="10"/>
      <c r="F77" s="10"/>
      <c r="G77" s="10"/>
      <c r="H77" s="10"/>
      <c r="I77" s="10"/>
      <c r="J77" s="10"/>
      <c r="K77" s="10"/>
      <c r="L77" s="10"/>
      <c r="N77" s="10"/>
      <c r="R77" s="10"/>
      <c r="W77" s="10"/>
      <c r="AC77" s="10"/>
      <c r="AJ77" s="10"/>
      <c r="AR77" s="10"/>
      <c r="BA77" s="10"/>
    </row>
    <row r="78" spans="5:53" s="9" customFormat="1" x14ac:dyDescent="0.25">
      <c r="E78" s="10"/>
      <c r="F78" s="10"/>
      <c r="G78" s="10"/>
      <c r="H78" s="10"/>
      <c r="I78" s="10"/>
      <c r="J78" s="10"/>
      <c r="K78" s="10"/>
      <c r="L78" s="10"/>
      <c r="N78" s="10"/>
      <c r="R78" s="10"/>
      <c r="W78" s="10"/>
      <c r="AC78" s="10"/>
      <c r="AJ78" s="10"/>
      <c r="AR78" s="10"/>
      <c r="BA78" s="10"/>
    </row>
    <row r="79" spans="5:53" s="9" customFormat="1" x14ac:dyDescent="0.25">
      <c r="E79" s="10"/>
      <c r="F79" s="10"/>
      <c r="G79" s="10"/>
      <c r="H79" s="10"/>
      <c r="I79" s="10"/>
      <c r="J79" s="10"/>
      <c r="K79" s="10"/>
      <c r="L79" s="10"/>
      <c r="N79" s="10"/>
      <c r="R79" s="10"/>
      <c r="W79" s="10"/>
      <c r="AC79" s="10"/>
      <c r="AJ79" s="10"/>
      <c r="AR79" s="10"/>
      <c r="BA79" s="10"/>
    </row>
    <row r="80" spans="5:53" s="9" customFormat="1" x14ac:dyDescent="0.25">
      <c r="E80" s="10"/>
      <c r="F80" s="10"/>
      <c r="G80" s="10"/>
      <c r="H80" s="10"/>
      <c r="I80" s="10"/>
      <c r="J80" s="10"/>
      <c r="K80" s="10"/>
      <c r="L80" s="10"/>
      <c r="N80" s="10"/>
      <c r="R80" s="10"/>
      <c r="W80" s="10"/>
      <c r="AC80" s="10"/>
      <c r="AJ80" s="10"/>
      <c r="AR80" s="10"/>
      <c r="BA80" s="10"/>
    </row>
    <row r="81" spans="5:53" s="9" customFormat="1" x14ac:dyDescent="0.25">
      <c r="E81" s="10"/>
      <c r="F81" s="10"/>
      <c r="G81" s="10"/>
      <c r="H81" s="10"/>
      <c r="I81" s="10"/>
      <c r="J81" s="10"/>
      <c r="K81" s="10"/>
      <c r="L81" s="10"/>
      <c r="N81" s="10"/>
      <c r="R81" s="10"/>
      <c r="W81" s="10"/>
      <c r="AC81" s="10"/>
      <c r="AJ81" s="10"/>
      <c r="AR81" s="10"/>
      <c r="BA81" s="10"/>
    </row>
    <row r="82" spans="5:53" s="9" customFormat="1" x14ac:dyDescent="0.25">
      <c r="E82" s="10"/>
      <c r="F82" s="10"/>
      <c r="G82" s="10"/>
      <c r="H82" s="10"/>
      <c r="I82" s="10"/>
      <c r="J82" s="10"/>
      <c r="K82" s="10"/>
      <c r="L82" s="10"/>
      <c r="N82" s="10"/>
      <c r="R82" s="10"/>
      <c r="W82" s="10"/>
      <c r="AC82" s="10"/>
      <c r="AJ82" s="10"/>
      <c r="AR82" s="10"/>
      <c r="BA82" s="10"/>
    </row>
    <row r="83" spans="5:53" s="9" customFormat="1" x14ac:dyDescent="0.25">
      <c r="E83" s="10"/>
      <c r="F83" s="10"/>
      <c r="G83" s="10"/>
      <c r="H83" s="10"/>
      <c r="I83" s="10"/>
      <c r="J83" s="10"/>
      <c r="K83" s="10"/>
      <c r="L83" s="10"/>
      <c r="N83" s="10"/>
      <c r="R83" s="10"/>
      <c r="W83" s="10"/>
      <c r="AC83" s="10"/>
      <c r="AJ83" s="10"/>
      <c r="AR83" s="10"/>
      <c r="BA83" s="10"/>
    </row>
    <row r="84" spans="5:53" s="9" customFormat="1" x14ac:dyDescent="0.25">
      <c r="E84" s="10"/>
      <c r="F84" s="10"/>
      <c r="G84" s="10"/>
      <c r="H84" s="10"/>
      <c r="I84" s="10"/>
      <c r="J84" s="10"/>
      <c r="K84" s="10"/>
      <c r="L84" s="10"/>
      <c r="N84" s="10"/>
      <c r="R84" s="10"/>
      <c r="W84" s="10"/>
      <c r="AC84" s="10"/>
      <c r="AJ84" s="10"/>
      <c r="AR84" s="10"/>
      <c r="BA84" s="10"/>
    </row>
    <row r="85" spans="5:53" s="9" customFormat="1" x14ac:dyDescent="0.25">
      <c r="E85" s="10"/>
      <c r="F85" s="10"/>
      <c r="G85" s="10"/>
      <c r="H85" s="10"/>
      <c r="I85" s="10"/>
      <c r="J85" s="10"/>
      <c r="K85" s="10"/>
      <c r="L85" s="10"/>
      <c r="N85" s="10"/>
      <c r="R85" s="10"/>
      <c r="W85" s="10"/>
      <c r="AC85" s="10"/>
      <c r="AJ85" s="10"/>
      <c r="AR85" s="10"/>
      <c r="BA85" s="10"/>
    </row>
    <row r="86" spans="5:53" s="9" customFormat="1" x14ac:dyDescent="0.25">
      <c r="E86" s="10"/>
      <c r="F86" s="10"/>
      <c r="G86" s="10"/>
      <c r="H86" s="10"/>
      <c r="I86" s="10"/>
      <c r="J86" s="10"/>
      <c r="K86" s="10"/>
      <c r="L86" s="10"/>
      <c r="N86" s="10"/>
      <c r="R86" s="10"/>
      <c r="W86" s="10"/>
      <c r="AC86" s="10"/>
      <c r="AJ86" s="10"/>
      <c r="AR86" s="10"/>
      <c r="BA86" s="10"/>
    </row>
    <row r="87" spans="5:53" s="9" customFormat="1" x14ac:dyDescent="0.25">
      <c r="E87" s="10"/>
      <c r="F87" s="10"/>
      <c r="G87" s="10"/>
      <c r="H87" s="10"/>
      <c r="I87" s="10"/>
      <c r="J87" s="10"/>
      <c r="K87" s="10"/>
      <c r="L87" s="10"/>
      <c r="N87" s="10"/>
      <c r="R87" s="10"/>
      <c r="W87" s="10"/>
      <c r="AC87" s="10"/>
      <c r="AJ87" s="10"/>
      <c r="AR87" s="10"/>
      <c r="BA87" s="10"/>
    </row>
    <row r="88" spans="5:53" s="9" customFormat="1" x14ac:dyDescent="0.25">
      <c r="E88" s="10"/>
      <c r="F88" s="10"/>
      <c r="G88" s="10"/>
      <c r="H88" s="10"/>
      <c r="I88" s="10"/>
      <c r="J88" s="10"/>
      <c r="K88" s="10"/>
      <c r="L88" s="10"/>
      <c r="N88" s="10"/>
      <c r="R88" s="10"/>
      <c r="W88" s="10"/>
      <c r="AC88" s="10"/>
      <c r="AJ88" s="10"/>
      <c r="AR88" s="10"/>
      <c r="BA88" s="10"/>
    </row>
    <row r="89" spans="5:53" s="9" customFormat="1" x14ac:dyDescent="0.25">
      <c r="E89" s="10"/>
      <c r="F89" s="10"/>
      <c r="G89" s="10"/>
      <c r="H89" s="10"/>
      <c r="I89" s="10"/>
      <c r="J89" s="10"/>
      <c r="K89" s="10"/>
      <c r="L89" s="10"/>
      <c r="N89" s="10"/>
      <c r="R89" s="10"/>
      <c r="W89" s="10"/>
      <c r="AC89" s="10"/>
      <c r="AJ89" s="10"/>
      <c r="AR89" s="10"/>
      <c r="BA89" s="10"/>
    </row>
    <row r="90" spans="5:53" s="9" customFormat="1" x14ac:dyDescent="0.25">
      <c r="E90" s="10"/>
      <c r="F90" s="10"/>
      <c r="G90" s="10"/>
      <c r="H90" s="10"/>
      <c r="I90" s="10"/>
      <c r="J90" s="10"/>
      <c r="K90" s="10"/>
      <c r="L90" s="10"/>
      <c r="N90" s="10"/>
      <c r="R90" s="10"/>
      <c r="W90" s="10"/>
      <c r="AC90" s="10"/>
      <c r="AJ90" s="10"/>
      <c r="AR90" s="10"/>
      <c r="BA90" s="10"/>
    </row>
    <row r="91" spans="5:53" s="9" customFormat="1" x14ac:dyDescent="0.25">
      <c r="E91" s="10"/>
      <c r="F91" s="10"/>
      <c r="G91" s="10"/>
      <c r="H91" s="10"/>
      <c r="I91" s="10"/>
      <c r="J91" s="10"/>
      <c r="K91" s="10"/>
      <c r="L91" s="10"/>
      <c r="N91" s="10"/>
      <c r="R91" s="10"/>
      <c r="W91" s="10"/>
      <c r="AC91" s="10"/>
      <c r="AJ91" s="10"/>
      <c r="AR91" s="10"/>
      <c r="BA91" s="10"/>
    </row>
    <row r="92" spans="5:53" s="9" customFormat="1" x14ac:dyDescent="0.25">
      <c r="E92" s="10"/>
      <c r="F92" s="10"/>
      <c r="G92" s="10"/>
      <c r="H92" s="10"/>
      <c r="I92" s="10"/>
      <c r="J92" s="10"/>
      <c r="K92" s="10"/>
      <c r="L92" s="10"/>
      <c r="N92" s="10"/>
      <c r="R92" s="10"/>
      <c r="W92" s="10"/>
      <c r="AC92" s="10"/>
      <c r="AJ92" s="10"/>
      <c r="AR92" s="10"/>
      <c r="BA92" s="10"/>
    </row>
    <row r="93" spans="5:53" s="9" customFormat="1" x14ac:dyDescent="0.25">
      <c r="E93" s="10"/>
      <c r="F93" s="10"/>
      <c r="G93" s="10"/>
      <c r="H93" s="10"/>
      <c r="I93" s="10"/>
      <c r="J93" s="10"/>
      <c r="K93" s="10"/>
      <c r="L93" s="10"/>
      <c r="N93" s="10"/>
      <c r="R93" s="10"/>
      <c r="W93" s="10"/>
      <c r="AC93" s="10"/>
      <c r="AJ93" s="10"/>
      <c r="AR93" s="10"/>
      <c r="BA93" s="10"/>
    </row>
    <row r="94" spans="5:53" s="9" customFormat="1" x14ac:dyDescent="0.25">
      <c r="E94" s="10"/>
      <c r="F94" s="10"/>
      <c r="G94" s="10"/>
      <c r="H94" s="10"/>
      <c r="I94" s="10"/>
      <c r="J94" s="10"/>
      <c r="K94" s="10"/>
      <c r="L94" s="10"/>
      <c r="N94" s="10"/>
      <c r="R94" s="10"/>
      <c r="W94" s="10"/>
      <c r="AC94" s="10"/>
      <c r="AJ94" s="10"/>
      <c r="AR94" s="10"/>
      <c r="BA94" s="10"/>
    </row>
    <row r="95" spans="5:53" s="9" customFormat="1" x14ac:dyDescent="0.25">
      <c r="E95" s="10"/>
      <c r="F95" s="10"/>
      <c r="G95" s="10"/>
      <c r="H95" s="10"/>
      <c r="I95" s="10"/>
      <c r="J95" s="10"/>
      <c r="K95" s="10"/>
      <c r="L95" s="10"/>
      <c r="N95" s="10"/>
      <c r="R95" s="10"/>
      <c r="W95" s="10"/>
      <c r="AC95" s="10"/>
      <c r="AJ95" s="10"/>
      <c r="AR95" s="10"/>
      <c r="BA95" s="10"/>
    </row>
    <row r="96" spans="5:53" s="9" customFormat="1" x14ac:dyDescent="0.25">
      <c r="E96" s="10"/>
      <c r="F96" s="10"/>
      <c r="G96" s="10"/>
      <c r="H96" s="10"/>
      <c r="I96" s="10"/>
      <c r="J96" s="10"/>
      <c r="K96" s="10"/>
      <c r="L96" s="10"/>
      <c r="N96" s="10"/>
      <c r="R96" s="10"/>
      <c r="W96" s="10"/>
      <c r="AC96" s="10"/>
      <c r="AJ96" s="10"/>
      <c r="AR96" s="10"/>
      <c r="BA96" s="10"/>
    </row>
    <row r="97" spans="5:53" s="9" customFormat="1" x14ac:dyDescent="0.25">
      <c r="E97" s="10"/>
      <c r="F97" s="10"/>
      <c r="G97" s="10"/>
      <c r="H97" s="10"/>
      <c r="I97" s="10"/>
      <c r="J97" s="10"/>
      <c r="K97" s="10"/>
      <c r="L97" s="10"/>
      <c r="N97" s="10"/>
      <c r="R97" s="10"/>
      <c r="W97" s="10"/>
      <c r="AC97" s="10"/>
      <c r="AJ97" s="10"/>
      <c r="AR97" s="10"/>
      <c r="BA97" s="10"/>
    </row>
    <row r="98" spans="5:53" s="9" customFormat="1" x14ac:dyDescent="0.25">
      <c r="E98" s="10"/>
      <c r="F98" s="10"/>
      <c r="G98" s="10"/>
      <c r="H98" s="10"/>
      <c r="I98" s="10"/>
      <c r="J98" s="10"/>
      <c r="K98" s="10"/>
      <c r="L98" s="10"/>
      <c r="N98" s="10"/>
      <c r="R98" s="10"/>
      <c r="W98" s="10"/>
      <c r="AC98" s="10"/>
      <c r="AJ98" s="10"/>
      <c r="AR98" s="10"/>
      <c r="BA98" s="10"/>
    </row>
    <row r="99" spans="5:53" s="9" customFormat="1" x14ac:dyDescent="0.25">
      <c r="E99" s="10"/>
      <c r="F99" s="10"/>
      <c r="G99" s="10"/>
      <c r="H99" s="10"/>
      <c r="I99" s="10"/>
      <c r="J99" s="10"/>
      <c r="K99" s="10"/>
      <c r="L99" s="10"/>
      <c r="N99" s="10"/>
      <c r="R99" s="10"/>
      <c r="W99" s="10"/>
      <c r="AC99" s="10"/>
      <c r="AJ99" s="10"/>
      <c r="AR99" s="10"/>
      <c r="BA99" s="10"/>
    </row>
    <row r="100" spans="5:53" s="9" customFormat="1" x14ac:dyDescent="0.25">
      <c r="E100" s="10"/>
      <c r="F100" s="10"/>
      <c r="G100" s="10"/>
      <c r="H100" s="10"/>
      <c r="I100" s="10"/>
      <c r="J100" s="10"/>
      <c r="K100" s="10"/>
      <c r="L100" s="10"/>
      <c r="N100" s="10"/>
      <c r="R100" s="10"/>
      <c r="W100" s="10"/>
      <c r="AC100" s="10"/>
      <c r="AJ100" s="10"/>
      <c r="AR100" s="10"/>
      <c r="BA100" s="10"/>
    </row>
    <row r="101" spans="5:53" s="9" customFormat="1" x14ac:dyDescent="0.25">
      <c r="E101" s="10"/>
      <c r="F101" s="10"/>
      <c r="G101" s="10"/>
      <c r="H101" s="10"/>
      <c r="I101" s="10"/>
      <c r="J101" s="10"/>
      <c r="K101" s="10"/>
      <c r="L101" s="10"/>
      <c r="N101" s="10"/>
      <c r="R101" s="10"/>
      <c r="W101" s="10"/>
      <c r="AC101" s="10"/>
      <c r="AJ101" s="10"/>
      <c r="AR101" s="10"/>
      <c r="BA101" s="10"/>
    </row>
    <row r="102" spans="5:53" s="9" customFormat="1" x14ac:dyDescent="0.25">
      <c r="E102" s="10"/>
      <c r="F102" s="10"/>
      <c r="G102" s="10"/>
      <c r="H102" s="10"/>
      <c r="I102" s="10"/>
      <c r="J102" s="10"/>
      <c r="K102" s="10"/>
      <c r="L102" s="10"/>
      <c r="N102" s="10"/>
      <c r="R102" s="10"/>
      <c r="W102" s="10"/>
      <c r="AC102" s="10"/>
      <c r="AJ102" s="10"/>
      <c r="AR102" s="10"/>
      <c r="BA102" s="10"/>
    </row>
    <row r="103" spans="5:53" s="9" customFormat="1" x14ac:dyDescent="0.25">
      <c r="E103" s="10"/>
      <c r="F103" s="10"/>
      <c r="G103" s="10"/>
      <c r="H103" s="10"/>
      <c r="I103" s="10"/>
      <c r="J103" s="10"/>
      <c r="K103" s="10"/>
      <c r="L103" s="10"/>
      <c r="N103" s="10"/>
      <c r="R103" s="10"/>
      <c r="W103" s="10"/>
      <c r="AC103" s="10"/>
      <c r="AJ103" s="10"/>
      <c r="AR103" s="10"/>
      <c r="BA103" s="10"/>
    </row>
    <row r="104" spans="5:53" s="9" customFormat="1" x14ac:dyDescent="0.25">
      <c r="E104" s="10"/>
      <c r="F104" s="10"/>
      <c r="G104" s="10"/>
      <c r="H104" s="10"/>
      <c r="I104" s="10"/>
      <c r="J104" s="10"/>
      <c r="K104" s="10"/>
      <c r="L104" s="10"/>
      <c r="N104" s="10"/>
      <c r="R104" s="10"/>
      <c r="W104" s="10"/>
      <c r="AC104" s="10"/>
      <c r="AJ104" s="10"/>
      <c r="AR104" s="10"/>
      <c r="BA104" s="10"/>
    </row>
    <row r="105" spans="5:53" s="9" customFormat="1" x14ac:dyDescent="0.25">
      <c r="E105" s="10"/>
      <c r="F105" s="10"/>
      <c r="G105" s="10"/>
      <c r="H105" s="10"/>
      <c r="I105" s="10"/>
      <c r="J105" s="10"/>
      <c r="K105" s="10"/>
      <c r="L105" s="10"/>
      <c r="N105" s="10"/>
      <c r="R105" s="10"/>
      <c r="W105" s="10"/>
      <c r="AC105" s="10"/>
      <c r="AJ105" s="10"/>
      <c r="AR105" s="10"/>
      <c r="BA105" s="10"/>
    </row>
    <row r="106" spans="5:53" s="9" customFormat="1" x14ac:dyDescent="0.25">
      <c r="E106" s="10"/>
      <c r="F106" s="10"/>
      <c r="G106" s="10"/>
      <c r="H106" s="10"/>
      <c r="I106" s="10"/>
      <c r="J106" s="10"/>
      <c r="K106" s="10"/>
      <c r="L106" s="10"/>
      <c r="N106" s="10"/>
      <c r="R106" s="10"/>
      <c r="W106" s="10"/>
      <c r="AC106" s="10"/>
      <c r="AJ106" s="10"/>
      <c r="AR106" s="10"/>
      <c r="BA106" s="10"/>
    </row>
    <row r="107" spans="5:53" s="9" customFormat="1" x14ac:dyDescent="0.25">
      <c r="E107" s="10"/>
      <c r="F107" s="10"/>
      <c r="G107" s="10"/>
      <c r="H107" s="10"/>
      <c r="I107" s="10"/>
      <c r="J107" s="10"/>
      <c r="K107" s="10"/>
      <c r="L107" s="10"/>
      <c r="N107" s="10"/>
      <c r="R107" s="10"/>
      <c r="W107" s="10"/>
      <c r="AC107" s="10"/>
      <c r="AJ107" s="10"/>
      <c r="AR107" s="10"/>
      <c r="BA107" s="10"/>
    </row>
    <row r="108" spans="5:53" s="9" customFormat="1" x14ac:dyDescent="0.25">
      <c r="E108" s="10"/>
      <c r="F108" s="10"/>
      <c r="G108" s="10"/>
      <c r="H108" s="10"/>
      <c r="I108" s="10"/>
      <c r="J108" s="10"/>
      <c r="K108" s="10"/>
      <c r="L108" s="10"/>
      <c r="N108" s="10"/>
      <c r="R108" s="10"/>
      <c r="W108" s="10"/>
      <c r="AC108" s="10"/>
      <c r="AJ108" s="10"/>
      <c r="AR108" s="10"/>
      <c r="BA108" s="10"/>
    </row>
    <row r="109" spans="5:53" s="9" customFormat="1" x14ac:dyDescent="0.25">
      <c r="E109" s="10"/>
      <c r="F109" s="10"/>
      <c r="G109" s="10"/>
      <c r="H109" s="10"/>
      <c r="I109" s="10"/>
      <c r="J109" s="10"/>
      <c r="K109" s="10"/>
      <c r="L109" s="10"/>
      <c r="N109" s="10"/>
      <c r="R109" s="10"/>
      <c r="W109" s="10"/>
      <c r="AC109" s="10"/>
      <c r="AJ109" s="10"/>
      <c r="AR109" s="10"/>
      <c r="BA109" s="10"/>
    </row>
    <row r="110" spans="5:53" s="9" customFormat="1" x14ac:dyDescent="0.25">
      <c r="E110" s="10"/>
      <c r="F110" s="10"/>
      <c r="G110" s="10"/>
      <c r="H110" s="10"/>
      <c r="I110" s="10"/>
      <c r="J110" s="10"/>
      <c r="K110" s="10"/>
      <c r="L110" s="10"/>
      <c r="N110" s="10"/>
      <c r="R110" s="10"/>
      <c r="W110" s="10"/>
      <c r="AC110" s="10"/>
      <c r="AJ110" s="10"/>
      <c r="AR110" s="10"/>
      <c r="BA110" s="10"/>
    </row>
    <row r="111" spans="5:53" s="9" customFormat="1" x14ac:dyDescent="0.25">
      <c r="E111" s="10"/>
      <c r="F111" s="10"/>
      <c r="G111" s="10"/>
      <c r="H111" s="10"/>
      <c r="I111" s="10"/>
      <c r="J111" s="10"/>
      <c r="K111" s="10"/>
      <c r="L111" s="10"/>
      <c r="N111" s="10"/>
      <c r="R111" s="10"/>
      <c r="W111" s="10"/>
      <c r="AC111" s="10"/>
      <c r="AJ111" s="10"/>
      <c r="AR111" s="10"/>
      <c r="BA111" s="10"/>
    </row>
    <row r="112" spans="5:53" s="9" customFormat="1" x14ac:dyDescent="0.25">
      <c r="E112" s="10"/>
      <c r="F112" s="10"/>
      <c r="G112" s="10"/>
      <c r="H112" s="10"/>
      <c r="I112" s="10"/>
      <c r="J112" s="10"/>
      <c r="K112" s="10"/>
      <c r="L112" s="10"/>
      <c r="N112" s="10"/>
      <c r="R112" s="10"/>
      <c r="W112" s="10"/>
      <c r="AC112" s="10"/>
      <c r="AJ112" s="10"/>
      <c r="AR112" s="10"/>
      <c r="BA112" s="10"/>
    </row>
    <row r="113" spans="5:53" s="9" customFormat="1" x14ac:dyDescent="0.25">
      <c r="E113" s="10"/>
      <c r="F113" s="10"/>
      <c r="G113" s="10"/>
      <c r="H113" s="10"/>
      <c r="I113" s="10"/>
      <c r="J113" s="10"/>
      <c r="K113" s="10"/>
      <c r="L113" s="10"/>
      <c r="N113" s="10"/>
      <c r="R113" s="10"/>
      <c r="W113" s="10"/>
      <c r="AC113" s="10"/>
      <c r="AJ113" s="10"/>
      <c r="AR113" s="10"/>
      <c r="BA113" s="10"/>
    </row>
    <row r="114" spans="5:53" s="9" customFormat="1" x14ac:dyDescent="0.25">
      <c r="E114" s="10"/>
      <c r="F114" s="10"/>
      <c r="G114" s="10"/>
      <c r="H114" s="10"/>
      <c r="I114" s="10"/>
      <c r="J114" s="10"/>
      <c r="K114" s="10"/>
      <c r="L114" s="10"/>
      <c r="N114" s="10"/>
      <c r="R114" s="10"/>
      <c r="W114" s="10"/>
      <c r="AC114" s="10"/>
      <c r="AJ114" s="10"/>
      <c r="AR114" s="10"/>
      <c r="BA114" s="10"/>
    </row>
    <row r="115" spans="5:53" s="9" customFormat="1" x14ac:dyDescent="0.25">
      <c r="E115" s="10"/>
      <c r="F115" s="10"/>
      <c r="G115" s="10"/>
      <c r="H115" s="10"/>
      <c r="I115" s="10"/>
      <c r="J115" s="10"/>
      <c r="K115" s="10"/>
      <c r="L115" s="10"/>
      <c r="N115" s="10"/>
      <c r="R115" s="10"/>
      <c r="W115" s="10"/>
      <c r="AC115" s="10"/>
      <c r="AJ115" s="10"/>
      <c r="AR115" s="10"/>
      <c r="BA115" s="10"/>
    </row>
    <row r="116" spans="5:53" s="9" customFormat="1" x14ac:dyDescent="0.25">
      <c r="E116" s="10"/>
      <c r="F116" s="10"/>
      <c r="G116" s="10"/>
      <c r="H116" s="10"/>
      <c r="I116" s="10"/>
      <c r="J116" s="10"/>
      <c r="K116" s="10"/>
      <c r="L116" s="10"/>
      <c r="N116" s="10"/>
      <c r="R116" s="10"/>
      <c r="W116" s="10"/>
      <c r="AC116" s="10"/>
      <c r="AJ116" s="10"/>
      <c r="AR116" s="10"/>
      <c r="BA116" s="10"/>
    </row>
    <row r="117" spans="5:53" s="9" customFormat="1" x14ac:dyDescent="0.25">
      <c r="E117" s="10"/>
      <c r="F117" s="10"/>
      <c r="G117" s="10"/>
      <c r="H117" s="10"/>
      <c r="I117" s="10"/>
      <c r="J117" s="10"/>
      <c r="K117" s="10"/>
      <c r="L117" s="10"/>
      <c r="N117" s="10"/>
      <c r="R117" s="10"/>
      <c r="W117" s="10"/>
      <c r="AC117" s="10"/>
      <c r="AJ117" s="10"/>
      <c r="AR117" s="10"/>
      <c r="BA117" s="10"/>
    </row>
    <row r="118" spans="5:53" s="9" customFormat="1" x14ac:dyDescent="0.25">
      <c r="E118" s="10"/>
      <c r="F118" s="10"/>
      <c r="G118" s="10"/>
      <c r="H118" s="10"/>
      <c r="I118" s="10"/>
      <c r="J118" s="10"/>
      <c r="K118" s="10"/>
      <c r="L118" s="10"/>
      <c r="N118" s="10"/>
      <c r="R118" s="10"/>
      <c r="W118" s="10"/>
      <c r="AC118" s="10"/>
      <c r="AJ118" s="10"/>
      <c r="AR118" s="10"/>
      <c r="BA118" s="10"/>
    </row>
    <row r="119" spans="5:53" s="9" customFormat="1" x14ac:dyDescent="0.25">
      <c r="E119" s="10"/>
      <c r="F119" s="10"/>
      <c r="G119" s="10"/>
      <c r="H119" s="10"/>
      <c r="I119" s="10"/>
      <c r="J119" s="10"/>
      <c r="K119" s="10"/>
      <c r="L119" s="10"/>
      <c r="N119" s="10"/>
      <c r="R119" s="10"/>
      <c r="W119" s="10"/>
      <c r="AC119" s="10"/>
      <c r="AJ119" s="10"/>
      <c r="AR119" s="10"/>
      <c r="BA119" s="10"/>
    </row>
    <row r="120" spans="5:53" s="9" customFormat="1" x14ac:dyDescent="0.25">
      <c r="E120" s="10"/>
      <c r="F120" s="10"/>
      <c r="G120" s="10"/>
      <c r="H120" s="10"/>
      <c r="I120" s="10"/>
      <c r="J120" s="10"/>
      <c r="K120" s="10"/>
      <c r="L120" s="10"/>
      <c r="N120" s="10"/>
      <c r="R120" s="10"/>
      <c r="W120" s="10"/>
      <c r="AC120" s="10"/>
      <c r="AJ120" s="10"/>
      <c r="AR120" s="10"/>
      <c r="BA120" s="10"/>
    </row>
    <row r="121" spans="5:53" s="9" customFormat="1" x14ac:dyDescent="0.25">
      <c r="E121" s="10"/>
      <c r="F121" s="10"/>
      <c r="G121" s="10"/>
      <c r="H121" s="10"/>
      <c r="I121" s="10"/>
      <c r="J121" s="10"/>
      <c r="K121" s="10"/>
      <c r="L121" s="10"/>
      <c r="N121" s="10"/>
      <c r="R121" s="10"/>
      <c r="W121" s="10"/>
      <c r="AC121" s="10"/>
      <c r="AJ121" s="10"/>
      <c r="AR121" s="10"/>
      <c r="BA121" s="10"/>
    </row>
    <row r="122" spans="5:53" s="9" customFormat="1" x14ac:dyDescent="0.25">
      <c r="E122" s="10"/>
      <c r="F122" s="10"/>
      <c r="G122" s="10"/>
      <c r="H122" s="10"/>
      <c r="I122" s="10"/>
      <c r="J122" s="10"/>
      <c r="K122" s="10"/>
      <c r="L122" s="10"/>
      <c r="N122" s="10"/>
      <c r="R122" s="10"/>
      <c r="W122" s="10"/>
      <c r="AC122" s="10"/>
      <c r="AJ122" s="10"/>
      <c r="AR122" s="10"/>
      <c r="BA122" s="10"/>
    </row>
    <row r="123" spans="5:53" s="9" customFormat="1" x14ac:dyDescent="0.25">
      <c r="E123" s="10"/>
      <c r="F123" s="10"/>
      <c r="G123" s="10"/>
      <c r="H123" s="10"/>
      <c r="I123" s="10"/>
      <c r="J123" s="10"/>
      <c r="K123" s="10"/>
      <c r="L123" s="10"/>
      <c r="N123" s="10"/>
      <c r="R123" s="10"/>
      <c r="W123" s="10"/>
      <c r="AC123" s="10"/>
      <c r="AJ123" s="10"/>
      <c r="AR123" s="10"/>
      <c r="BA123" s="10"/>
    </row>
    <row r="124" spans="5:53" s="9" customFormat="1" x14ac:dyDescent="0.25">
      <c r="E124" s="10"/>
      <c r="F124" s="10"/>
      <c r="G124" s="10"/>
      <c r="H124" s="10"/>
      <c r="I124" s="10"/>
      <c r="J124" s="10"/>
      <c r="K124" s="10"/>
      <c r="L124" s="10"/>
      <c r="N124" s="10"/>
      <c r="R124" s="10"/>
      <c r="W124" s="10"/>
      <c r="AC124" s="10"/>
      <c r="AJ124" s="10"/>
      <c r="AR124" s="10"/>
      <c r="BA124" s="10"/>
    </row>
    <row r="125" spans="5:53" s="9" customFormat="1" x14ac:dyDescent="0.25">
      <c r="E125" s="10"/>
      <c r="F125" s="10"/>
      <c r="G125" s="10"/>
      <c r="H125" s="10"/>
      <c r="I125" s="10"/>
      <c r="J125" s="10"/>
      <c r="K125" s="10"/>
      <c r="L125" s="10"/>
      <c r="N125" s="10"/>
      <c r="R125" s="10"/>
      <c r="W125" s="10"/>
      <c r="AC125" s="10"/>
      <c r="AJ125" s="10"/>
      <c r="AR125" s="10"/>
      <c r="BA125" s="10"/>
    </row>
    <row r="126" spans="5:53" s="9" customFormat="1" x14ac:dyDescent="0.25">
      <c r="E126" s="10"/>
      <c r="F126" s="10"/>
      <c r="G126" s="10"/>
      <c r="H126" s="10"/>
      <c r="I126" s="10"/>
      <c r="J126" s="10"/>
      <c r="K126" s="10"/>
      <c r="L126" s="10"/>
      <c r="N126" s="10"/>
      <c r="R126" s="10"/>
      <c r="W126" s="10"/>
      <c r="AC126" s="10"/>
      <c r="AJ126" s="10"/>
      <c r="AR126" s="10"/>
      <c r="BA126" s="10"/>
    </row>
    <row r="127" spans="5:53" s="9" customFormat="1" x14ac:dyDescent="0.25">
      <c r="E127" s="10"/>
      <c r="F127" s="10"/>
      <c r="G127" s="10"/>
      <c r="H127" s="10"/>
      <c r="I127" s="10"/>
      <c r="J127" s="10"/>
      <c r="K127" s="10"/>
      <c r="L127" s="10"/>
      <c r="N127" s="10"/>
      <c r="R127" s="10"/>
      <c r="W127" s="10"/>
      <c r="AC127" s="10"/>
      <c r="AJ127" s="10"/>
      <c r="AR127" s="10"/>
      <c r="BA127" s="10"/>
    </row>
    <row r="128" spans="5:53" s="9" customFormat="1" x14ac:dyDescent="0.25">
      <c r="E128" s="10"/>
      <c r="F128" s="10"/>
      <c r="G128" s="10"/>
      <c r="H128" s="10"/>
      <c r="I128" s="10"/>
      <c r="J128" s="10"/>
      <c r="K128" s="10"/>
      <c r="L128" s="10"/>
      <c r="N128" s="10"/>
      <c r="R128" s="10"/>
      <c r="W128" s="10"/>
      <c r="AC128" s="10"/>
      <c r="AJ128" s="10"/>
      <c r="AR128" s="10"/>
      <c r="BA128" s="10"/>
    </row>
    <row r="129" spans="5:53" s="9" customFormat="1" x14ac:dyDescent="0.25">
      <c r="E129" s="10"/>
      <c r="F129" s="10"/>
      <c r="G129" s="10"/>
      <c r="H129" s="10"/>
      <c r="I129" s="10"/>
      <c r="J129" s="10"/>
      <c r="K129" s="10"/>
      <c r="L129" s="10"/>
      <c r="N129" s="10"/>
      <c r="R129" s="10"/>
      <c r="W129" s="10"/>
      <c r="AC129" s="10"/>
      <c r="AJ129" s="10"/>
      <c r="AR129" s="10"/>
      <c r="BA129" s="10"/>
    </row>
    <row r="130" spans="5:53" s="9" customFormat="1" x14ac:dyDescent="0.25">
      <c r="E130" s="10"/>
      <c r="F130" s="10"/>
      <c r="G130" s="10"/>
      <c r="H130" s="10"/>
      <c r="I130" s="10"/>
      <c r="J130" s="10"/>
      <c r="K130" s="10"/>
      <c r="L130" s="10"/>
      <c r="N130" s="10"/>
      <c r="R130" s="10"/>
      <c r="W130" s="10"/>
      <c r="AC130" s="10"/>
      <c r="AJ130" s="10"/>
      <c r="AR130" s="10"/>
      <c r="BA130" s="10"/>
    </row>
    <row r="131" spans="5:53" s="9" customFormat="1" x14ac:dyDescent="0.25">
      <c r="E131" s="10"/>
      <c r="F131" s="10"/>
      <c r="G131" s="10"/>
      <c r="H131" s="10"/>
      <c r="I131" s="10"/>
      <c r="J131" s="10"/>
      <c r="K131" s="10"/>
      <c r="L131" s="10"/>
      <c r="N131" s="10"/>
      <c r="R131" s="10"/>
      <c r="W131" s="10"/>
      <c r="AC131" s="10"/>
      <c r="AJ131" s="10"/>
      <c r="AR131" s="10"/>
      <c r="BA131" s="10"/>
    </row>
    <row r="132" spans="5:53" s="9" customFormat="1" x14ac:dyDescent="0.25">
      <c r="E132" s="10"/>
      <c r="F132" s="10"/>
      <c r="G132" s="10"/>
      <c r="H132" s="10"/>
      <c r="I132" s="10"/>
      <c r="J132" s="10"/>
      <c r="K132" s="10"/>
      <c r="L132" s="10"/>
      <c r="N132" s="10"/>
      <c r="R132" s="10"/>
      <c r="W132" s="10"/>
      <c r="AC132" s="10"/>
      <c r="AJ132" s="10"/>
      <c r="AR132" s="10"/>
      <c r="BA132" s="10"/>
    </row>
    <row r="133" spans="5:53" s="9" customFormat="1" x14ac:dyDescent="0.25">
      <c r="E133" s="10"/>
      <c r="F133" s="10"/>
      <c r="G133" s="10"/>
      <c r="H133" s="10"/>
      <c r="I133" s="10"/>
      <c r="J133" s="10"/>
      <c r="K133" s="10"/>
      <c r="L133" s="10"/>
      <c r="N133" s="10"/>
      <c r="R133" s="10"/>
      <c r="W133" s="10"/>
      <c r="AC133" s="10"/>
      <c r="AJ133" s="10"/>
      <c r="AR133" s="10"/>
      <c r="BA133" s="10"/>
    </row>
    <row r="134" spans="5:53" s="9" customFormat="1" x14ac:dyDescent="0.25">
      <c r="E134" s="10"/>
      <c r="F134" s="10"/>
      <c r="G134" s="10"/>
      <c r="H134" s="10"/>
      <c r="I134" s="10"/>
      <c r="J134" s="10"/>
      <c r="K134" s="10"/>
      <c r="L134" s="10"/>
      <c r="N134" s="10"/>
      <c r="R134" s="10"/>
      <c r="W134" s="10"/>
      <c r="AC134" s="10"/>
      <c r="AJ134" s="10"/>
      <c r="AR134" s="10"/>
      <c r="BA134" s="10"/>
    </row>
    <row r="135" spans="5:53" s="9" customFormat="1" x14ac:dyDescent="0.25">
      <c r="E135" s="10"/>
      <c r="F135" s="10"/>
      <c r="G135" s="10"/>
      <c r="H135" s="10"/>
      <c r="I135" s="10"/>
      <c r="J135" s="10"/>
      <c r="K135" s="10"/>
      <c r="L135" s="10"/>
      <c r="N135" s="10"/>
      <c r="R135" s="10"/>
      <c r="W135" s="10"/>
      <c r="AC135" s="10"/>
      <c r="AJ135" s="10"/>
      <c r="AR135" s="10"/>
      <c r="BA135" s="10"/>
    </row>
    <row r="136" spans="5:53" s="9" customFormat="1" x14ac:dyDescent="0.25">
      <c r="E136" s="10"/>
      <c r="F136" s="10"/>
      <c r="G136" s="10"/>
      <c r="H136" s="10"/>
      <c r="I136" s="10"/>
      <c r="J136" s="10"/>
      <c r="K136" s="10"/>
      <c r="L136" s="10"/>
      <c r="N136" s="10"/>
      <c r="R136" s="10"/>
      <c r="W136" s="10"/>
      <c r="AC136" s="10"/>
      <c r="AJ136" s="10"/>
      <c r="AR136" s="10"/>
      <c r="BA136" s="10"/>
    </row>
    <row r="137" spans="5:53" s="9" customFormat="1" x14ac:dyDescent="0.25">
      <c r="E137" s="10"/>
      <c r="F137" s="10"/>
      <c r="G137" s="10"/>
      <c r="H137" s="10"/>
      <c r="I137" s="10"/>
      <c r="J137" s="10"/>
      <c r="K137" s="10"/>
      <c r="L137" s="10"/>
      <c r="N137" s="10"/>
      <c r="R137" s="10"/>
      <c r="W137" s="10"/>
      <c r="AC137" s="10"/>
      <c r="AJ137" s="10"/>
      <c r="AR137" s="10"/>
      <c r="BA137" s="10"/>
    </row>
    <row r="138" spans="5:53" s="9" customFormat="1" x14ac:dyDescent="0.25">
      <c r="E138" s="10"/>
      <c r="F138" s="10"/>
      <c r="G138" s="10"/>
      <c r="H138" s="10"/>
      <c r="I138" s="10"/>
      <c r="J138" s="10"/>
      <c r="K138" s="10"/>
      <c r="L138" s="10"/>
      <c r="N138" s="10"/>
      <c r="R138" s="10"/>
      <c r="W138" s="10"/>
      <c r="AC138" s="10"/>
      <c r="AJ138" s="10"/>
      <c r="AR138" s="10"/>
      <c r="BA138" s="10"/>
    </row>
    <row r="139" spans="5:53" s="9" customFormat="1" x14ac:dyDescent="0.25">
      <c r="E139" s="10"/>
      <c r="F139" s="10"/>
      <c r="G139" s="10"/>
      <c r="H139" s="10"/>
      <c r="I139" s="10"/>
      <c r="J139" s="10"/>
      <c r="K139" s="10"/>
      <c r="L139" s="10"/>
      <c r="N139" s="10"/>
      <c r="R139" s="10"/>
      <c r="W139" s="10"/>
      <c r="AC139" s="10"/>
      <c r="AJ139" s="10"/>
      <c r="AR139" s="10"/>
      <c r="BA139" s="10"/>
    </row>
    <row r="140" spans="5:53" s="9" customFormat="1" x14ac:dyDescent="0.25">
      <c r="E140" s="10"/>
      <c r="F140" s="10"/>
      <c r="G140" s="10"/>
      <c r="H140" s="10"/>
      <c r="I140" s="10"/>
      <c r="J140" s="10"/>
      <c r="K140" s="10"/>
      <c r="L140" s="10"/>
      <c r="N140" s="10"/>
      <c r="R140" s="10"/>
      <c r="W140" s="10"/>
      <c r="AC140" s="10"/>
      <c r="AJ140" s="10"/>
      <c r="AR140" s="10"/>
      <c r="BA140" s="10"/>
    </row>
    <row r="141" spans="5:53" s="9" customFormat="1" x14ac:dyDescent="0.25">
      <c r="E141" s="10"/>
      <c r="F141" s="10"/>
      <c r="G141" s="10"/>
      <c r="H141" s="10"/>
      <c r="I141" s="10"/>
      <c r="J141" s="10"/>
      <c r="K141" s="10"/>
      <c r="L141" s="10"/>
      <c r="N141" s="10"/>
      <c r="R141" s="10"/>
      <c r="W141" s="10"/>
      <c r="AC141" s="10"/>
      <c r="AJ141" s="10"/>
      <c r="AR141" s="10"/>
      <c r="BA141" s="10"/>
    </row>
    <row r="142" spans="5:53" s="9" customFormat="1" x14ac:dyDescent="0.25">
      <c r="E142" s="10"/>
      <c r="F142" s="10"/>
      <c r="G142" s="10"/>
      <c r="H142" s="10"/>
      <c r="I142" s="10"/>
      <c r="J142" s="10"/>
      <c r="K142" s="10"/>
      <c r="L142" s="10"/>
      <c r="N142" s="10"/>
      <c r="R142" s="10"/>
      <c r="W142" s="10"/>
      <c r="AC142" s="10"/>
      <c r="AJ142" s="10"/>
      <c r="AR142" s="10"/>
      <c r="BA142" s="10"/>
    </row>
    <row r="143" spans="5:53" s="9" customFormat="1" x14ac:dyDescent="0.25">
      <c r="E143" s="10"/>
      <c r="F143" s="10"/>
      <c r="G143" s="10"/>
      <c r="H143" s="10"/>
      <c r="I143" s="10"/>
      <c r="J143" s="10"/>
      <c r="K143" s="10"/>
      <c r="L143" s="10"/>
      <c r="N143" s="10"/>
      <c r="R143" s="10"/>
      <c r="W143" s="10"/>
      <c r="AC143" s="10"/>
      <c r="AJ143" s="10"/>
      <c r="AR143" s="10"/>
      <c r="BA143" s="10"/>
    </row>
    <row r="144" spans="5:53" s="9" customFormat="1" x14ac:dyDescent="0.25">
      <c r="E144" s="10"/>
      <c r="F144" s="10"/>
      <c r="G144" s="10"/>
      <c r="H144" s="10"/>
      <c r="I144" s="10"/>
      <c r="J144" s="10"/>
      <c r="K144" s="10"/>
      <c r="L144" s="10"/>
      <c r="N144" s="10"/>
      <c r="R144" s="10"/>
      <c r="W144" s="10"/>
      <c r="AC144" s="10"/>
      <c r="AJ144" s="10"/>
      <c r="AR144" s="10"/>
      <c r="BA144" s="10"/>
    </row>
    <row r="145" spans="5:53" s="9" customFormat="1" x14ac:dyDescent="0.25">
      <c r="E145" s="10"/>
      <c r="F145" s="10"/>
      <c r="G145" s="10"/>
      <c r="H145" s="10"/>
      <c r="I145" s="10"/>
      <c r="J145" s="10"/>
      <c r="K145" s="10"/>
      <c r="L145" s="10"/>
      <c r="N145" s="10"/>
      <c r="R145" s="10"/>
      <c r="W145" s="10"/>
      <c r="AC145" s="10"/>
      <c r="AJ145" s="10"/>
      <c r="AR145" s="10"/>
      <c r="BA145" s="10"/>
    </row>
    <row r="146" spans="5:53" s="9" customFormat="1" x14ac:dyDescent="0.25">
      <c r="E146" s="10"/>
      <c r="F146" s="10"/>
      <c r="G146" s="10"/>
      <c r="H146" s="10"/>
      <c r="I146" s="10"/>
      <c r="J146" s="10"/>
      <c r="K146" s="10"/>
      <c r="L146" s="10"/>
      <c r="N146" s="10"/>
      <c r="R146" s="10"/>
      <c r="W146" s="10"/>
      <c r="AC146" s="10"/>
      <c r="AJ146" s="10"/>
      <c r="AR146" s="10"/>
      <c r="BA146" s="10"/>
    </row>
    <row r="147" spans="5:53" s="9" customFormat="1" x14ac:dyDescent="0.25">
      <c r="E147" s="10"/>
      <c r="F147" s="10"/>
      <c r="G147" s="10"/>
      <c r="H147" s="10"/>
      <c r="I147" s="10"/>
      <c r="J147" s="10"/>
      <c r="K147" s="10"/>
      <c r="L147" s="10"/>
      <c r="N147" s="10"/>
      <c r="R147" s="10"/>
      <c r="W147" s="10"/>
      <c r="AC147" s="10"/>
      <c r="AJ147" s="10"/>
      <c r="AR147" s="10"/>
      <c r="BA147" s="10"/>
    </row>
    <row r="148" spans="5:53" s="9" customFormat="1" x14ac:dyDescent="0.25">
      <c r="E148" s="10"/>
      <c r="F148" s="10"/>
      <c r="G148" s="10"/>
      <c r="H148" s="10"/>
      <c r="I148" s="10"/>
      <c r="J148" s="10"/>
      <c r="K148" s="10"/>
      <c r="L148" s="10"/>
      <c r="N148" s="10"/>
      <c r="R148" s="10"/>
      <c r="W148" s="10"/>
      <c r="AC148" s="10"/>
      <c r="AJ148" s="10"/>
      <c r="AR148" s="10"/>
      <c r="BA148" s="10"/>
    </row>
    <row r="149" spans="5:53" s="9" customFormat="1" x14ac:dyDescent="0.25">
      <c r="E149" s="10"/>
      <c r="F149" s="10"/>
      <c r="G149" s="10"/>
      <c r="H149" s="10"/>
      <c r="I149" s="10"/>
      <c r="J149" s="10"/>
      <c r="K149" s="10"/>
      <c r="L149" s="10"/>
      <c r="N149" s="10"/>
      <c r="R149" s="10"/>
      <c r="W149" s="10"/>
      <c r="AC149" s="10"/>
      <c r="AJ149" s="10"/>
      <c r="AR149" s="10"/>
      <c r="BA149" s="10"/>
    </row>
    <row r="150" spans="5:53" s="9" customFormat="1" x14ac:dyDescent="0.25">
      <c r="E150" s="10"/>
      <c r="F150" s="10"/>
      <c r="G150" s="10"/>
      <c r="H150" s="10"/>
      <c r="I150" s="10"/>
      <c r="J150" s="10"/>
      <c r="K150" s="10"/>
      <c r="L150" s="10"/>
      <c r="N150" s="10"/>
      <c r="R150" s="10"/>
      <c r="W150" s="10"/>
      <c r="AC150" s="10"/>
      <c r="AJ150" s="10"/>
      <c r="AR150" s="10"/>
      <c r="BA150" s="10"/>
    </row>
    <row r="151" spans="5:53" s="9" customFormat="1" x14ac:dyDescent="0.25">
      <c r="E151" s="10"/>
      <c r="F151" s="10"/>
      <c r="G151" s="10"/>
      <c r="H151" s="10"/>
      <c r="I151" s="10"/>
      <c r="J151" s="10"/>
      <c r="K151" s="10"/>
      <c r="L151" s="10"/>
      <c r="N151" s="10"/>
      <c r="R151" s="10"/>
      <c r="W151" s="10"/>
      <c r="AC151" s="10"/>
      <c r="AJ151" s="10"/>
      <c r="AR151" s="10"/>
      <c r="BA151" s="10"/>
    </row>
    <row r="152" spans="5:53" s="9" customFormat="1" x14ac:dyDescent="0.25">
      <c r="E152" s="10"/>
      <c r="F152" s="10"/>
      <c r="G152" s="10"/>
      <c r="H152" s="10"/>
      <c r="I152" s="10"/>
      <c r="J152" s="10"/>
      <c r="K152" s="10"/>
      <c r="L152" s="10"/>
      <c r="N152" s="10"/>
      <c r="R152" s="10"/>
      <c r="W152" s="10"/>
      <c r="AC152" s="10"/>
      <c r="AJ152" s="10"/>
      <c r="AR152" s="10"/>
      <c r="BA152" s="10"/>
    </row>
    <row r="153" spans="5:53" s="9" customFormat="1" x14ac:dyDescent="0.25">
      <c r="E153" s="10"/>
      <c r="F153" s="10"/>
      <c r="G153" s="10"/>
      <c r="H153" s="10"/>
      <c r="I153" s="10"/>
      <c r="J153" s="10"/>
      <c r="K153" s="10"/>
      <c r="L153" s="10"/>
      <c r="N153" s="10"/>
      <c r="R153" s="10"/>
      <c r="W153" s="10"/>
      <c r="AC153" s="10"/>
      <c r="AJ153" s="10"/>
      <c r="AR153" s="10"/>
      <c r="BA153" s="10"/>
    </row>
    <row r="154" spans="5:53" s="9" customFormat="1" x14ac:dyDescent="0.25">
      <c r="E154" s="10"/>
      <c r="F154" s="10"/>
      <c r="G154" s="10"/>
      <c r="H154" s="10"/>
      <c r="I154" s="10"/>
      <c r="J154" s="10"/>
      <c r="K154" s="10"/>
      <c r="L154" s="10"/>
      <c r="N154" s="10"/>
      <c r="R154" s="10"/>
      <c r="W154" s="10"/>
      <c r="AC154" s="10"/>
      <c r="AJ154" s="10"/>
      <c r="AR154" s="10"/>
      <c r="BA154" s="10"/>
    </row>
    <row r="155" spans="5:53" s="9" customFormat="1" x14ac:dyDescent="0.25">
      <c r="E155" s="10"/>
      <c r="F155" s="10"/>
      <c r="G155" s="10"/>
      <c r="H155" s="10"/>
      <c r="I155" s="10"/>
      <c r="J155" s="10"/>
      <c r="K155" s="10"/>
      <c r="L155" s="10"/>
      <c r="N155" s="10"/>
      <c r="R155" s="10"/>
      <c r="W155" s="10"/>
      <c r="AC155" s="10"/>
      <c r="AJ155" s="10"/>
      <c r="AR155" s="10"/>
      <c r="BA155" s="10"/>
    </row>
    <row r="156" spans="5:53" s="9" customFormat="1" x14ac:dyDescent="0.25">
      <c r="E156" s="10"/>
      <c r="F156" s="10"/>
      <c r="G156" s="10"/>
      <c r="H156" s="10"/>
      <c r="I156" s="10"/>
      <c r="J156" s="10"/>
      <c r="K156" s="10"/>
      <c r="L156" s="10"/>
      <c r="N156" s="10"/>
      <c r="R156" s="10"/>
      <c r="W156" s="10"/>
      <c r="AC156" s="10"/>
      <c r="AJ156" s="10"/>
      <c r="AR156" s="10"/>
      <c r="BA156" s="10"/>
    </row>
    <row r="157" spans="5:53" s="9" customFormat="1" x14ac:dyDescent="0.25">
      <c r="E157" s="10"/>
      <c r="F157" s="10"/>
      <c r="G157" s="10"/>
      <c r="H157" s="10"/>
      <c r="I157" s="10"/>
      <c r="J157" s="10"/>
      <c r="K157" s="10"/>
      <c r="L157" s="10"/>
      <c r="N157" s="10"/>
      <c r="R157" s="10"/>
      <c r="W157" s="10"/>
      <c r="AC157" s="10"/>
      <c r="AJ157" s="10"/>
      <c r="AR157" s="10"/>
      <c r="BA157" s="10"/>
    </row>
    <row r="158" spans="5:53" s="9" customFormat="1" x14ac:dyDescent="0.25">
      <c r="E158" s="10"/>
      <c r="F158" s="10"/>
      <c r="G158" s="10"/>
      <c r="H158" s="10"/>
      <c r="I158" s="10"/>
      <c r="J158" s="10"/>
      <c r="K158" s="10"/>
      <c r="L158" s="10"/>
      <c r="N158" s="10"/>
      <c r="R158" s="10"/>
      <c r="W158" s="10"/>
      <c r="AC158" s="10"/>
      <c r="AJ158" s="10"/>
      <c r="AR158" s="10"/>
      <c r="BA158" s="10"/>
    </row>
    <row r="159" spans="5:53" s="9" customFormat="1" x14ac:dyDescent="0.25">
      <c r="E159" s="10"/>
      <c r="F159" s="10"/>
      <c r="G159" s="10"/>
      <c r="H159" s="10"/>
      <c r="I159" s="10"/>
      <c r="J159" s="10"/>
      <c r="K159" s="10"/>
      <c r="L159" s="10"/>
      <c r="N159" s="10"/>
      <c r="R159" s="10"/>
      <c r="W159" s="10"/>
      <c r="AC159" s="10"/>
      <c r="AJ159" s="10"/>
      <c r="AR159" s="10"/>
      <c r="BA159" s="10"/>
    </row>
    <row r="160" spans="5:53" s="9" customFormat="1" x14ac:dyDescent="0.25">
      <c r="E160" s="10"/>
      <c r="F160" s="10"/>
      <c r="G160" s="10"/>
      <c r="H160" s="10"/>
      <c r="I160" s="10"/>
      <c r="J160" s="10"/>
      <c r="K160" s="10"/>
      <c r="L160" s="10"/>
      <c r="N160" s="10"/>
      <c r="R160" s="10"/>
      <c r="W160" s="10"/>
      <c r="AC160" s="10"/>
      <c r="AJ160" s="10"/>
      <c r="AR160" s="10"/>
      <c r="BA160" s="10"/>
    </row>
    <row r="161" spans="5:53" s="9" customFormat="1" x14ac:dyDescent="0.25">
      <c r="E161" s="10"/>
      <c r="F161" s="10"/>
      <c r="G161" s="10"/>
      <c r="H161" s="10"/>
      <c r="I161" s="10"/>
      <c r="J161" s="10"/>
      <c r="K161" s="10"/>
      <c r="L161" s="10"/>
      <c r="N161" s="10"/>
      <c r="R161" s="10"/>
      <c r="W161" s="10"/>
      <c r="AC161" s="10"/>
      <c r="AJ161" s="10"/>
      <c r="AR161" s="10"/>
      <c r="BA161" s="10"/>
    </row>
    <row r="162" spans="5:53" s="9" customFormat="1" x14ac:dyDescent="0.25">
      <c r="E162" s="10"/>
      <c r="F162" s="10"/>
      <c r="G162" s="10"/>
      <c r="H162" s="10"/>
      <c r="I162" s="10"/>
      <c r="J162" s="10"/>
      <c r="K162" s="10"/>
      <c r="L162" s="10"/>
      <c r="N162" s="10"/>
      <c r="R162" s="10"/>
      <c r="W162" s="10"/>
      <c r="AC162" s="10"/>
      <c r="AJ162" s="10"/>
      <c r="AR162" s="10"/>
      <c r="BA162" s="10"/>
    </row>
    <row r="163" spans="5:53" s="9" customFormat="1" x14ac:dyDescent="0.25">
      <c r="E163" s="10"/>
      <c r="F163" s="10"/>
      <c r="G163" s="10"/>
      <c r="H163" s="10"/>
      <c r="I163" s="10"/>
      <c r="J163" s="10"/>
      <c r="K163" s="10"/>
      <c r="L163" s="10"/>
      <c r="N163" s="10"/>
      <c r="R163" s="10"/>
      <c r="W163" s="10"/>
      <c r="AC163" s="10"/>
      <c r="AJ163" s="10"/>
      <c r="AR163" s="10"/>
      <c r="BA163" s="10"/>
    </row>
    <row r="164" spans="5:53" s="9" customFormat="1" x14ac:dyDescent="0.25">
      <c r="E164" s="10"/>
      <c r="F164" s="10"/>
      <c r="G164" s="10"/>
      <c r="H164" s="10"/>
      <c r="I164" s="10"/>
      <c r="J164" s="10"/>
      <c r="K164" s="10"/>
      <c r="L164" s="10"/>
      <c r="N164" s="10"/>
      <c r="R164" s="10"/>
      <c r="W164" s="10"/>
      <c r="AC164" s="10"/>
      <c r="AJ164" s="10"/>
      <c r="AR164" s="10"/>
      <c r="BA164" s="10"/>
    </row>
    <row r="165" spans="5:53" s="9" customFormat="1" x14ac:dyDescent="0.25">
      <c r="E165" s="10"/>
      <c r="F165" s="10"/>
      <c r="G165" s="10"/>
      <c r="H165" s="10"/>
      <c r="I165" s="10"/>
      <c r="J165" s="10"/>
      <c r="K165" s="10"/>
      <c r="L165" s="10"/>
      <c r="N165" s="10"/>
      <c r="R165" s="10"/>
      <c r="W165" s="10"/>
      <c r="AC165" s="10"/>
      <c r="AJ165" s="10"/>
      <c r="AR165" s="10"/>
      <c r="BA165" s="10"/>
    </row>
    <row r="166" spans="5:53" s="9" customFormat="1" x14ac:dyDescent="0.25">
      <c r="E166" s="10"/>
      <c r="F166" s="10"/>
      <c r="G166" s="10"/>
      <c r="H166" s="10"/>
      <c r="I166" s="10"/>
      <c r="J166" s="10"/>
      <c r="K166" s="10"/>
      <c r="L166" s="10"/>
      <c r="N166" s="10"/>
      <c r="R166" s="10"/>
      <c r="W166" s="10"/>
      <c r="AC166" s="10"/>
      <c r="AJ166" s="10"/>
      <c r="AR166" s="10"/>
      <c r="BA166" s="10"/>
    </row>
    <row r="167" spans="5:53" s="9" customFormat="1" x14ac:dyDescent="0.25">
      <c r="E167" s="10"/>
      <c r="F167" s="10"/>
      <c r="G167" s="10"/>
      <c r="H167" s="10"/>
      <c r="I167" s="10"/>
      <c r="J167" s="10"/>
      <c r="K167" s="10"/>
      <c r="L167" s="10"/>
      <c r="N167" s="10"/>
      <c r="R167" s="10"/>
      <c r="W167" s="10"/>
      <c r="AC167" s="10"/>
      <c r="AJ167" s="10"/>
      <c r="AR167" s="10"/>
      <c r="BA167" s="10"/>
    </row>
    <row r="168" spans="5:53" s="9" customFormat="1" x14ac:dyDescent="0.25">
      <c r="E168" s="10"/>
      <c r="F168" s="10"/>
      <c r="G168" s="10"/>
      <c r="H168" s="10"/>
      <c r="I168" s="10"/>
      <c r="J168" s="10"/>
      <c r="K168" s="10"/>
      <c r="L168" s="10"/>
      <c r="N168" s="10"/>
      <c r="R168" s="10"/>
      <c r="W168" s="10"/>
      <c r="AC168" s="10"/>
      <c r="AJ168" s="10"/>
      <c r="AR168" s="10"/>
      <c r="BA168" s="10"/>
    </row>
    <row r="169" spans="5:53" s="9" customFormat="1" x14ac:dyDescent="0.25">
      <c r="E169" s="10"/>
      <c r="F169" s="10"/>
      <c r="G169" s="10"/>
      <c r="H169" s="10"/>
      <c r="I169" s="10"/>
      <c r="J169" s="10"/>
      <c r="K169" s="10"/>
      <c r="L169" s="10"/>
      <c r="N169" s="10"/>
      <c r="R169" s="10"/>
      <c r="W169" s="10"/>
      <c r="AC169" s="10"/>
      <c r="AJ169" s="10"/>
      <c r="AR169" s="10"/>
      <c r="BA169" s="10"/>
    </row>
    <row r="170" spans="5:53" s="9" customFormat="1" x14ac:dyDescent="0.25">
      <c r="E170" s="10"/>
      <c r="F170" s="10"/>
      <c r="G170" s="10"/>
      <c r="H170" s="10"/>
      <c r="I170" s="10"/>
      <c r="J170" s="10"/>
      <c r="K170" s="10"/>
      <c r="L170" s="10"/>
      <c r="N170" s="10"/>
      <c r="R170" s="10"/>
      <c r="W170" s="10"/>
      <c r="AC170" s="10"/>
      <c r="AJ170" s="10"/>
      <c r="AR170" s="10"/>
      <c r="BA170" s="10"/>
    </row>
    <row r="171" spans="5:53" s="9" customFormat="1" x14ac:dyDescent="0.25">
      <c r="E171" s="10"/>
      <c r="F171" s="10"/>
      <c r="G171" s="10"/>
      <c r="H171" s="10"/>
      <c r="I171" s="10"/>
      <c r="J171" s="10"/>
      <c r="K171" s="10"/>
      <c r="L171" s="10"/>
      <c r="N171" s="10"/>
      <c r="R171" s="10"/>
      <c r="W171" s="10"/>
      <c r="AC171" s="10"/>
      <c r="AJ171" s="10"/>
      <c r="AR171" s="10"/>
      <c r="BA171" s="10"/>
    </row>
    <row r="172" spans="5:53" s="9" customFormat="1" x14ac:dyDescent="0.25">
      <c r="E172" s="10"/>
      <c r="F172" s="10"/>
      <c r="G172" s="10"/>
      <c r="H172" s="10"/>
      <c r="I172" s="10"/>
      <c r="J172" s="10"/>
      <c r="K172" s="10"/>
      <c r="L172" s="10"/>
      <c r="N172" s="10"/>
      <c r="R172" s="10"/>
      <c r="W172" s="10"/>
      <c r="AC172" s="10"/>
      <c r="AJ172" s="10"/>
      <c r="AR172" s="10"/>
      <c r="BA172" s="10"/>
    </row>
    <row r="173" spans="5:53" s="9" customFormat="1" x14ac:dyDescent="0.25">
      <c r="E173" s="10"/>
      <c r="F173" s="10"/>
      <c r="G173" s="10"/>
      <c r="H173" s="10"/>
      <c r="I173" s="10"/>
      <c r="J173" s="10"/>
      <c r="K173" s="10"/>
      <c r="L173" s="10"/>
      <c r="N173" s="10"/>
      <c r="R173" s="10"/>
      <c r="W173" s="10"/>
      <c r="AC173" s="10"/>
      <c r="AJ173" s="10"/>
      <c r="AR173" s="10"/>
      <c r="BA173" s="10"/>
    </row>
    <row r="174" spans="5:53" s="9" customFormat="1" x14ac:dyDescent="0.25">
      <c r="E174" s="10"/>
      <c r="F174" s="10"/>
      <c r="G174" s="10"/>
      <c r="H174" s="10"/>
      <c r="I174" s="10"/>
      <c r="J174" s="10"/>
      <c r="K174" s="10"/>
      <c r="L174" s="10"/>
      <c r="N174" s="10"/>
      <c r="R174" s="10"/>
      <c r="W174" s="10"/>
      <c r="AC174" s="10"/>
      <c r="AJ174" s="10"/>
      <c r="AR174" s="10"/>
      <c r="BA174" s="10"/>
    </row>
    <row r="175" spans="5:53" s="9" customFormat="1" x14ac:dyDescent="0.25">
      <c r="E175" s="10"/>
      <c r="F175" s="10"/>
      <c r="G175" s="10"/>
      <c r="H175" s="10"/>
      <c r="I175" s="10"/>
      <c r="J175" s="10"/>
      <c r="K175" s="10"/>
      <c r="L175" s="10"/>
      <c r="N175" s="10"/>
      <c r="R175" s="10"/>
      <c r="W175" s="10"/>
      <c r="AC175" s="10"/>
      <c r="AJ175" s="10"/>
      <c r="AR175" s="10"/>
      <c r="BA175" s="10"/>
    </row>
    <row r="176" spans="5:53" s="9" customFormat="1" x14ac:dyDescent="0.25">
      <c r="E176" s="10"/>
      <c r="F176" s="10"/>
      <c r="G176" s="10"/>
      <c r="H176" s="10"/>
      <c r="I176" s="10"/>
      <c r="J176" s="10"/>
      <c r="K176" s="10"/>
      <c r="L176" s="10"/>
      <c r="N176" s="10"/>
      <c r="R176" s="10"/>
      <c r="W176" s="10"/>
      <c r="AC176" s="10"/>
      <c r="AJ176" s="10"/>
      <c r="AR176" s="10"/>
      <c r="BA176" s="10"/>
    </row>
    <row r="177" spans="5:53" s="9" customFormat="1" x14ac:dyDescent="0.25">
      <c r="E177" s="10"/>
      <c r="F177" s="10"/>
      <c r="G177" s="10"/>
      <c r="H177" s="10"/>
      <c r="I177" s="10"/>
      <c r="J177" s="10"/>
      <c r="K177" s="10"/>
      <c r="L177" s="10"/>
      <c r="N177" s="10"/>
      <c r="R177" s="10"/>
      <c r="W177" s="10"/>
      <c r="AC177" s="10"/>
      <c r="AJ177" s="10"/>
      <c r="AR177" s="10"/>
      <c r="BA177" s="10"/>
    </row>
    <row r="178" spans="5:53" s="9" customFormat="1" x14ac:dyDescent="0.25">
      <c r="E178" s="10"/>
      <c r="F178" s="10"/>
      <c r="G178" s="10"/>
      <c r="H178" s="10"/>
      <c r="I178" s="10"/>
      <c r="J178" s="10"/>
      <c r="K178" s="10"/>
      <c r="L178" s="10"/>
      <c r="N178" s="10"/>
      <c r="R178" s="10"/>
      <c r="W178" s="10"/>
      <c r="AC178" s="10"/>
      <c r="AJ178" s="10"/>
      <c r="AR178" s="10"/>
      <c r="BA178" s="10"/>
    </row>
    <row r="179" spans="5:53" s="9" customFormat="1" x14ac:dyDescent="0.25">
      <c r="E179" s="10"/>
      <c r="F179" s="10"/>
      <c r="G179" s="10"/>
      <c r="H179" s="10"/>
      <c r="I179" s="10"/>
      <c r="J179" s="10"/>
      <c r="K179" s="10"/>
      <c r="L179" s="10"/>
      <c r="N179" s="10"/>
      <c r="R179" s="10"/>
      <c r="W179" s="10"/>
      <c r="AC179" s="10"/>
      <c r="AJ179" s="10"/>
      <c r="AR179" s="10"/>
      <c r="BA179" s="10"/>
    </row>
    <row r="180" spans="5:53" s="9" customFormat="1" x14ac:dyDescent="0.25">
      <c r="E180" s="10"/>
      <c r="F180" s="10"/>
      <c r="G180" s="10"/>
      <c r="H180" s="10"/>
      <c r="I180" s="10"/>
      <c r="J180" s="10"/>
      <c r="K180" s="10"/>
      <c r="L180" s="10"/>
      <c r="N180" s="10"/>
      <c r="R180" s="10"/>
      <c r="W180" s="10"/>
      <c r="AC180" s="10"/>
      <c r="AJ180" s="10"/>
      <c r="AR180" s="10"/>
      <c r="BA180" s="10"/>
    </row>
    <row r="181" spans="5:53" s="9" customFormat="1" x14ac:dyDescent="0.25">
      <c r="E181" s="10"/>
      <c r="F181" s="10"/>
      <c r="G181" s="10"/>
      <c r="H181" s="10"/>
      <c r="I181" s="10"/>
      <c r="J181" s="10"/>
      <c r="K181" s="10"/>
      <c r="L181" s="10"/>
      <c r="N181" s="10"/>
      <c r="R181" s="10"/>
      <c r="W181" s="10"/>
      <c r="AC181" s="10"/>
      <c r="AJ181" s="10"/>
      <c r="AR181" s="10"/>
      <c r="BA181" s="10"/>
    </row>
    <row r="182" spans="5:53" s="9" customFormat="1" x14ac:dyDescent="0.25">
      <c r="E182" s="10"/>
      <c r="F182" s="10"/>
      <c r="G182" s="10"/>
      <c r="H182" s="10"/>
      <c r="I182" s="10"/>
      <c r="J182" s="10"/>
      <c r="K182" s="10"/>
      <c r="L182" s="10"/>
      <c r="N182" s="10"/>
      <c r="R182" s="10"/>
      <c r="W182" s="10"/>
      <c r="AC182" s="10"/>
      <c r="AJ182" s="10"/>
      <c r="AR182" s="10"/>
      <c r="BA182" s="10"/>
    </row>
    <row r="183" spans="5:53" s="9" customFormat="1" x14ac:dyDescent="0.25">
      <c r="E183" s="10"/>
      <c r="F183" s="10"/>
      <c r="G183" s="10"/>
      <c r="H183" s="10"/>
      <c r="I183" s="10"/>
      <c r="J183" s="10"/>
      <c r="K183" s="10"/>
      <c r="L183" s="10"/>
      <c r="N183" s="10"/>
      <c r="R183" s="10"/>
      <c r="W183" s="10"/>
      <c r="AC183" s="10"/>
      <c r="AJ183" s="10"/>
      <c r="AR183" s="10"/>
      <c r="BA183" s="10"/>
    </row>
    <row r="184" spans="5:53" s="9" customFormat="1" x14ac:dyDescent="0.25">
      <c r="E184" s="10"/>
      <c r="F184" s="10"/>
      <c r="G184" s="10"/>
      <c r="H184" s="10"/>
      <c r="I184" s="10"/>
      <c r="J184" s="10"/>
      <c r="K184" s="10"/>
      <c r="L184" s="10"/>
      <c r="N184" s="10"/>
      <c r="R184" s="10"/>
      <c r="W184" s="10"/>
      <c r="AC184" s="10"/>
      <c r="AJ184" s="10"/>
      <c r="AR184" s="10"/>
      <c r="BA184" s="10"/>
    </row>
    <row r="185" spans="5:53" s="9" customFormat="1" x14ac:dyDescent="0.25">
      <c r="E185" s="10"/>
      <c r="F185" s="10"/>
      <c r="G185" s="10"/>
      <c r="H185" s="10"/>
      <c r="I185" s="10"/>
      <c r="J185" s="10"/>
      <c r="K185" s="10"/>
      <c r="L185" s="10"/>
      <c r="N185" s="10"/>
      <c r="R185" s="10"/>
      <c r="W185" s="10"/>
      <c r="AC185" s="10"/>
      <c r="AJ185" s="10"/>
      <c r="AR185" s="10"/>
      <c r="BA185" s="10"/>
    </row>
    <row r="186" spans="5:53" s="9" customFormat="1" x14ac:dyDescent="0.25">
      <c r="E186" s="10"/>
      <c r="F186" s="10"/>
      <c r="G186" s="10"/>
      <c r="H186" s="10"/>
      <c r="I186" s="10"/>
      <c r="J186" s="10"/>
      <c r="K186" s="10"/>
      <c r="L186" s="10"/>
      <c r="N186" s="10"/>
      <c r="R186" s="10"/>
      <c r="W186" s="10"/>
      <c r="AC186" s="10"/>
      <c r="AJ186" s="10"/>
      <c r="AR186" s="10"/>
      <c r="BA186" s="10"/>
    </row>
    <row r="187" spans="5:53" s="9" customFormat="1" x14ac:dyDescent="0.25">
      <c r="E187" s="10"/>
      <c r="F187" s="10"/>
      <c r="G187" s="10"/>
      <c r="H187" s="10"/>
      <c r="I187" s="10"/>
      <c r="J187" s="10"/>
      <c r="K187" s="10"/>
      <c r="L187" s="10"/>
      <c r="N187" s="10"/>
      <c r="R187" s="10"/>
      <c r="W187" s="10"/>
      <c r="AC187" s="10"/>
      <c r="AJ187" s="10"/>
      <c r="AR187" s="10"/>
      <c r="BA187" s="10"/>
    </row>
    <row r="188" spans="5:53" s="9" customFormat="1" x14ac:dyDescent="0.25">
      <c r="E188" s="10"/>
      <c r="F188" s="10"/>
      <c r="G188" s="10"/>
      <c r="H188" s="10"/>
      <c r="I188" s="10"/>
      <c r="J188" s="10"/>
      <c r="K188" s="10"/>
      <c r="L188" s="10"/>
      <c r="N188" s="10"/>
      <c r="R188" s="10"/>
      <c r="W188" s="10"/>
      <c r="AC188" s="10"/>
      <c r="AJ188" s="10"/>
      <c r="AR188" s="10"/>
      <c r="BA188" s="10"/>
    </row>
    <row r="189" spans="5:53" s="9" customFormat="1" x14ac:dyDescent="0.25">
      <c r="E189" s="10"/>
      <c r="F189" s="10"/>
      <c r="G189" s="10"/>
      <c r="H189" s="10"/>
      <c r="I189" s="10"/>
      <c r="J189" s="10"/>
      <c r="K189" s="10"/>
      <c r="L189" s="10"/>
      <c r="N189" s="10"/>
      <c r="R189" s="10"/>
      <c r="W189" s="10"/>
      <c r="AC189" s="10"/>
      <c r="AJ189" s="10"/>
      <c r="AR189" s="10"/>
      <c r="BA189" s="10"/>
    </row>
    <row r="190" spans="5:53" s="9" customFormat="1" x14ac:dyDescent="0.25">
      <c r="E190" s="10"/>
      <c r="F190" s="10"/>
      <c r="G190" s="10"/>
      <c r="H190" s="10"/>
      <c r="I190" s="10"/>
      <c r="J190" s="10"/>
      <c r="K190" s="10"/>
      <c r="L190" s="10"/>
      <c r="N190" s="10"/>
      <c r="R190" s="10"/>
      <c r="W190" s="10"/>
      <c r="AC190" s="10"/>
      <c r="AJ190" s="10"/>
      <c r="AR190" s="10"/>
      <c r="BA190" s="10"/>
    </row>
    <row r="191" spans="5:53" s="9" customFormat="1" x14ac:dyDescent="0.25">
      <c r="E191" s="10"/>
      <c r="F191" s="10"/>
      <c r="G191" s="10"/>
      <c r="H191" s="10"/>
      <c r="I191" s="10"/>
      <c r="J191" s="10"/>
      <c r="K191" s="10"/>
      <c r="L191" s="10"/>
      <c r="N191" s="10"/>
      <c r="R191" s="10"/>
      <c r="W191" s="10"/>
      <c r="AC191" s="10"/>
      <c r="AJ191" s="10"/>
      <c r="AR191" s="10"/>
      <c r="BA191" s="10"/>
    </row>
    <row r="192" spans="5:53" s="9" customFormat="1" x14ac:dyDescent="0.25">
      <c r="E192" s="10"/>
      <c r="F192" s="10"/>
      <c r="G192" s="10"/>
      <c r="H192" s="10"/>
      <c r="I192" s="10"/>
      <c r="J192" s="10"/>
      <c r="K192" s="10"/>
      <c r="L192" s="10"/>
      <c r="N192" s="10"/>
      <c r="R192" s="10"/>
      <c r="W192" s="10"/>
      <c r="AC192" s="10"/>
      <c r="AJ192" s="10"/>
      <c r="AR192" s="10"/>
      <c r="BA192" s="10"/>
    </row>
    <row r="193" spans="1:53" s="9" customFormat="1" x14ac:dyDescent="0.25">
      <c r="E193" s="10"/>
      <c r="F193" s="10"/>
      <c r="G193" s="10"/>
      <c r="H193" s="10"/>
      <c r="I193" s="10"/>
      <c r="J193" s="10"/>
      <c r="K193" s="10"/>
      <c r="L193" s="10"/>
      <c r="N193" s="10"/>
      <c r="R193" s="10"/>
      <c r="W193" s="10"/>
      <c r="AC193" s="10"/>
      <c r="AJ193" s="10"/>
      <c r="AR193" s="10"/>
      <c r="BA193" s="10"/>
    </row>
    <row r="194" spans="1:53" s="9" customFormat="1" x14ac:dyDescent="0.25">
      <c r="E194" s="10"/>
      <c r="F194" s="10"/>
      <c r="G194" s="10"/>
      <c r="H194" s="10"/>
      <c r="I194" s="10"/>
      <c r="J194" s="10"/>
      <c r="K194" s="10"/>
      <c r="L194" s="10"/>
      <c r="N194" s="10"/>
      <c r="R194" s="10"/>
      <c r="W194" s="10"/>
      <c r="AC194" s="10"/>
      <c r="AJ194" s="10"/>
      <c r="AR194" s="10"/>
      <c r="BA194" s="10"/>
    </row>
    <row r="195" spans="1:53" s="9" customFormat="1" x14ac:dyDescent="0.25">
      <c r="E195" s="10"/>
      <c r="F195" s="10"/>
      <c r="G195" s="10"/>
      <c r="H195" s="10"/>
      <c r="I195" s="10"/>
      <c r="J195" s="10"/>
      <c r="K195" s="10"/>
      <c r="L195" s="10"/>
      <c r="N195" s="10"/>
      <c r="R195" s="10"/>
      <c r="W195" s="10"/>
      <c r="AC195" s="10"/>
      <c r="AJ195" s="10"/>
      <c r="AR195" s="10"/>
      <c r="BA195" s="10"/>
    </row>
    <row r="196" spans="1:53" s="9" customFormat="1" x14ac:dyDescent="0.25">
      <c r="E196" s="10"/>
      <c r="F196" s="10"/>
      <c r="G196" s="10"/>
      <c r="H196" s="10"/>
      <c r="I196" s="10"/>
      <c r="J196" s="10"/>
      <c r="K196" s="10"/>
      <c r="L196" s="10"/>
      <c r="N196" s="10"/>
      <c r="R196" s="10"/>
      <c r="W196" s="10"/>
      <c r="AC196" s="10"/>
      <c r="AJ196" s="10"/>
      <c r="AR196" s="10"/>
      <c r="BA196" s="10"/>
    </row>
    <row r="197" spans="1:53" s="9" customFormat="1" x14ac:dyDescent="0.25">
      <c r="A197"/>
      <c r="B197"/>
      <c r="E197" s="10"/>
      <c r="F197" s="10"/>
      <c r="G197" s="10"/>
      <c r="H197" s="10"/>
      <c r="I197" s="10"/>
      <c r="J197" s="10"/>
      <c r="K197" s="10"/>
      <c r="L197" s="10"/>
      <c r="N197" s="10"/>
      <c r="R197" s="10"/>
      <c r="W197" s="10"/>
      <c r="AC197" s="10"/>
      <c r="AJ197" s="10"/>
      <c r="AR197" s="10"/>
      <c r="BA197" s="10"/>
    </row>
    <row r="198" spans="1:53" s="9" customFormat="1" x14ac:dyDescent="0.25">
      <c r="A198"/>
      <c r="B198"/>
      <c r="C198"/>
      <c r="D198"/>
      <c r="E198" s="10"/>
      <c r="F198" s="10"/>
      <c r="G198" s="10"/>
      <c r="H198" s="10"/>
      <c r="I198" s="10"/>
      <c r="J198" s="10"/>
      <c r="K198" s="10"/>
      <c r="L198" s="10"/>
      <c r="N198" s="10"/>
      <c r="R198" s="10"/>
      <c r="W198" s="10"/>
      <c r="AC198" s="10"/>
      <c r="AJ198" s="10"/>
      <c r="AR198" s="10"/>
      <c r="BA198" s="10"/>
    </row>
    <row r="199" spans="1:53" s="9" customFormat="1" x14ac:dyDescent="0.25">
      <c r="A199"/>
      <c r="B199"/>
      <c r="C199"/>
      <c r="D199"/>
      <c r="E199" s="10"/>
      <c r="F199" s="10"/>
      <c r="G199" s="10"/>
      <c r="H199" s="10"/>
      <c r="I199" s="10"/>
      <c r="J199" s="10"/>
      <c r="K199" s="10"/>
      <c r="L199" s="10"/>
      <c r="N199" s="10"/>
      <c r="R199" s="10"/>
      <c r="W199" s="10"/>
      <c r="AC199" s="10"/>
      <c r="AJ199" s="10"/>
      <c r="AR199" s="10"/>
      <c r="BA199" s="10"/>
    </row>
    <row r="200" spans="1:53" s="9" customFormat="1" x14ac:dyDescent="0.25">
      <c r="A200"/>
      <c r="B200"/>
      <c r="C200"/>
      <c r="D200"/>
      <c r="E200" s="10"/>
      <c r="F200" s="10"/>
      <c r="G200" s="10"/>
      <c r="H200" s="10"/>
      <c r="I200" s="10"/>
      <c r="J200" s="10"/>
      <c r="K200" s="10"/>
      <c r="L200" s="10"/>
      <c r="N200" s="10"/>
      <c r="R200" s="10"/>
      <c r="W200" s="10"/>
      <c r="AC200" s="10"/>
      <c r="AJ200" s="10"/>
      <c r="AR200" s="10"/>
      <c r="BA200" s="10"/>
    </row>
    <row r="201" spans="1:53" s="9" customFormat="1" x14ac:dyDescent="0.25">
      <c r="A201"/>
      <c r="B201"/>
      <c r="C201"/>
      <c r="D201"/>
      <c r="E201" s="10"/>
      <c r="F201" s="10"/>
      <c r="G201" s="10"/>
      <c r="H201" s="10"/>
      <c r="I201" s="10"/>
      <c r="J201" s="10"/>
      <c r="K201" s="10"/>
      <c r="L201" s="10"/>
      <c r="N201" s="10"/>
      <c r="R201" s="10"/>
      <c r="W201" s="10"/>
      <c r="AC201" s="10"/>
      <c r="AJ201" s="10"/>
      <c r="AR201" s="10"/>
      <c r="BA201" s="10"/>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8"/>
  <sheetViews>
    <sheetView zoomScaleNormal="100" workbookViewId="0">
      <pane ySplit="3" topLeftCell="A256" activePane="bottomLeft" state="frozen"/>
      <selection pane="bottomLeft" activeCell="F4" sqref="F4:F261"/>
    </sheetView>
  </sheetViews>
  <sheetFormatPr baseColWidth="10" defaultColWidth="11.5703125" defaultRowHeight="11.25" x14ac:dyDescent="0.25"/>
  <cols>
    <col min="1" max="1" width="3.28515625" style="57" customWidth="1"/>
    <col min="2" max="2" width="11.28515625" style="55" customWidth="1"/>
    <col min="3" max="3" width="32" style="55" customWidth="1"/>
    <col min="4" max="4" width="6.28515625" style="13" customWidth="1"/>
    <col min="5" max="5" width="5" style="57" customWidth="1"/>
    <col min="6" max="6" width="37.42578125" style="55" customWidth="1"/>
    <col min="7" max="7" width="9" style="13" customWidth="1"/>
    <col min="8" max="8" width="9.42578125" style="13" bestFit="1" customWidth="1"/>
    <col min="9" max="9" width="9.42578125" style="13" customWidth="1"/>
    <col min="10" max="10" width="10.85546875" style="57" customWidth="1"/>
    <col min="11" max="11" width="36.28515625" style="57" customWidth="1"/>
    <col min="12" max="12" width="24.140625" style="57" customWidth="1"/>
    <col min="13" max="13" width="36.28515625" style="57" customWidth="1"/>
    <col min="14" max="14" width="15.28515625" style="57" customWidth="1"/>
    <col min="15" max="15" width="12.7109375" style="57" customWidth="1"/>
    <col min="16" max="16384" width="11.5703125" style="57"/>
  </cols>
  <sheetData>
    <row r="1" spans="2:20" ht="21" x14ac:dyDescent="0.25">
      <c r="B1" s="45"/>
      <c r="C1" s="53"/>
      <c r="D1" s="41"/>
      <c r="E1" s="42"/>
      <c r="F1" s="42"/>
      <c r="G1" s="41"/>
      <c r="H1" s="42"/>
      <c r="I1" s="42"/>
      <c r="J1" s="42"/>
      <c r="K1" s="42"/>
      <c r="L1" s="42"/>
      <c r="M1" s="42"/>
      <c r="N1" s="42"/>
      <c r="O1" s="42"/>
      <c r="P1" s="43" t="s">
        <v>20</v>
      </c>
      <c r="Q1" s="44"/>
    </row>
    <row r="2" spans="2:20" x14ac:dyDescent="0.25">
      <c r="B2" s="57"/>
      <c r="C2" s="54"/>
      <c r="F2" s="57"/>
      <c r="H2" s="14"/>
      <c r="I2" s="14"/>
    </row>
    <row r="3" spans="2:20" s="12" customFormat="1" ht="22.5" x14ac:dyDescent="0.25">
      <c r="B3" s="274" t="s">
        <v>0</v>
      </c>
      <c r="C3" s="275" t="s">
        <v>233</v>
      </c>
      <c r="D3" s="275" t="s">
        <v>1</v>
      </c>
      <c r="E3" s="276" t="s">
        <v>23</v>
      </c>
      <c r="F3" s="275" t="s">
        <v>2</v>
      </c>
      <c r="G3" s="275" t="s">
        <v>31</v>
      </c>
      <c r="H3" s="275" t="s">
        <v>21</v>
      </c>
      <c r="I3" s="275" t="s">
        <v>487</v>
      </c>
      <c r="J3" s="275" t="s">
        <v>22</v>
      </c>
      <c r="K3" s="275" t="s">
        <v>651</v>
      </c>
      <c r="L3" s="275" t="s">
        <v>1203</v>
      </c>
      <c r="M3" s="275" t="s">
        <v>621</v>
      </c>
      <c r="N3" s="275" t="s">
        <v>1117</v>
      </c>
      <c r="O3" s="275" t="s">
        <v>650</v>
      </c>
      <c r="P3" s="275" t="s">
        <v>26</v>
      </c>
      <c r="Q3" s="304" t="s">
        <v>488</v>
      </c>
    </row>
    <row r="4" spans="2:20" ht="52.5" customHeight="1" x14ac:dyDescent="0.25">
      <c r="B4" s="278" t="s">
        <v>5</v>
      </c>
      <c r="C4" s="157" t="s">
        <v>832</v>
      </c>
      <c r="D4" s="158" t="s">
        <v>234</v>
      </c>
      <c r="E4" s="159" t="s">
        <v>24</v>
      </c>
      <c r="F4" s="173" t="s">
        <v>833</v>
      </c>
      <c r="G4" s="279" t="s">
        <v>32</v>
      </c>
      <c r="H4" s="280" t="s">
        <v>41</v>
      </c>
      <c r="I4" s="281"/>
      <c r="J4" s="279"/>
      <c r="K4" s="190"/>
      <c r="L4" s="190"/>
      <c r="M4" s="190"/>
      <c r="N4" s="190"/>
      <c r="O4" s="190"/>
      <c r="P4" s="279"/>
      <c r="Q4" s="282"/>
      <c r="S4" s="335" t="s">
        <v>1200</v>
      </c>
      <c r="T4" s="335"/>
    </row>
    <row r="5" spans="2:20" ht="33.75" x14ac:dyDescent="0.25">
      <c r="B5" s="278" t="s">
        <v>5</v>
      </c>
      <c r="C5" s="157"/>
      <c r="D5" s="158" t="s">
        <v>235</v>
      </c>
      <c r="E5" s="159" t="s">
        <v>24</v>
      </c>
      <c r="F5" s="173" t="s">
        <v>834</v>
      </c>
      <c r="G5" s="279" t="s">
        <v>32</v>
      </c>
      <c r="H5" s="280" t="s">
        <v>41</v>
      </c>
      <c r="I5" s="283"/>
      <c r="J5" s="279"/>
      <c r="K5" s="190"/>
      <c r="L5" s="190"/>
      <c r="M5" s="190"/>
      <c r="N5" s="190"/>
      <c r="O5" s="190"/>
      <c r="P5" s="279"/>
      <c r="Q5" s="282"/>
    </row>
    <row r="6" spans="2:20" ht="33.75" x14ac:dyDescent="0.25">
      <c r="B6" s="278" t="s">
        <v>5</v>
      </c>
      <c r="C6" s="157"/>
      <c r="D6" s="158" t="s">
        <v>236</v>
      </c>
      <c r="E6" s="159" t="s">
        <v>24</v>
      </c>
      <c r="F6" s="173" t="s">
        <v>668</v>
      </c>
      <c r="G6" s="279" t="s">
        <v>32</v>
      </c>
      <c r="H6" s="280" t="s">
        <v>41</v>
      </c>
      <c r="I6" s="283"/>
      <c r="J6" s="279"/>
      <c r="K6" s="190"/>
      <c r="L6" s="190"/>
      <c r="M6" s="190"/>
      <c r="N6" s="190"/>
      <c r="O6" s="190"/>
      <c r="P6" s="279"/>
      <c r="Q6" s="282"/>
    </row>
    <row r="7" spans="2:20" ht="56.25" x14ac:dyDescent="0.25">
      <c r="B7" s="278" t="s">
        <v>5</v>
      </c>
      <c r="C7" s="157"/>
      <c r="D7" s="158" t="s">
        <v>237</v>
      </c>
      <c r="E7" s="159" t="s">
        <v>24</v>
      </c>
      <c r="F7" s="320" t="s">
        <v>1217</v>
      </c>
      <c r="G7" s="279" t="s">
        <v>32</v>
      </c>
      <c r="H7" s="280" t="s">
        <v>41</v>
      </c>
      <c r="I7" s="283"/>
      <c r="J7" s="279"/>
      <c r="K7" s="190"/>
      <c r="L7" s="190"/>
      <c r="M7" s="190"/>
      <c r="N7" s="190"/>
      <c r="O7" s="190"/>
      <c r="P7" s="279"/>
      <c r="Q7" s="282"/>
    </row>
    <row r="8" spans="2:20" ht="63.95" customHeight="1" x14ac:dyDescent="0.25">
      <c r="B8" s="278" t="s">
        <v>5</v>
      </c>
      <c r="C8" s="157"/>
      <c r="D8" s="158" t="s">
        <v>669</v>
      </c>
      <c r="E8" s="159" t="s">
        <v>24</v>
      </c>
      <c r="F8" s="173" t="s">
        <v>835</v>
      </c>
      <c r="G8" s="279" t="s">
        <v>32</v>
      </c>
      <c r="H8" s="280" t="s">
        <v>41</v>
      </c>
      <c r="I8" s="283"/>
      <c r="J8" s="279"/>
      <c r="K8" s="190"/>
      <c r="L8" s="190"/>
      <c r="M8" s="190"/>
      <c r="N8" s="190"/>
      <c r="O8" s="190"/>
      <c r="P8" s="279"/>
      <c r="Q8" s="282"/>
    </row>
    <row r="9" spans="2:20" ht="104.45" customHeight="1" x14ac:dyDescent="0.25">
      <c r="B9" s="278" t="s">
        <v>5</v>
      </c>
      <c r="C9" s="157"/>
      <c r="D9" s="158" t="s">
        <v>670</v>
      </c>
      <c r="E9" s="159" t="s">
        <v>24</v>
      </c>
      <c r="F9" s="321" t="s">
        <v>1218</v>
      </c>
      <c r="G9" s="279" t="s">
        <v>32</v>
      </c>
      <c r="H9" s="280" t="s">
        <v>41</v>
      </c>
      <c r="I9" s="283"/>
      <c r="J9" s="279"/>
      <c r="K9" s="190"/>
      <c r="L9" s="190"/>
      <c r="M9" s="190"/>
      <c r="N9" s="190"/>
      <c r="O9" s="190"/>
      <c r="P9" s="279"/>
      <c r="Q9" s="282"/>
    </row>
    <row r="10" spans="2:20" ht="102" customHeight="1" x14ac:dyDescent="0.25">
      <c r="B10" s="278" t="s">
        <v>5</v>
      </c>
      <c r="C10" s="157"/>
      <c r="D10" s="158" t="s">
        <v>671</v>
      </c>
      <c r="E10" s="159" t="s">
        <v>24</v>
      </c>
      <c r="F10" s="321" t="s">
        <v>1219</v>
      </c>
      <c r="G10" s="279" t="s">
        <v>32</v>
      </c>
      <c r="H10" s="280" t="s">
        <v>41</v>
      </c>
      <c r="I10" s="283"/>
      <c r="J10" s="279"/>
      <c r="K10" s="190"/>
      <c r="L10" s="190"/>
      <c r="M10" s="190"/>
      <c r="N10" s="190"/>
      <c r="O10" s="190"/>
      <c r="P10" s="279"/>
      <c r="Q10" s="282"/>
    </row>
    <row r="11" spans="2:20" ht="114" customHeight="1" x14ac:dyDescent="0.25">
      <c r="B11" s="278" t="s">
        <v>5</v>
      </c>
      <c r="C11" s="157"/>
      <c r="D11" s="158" t="s">
        <v>672</v>
      </c>
      <c r="E11" s="159" t="s">
        <v>24</v>
      </c>
      <c r="F11" s="321" t="s">
        <v>1220</v>
      </c>
      <c r="G11" s="279" t="s">
        <v>32</v>
      </c>
      <c r="H11" s="280" t="s">
        <v>41</v>
      </c>
      <c r="I11" s="283"/>
      <c r="J11" s="279"/>
      <c r="K11" s="190"/>
      <c r="L11" s="190"/>
      <c r="M11" s="190"/>
      <c r="N11" s="190"/>
      <c r="O11" s="190"/>
      <c r="P11" s="279"/>
      <c r="Q11" s="282"/>
    </row>
    <row r="12" spans="2:20" ht="87" customHeight="1" x14ac:dyDescent="0.25">
      <c r="B12" s="278" t="s">
        <v>5</v>
      </c>
      <c r="C12" s="160" t="s">
        <v>836</v>
      </c>
      <c r="D12" s="161" t="s">
        <v>238</v>
      </c>
      <c r="E12" s="162" t="s">
        <v>24</v>
      </c>
      <c r="F12" s="172" t="s">
        <v>837</v>
      </c>
      <c r="G12" s="284" t="s">
        <v>32</v>
      </c>
      <c r="H12" s="285" t="s">
        <v>41</v>
      </c>
      <c r="I12" s="286"/>
      <c r="J12" s="284"/>
      <c r="K12" s="191"/>
      <c r="L12" s="191"/>
      <c r="M12" s="191"/>
      <c r="N12" s="191"/>
      <c r="O12" s="191"/>
      <c r="P12" s="284"/>
      <c r="Q12" s="287"/>
    </row>
    <row r="13" spans="2:20" ht="90" x14ac:dyDescent="0.25">
      <c r="B13" s="278" t="s">
        <v>5</v>
      </c>
      <c r="C13" s="160"/>
      <c r="D13" s="161" t="s">
        <v>239</v>
      </c>
      <c r="E13" s="162" t="s">
        <v>24</v>
      </c>
      <c r="F13" s="172" t="s">
        <v>838</v>
      </c>
      <c r="G13" s="284" t="s">
        <v>32</v>
      </c>
      <c r="H13" s="285" t="s">
        <v>41</v>
      </c>
      <c r="I13" s="286"/>
      <c r="J13" s="284"/>
      <c r="K13" s="191"/>
      <c r="L13" s="191"/>
      <c r="M13" s="191"/>
      <c r="N13" s="191"/>
      <c r="O13" s="191"/>
      <c r="P13" s="284"/>
      <c r="Q13" s="287"/>
    </row>
    <row r="14" spans="2:20" ht="101.25" x14ac:dyDescent="0.25">
      <c r="B14" s="278" t="s">
        <v>5</v>
      </c>
      <c r="C14" s="160"/>
      <c r="D14" s="161" t="s">
        <v>240</v>
      </c>
      <c r="E14" s="162" t="s">
        <v>24</v>
      </c>
      <c r="F14" s="172" t="s">
        <v>839</v>
      </c>
      <c r="G14" s="284" t="s">
        <v>32</v>
      </c>
      <c r="H14" s="285" t="s">
        <v>41</v>
      </c>
      <c r="I14" s="286"/>
      <c r="J14" s="284"/>
      <c r="K14" s="191"/>
      <c r="L14" s="191"/>
      <c r="M14" s="191"/>
      <c r="N14" s="191"/>
      <c r="O14" s="191"/>
      <c r="P14" s="284"/>
      <c r="Q14" s="287"/>
    </row>
    <row r="15" spans="2:20" ht="123.75" x14ac:dyDescent="0.25">
      <c r="B15" s="278" t="s">
        <v>5</v>
      </c>
      <c r="C15" s="160"/>
      <c r="D15" s="161" t="s">
        <v>241</v>
      </c>
      <c r="E15" s="162" t="s">
        <v>24</v>
      </c>
      <c r="F15" s="172" t="s">
        <v>840</v>
      </c>
      <c r="G15" s="284" t="s">
        <v>32</v>
      </c>
      <c r="H15" s="285" t="s">
        <v>41</v>
      </c>
      <c r="I15" s="286"/>
      <c r="J15" s="284"/>
      <c r="K15" s="191"/>
      <c r="L15" s="191"/>
      <c r="M15" s="191"/>
      <c r="N15" s="191"/>
      <c r="O15" s="191"/>
      <c r="P15" s="284"/>
      <c r="Q15" s="287"/>
    </row>
    <row r="16" spans="2:20" ht="101.25" x14ac:dyDescent="0.25">
      <c r="B16" s="278" t="s">
        <v>5</v>
      </c>
      <c r="C16" s="160"/>
      <c r="D16" s="161" t="s">
        <v>242</v>
      </c>
      <c r="E16" s="162" t="s">
        <v>24</v>
      </c>
      <c r="F16" s="172" t="s">
        <v>841</v>
      </c>
      <c r="G16" s="284" t="s">
        <v>32</v>
      </c>
      <c r="H16" s="285" t="s">
        <v>41</v>
      </c>
      <c r="I16" s="286"/>
      <c r="J16" s="284"/>
      <c r="K16" s="191"/>
      <c r="L16" s="191"/>
      <c r="M16" s="191"/>
      <c r="N16" s="191"/>
      <c r="O16" s="191"/>
      <c r="P16" s="284"/>
      <c r="Q16" s="287"/>
    </row>
    <row r="17" spans="2:17" ht="90" x14ac:dyDescent="0.25">
      <c r="B17" s="278" t="s">
        <v>5</v>
      </c>
      <c r="C17" s="160"/>
      <c r="D17" s="161" t="s">
        <v>481</v>
      </c>
      <c r="E17" s="162" t="s">
        <v>24</v>
      </c>
      <c r="F17" s="172" t="s">
        <v>842</v>
      </c>
      <c r="G17" s="284" t="s">
        <v>32</v>
      </c>
      <c r="H17" s="285" t="s">
        <v>41</v>
      </c>
      <c r="I17" s="286"/>
      <c r="J17" s="284"/>
      <c r="K17" s="191"/>
      <c r="L17" s="191"/>
      <c r="M17" s="191"/>
      <c r="N17" s="191"/>
      <c r="O17" s="191"/>
      <c r="P17" s="284"/>
      <c r="Q17" s="287"/>
    </row>
    <row r="18" spans="2:17" ht="135.6" customHeight="1" x14ac:dyDescent="0.25">
      <c r="B18" s="278" t="s">
        <v>5</v>
      </c>
      <c r="C18" s="157" t="s">
        <v>843</v>
      </c>
      <c r="D18" s="158" t="s">
        <v>245</v>
      </c>
      <c r="E18" s="159" t="s">
        <v>24</v>
      </c>
      <c r="F18" s="170" t="s">
        <v>844</v>
      </c>
      <c r="G18" s="279" t="s">
        <v>32</v>
      </c>
      <c r="H18" s="280" t="s">
        <v>41</v>
      </c>
      <c r="I18" s="283"/>
      <c r="J18" s="279"/>
      <c r="K18" s="190"/>
      <c r="L18" s="190"/>
      <c r="M18" s="190"/>
      <c r="N18" s="190"/>
      <c r="O18" s="190"/>
      <c r="P18" s="279"/>
      <c r="Q18" s="282"/>
    </row>
    <row r="19" spans="2:17" ht="122.1" customHeight="1" x14ac:dyDescent="0.25">
      <c r="B19" s="278" t="s">
        <v>5</v>
      </c>
      <c r="C19" s="157"/>
      <c r="D19" s="158" t="s">
        <v>246</v>
      </c>
      <c r="E19" s="159" t="s">
        <v>24</v>
      </c>
      <c r="F19" s="173" t="s">
        <v>845</v>
      </c>
      <c r="G19" s="279" t="s">
        <v>32</v>
      </c>
      <c r="H19" s="280" t="s">
        <v>41</v>
      </c>
      <c r="I19" s="283"/>
      <c r="J19" s="279"/>
      <c r="K19" s="190"/>
      <c r="L19" s="190"/>
      <c r="M19" s="190"/>
      <c r="N19" s="190"/>
      <c r="O19" s="190"/>
      <c r="P19" s="279"/>
      <c r="Q19" s="282"/>
    </row>
    <row r="20" spans="2:17" ht="125.45" customHeight="1" x14ac:dyDescent="0.25">
      <c r="B20" s="278" t="s">
        <v>5</v>
      </c>
      <c r="C20" s="157"/>
      <c r="D20" s="158" t="s">
        <v>247</v>
      </c>
      <c r="E20" s="159" t="s">
        <v>24</v>
      </c>
      <c r="F20" s="170" t="s">
        <v>846</v>
      </c>
      <c r="G20" s="279" t="s">
        <v>32</v>
      </c>
      <c r="H20" s="280" t="s">
        <v>41</v>
      </c>
      <c r="I20" s="283"/>
      <c r="J20" s="279"/>
      <c r="K20" s="190"/>
      <c r="L20" s="190"/>
      <c r="M20" s="190"/>
      <c r="N20" s="190"/>
      <c r="O20" s="190"/>
      <c r="P20" s="279"/>
      <c r="Q20" s="282"/>
    </row>
    <row r="21" spans="2:17" ht="122.45" customHeight="1" x14ac:dyDescent="0.25">
      <c r="B21" s="278" t="s">
        <v>5</v>
      </c>
      <c r="C21" s="157"/>
      <c r="D21" s="158" t="s">
        <v>248</v>
      </c>
      <c r="E21" s="159" t="s">
        <v>24</v>
      </c>
      <c r="F21" s="170" t="s">
        <v>847</v>
      </c>
      <c r="G21" s="279" t="s">
        <v>32</v>
      </c>
      <c r="H21" s="280" t="s">
        <v>41</v>
      </c>
      <c r="I21" s="283"/>
      <c r="J21" s="279"/>
      <c r="K21" s="190"/>
      <c r="L21" s="190"/>
      <c r="M21" s="190"/>
      <c r="N21" s="190"/>
      <c r="O21" s="190"/>
      <c r="P21" s="279"/>
      <c r="Q21" s="282"/>
    </row>
    <row r="22" spans="2:17" ht="146.25" x14ac:dyDescent="0.25">
      <c r="B22" s="278" t="s">
        <v>5</v>
      </c>
      <c r="C22" s="157"/>
      <c r="D22" s="158" t="s">
        <v>243</v>
      </c>
      <c r="E22" s="159" t="s">
        <v>24</v>
      </c>
      <c r="F22" s="173" t="s">
        <v>848</v>
      </c>
      <c r="G22" s="279" t="s">
        <v>32</v>
      </c>
      <c r="H22" s="280" t="s">
        <v>41</v>
      </c>
      <c r="I22" s="283"/>
      <c r="J22" s="279"/>
      <c r="K22" s="190"/>
      <c r="L22" s="190"/>
      <c r="M22" s="190"/>
      <c r="N22" s="190"/>
      <c r="O22" s="190"/>
      <c r="P22" s="279"/>
      <c r="Q22" s="282"/>
    </row>
    <row r="23" spans="2:17" ht="112.5" x14ac:dyDescent="0.25">
      <c r="B23" s="278" t="s">
        <v>5</v>
      </c>
      <c r="C23" s="157"/>
      <c r="D23" s="158" t="s">
        <v>249</v>
      </c>
      <c r="E23" s="159" t="s">
        <v>24</v>
      </c>
      <c r="F23" s="322" t="s">
        <v>1241</v>
      </c>
      <c r="G23" s="279" t="s">
        <v>32</v>
      </c>
      <c r="H23" s="280" t="s">
        <v>41</v>
      </c>
      <c r="I23" s="283"/>
      <c r="J23" s="279"/>
      <c r="K23" s="190"/>
      <c r="L23" s="190"/>
      <c r="M23" s="190"/>
      <c r="N23" s="190"/>
      <c r="O23" s="190"/>
      <c r="P23" s="279"/>
      <c r="Q23" s="282"/>
    </row>
    <row r="24" spans="2:17" ht="123.6" customHeight="1" x14ac:dyDescent="0.25">
      <c r="B24" s="278" t="s">
        <v>5</v>
      </c>
      <c r="C24" s="157"/>
      <c r="D24" s="158" t="s">
        <v>250</v>
      </c>
      <c r="E24" s="159" t="s">
        <v>24</v>
      </c>
      <c r="F24" s="173" t="s">
        <v>849</v>
      </c>
      <c r="G24" s="279" t="s">
        <v>32</v>
      </c>
      <c r="H24" s="280" t="s">
        <v>41</v>
      </c>
      <c r="I24" s="283"/>
      <c r="J24" s="279"/>
      <c r="K24" s="190"/>
      <c r="L24" s="190"/>
      <c r="M24" s="190"/>
      <c r="N24" s="190"/>
      <c r="O24" s="190"/>
      <c r="P24" s="279"/>
      <c r="Q24" s="282"/>
    </row>
    <row r="25" spans="2:17" ht="56.25" x14ac:dyDescent="0.25">
      <c r="B25" s="278" t="s">
        <v>5</v>
      </c>
      <c r="C25" s="157"/>
      <c r="D25" s="158" t="s">
        <v>251</v>
      </c>
      <c r="E25" s="159" t="s">
        <v>24</v>
      </c>
      <c r="F25" s="173" t="s">
        <v>850</v>
      </c>
      <c r="G25" s="279" t="s">
        <v>32</v>
      </c>
      <c r="H25" s="280" t="s">
        <v>41</v>
      </c>
      <c r="I25" s="283"/>
      <c r="J25" s="279"/>
      <c r="K25" s="190"/>
      <c r="L25" s="190"/>
      <c r="M25" s="190"/>
      <c r="N25" s="190"/>
      <c r="O25" s="190"/>
      <c r="P25" s="279"/>
      <c r="Q25" s="282"/>
    </row>
    <row r="26" spans="2:17" ht="42.95" customHeight="1" x14ac:dyDescent="0.25">
      <c r="B26" s="278" t="s">
        <v>5</v>
      </c>
      <c r="C26" s="157"/>
      <c r="D26" s="158" t="s">
        <v>252</v>
      </c>
      <c r="E26" s="159" t="s">
        <v>24</v>
      </c>
      <c r="F26" s="173" t="s">
        <v>244</v>
      </c>
      <c r="G26" s="279" t="s">
        <v>32</v>
      </c>
      <c r="H26" s="280" t="s">
        <v>41</v>
      </c>
      <c r="I26" s="283"/>
      <c r="J26" s="279"/>
      <c r="K26" s="190"/>
      <c r="L26" s="190"/>
      <c r="M26" s="190"/>
      <c r="N26" s="190"/>
      <c r="O26" s="190"/>
      <c r="P26" s="279"/>
      <c r="Q26" s="282"/>
    </row>
    <row r="27" spans="2:17" ht="120.6" customHeight="1" x14ac:dyDescent="0.25">
      <c r="B27" s="278" t="s">
        <v>5</v>
      </c>
      <c r="C27" s="160" t="s">
        <v>232</v>
      </c>
      <c r="D27" s="161" t="s">
        <v>253</v>
      </c>
      <c r="E27" s="162" t="s">
        <v>24</v>
      </c>
      <c r="F27" s="164" t="s">
        <v>851</v>
      </c>
      <c r="G27" s="284" t="s">
        <v>32</v>
      </c>
      <c r="H27" s="285" t="s">
        <v>41</v>
      </c>
      <c r="I27" s="286"/>
      <c r="J27" s="284"/>
      <c r="K27" s="191"/>
      <c r="L27" s="191"/>
      <c r="M27" s="191"/>
      <c r="N27" s="191"/>
      <c r="O27" s="191"/>
      <c r="P27" s="284"/>
      <c r="Q27" s="287"/>
    </row>
    <row r="28" spans="2:17" ht="122.1" customHeight="1" x14ac:dyDescent="0.25">
      <c r="B28" s="278" t="s">
        <v>5</v>
      </c>
      <c r="C28" s="160"/>
      <c r="D28" s="161" t="s">
        <v>254</v>
      </c>
      <c r="E28" s="162" t="s">
        <v>24</v>
      </c>
      <c r="F28" s="164" t="s">
        <v>852</v>
      </c>
      <c r="G28" s="284" t="s">
        <v>32</v>
      </c>
      <c r="H28" s="285" t="s">
        <v>41</v>
      </c>
      <c r="I28" s="286"/>
      <c r="J28" s="284"/>
      <c r="K28" s="191"/>
      <c r="L28" s="191"/>
      <c r="M28" s="191"/>
      <c r="N28" s="191"/>
      <c r="O28" s="191"/>
      <c r="P28" s="284"/>
      <c r="Q28" s="287"/>
    </row>
    <row r="29" spans="2:17" ht="135.94999999999999" customHeight="1" x14ac:dyDescent="0.25">
      <c r="B29" s="278" t="s">
        <v>5</v>
      </c>
      <c r="C29" s="160"/>
      <c r="D29" s="161" t="s">
        <v>255</v>
      </c>
      <c r="E29" s="162" t="s">
        <v>24</v>
      </c>
      <c r="F29" s="164" t="s">
        <v>853</v>
      </c>
      <c r="G29" s="284" t="s">
        <v>32</v>
      </c>
      <c r="H29" s="285" t="s">
        <v>41</v>
      </c>
      <c r="I29" s="286"/>
      <c r="J29" s="284"/>
      <c r="K29" s="191"/>
      <c r="L29" s="191"/>
      <c r="M29" s="191"/>
      <c r="N29" s="191"/>
      <c r="O29" s="191"/>
      <c r="P29" s="284"/>
      <c r="Q29" s="287"/>
    </row>
    <row r="30" spans="2:17" ht="146.25" x14ac:dyDescent="0.25">
      <c r="B30" s="278" t="s">
        <v>5</v>
      </c>
      <c r="C30" s="160"/>
      <c r="D30" s="161" t="s">
        <v>256</v>
      </c>
      <c r="E30" s="162" t="s">
        <v>24</v>
      </c>
      <c r="F30" s="164" t="s">
        <v>854</v>
      </c>
      <c r="G30" s="284" t="s">
        <v>32</v>
      </c>
      <c r="H30" s="285" t="s">
        <v>41</v>
      </c>
      <c r="I30" s="286"/>
      <c r="J30" s="284"/>
      <c r="K30" s="191"/>
      <c r="L30" s="191"/>
      <c r="M30" s="191"/>
      <c r="N30" s="191"/>
      <c r="O30" s="191"/>
      <c r="P30" s="284"/>
      <c r="Q30" s="287"/>
    </row>
    <row r="31" spans="2:17" ht="146.25" x14ac:dyDescent="0.25">
      <c r="B31" s="278" t="s">
        <v>5</v>
      </c>
      <c r="C31" s="160"/>
      <c r="D31" s="161" t="s">
        <v>257</v>
      </c>
      <c r="E31" s="162" t="s">
        <v>24</v>
      </c>
      <c r="F31" s="164" t="s">
        <v>855</v>
      </c>
      <c r="G31" s="284" t="s">
        <v>32</v>
      </c>
      <c r="H31" s="285" t="s">
        <v>41</v>
      </c>
      <c r="I31" s="286"/>
      <c r="J31" s="284"/>
      <c r="K31" s="191"/>
      <c r="L31" s="191"/>
      <c r="M31" s="191"/>
      <c r="N31" s="191"/>
      <c r="O31" s="191"/>
      <c r="P31" s="284"/>
      <c r="Q31" s="287"/>
    </row>
    <row r="32" spans="2:17" ht="112.5" x14ac:dyDescent="0.25">
      <c r="B32" s="278" t="s">
        <v>5</v>
      </c>
      <c r="C32" s="160"/>
      <c r="D32" s="161" t="s">
        <v>258</v>
      </c>
      <c r="E32" s="162" t="s">
        <v>24</v>
      </c>
      <c r="F32" s="164" t="s">
        <v>856</v>
      </c>
      <c r="G32" s="284" t="s">
        <v>32</v>
      </c>
      <c r="H32" s="285" t="s">
        <v>41</v>
      </c>
      <c r="I32" s="286"/>
      <c r="J32" s="284"/>
      <c r="K32" s="191"/>
      <c r="L32" s="191"/>
      <c r="M32" s="191"/>
      <c r="N32" s="191"/>
      <c r="O32" s="191"/>
      <c r="P32" s="284"/>
      <c r="Q32" s="287"/>
    </row>
    <row r="33" spans="2:17" ht="135" x14ac:dyDescent="0.25">
      <c r="B33" s="278" t="s">
        <v>5</v>
      </c>
      <c r="C33" s="160"/>
      <c r="D33" s="161" t="s">
        <v>259</v>
      </c>
      <c r="E33" s="162" t="s">
        <v>24</v>
      </c>
      <c r="F33" s="172" t="s">
        <v>857</v>
      </c>
      <c r="G33" s="284" t="s">
        <v>32</v>
      </c>
      <c r="H33" s="285" t="s">
        <v>41</v>
      </c>
      <c r="I33" s="286"/>
      <c r="J33" s="284"/>
      <c r="K33" s="191"/>
      <c r="L33" s="191"/>
      <c r="M33" s="191"/>
      <c r="N33" s="191"/>
      <c r="O33" s="191"/>
      <c r="P33" s="284"/>
      <c r="Q33" s="287"/>
    </row>
    <row r="34" spans="2:17" ht="101.25" x14ac:dyDescent="0.25">
      <c r="B34" s="278" t="s">
        <v>5</v>
      </c>
      <c r="C34" s="157" t="s">
        <v>858</v>
      </c>
      <c r="D34" s="158" t="s">
        <v>260</v>
      </c>
      <c r="E34" s="159" t="s">
        <v>24</v>
      </c>
      <c r="F34" s="170" t="s">
        <v>859</v>
      </c>
      <c r="G34" s="279" t="s">
        <v>32</v>
      </c>
      <c r="H34" s="280" t="s">
        <v>41</v>
      </c>
      <c r="I34" s="283"/>
      <c r="J34" s="279"/>
      <c r="K34" s="190"/>
      <c r="L34" s="190"/>
      <c r="M34" s="190"/>
      <c r="N34" s="190"/>
      <c r="O34" s="190"/>
      <c r="P34" s="279"/>
      <c r="Q34" s="282"/>
    </row>
    <row r="35" spans="2:17" ht="90" x14ac:dyDescent="0.25">
      <c r="B35" s="278" t="s">
        <v>5</v>
      </c>
      <c r="C35" s="157"/>
      <c r="D35" s="158" t="s">
        <v>261</v>
      </c>
      <c r="E35" s="159" t="s">
        <v>24</v>
      </c>
      <c r="F35" s="170" t="s">
        <v>860</v>
      </c>
      <c r="G35" s="279" t="s">
        <v>32</v>
      </c>
      <c r="H35" s="280" t="s">
        <v>41</v>
      </c>
      <c r="I35" s="283"/>
      <c r="J35" s="279"/>
      <c r="K35" s="190"/>
      <c r="L35" s="190"/>
      <c r="M35" s="190"/>
      <c r="N35" s="190"/>
      <c r="O35" s="190"/>
      <c r="P35" s="279"/>
      <c r="Q35" s="282"/>
    </row>
    <row r="36" spans="2:17" ht="111.6" customHeight="1" x14ac:dyDescent="0.25">
      <c r="B36" s="278" t="s">
        <v>5</v>
      </c>
      <c r="C36" s="160" t="s">
        <v>861</v>
      </c>
      <c r="D36" s="161" t="s">
        <v>262</v>
      </c>
      <c r="E36" s="162" t="s">
        <v>24</v>
      </c>
      <c r="F36" s="172" t="s">
        <v>862</v>
      </c>
      <c r="G36" s="284" t="s">
        <v>32</v>
      </c>
      <c r="H36" s="285" t="s">
        <v>41</v>
      </c>
      <c r="I36" s="286"/>
      <c r="J36" s="284"/>
      <c r="K36" s="191"/>
      <c r="L36" s="191"/>
      <c r="M36" s="191"/>
      <c r="N36" s="191"/>
      <c r="O36" s="191"/>
      <c r="P36" s="284"/>
      <c r="Q36" s="287"/>
    </row>
    <row r="37" spans="2:17" ht="95.1" customHeight="1" x14ac:dyDescent="0.25">
      <c r="B37" s="278" t="s">
        <v>5</v>
      </c>
      <c r="C37" s="160"/>
      <c r="D37" s="161" t="s">
        <v>263</v>
      </c>
      <c r="E37" s="162" t="s">
        <v>24</v>
      </c>
      <c r="F37" s="172" t="s">
        <v>863</v>
      </c>
      <c r="G37" s="284" t="s">
        <v>32</v>
      </c>
      <c r="H37" s="285" t="s">
        <v>41</v>
      </c>
      <c r="I37" s="286"/>
      <c r="J37" s="284"/>
      <c r="K37" s="191"/>
      <c r="L37" s="191"/>
      <c r="M37" s="191"/>
      <c r="N37" s="191"/>
      <c r="O37" s="191"/>
      <c r="P37" s="284"/>
      <c r="Q37" s="287"/>
    </row>
    <row r="38" spans="2:17" ht="93.95" customHeight="1" x14ac:dyDescent="0.25">
      <c r="B38" s="278" t="s">
        <v>5</v>
      </c>
      <c r="C38" s="160"/>
      <c r="D38" s="161" t="s">
        <v>264</v>
      </c>
      <c r="E38" s="162" t="s">
        <v>24</v>
      </c>
      <c r="F38" s="164" t="s">
        <v>864</v>
      </c>
      <c r="G38" s="284" t="s">
        <v>32</v>
      </c>
      <c r="H38" s="285" t="s">
        <v>41</v>
      </c>
      <c r="I38" s="286"/>
      <c r="J38" s="284"/>
      <c r="K38" s="191"/>
      <c r="L38" s="191"/>
      <c r="M38" s="191"/>
      <c r="N38" s="191"/>
      <c r="O38" s="191"/>
      <c r="P38" s="284"/>
      <c r="Q38" s="287"/>
    </row>
    <row r="39" spans="2:17" ht="122.1" customHeight="1" x14ac:dyDescent="0.25">
      <c r="B39" s="278" t="s">
        <v>5</v>
      </c>
      <c r="C39" s="160"/>
      <c r="D39" s="161" t="s">
        <v>265</v>
      </c>
      <c r="E39" s="162" t="s">
        <v>24</v>
      </c>
      <c r="F39" s="164" t="s">
        <v>865</v>
      </c>
      <c r="G39" s="284" t="s">
        <v>32</v>
      </c>
      <c r="H39" s="285" t="s">
        <v>41</v>
      </c>
      <c r="I39" s="286"/>
      <c r="J39" s="284"/>
      <c r="K39" s="191"/>
      <c r="L39" s="191"/>
      <c r="M39" s="191"/>
      <c r="N39" s="191"/>
      <c r="O39" s="191"/>
      <c r="P39" s="284"/>
      <c r="Q39" s="287"/>
    </row>
    <row r="40" spans="2:17" ht="180" x14ac:dyDescent="0.25">
      <c r="B40" s="278" t="s">
        <v>5</v>
      </c>
      <c r="C40" s="160"/>
      <c r="D40" s="161" t="s">
        <v>266</v>
      </c>
      <c r="E40" s="162" t="s">
        <v>24</v>
      </c>
      <c r="F40" s="172" t="s">
        <v>866</v>
      </c>
      <c r="G40" s="284" t="s">
        <v>32</v>
      </c>
      <c r="H40" s="285" t="s">
        <v>41</v>
      </c>
      <c r="I40" s="286"/>
      <c r="J40" s="284"/>
      <c r="K40" s="191"/>
      <c r="L40" s="191"/>
      <c r="M40" s="191"/>
      <c r="N40" s="191"/>
      <c r="O40" s="191"/>
      <c r="P40" s="284"/>
      <c r="Q40" s="287"/>
    </row>
    <row r="41" spans="2:17" ht="87" customHeight="1" x14ac:dyDescent="0.25">
      <c r="B41" s="278" t="s">
        <v>5</v>
      </c>
      <c r="C41" s="160"/>
      <c r="D41" s="161" t="s">
        <v>267</v>
      </c>
      <c r="E41" s="162" t="s">
        <v>24</v>
      </c>
      <c r="F41" s="172" t="s">
        <v>867</v>
      </c>
      <c r="G41" s="284" t="s">
        <v>32</v>
      </c>
      <c r="H41" s="285" t="s">
        <v>41</v>
      </c>
      <c r="I41" s="288"/>
      <c r="J41" s="284"/>
      <c r="K41" s="191"/>
      <c r="L41" s="191"/>
      <c r="M41" s="191"/>
      <c r="N41" s="191"/>
      <c r="O41" s="191"/>
      <c r="P41" s="284"/>
      <c r="Q41" s="287"/>
    </row>
    <row r="42" spans="2:17" ht="202.5" x14ac:dyDescent="0.25">
      <c r="B42" s="278" t="s">
        <v>5</v>
      </c>
      <c r="C42" s="160"/>
      <c r="D42" s="161" t="s">
        <v>268</v>
      </c>
      <c r="E42" s="162" t="s">
        <v>24</v>
      </c>
      <c r="F42" s="172" t="s">
        <v>868</v>
      </c>
      <c r="G42" s="284" t="s">
        <v>32</v>
      </c>
      <c r="H42" s="285" t="s">
        <v>41</v>
      </c>
      <c r="I42" s="286"/>
      <c r="J42" s="284"/>
      <c r="K42" s="191"/>
      <c r="L42" s="191"/>
      <c r="M42" s="191"/>
      <c r="N42" s="191"/>
      <c r="O42" s="191"/>
      <c r="P42" s="284"/>
      <c r="Q42" s="287"/>
    </row>
    <row r="43" spans="2:17" ht="67.5" x14ac:dyDescent="0.25">
      <c r="B43" s="278" t="s">
        <v>5</v>
      </c>
      <c r="C43" s="160"/>
      <c r="D43" s="161" t="s">
        <v>269</v>
      </c>
      <c r="E43" s="162" t="s">
        <v>24</v>
      </c>
      <c r="F43" s="172" t="s">
        <v>673</v>
      </c>
      <c r="G43" s="284" t="s">
        <v>32</v>
      </c>
      <c r="H43" s="285" t="s">
        <v>41</v>
      </c>
      <c r="I43" s="286"/>
      <c r="J43" s="284"/>
      <c r="K43" s="191"/>
      <c r="L43" s="191"/>
      <c r="M43" s="191"/>
      <c r="N43" s="191"/>
      <c r="O43" s="191"/>
      <c r="P43" s="284"/>
      <c r="Q43" s="287"/>
    </row>
    <row r="44" spans="2:17" ht="95.45" customHeight="1" x14ac:dyDescent="0.25">
      <c r="B44" s="278" t="s">
        <v>5</v>
      </c>
      <c r="C44" s="160"/>
      <c r="D44" s="161" t="s">
        <v>482</v>
      </c>
      <c r="E44" s="162" t="s">
        <v>24</v>
      </c>
      <c r="F44" s="172" t="s">
        <v>869</v>
      </c>
      <c r="G44" s="284" t="s">
        <v>32</v>
      </c>
      <c r="H44" s="285" t="s">
        <v>41</v>
      </c>
      <c r="I44" s="286"/>
      <c r="J44" s="284"/>
      <c r="K44" s="191"/>
      <c r="L44" s="191"/>
      <c r="M44" s="191"/>
      <c r="N44" s="191"/>
      <c r="O44" s="191"/>
      <c r="P44" s="284"/>
      <c r="Q44" s="287"/>
    </row>
    <row r="45" spans="2:17" ht="167.1" customHeight="1" x14ac:dyDescent="0.25">
      <c r="B45" s="278" t="s">
        <v>5</v>
      </c>
      <c r="C45" s="160"/>
      <c r="D45" s="161" t="s">
        <v>483</v>
      </c>
      <c r="E45" s="162" t="s">
        <v>24</v>
      </c>
      <c r="F45" s="172" t="s">
        <v>870</v>
      </c>
      <c r="G45" s="284" t="s">
        <v>32</v>
      </c>
      <c r="H45" s="285" t="s">
        <v>41</v>
      </c>
      <c r="I45" s="286"/>
      <c r="J45" s="284"/>
      <c r="K45" s="191"/>
      <c r="L45" s="191"/>
      <c r="M45" s="191"/>
      <c r="N45" s="191"/>
      <c r="O45" s="191"/>
      <c r="P45" s="284"/>
      <c r="Q45" s="287"/>
    </row>
    <row r="46" spans="2:17" ht="123.75" x14ac:dyDescent="0.25">
      <c r="B46" s="278" t="s">
        <v>5</v>
      </c>
      <c r="C46" s="157" t="s">
        <v>871</v>
      </c>
      <c r="D46" s="158" t="s">
        <v>270</v>
      </c>
      <c r="E46" s="159" t="s">
        <v>24</v>
      </c>
      <c r="F46" s="170" t="s">
        <v>872</v>
      </c>
      <c r="G46" s="279" t="s">
        <v>32</v>
      </c>
      <c r="H46" s="280" t="s">
        <v>41</v>
      </c>
      <c r="I46" s="283"/>
      <c r="J46" s="279"/>
      <c r="K46" s="190"/>
      <c r="L46" s="190"/>
      <c r="M46" s="190"/>
      <c r="N46" s="190"/>
      <c r="O46" s="190"/>
      <c r="P46" s="279"/>
      <c r="Q46" s="282"/>
    </row>
    <row r="47" spans="2:17" ht="112.5" x14ac:dyDescent="0.25">
      <c r="B47" s="278" t="s">
        <v>5</v>
      </c>
      <c r="C47" s="157"/>
      <c r="D47" s="158" t="s">
        <v>271</v>
      </c>
      <c r="E47" s="159" t="s">
        <v>24</v>
      </c>
      <c r="F47" s="173" t="s">
        <v>873</v>
      </c>
      <c r="G47" s="279" t="s">
        <v>32</v>
      </c>
      <c r="H47" s="280" t="s">
        <v>41</v>
      </c>
      <c r="I47" s="283"/>
      <c r="J47" s="279"/>
      <c r="K47" s="190"/>
      <c r="L47" s="190"/>
      <c r="M47" s="190"/>
      <c r="N47" s="190"/>
      <c r="O47" s="190"/>
      <c r="P47" s="279"/>
      <c r="Q47" s="282"/>
    </row>
    <row r="48" spans="2:17" ht="120" customHeight="1" x14ac:dyDescent="0.25">
      <c r="B48" s="278" t="s">
        <v>5</v>
      </c>
      <c r="C48" s="157"/>
      <c r="D48" s="158" t="s">
        <v>272</v>
      </c>
      <c r="E48" s="159" t="s">
        <v>24</v>
      </c>
      <c r="F48" s="170" t="s">
        <v>874</v>
      </c>
      <c r="G48" s="279" t="s">
        <v>32</v>
      </c>
      <c r="H48" s="280" t="s">
        <v>41</v>
      </c>
      <c r="I48" s="283"/>
      <c r="J48" s="279"/>
      <c r="K48" s="190"/>
      <c r="L48" s="190"/>
      <c r="M48" s="190"/>
      <c r="N48" s="190"/>
      <c r="O48" s="190"/>
      <c r="P48" s="279"/>
      <c r="Q48" s="282"/>
    </row>
    <row r="49" spans="2:17" ht="135" x14ac:dyDescent="0.25">
      <c r="B49" s="278" t="s">
        <v>5</v>
      </c>
      <c r="C49" s="157"/>
      <c r="D49" s="158" t="s">
        <v>273</v>
      </c>
      <c r="E49" s="159" t="s">
        <v>24</v>
      </c>
      <c r="F49" s="173" t="s">
        <v>875</v>
      </c>
      <c r="G49" s="279" t="s">
        <v>32</v>
      </c>
      <c r="H49" s="280" t="s">
        <v>41</v>
      </c>
      <c r="I49" s="283"/>
      <c r="J49" s="279"/>
      <c r="K49" s="190"/>
      <c r="L49" s="190"/>
      <c r="M49" s="190"/>
      <c r="N49" s="190"/>
      <c r="O49" s="190"/>
      <c r="P49" s="279"/>
      <c r="Q49" s="282"/>
    </row>
    <row r="50" spans="2:17" ht="168.75" x14ac:dyDescent="0.25">
      <c r="B50" s="278" t="s">
        <v>5</v>
      </c>
      <c r="C50" s="157"/>
      <c r="D50" s="158" t="s">
        <v>274</v>
      </c>
      <c r="E50" s="159" t="s">
        <v>24</v>
      </c>
      <c r="F50" s="170" t="s">
        <v>876</v>
      </c>
      <c r="G50" s="279" t="s">
        <v>32</v>
      </c>
      <c r="H50" s="280" t="s">
        <v>41</v>
      </c>
      <c r="I50" s="283"/>
      <c r="J50" s="279"/>
      <c r="K50" s="190"/>
      <c r="L50" s="190"/>
      <c r="M50" s="190"/>
      <c r="N50" s="190"/>
      <c r="O50" s="190"/>
      <c r="P50" s="279"/>
      <c r="Q50" s="282"/>
    </row>
    <row r="51" spans="2:17" ht="191.25" x14ac:dyDescent="0.25">
      <c r="B51" s="278" t="s">
        <v>5</v>
      </c>
      <c r="C51" s="157"/>
      <c r="D51" s="158" t="s">
        <v>275</v>
      </c>
      <c r="E51" s="159" t="s">
        <v>24</v>
      </c>
      <c r="F51" s="173" t="s">
        <v>877</v>
      </c>
      <c r="G51" s="279" t="s">
        <v>32</v>
      </c>
      <c r="H51" s="280" t="s">
        <v>41</v>
      </c>
      <c r="I51" s="283"/>
      <c r="J51" s="279"/>
      <c r="K51" s="190"/>
      <c r="L51" s="190"/>
      <c r="M51" s="190"/>
      <c r="N51" s="190"/>
      <c r="O51" s="190"/>
      <c r="P51" s="279"/>
      <c r="Q51" s="282"/>
    </row>
    <row r="52" spans="2:17" ht="78.75" x14ac:dyDescent="0.25">
      <c r="B52" s="278" t="s">
        <v>5</v>
      </c>
      <c r="C52" s="160" t="s">
        <v>878</v>
      </c>
      <c r="D52" s="161" t="s">
        <v>276</v>
      </c>
      <c r="E52" s="162" t="s">
        <v>25</v>
      </c>
      <c r="F52" s="172" t="s">
        <v>674</v>
      </c>
      <c r="G52" s="284" t="s">
        <v>32</v>
      </c>
      <c r="H52" s="285" t="s">
        <v>41</v>
      </c>
      <c r="I52" s="286"/>
      <c r="J52" s="284"/>
      <c r="K52" s="191"/>
      <c r="L52" s="191"/>
      <c r="M52" s="191"/>
      <c r="N52" s="191"/>
      <c r="O52" s="191"/>
      <c r="P52" s="284"/>
      <c r="Q52" s="287"/>
    </row>
    <row r="53" spans="2:17" ht="66" customHeight="1" x14ac:dyDescent="0.25">
      <c r="B53" s="278" t="s">
        <v>5</v>
      </c>
      <c r="C53" s="160"/>
      <c r="D53" s="161" t="s">
        <v>277</v>
      </c>
      <c r="E53" s="162" t="s">
        <v>25</v>
      </c>
      <c r="F53" s="172" t="s">
        <v>879</v>
      </c>
      <c r="G53" s="284" t="s">
        <v>32</v>
      </c>
      <c r="H53" s="285" t="s">
        <v>41</v>
      </c>
      <c r="I53" s="286"/>
      <c r="J53" s="284"/>
      <c r="K53" s="191"/>
      <c r="L53" s="191"/>
      <c r="M53" s="191"/>
      <c r="N53" s="191"/>
      <c r="O53" s="191"/>
      <c r="P53" s="284"/>
      <c r="Q53" s="287"/>
    </row>
    <row r="54" spans="2:17" ht="67.5" x14ac:dyDescent="0.25">
      <c r="B54" s="278" t="s">
        <v>5</v>
      </c>
      <c r="C54" s="160"/>
      <c r="D54" s="161" t="s">
        <v>278</v>
      </c>
      <c r="E54" s="162" t="s">
        <v>25</v>
      </c>
      <c r="F54" s="172" t="s">
        <v>675</v>
      </c>
      <c r="G54" s="284" t="s">
        <v>32</v>
      </c>
      <c r="H54" s="285" t="s">
        <v>41</v>
      </c>
      <c r="I54" s="286"/>
      <c r="J54" s="284"/>
      <c r="K54" s="191"/>
      <c r="L54" s="191"/>
      <c r="M54" s="191"/>
      <c r="N54" s="191"/>
      <c r="O54" s="191"/>
      <c r="P54" s="284"/>
      <c r="Q54" s="287"/>
    </row>
    <row r="55" spans="2:17" ht="78.75" x14ac:dyDescent="0.25">
      <c r="B55" s="278" t="s">
        <v>5</v>
      </c>
      <c r="C55" s="160"/>
      <c r="D55" s="161" t="s">
        <v>279</v>
      </c>
      <c r="E55" s="162" t="s">
        <v>25</v>
      </c>
      <c r="F55" s="172" t="s">
        <v>676</v>
      </c>
      <c r="G55" s="284" t="s">
        <v>32</v>
      </c>
      <c r="H55" s="285" t="s">
        <v>41</v>
      </c>
      <c r="I55" s="286"/>
      <c r="J55" s="284"/>
      <c r="K55" s="191"/>
      <c r="L55" s="191"/>
      <c r="M55" s="191"/>
      <c r="N55" s="191"/>
      <c r="O55" s="191"/>
      <c r="P55" s="284"/>
      <c r="Q55" s="287"/>
    </row>
    <row r="56" spans="2:17" ht="67.5" x14ac:dyDescent="0.25">
      <c r="B56" s="278" t="s">
        <v>5</v>
      </c>
      <c r="C56" s="160"/>
      <c r="D56" s="161" t="s">
        <v>280</v>
      </c>
      <c r="E56" s="162" t="s">
        <v>25</v>
      </c>
      <c r="F56" s="172" t="s">
        <v>677</v>
      </c>
      <c r="G56" s="284" t="s">
        <v>32</v>
      </c>
      <c r="H56" s="285" t="s">
        <v>41</v>
      </c>
      <c r="I56" s="286"/>
      <c r="J56" s="284"/>
      <c r="K56" s="191"/>
      <c r="L56" s="191"/>
      <c r="M56" s="191"/>
      <c r="N56" s="191"/>
      <c r="O56" s="191"/>
      <c r="P56" s="284"/>
      <c r="Q56" s="287"/>
    </row>
    <row r="57" spans="2:17" ht="165.95" customHeight="1" x14ac:dyDescent="0.25">
      <c r="B57" s="278" t="s">
        <v>5</v>
      </c>
      <c r="C57" s="160"/>
      <c r="D57" s="161" t="s">
        <v>1221</v>
      </c>
      <c r="E57" s="162" t="s">
        <v>25</v>
      </c>
      <c r="F57" s="321" t="s">
        <v>1222</v>
      </c>
      <c r="G57" s="284" t="s">
        <v>32</v>
      </c>
      <c r="H57" s="285" t="s">
        <v>41</v>
      </c>
      <c r="I57" s="286"/>
      <c r="J57" s="284"/>
      <c r="K57" s="191"/>
      <c r="L57" s="191"/>
      <c r="M57" s="191"/>
      <c r="N57" s="191"/>
      <c r="O57" s="191"/>
      <c r="P57" s="284"/>
      <c r="Q57" s="287"/>
    </row>
    <row r="58" spans="2:17" ht="136.5" customHeight="1" x14ac:dyDescent="0.25">
      <c r="B58" s="278" t="s">
        <v>5</v>
      </c>
      <c r="C58" s="157" t="s">
        <v>880</v>
      </c>
      <c r="D58" s="158" t="s">
        <v>281</v>
      </c>
      <c r="E58" s="159" t="s">
        <v>24</v>
      </c>
      <c r="F58" s="173" t="s">
        <v>881</v>
      </c>
      <c r="G58" s="279" t="s">
        <v>32</v>
      </c>
      <c r="H58" s="280" t="s">
        <v>41</v>
      </c>
      <c r="I58" s="283"/>
      <c r="J58" s="279"/>
      <c r="K58" s="190"/>
      <c r="L58" s="190"/>
      <c r="M58" s="190"/>
      <c r="N58" s="190"/>
      <c r="O58" s="190"/>
      <c r="P58" s="279"/>
      <c r="Q58" s="282"/>
    </row>
    <row r="59" spans="2:17" ht="132.6" customHeight="1" x14ac:dyDescent="0.25">
      <c r="B59" s="278" t="s">
        <v>5</v>
      </c>
      <c r="C59" s="157"/>
      <c r="D59" s="158" t="s">
        <v>282</v>
      </c>
      <c r="E59" s="159" t="s">
        <v>24</v>
      </c>
      <c r="F59" s="173" t="s">
        <v>882</v>
      </c>
      <c r="G59" s="279" t="s">
        <v>32</v>
      </c>
      <c r="H59" s="280" t="s">
        <v>41</v>
      </c>
      <c r="I59" s="283"/>
      <c r="J59" s="279"/>
      <c r="K59" s="190"/>
      <c r="L59" s="190"/>
      <c r="M59" s="190"/>
      <c r="N59" s="190"/>
      <c r="O59" s="190"/>
      <c r="P59" s="279"/>
      <c r="Q59" s="282"/>
    </row>
    <row r="60" spans="2:17" ht="132.6" customHeight="1" x14ac:dyDescent="0.25">
      <c r="B60" s="278" t="s">
        <v>5</v>
      </c>
      <c r="C60" s="157"/>
      <c r="D60" s="158" t="s">
        <v>283</v>
      </c>
      <c r="E60" s="159" t="s">
        <v>24</v>
      </c>
      <c r="F60" s="289" t="s">
        <v>883</v>
      </c>
      <c r="G60" s="279" t="s">
        <v>32</v>
      </c>
      <c r="H60" s="280" t="s">
        <v>41</v>
      </c>
      <c r="I60" s="283"/>
      <c r="J60" s="279"/>
      <c r="K60" s="190"/>
      <c r="L60" s="190"/>
      <c r="M60" s="190"/>
      <c r="N60" s="190"/>
      <c r="O60" s="190"/>
      <c r="P60" s="279"/>
      <c r="Q60" s="282"/>
    </row>
    <row r="61" spans="2:17" ht="131.1" customHeight="1" x14ac:dyDescent="0.25">
      <c r="B61" s="278" t="s">
        <v>5</v>
      </c>
      <c r="C61" s="157"/>
      <c r="D61" s="158" t="s">
        <v>284</v>
      </c>
      <c r="E61" s="159" t="s">
        <v>24</v>
      </c>
      <c r="F61" s="170" t="s">
        <v>884</v>
      </c>
      <c r="G61" s="279" t="s">
        <v>32</v>
      </c>
      <c r="H61" s="280" t="s">
        <v>41</v>
      </c>
      <c r="I61" s="283"/>
      <c r="J61" s="279"/>
      <c r="K61" s="190"/>
      <c r="L61" s="190"/>
      <c r="M61" s="190"/>
      <c r="N61" s="190"/>
      <c r="O61" s="190"/>
      <c r="P61" s="279"/>
      <c r="Q61" s="282"/>
    </row>
    <row r="62" spans="2:17" ht="146.25" x14ac:dyDescent="0.25">
      <c r="B62" s="278" t="s">
        <v>5</v>
      </c>
      <c r="C62" s="157"/>
      <c r="D62" s="158" t="s">
        <v>285</v>
      </c>
      <c r="E62" s="159" t="s">
        <v>24</v>
      </c>
      <c r="F62" s="170" t="s">
        <v>885</v>
      </c>
      <c r="G62" s="279" t="s">
        <v>32</v>
      </c>
      <c r="H62" s="280" t="s">
        <v>41</v>
      </c>
      <c r="I62" s="283"/>
      <c r="J62" s="279"/>
      <c r="K62" s="190"/>
      <c r="L62" s="190"/>
      <c r="M62" s="190"/>
      <c r="N62" s="190"/>
      <c r="O62" s="190"/>
      <c r="P62" s="279"/>
      <c r="Q62" s="282"/>
    </row>
    <row r="63" spans="2:17" ht="22.5" x14ac:dyDescent="0.25">
      <c r="B63" s="290" t="s">
        <v>38</v>
      </c>
      <c r="C63" s="160" t="s">
        <v>678</v>
      </c>
      <c r="D63" s="161" t="s">
        <v>286</v>
      </c>
      <c r="E63" s="162" t="s">
        <v>24</v>
      </c>
      <c r="F63" s="172" t="s">
        <v>679</v>
      </c>
      <c r="G63" s="284" t="s">
        <v>32</v>
      </c>
      <c r="H63" s="285" t="s">
        <v>41</v>
      </c>
      <c r="I63" s="286"/>
      <c r="J63" s="284"/>
      <c r="K63" s="191"/>
      <c r="L63" s="191"/>
      <c r="M63" s="191"/>
      <c r="N63" s="191"/>
      <c r="O63" s="191"/>
      <c r="P63" s="284"/>
      <c r="Q63" s="287"/>
    </row>
    <row r="64" spans="2:17" ht="53.1" customHeight="1" x14ac:dyDescent="0.25">
      <c r="B64" s="290" t="s">
        <v>38</v>
      </c>
      <c r="C64" s="157" t="s">
        <v>680</v>
      </c>
      <c r="D64" s="158" t="s">
        <v>287</v>
      </c>
      <c r="E64" s="159" t="s">
        <v>24</v>
      </c>
      <c r="F64" s="173" t="s">
        <v>681</v>
      </c>
      <c r="G64" s="279" t="s">
        <v>32</v>
      </c>
      <c r="H64" s="280" t="s">
        <v>41</v>
      </c>
      <c r="I64" s="283"/>
      <c r="J64" s="279"/>
      <c r="K64" s="190"/>
      <c r="L64" s="190"/>
      <c r="M64" s="190"/>
      <c r="N64" s="190"/>
      <c r="O64" s="190"/>
      <c r="P64" s="279"/>
      <c r="Q64" s="282"/>
    </row>
    <row r="65" spans="2:17" ht="56.25" x14ac:dyDescent="0.25">
      <c r="B65" s="278" t="s">
        <v>3</v>
      </c>
      <c r="C65" s="160" t="s">
        <v>886</v>
      </c>
      <c r="D65" s="161" t="s">
        <v>288</v>
      </c>
      <c r="E65" s="162" t="s">
        <v>24</v>
      </c>
      <c r="F65" s="172" t="s">
        <v>289</v>
      </c>
      <c r="G65" s="284" t="s">
        <v>32</v>
      </c>
      <c r="H65" s="285" t="s">
        <v>41</v>
      </c>
      <c r="I65" s="286"/>
      <c r="J65" s="284"/>
      <c r="K65" s="191"/>
      <c r="L65" s="191"/>
      <c r="M65" s="191"/>
      <c r="N65" s="191"/>
      <c r="O65" s="191"/>
      <c r="P65" s="284"/>
      <c r="Q65" s="287"/>
    </row>
    <row r="66" spans="2:17" ht="45.95" customHeight="1" x14ac:dyDescent="0.25">
      <c r="B66" s="278" t="s">
        <v>3</v>
      </c>
      <c r="C66" s="160"/>
      <c r="D66" s="161" t="s">
        <v>294</v>
      </c>
      <c r="E66" s="162" t="s">
        <v>24</v>
      </c>
      <c r="F66" s="172" t="s">
        <v>290</v>
      </c>
      <c r="G66" s="284" t="s">
        <v>32</v>
      </c>
      <c r="H66" s="285" t="s">
        <v>41</v>
      </c>
      <c r="I66" s="286"/>
      <c r="J66" s="284"/>
      <c r="K66" s="191"/>
      <c r="L66" s="191"/>
      <c r="M66" s="191"/>
      <c r="N66" s="191"/>
      <c r="O66" s="191"/>
      <c r="P66" s="284"/>
      <c r="Q66" s="287"/>
    </row>
    <row r="67" spans="2:17" ht="45" x14ac:dyDescent="0.25">
      <c r="B67" s="278" t="s">
        <v>3</v>
      </c>
      <c r="C67" s="160"/>
      <c r="D67" s="161" t="s">
        <v>295</v>
      </c>
      <c r="E67" s="162" t="s">
        <v>24</v>
      </c>
      <c r="F67" s="172" t="s">
        <v>887</v>
      </c>
      <c r="G67" s="284" t="s">
        <v>32</v>
      </c>
      <c r="H67" s="285" t="s">
        <v>41</v>
      </c>
      <c r="I67" s="286"/>
      <c r="J67" s="284"/>
      <c r="K67" s="191"/>
      <c r="L67" s="191"/>
      <c r="M67" s="191"/>
      <c r="N67" s="191"/>
      <c r="O67" s="191"/>
      <c r="P67" s="284"/>
      <c r="Q67" s="287"/>
    </row>
    <row r="68" spans="2:17" ht="56.25" x14ac:dyDescent="0.25">
      <c r="B68" s="278" t="s">
        <v>3</v>
      </c>
      <c r="C68" s="160"/>
      <c r="D68" s="161" t="s">
        <v>296</v>
      </c>
      <c r="E68" s="162" t="s">
        <v>24</v>
      </c>
      <c r="F68" s="172" t="s">
        <v>291</v>
      </c>
      <c r="G68" s="284" t="s">
        <v>32</v>
      </c>
      <c r="H68" s="285" t="s">
        <v>41</v>
      </c>
      <c r="I68" s="286"/>
      <c r="J68" s="284"/>
      <c r="K68" s="191"/>
      <c r="L68" s="191"/>
      <c r="M68" s="191"/>
      <c r="N68" s="191"/>
      <c r="O68" s="191"/>
      <c r="P68" s="284"/>
      <c r="Q68" s="287"/>
    </row>
    <row r="69" spans="2:17" ht="45" x14ac:dyDescent="0.25">
      <c r="B69" s="278" t="s">
        <v>3</v>
      </c>
      <c r="C69" s="160"/>
      <c r="D69" s="161" t="s">
        <v>297</v>
      </c>
      <c r="E69" s="162" t="s">
        <v>24</v>
      </c>
      <c r="F69" s="172" t="s">
        <v>292</v>
      </c>
      <c r="G69" s="284" t="s">
        <v>32</v>
      </c>
      <c r="H69" s="285" t="s">
        <v>41</v>
      </c>
      <c r="I69" s="286"/>
      <c r="J69" s="284"/>
      <c r="K69" s="191"/>
      <c r="L69" s="191"/>
      <c r="M69" s="191"/>
      <c r="N69" s="191"/>
      <c r="O69" s="191"/>
      <c r="P69" s="284"/>
      <c r="Q69" s="287"/>
    </row>
    <row r="70" spans="2:17" ht="45" x14ac:dyDescent="0.25">
      <c r="B70" s="278" t="s">
        <v>3</v>
      </c>
      <c r="C70" s="160"/>
      <c r="D70" s="161" t="s">
        <v>298</v>
      </c>
      <c r="E70" s="162" t="s">
        <v>24</v>
      </c>
      <c r="F70" s="172" t="s">
        <v>293</v>
      </c>
      <c r="G70" s="284" t="s">
        <v>32</v>
      </c>
      <c r="H70" s="285" t="s">
        <v>41</v>
      </c>
      <c r="I70" s="286"/>
      <c r="J70" s="284"/>
      <c r="K70" s="191"/>
      <c r="L70" s="191"/>
      <c r="M70" s="191"/>
      <c r="N70" s="191"/>
      <c r="O70" s="191"/>
      <c r="P70" s="284"/>
      <c r="Q70" s="287"/>
    </row>
    <row r="71" spans="2:17" ht="101.25" x14ac:dyDescent="0.25">
      <c r="B71" s="278" t="s">
        <v>3</v>
      </c>
      <c r="C71" s="157" t="s">
        <v>888</v>
      </c>
      <c r="D71" s="158" t="s">
        <v>299</v>
      </c>
      <c r="E71" s="159" t="s">
        <v>25</v>
      </c>
      <c r="F71" s="170" t="s">
        <v>889</v>
      </c>
      <c r="G71" s="279" t="s">
        <v>32</v>
      </c>
      <c r="H71" s="280" t="s">
        <v>41</v>
      </c>
      <c r="I71" s="283"/>
      <c r="J71" s="279"/>
      <c r="K71" s="190"/>
      <c r="L71" s="190"/>
      <c r="M71" s="190"/>
      <c r="N71" s="190"/>
      <c r="O71" s="190"/>
      <c r="P71" s="279"/>
      <c r="Q71" s="282"/>
    </row>
    <row r="72" spans="2:17" ht="101.25" x14ac:dyDescent="0.25">
      <c r="B72" s="278" t="s">
        <v>3</v>
      </c>
      <c r="C72" s="157"/>
      <c r="D72" s="158" t="s">
        <v>300</v>
      </c>
      <c r="E72" s="159" t="s">
        <v>25</v>
      </c>
      <c r="F72" s="170" t="s">
        <v>890</v>
      </c>
      <c r="G72" s="279" t="s">
        <v>32</v>
      </c>
      <c r="H72" s="280" t="s">
        <v>41</v>
      </c>
      <c r="I72" s="283"/>
      <c r="J72" s="279"/>
      <c r="K72" s="190"/>
      <c r="L72" s="190"/>
      <c r="M72" s="190"/>
      <c r="N72" s="190"/>
      <c r="O72" s="190"/>
      <c r="P72" s="279"/>
      <c r="Q72" s="282"/>
    </row>
    <row r="73" spans="2:17" ht="112.5" x14ac:dyDescent="0.25">
      <c r="B73" s="278" t="s">
        <v>3</v>
      </c>
      <c r="C73" s="157"/>
      <c r="D73" s="158" t="s">
        <v>301</v>
      </c>
      <c r="E73" s="159" t="s">
        <v>25</v>
      </c>
      <c r="F73" s="170" t="s">
        <v>891</v>
      </c>
      <c r="G73" s="279" t="s">
        <v>32</v>
      </c>
      <c r="H73" s="280" t="s">
        <v>41</v>
      </c>
      <c r="I73" s="283"/>
      <c r="J73" s="279"/>
      <c r="K73" s="190"/>
      <c r="L73" s="190"/>
      <c r="M73" s="190"/>
      <c r="N73" s="190"/>
      <c r="O73" s="190"/>
      <c r="P73" s="279"/>
      <c r="Q73" s="282"/>
    </row>
    <row r="74" spans="2:17" ht="101.25" x14ac:dyDescent="0.25">
      <c r="B74" s="278" t="s">
        <v>3</v>
      </c>
      <c r="C74" s="157"/>
      <c r="D74" s="158" t="s">
        <v>302</v>
      </c>
      <c r="E74" s="159" t="s">
        <v>25</v>
      </c>
      <c r="F74" s="170" t="s">
        <v>892</v>
      </c>
      <c r="G74" s="279" t="s">
        <v>32</v>
      </c>
      <c r="H74" s="280" t="s">
        <v>41</v>
      </c>
      <c r="I74" s="283"/>
      <c r="J74" s="279"/>
      <c r="K74" s="190"/>
      <c r="L74" s="190"/>
      <c r="M74" s="190"/>
      <c r="N74" s="190"/>
      <c r="O74" s="190"/>
      <c r="P74" s="279"/>
      <c r="Q74" s="282"/>
    </row>
    <row r="75" spans="2:17" ht="45" x14ac:dyDescent="0.25">
      <c r="B75" s="278" t="s">
        <v>3</v>
      </c>
      <c r="C75" s="157"/>
      <c r="D75" s="158" t="s">
        <v>303</v>
      </c>
      <c r="E75" s="159" t="s">
        <v>25</v>
      </c>
      <c r="F75" s="173" t="s">
        <v>682</v>
      </c>
      <c r="G75" s="279" t="s">
        <v>32</v>
      </c>
      <c r="H75" s="280" t="s">
        <v>41</v>
      </c>
      <c r="I75" s="283"/>
      <c r="J75" s="279"/>
      <c r="K75" s="190"/>
      <c r="L75" s="190"/>
      <c r="M75" s="190"/>
      <c r="N75" s="190"/>
      <c r="O75" s="190"/>
      <c r="P75" s="279"/>
      <c r="Q75" s="282"/>
    </row>
    <row r="76" spans="2:17" ht="101.25" x14ac:dyDescent="0.25">
      <c r="B76" s="278" t="s">
        <v>3</v>
      </c>
      <c r="C76" s="160" t="s">
        <v>893</v>
      </c>
      <c r="D76" s="161" t="s">
        <v>304</v>
      </c>
      <c r="E76" s="162" t="s">
        <v>25</v>
      </c>
      <c r="F76" s="172" t="s">
        <v>894</v>
      </c>
      <c r="G76" s="284" t="s">
        <v>32</v>
      </c>
      <c r="H76" s="285" t="s">
        <v>41</v>
      </c>
      <c r="I76" s="286"/>
      <c r="J76" s="284"/>
      <c r="K76" s="191"/>
      <c r="L76" s="191"/>
      <c r="M76" s="191"/>
      <c r="N76" s="191"/>
      <c r="O76" s="191"/>
      <c r="P76" s="284"/>
      <c r="Q76" s="287"/>
    </row>
    <row r="77" spans="2:17" ht="112.5" x14ac:dyDescent="0.25">
      <c r="B77" s="278" t="s">
        <v>3</v>
      </c>
      <c r="C77" s="164"/>
      <c r="D77" s="161" t="s">
        <v>305</v>
      </c>
      <c r="E77" s="162" t="s">
        <v>25</v>
      </c>
      <c r="F77" s="172" t="s">
        <v>895</v>
      </c>
      <c r="G77" s="284" t="s">
        <v>32</v>
      </c>
      <c r="H77" s="285" t="s">
        <v>41</v>
      </c>
      <c r="I77" s="286"/>
      <c r="J77" s="284"/>
      <c r="K77" s="191"/>
      <c r="L77" s="191"/>
      <c r="M77" s="191"/>
      <c r="N77" s="191"/>
      <c r="O77" s="191"/>
      <c r="P77" s="284"/>
      <c r="Q77" s="287"/>
    </row>
    <row r="78" spans="2:17" ht="101.25" x14ac:dyDescent="0.25">
      <c r="B78" s="278" t="s">
        <v>3</v>
      </c>
      <c r="C78" s="164"/>
      <c r="D78" s="161" t="s">
        <v>306</v>
      </c>
      <c r="E78" s="162" t="s">
        <v>25</v>
      </c>
      <c r="F78" s="172" t="s">
        <v>896</v>
      </c>
      <c r="G78" s="284" t="s">
        <v>32</v>
      </c>
      <c r="H78" s="285" t="s">
        <v>41</v>
      </c>
      <c r="I78" s="286"/>
      <c r="J78" s="284"/>
      <c r="K78" s="191"/>
      <c r="L78" s="191"/>
      <c r="M78" s="191"/>
      <c r="N78" s="191"/>
      <c r="O78" s="191"/>
      <c r="P78" s="284"/>
      <c r="Q78" s="287"/>
    </row>
    <row r="79" spans="2:17" ht="56.25" x14ac:dyDescent="0.25">
      <c r="B79" s="278" t="s">
        <v>3</v>
      </c>
      <c r="C79" s="164"/>
      <c r="D79" s="161" t="s">
        <v>307</v>
      </c>
      <c r="E79" s="162" t="s">
        <v>25</v>
      </c>
      <c r="F79" s="172" t="s">
        <v>683</v>
      </c>
      <c r="G79" s="284" t="s">
        <v>32</v>
      </c>
      <c r="H79" s="285" t="s">
        <v>41</v>
      </c>
      <c r="I79" s="286"/>
      <c r="J79" s="284"/>
      <c r="K79" s="191"/>
      <c r="L79" s="191"/>
      <c r="M79" s="191"/>
      <c r="N79" s="191"/>
      <c r="O79" s="191"/>
      <c r="P79" s="284"/>
      <c r="Q79" s="287"/>
    </row>
    <row r="80" spans="2:17" ht="90" x14ac:dyDescent="0.25">
      <c r="B80" s="290" t="s">
        <v>6</v>
      </c>
      <c r="C80" s="157" t="s">
        <v>897</v>
      </c>
      <c r="D80" s="158" t="s">
        <v>308</v>
      </c>
      <c r="E80" s="159" t="s">
        <v>24</v>
      </c>
      <c r="F80" s="170" t="s">
        <v>898</v>
      </c>
      <c r="G80" s="279" t="s">
        <v>32</v>
      </c>
      <c r="H80" s="280" t="s">
        <v>41</v>
      </c>
      <c r="I80" s="283"/>
      <c r="J80" s="279"/>
      <c r="K80" s="190"/>
      <c r="L80" s="190"/>
      <c r="M80" s="190"/>
      <c r="N80" s="190"/>
      <c r="O80" s="190"/>
      <c r="P80" s="279"/>
      <c r="Q80" s="282"/>
    </row>
    <row r="81" spans="2:17" ht="180" x14ac:dyDescent="0.25">
      <c r="B81" s="290" t="s">
        <v>6</v>
      </c>
      <c r="C81" s="157"/>
      <c r="D81" s="158" t="s">
        <v>309</v>
      </c>
      <c r="E81" s="159" t="s">
        <v>24</v>
      </c>
      <c r="F81" s="170" t="s">
        <v>899</v>
      </c>
      <c r="G81" s="279" t="s">
        <v>32</v>
      </c>
      <c r="H81" s="280" t="s">
        <v>41</v>
      </c>
      <c r="I81" s="283"/>
      <c r="J81" s="279"/>
      <c r="K81" s="190"/>
      <c r="L81" s="190"/>
      <c r="M81" s="190"/>
      <c r="N81" s="190"/>
      <c r="O81" s="190"/>
      <c r="P81" s="279"/>
      <c r="Q81" s="282"/>
    </row>
    <row r="82" spans="2:17" ht="47.1" customHeight="1" x14ac:dyDescent="0.25">
      <c r="B82" s="290" t="s">
        <v>6</v>
      </c>
      <c r="C82" s="157"/>
      <c r="D82" s="158" t="s">
        <v>310</v>
      </c>
      <c r="E82" s="159" t="s">
        <v>24</v>
      </c>
      <c r="F82" s="170" t="s">
        <v>900</v>
      </c>
      <c r="G82" s="279" t="s">
        <v>32</v>
      </c>
      <c r="H82" s="280" t="s">
        <v>41</v>
      </c>
      <c r="I82" s="283"/>
      <c r="J82" s="279"/>
      <c r="K82" s="190"/>
      <c r="L82" s="190"/>
      <c r="M82" s="190"/>
      <c r="N82" s="190"/>
      <c r="O82" s="190"/>
      <c r="P82" s="279"/>
      <c r="Q82" s="282"/>
    </row>
    <row r="83" spans="2:17" ht="56.25" x14ac:dyDescent="0.25">
      <c r="B83" s="290" t="s">
        <v>6</v>
      </c>
      <c r="C83" s="160" t="s">
        <v>901</v>
      </c>
      <c r="D83" s="161" t="s">
        <v>311</v>
      </c>
      <c r="E83" s="162" t="s">
        <v>24</v>
      </c>
      <c r="F83" s="172" t="s">
        <v>902</v>
      </c>
      <c r="G83" s="284" t="s">
        <v>32</v>
      </c>
      <c r="H83" s="285" t="s">
        <v>41</v>
      </c>
      <c r="I83" s="286"/>
      <c r="J83" s="284"/>
      <c r="K83" s="191"/>
      <c r="L83" s="191"/>
      <c r="M83" s="191"/>
      <c r="N83" s="191"/>
      <c r="O83" s="191"/>
      <c r="P83" s="284"/>
      <c r="Q83" s="287"/>
    </row>
    <row r="84" spans="2:17" ht="101.25" x14ac:dyDescent="0.25">
      <c r="B84" s="290" t="s">
        <v>6</v>
      </c>
      <c r="C84" s="160"/>
      <c r="D84" s="161" t="s">
        <v>312</v>
      </c>
      <c r="E84" s="162" t="s">
        <v>24</v>
      </c>
      <c r="F84" s="164" t="s">
        <v>903</v>
      </c>
      <c r="G84" s="284" t="s">
        <v>32</v>
      </c>
      <c r="H84" s="285" t="s">
        <v>41</v>
      </c>
      <c r="I84" s="286"/>
      <c r="J84" s="284"/>
      <c r="K84" s="191"/>
      <c r="L84" s="191"/>
      <c r="M84" s="191"/>
      <c r="N84" s="191"/>
      <c r="O84" s="191"/>
      <c r="P84" s="284"/>
      <c r="Q84" s="287"/>
    </row>
    <row r="85" spans="2:17" ht="78.75" x14ac:dyDescent="0.25">
      <c r="B85" s="290" t="s">
        <v>6</v>
      </c>
      <c r="C85" s="160"/>
      <c r="D85" s="161" t="s">
        <v>313</v>
      </c>
      <c r="E85" s="162" t="s">
        <v>24</v>
      </c>
      <c r="F85" s="164" t="s">
        <v>904</v>
      </c>
      <c r="G85" s="284" t="s">
        <v>32</v>
      </c>
      <c r="H85" s="285" t="s">
        <v>41</v>
      </c>
      <c r="I85" s="286"/>
      <c r="J85" s="284"/>
      <c r="K85" s="191"/>
      <c r="L85" s="191"/>
      <c r="M85" s="191"/>
      <c r="N85" s="191"/>
      <c r="O85" s="191"/>
      <c r="P85" s="284"/>
      <c r="Q85" s="287"/>
    </row>
    <row r="86" spans="2:17" ht="53.45" customHeight="1" x14ac:dyDescent="0.25">
      <c r="B86" s="290" t="s">
        <v>6</v>
      </c>
      <c r="C86" s="157" t="s">
        <v>905</v>
      </c>
      <c r="D86" s="158" t="s">
        <v>314</v>
      </c>
      <c r="E86" s="159" t="s">
        <v>24</v>
      </c>
      <c r="F86" s="170" t="s">
        <v>906</v>
      </c>
      <c r="G86" s="279" t="s">
        <v>32</v>
      </c>
      <c r="H86" s="280" t="s">
        <v>41</v>
      </c>
      <c r="I86" s="283"/>
      <c r="J86" s="279"/>
      <c r="K86" s="190"/>
      <c r="L86" s="190"/>
      <c r="M86" s="190"/>
      <c r="N86" s="190"/>
      <c r="O86" s="190"/>
      <c r="P86" s="279"/>
      <c r="Q86" s="282"/>
    </row>
    <row r="87" spans="2:17" ht="56.25" x14ac:dyDescent="0.25">
      <c r="B87" s="290" t="s">
        <v>6</v>
      </c>
      <c r="C87" s="157"/>
      <c r="D87" s="158" t="s">
        <v>315</v>
      </c>
      <c r="E87" s="159" t="s">
        <v>24</v>
      </c>
      <c r="F87" s="173" t="s">
        <v>684</v>
      </c>
      <c r="G87" s="279" t="s">
        <v>32</v>
      </c>
      <c r="H87" s="280" t="s">
        <v>41</v>
      </c>
      <c r="I87" s="283"/>
      <c r="J87" s="279"/>
      <c r="K87" s="190"/>
      <c r="L87" s="190"/>
      <c r="M87" s="190"/>
      <c r="N87" s="190"/>
      <c r="O87" s="190"/>
      <c r="P87" s="279"/>
      <c r="Q87" s="282"/>
    </row>
    <row r="88" spans="2:17" ht="45" x14ac:dyDescent="0.25">
      <c r="B88" s="290" t="s">
        <v>6</v>
      </c>
      <c r="C88" s="160" t="s">
        <v>907</v>
      </c>
      <c r="D88" s="161" t="s">
        <v>316</v>
      </c>
      <c r="E88" s="162" t="s">
        <v>24</v>
      </c>
      <c r="F88" s="172" t="s">
        <v>907</v>
      </c>
      <c r="G88" s="284" t="s">
        <v>32</v>
      </c>
      <c r="H88" s="285" t="s">
        <v>41</v>
      </c>
      <c r="I88" s="286"/>
      <c r="J88" s="284"/>
      <c r="K88" s="191"/>
      <c r="L88" s="191"/>
      <c r="M88" s="191"/>
      <c r="N88" s="191"/>
      <c r="O88" s="191"/>
      <c r="P88" s="284"/>
      <c r="Q88" s="287"/>
    </row>
    <row r="89" spans="2:17" ht="78.75" x14ac:dyDescent="0.25">
      <c r="B89" s="290" t="s">
        <v>6</v>
      </c>
      <c r="C89" s="157" t="s">
        <v>908</v>
      </c>
      <c r="D89" s="158" t="s">
        <v>317</v>
      </c>
      <c r="E89" s="159" t="s">
        <v>25</v>
      </c>
      <c r="F89" s="170" t="s">
        <v>909</v>
      </c>
      <c r="G89" s="279" t="s">
        <v>32</v>
      </c>
      <c r="H89" s="280" t="s">
        <v>41</v>
      </c>
      <c r="I89" s="283"/>
      <c r="J89" s="279"/>
      <c r="K89" s="190"/>
      <c r="L89" s="190"/>
      <c r="M89" s="190"/>
      <c r="N89" s="190"/>
      <c r="O89" s="190"/>
      <c r="P89" s="279"/>
      <c r="Q89" s="282"/>
    </row>
    <row r="90" spans="2:17" ht="67.5" x14ac:dyDescent="0.25">
      <c r="B90" s="290" t="s">
        <v>6</v>
      </c>
      <c r="C90" s="157"/>
      <c r="D90" s="158" t="s">
        <v>318</v>
      </c>
      <c r="E90" s="159" t="s">
        <v>25</v>
      </c>
      <c r="F90" s="170" t="s">
        <v>910</v>
      </c>
      <c r="G90" s="279" t="s">
        <v>32</v>
      </c>
      <c r="H90" s="280" t="s">
        <v>41</v>
      </c>
      <c r="I90" s="283"/>
      <c r="J90" s="279"/>
      <c r="K90" s="190"/>
      <c r="L90" s="190"/>
      <c r="M90" s="190"/>
      <c r="N90" s="190"/>
      <c r="O90" s="190"/>
      <c r="P90" s="279"/>
      <c r="Q90" s="282"/>
    </row>
    <row r="91" spans="2:17" ht="33.75" x14ac:dyDescent="0.25">
      <c r="B91" s="290" t="s">
        <v>6</v>
      </c>
      <c r="C91" s="160" t="s">
        <v>911</v>
      </c>
      <c r="D91" s="161" t="s">
        <v>319</v>
      </c>
      <c r="E91" s="162" t="s">
        <v>25</v>
      </c>
      <c r="F91" s="172" t="s">
        <v>912</v>
      </c>
      <c r="G91" s="284" t="s">
        <v>32</v>
      </c>
      <c r="H91" s="285" t="s">
        <v>41</v>
      </c>
      <c r="I91" s="286"/>
      <c r="J91" s="284"/>
      <c r="K91" s="191"/>
      <c r="L91" s="191"/>
      <c r="M91" s="191"/>
      <c r="N91" s="191"/>
      <c r="O91" s="191"/>
      <c r="P91" s="284"/>
      <c r="Q91" s="287"/>
    </row>
    <row r="92" spans="2:17" ht="33.75" x14ac:dyDescent="0.25">
      <c r="B92" s="290" t="s">
        <v>6</v>
      </c>
      <c r="C92" s="160"/>
      <c r="D92" s="161" t="s">
        <v>320</v>
      </c>
      <c r="E92" s="162" t="s">
        <v>25</v>
      </c>
      <c r="F92" s="172" t="s">
        <v>913</v>
      </c>
      <c r="G92" s="284" t="s">
        <v>32</v>
      </c>
      <c r="H92" s="285" t="s">
        <v>41</v>
      </c>
      <c r="I92" s="286"/>
      <c r="J92" s="284"/>
      <c r="K92" s="191"/>
      <c r="L92" s="191"/>
      <c r="M92" s="191"/>
      <c r="N92" s="191"/>
      <c r="O92" s="191"/>
      <c r="P92" s="284"/>
      <c r="Q92" s="287"/>
    </row>
    <row r="93" spans="2:17" ht="56.25" x14ac:dyDescent="0.25">
      <c r="B93" s="290" t="s">
        <v>6</v>
      </c>
      <c r="C93" s="165" t="s">
        <v>914</v>
      </c>
      <c r="D93" s="166" t="s">
        <v>321</v>
      </c>
      <c r="E93" s="167" t="s">
        <v>24</v>
      </c>
      <c r="F93" s="291" t="s">
        <v>332</v>
      </c>
      <c r="G93" s="279" t="s">
        <v>32</v>
      </c>
      <c r="H93" s="280" t="s">
        <v>41</v>
      </c>
      <c r="I93" s="283"/>
      <c r="J93" s="279"/>
      <c r="K93" s="190"/>
      <c r="L93" s="190"/>
      <c r="M93" s="190"/>
      <c r="N93" s="190"/>
      <c r="O93" s="190"/>
      <c r="P93" s="279"/>
      <c r="Q93" s="282"/>
    </row>
    <row r="94" spans="2:17" ht="90" x14ac:dyDescent="0.25">
      <c r="B94" s="290" t="s">
        <v>6</v>
      </c>
      <c r="C94" s="160" t="s">
        <v>915</v>
      </c>
      <c r="D94" s="161" t="s">
        <v>322</v>
      </c>
      <c r="E94" s="162" t="s">
        <v>24</v>
      </c>
      <c r="F94" s="322" t="s">
        <v>1242</v>
      </c>
      <c r="G94" s="284" t="s">
        <v>32</v>
      </c>
      <c r="H94" s="285" t="s">
        <v>41</v>
      </c>
      <c r="I94" s="286"/>
      <c r="J94" s="284"/>
      <c r="K94" s="191"/>
      <c r="L94" s="191"/>
      <c r="M94" s="191"/>
      <c r="N94" s="191"/>
      <c r="O94" s="191"/>
      <c r="P94" s="284"/>
      <c r="Q94" s="287"/>
    </row>
    <row r="95" spans="2:17" ht="78.75" x14ac:dyDescent="0.25">
      <c r="B95" s="290" t="s">
        <v>6</v>
      </c>
      <c r="C95" s="160"/>
      <c r="D95" s="161" t="s">
        <v>323</v>
      </c>
      <c r="E95" s="162" t="s">
        <v>24</v>
      </c>
      <c r="F95" s="164" t="s">
        <v>916</v>
      </c>
      <c r="G95" s="284" t="s">
        <v>32</v>
      </c>
      <c r="H95" s="285" t="s">
        <v>41</v>
      </c>
      <c r="I95" s="286"/>
      <c r="J95" s="284"/>
      <c r="K95" s="191"/>
      <c r="L95" s="191"/>
      <c r="M95" s="191"/>
      <c r="N95" s="191"/>
      <c r="O95" s="191"/>
      <c r="P95" s="284"/>
      <c r="Q95" s="287"/>
    </row>
    <row r="96" spans="2:17" ht="126.95" customHeight="1" x14ac:dyDescent="0.25">
      <c r="B96" s="290" t="s">
        <v>6</v>
      </c>
      <c r="C96" s="157" t="s">
        <v>917</v>
      </c>
      <c r="D96" s="158" t="s">
        <v>324</v>
      </c>
      <c r="E96" s="159" t="s">
        <v>24</v>
      </c>
      <c r="F96" s="173" t="s">
        <v>333</v>
      </c>
      <c r="G96" s="279" t="s">
        <v>32</v>
      </c>
      <c r="H96" s="280" t="s">
        <v>41</v>
      </c>
      <c r="I96" s="283"/>
      <c r="J96" s="279"/>
      <c r="K96" s="190"/>
      <c r="L96" s="190"/>
      <c r="M96" s="190"/>
      <c r="N96" s="190"/>
      <c r="O96" s="190"/>
      <c r="P96" s="279"/>
      <c r="Q96" s="282"/>
    </row>
    <row r="97" spans="2:17" ht="135" x14ac:dyDescent="0.25">
      <c r="B97" s="290" t="s">
        <v>6</v>
      </c>
      <c r="C97" s="160" t="s">
        <v>918</v>
      </c>
      <c r="D97" s="161" t="s">
        <v>325</v>
      </c>
      <c r="E97" s="162" t="s">
        <v>24</v>
      </c>
      <c r="F97" s="164" t="s">
        <v>919</v>
      </c>
      <c r="G97" s="284" t="s">
        <v>32</v>
      </c>
      <c r="H97" s="285" t="s">
        <v>41</v>
      </c>
      <c r="I97" s="286"/>
      <c r="J97" s="284"/>
      <c r="K97" s="191"/>
      <c r="L97" s="191"/>
      <c r="M97" s="191"/>
      <c r="N97" s="191"/>
      <c r="O97" s="191"/>
      <c r="P97" s="284"/>
      <c r="Q97" s="287"/>
    </row>
    <row r="98" spans="2:17" ht="86.1" customHeight="1" x14ac:dyDescent="0.25">
      <c r="B98" s="290" t="s">
        <v>6</v>
      </c>
      <c r="C98" s="157" t="s">
        <v>920</v>
      </c>
      <c r="D98" s="158" t="s">
        <v>326</v>
      </c>
      <c r="E98" s="159" t="s">
        <v>24</v>
      </c>
      <c r="F98" s="173" t="s">
        <v>334</v>
      </c>
      <c r="G98" s="279" t="s">
        <v>32</v>
      </c>
      <c r="H98" s="280" t="s">
        <v>41</v>
      </c>
      <c r="I98" s="283"/>
      <c r="J98" s="279"/>
      <c r="K98" s="190"/>
      <c r="L98" s="190"/>
      <c r="M98" s="190"/>
      <c r="N98" s="190"/>
      <c r="O98" s="190"/>
      <c r="P98" s="279"/>
      <c r="Q98" s="282"/>
    </row>
    <row r="99" spans="2:17" ht="81" customHeight="1" x14ac:dyDescent="0.25">
      <c r="B99" s="290" t="s">
        <v>6</v>
      </c>
      <c r="C99" s="157"/>
      <c r="D99" s="158" t="s">
        <v>327</v>
      </c>
      <c r="E99" s="159" t="s">
        <v>24</v>
      </c>
      <c r="F99" s="173" t="s">
        <v>921</v>
      </c>
      <c r="G99" s="279" t="s">
        <v>32</v>
      </c>
      <c r="H99" s="280" t="s">
        <v>41</v>
      </c>
      <c r="I99" s="283"/>
      <c r="J99" s="279"/>
      <c r="K99" s="190"/>
      <c r="L99" s="190"/>
      <c r="M99" s="190"/>
      <c r="N99" s="190"/>
      <c r="O99" s="190"/>
      <c r="P99" s="279"/>
      <c r="Q99" s="282"/>
    </row>
    <row r="100" spans="2:17" ht="82.5" customHeight="1" x14ac:dyDescent="0.25">
      <c r="B100" s="290" t="s">
        <v>6</v>
      </c>
      <c r="C100" s="157"/>
      <c r="D100" s="158" t="s">
        <v>685</v>
      </c>
      <c r="E100" s="159" t="s">
        <v>24</v>
      </c>
      <c r="F100" s="173" t="s">
        <v>922</v>
      </c>
      <c r="G100" s="279" t="s">
        <v>32</v>
      </c>
      <c r="H100" s="280" t="s">
        <v>41</v>
      </c>
      <c r="I100" s="283"/>
      <c r="J100" s="279"/>
      <c r="K100" s="190"/>
      <c r="L100" s="190"/>
      <c r="M100" s="190"/>
      <c r="N100" s="190"/>
      <c r="O100" s="190"/>
      <c r="P100" s="279"/>
      <c r="Q100" s="282"/>
    </row>
    <row r="101" spans="2:17" ht="84.6" customHeight="1" x14ac:dyDescent="0.25">
      <c r="B101" s="290" t="s">
        <v>6</v>
      </c>
      <c r="C101" s="160" t="s">
        <v>923</v>
      </c>
      <c r="D101" s="161" t="s">
        <v>328</v>
      </c>
      <c r="E101" s="162" t="s">
        <v>24</v>
      </c>
      <c r="F101" s="172" t="s">
        <v>924</v>
      </c>
      <c r="G101" s="284" t="s">
        <v>32</v>
      </c>
      <c r="H101" s="285" t="s">
        <v>41</v>
      </c>
      <c r="I101" s="286"/>
      <c r="J101" s="284"/>
      <c r="K101" s="191"/>
      <c r="L101" s="191"/>
      <c r="M101" s="191"/>
      <c r="N101" s="191"/>
      <c r="O101" s="191"/>
      <c r="P101" s="284"/>
      <c r="Q101" s="287"/>
    </row>
    <row r="102" spans="2:17" ht="101.45" customHeight="1" x14ac:dyDescent="0.25">
      <c r="B102" s="290" t="s">
        <v>6</v>
      </c>
      <c r="C102" s="160"/>
      <c r="D102" s="161" t="s">
        <v>329</v>
      </c>
      <c r="E102" s="162" t="s">
        <v>24</v>
      </c>
      <c r="F102" s="172" t="s">
        <v>925</v>
      </c>
      <c r="G102" s="284" t="s">
        <v>32</v>
      </c>
      <c r="H102" s="285" t="s">
        <v>41</v>
      </c>
      <c r="I102" s="286"/>
      <c r="J102" s="284"/>
      <c r="K102" s="191"/>
      <c r="L102" s="191"/>
      <c r="M102" s="191"/>
      <c r="N102" s="191"/>
      <c r="O102" s="191"/>
      <c r="P102" s="284"/>
      <c r="Q102" s="287"/>
    </row>
    <row r="103" spans="2:17" ht="112.5" x14ac:dyDescent="0.25">
      <c r="B103" s="290" t="s">
        <v>6</v>
      </c>
      <c r="C103" s="157" t="s">
        <v>926</v>
      </c>
      <c r="D103" s="158" t="s">
        <v>330</v>
      </c>
      <c r="E103" s="159" t="s">
        <v>24</v>
      </c>
      <c r="F103" s="170" t="s">
        <v>927</v>
      </c>
      <c r="G103" s="279" t="s">
        <v>32</v>
      </c>
      <c r="H103" s="280" t="s">
        <v>41</v>
      </c>
      <c r="I103" s="283"/>
      <c r="J103" s="279"/>
      <c r="K103" s="190"/>
      <c r="L103" s="190"/>
      <c r="M103" s="190"/>
      <c r="N103" s="190"/>
      <c r="O103" s="190"/>
      <c r="P103" s="279"/>
      <c r="Q103" s="282"/>
    </row>
    <row r="104" spans="2:17" ht="112.5" x14ac:dyDescent="0.25">
      <c r="B104" s="290" t="s">
        <v>6</v>
      </c>
      <c r="C104" s="157"/>
      <c r="D104" s="158" t="s">
        <v>331</v>
      </c>
      <c r="E104" s="159" t="s">
        <v>24</v>
      </c>
      <c r="F104" s="170" t="s">
        <v>928</v>
      </c>
      <c r="G104" s="279" t="s">
        <v>32</v>
      </c>
      <c r="H104" s="280" t="s">
        <v>41</v>
      </c>
      <c r="I104" s="283"/>
      <c r="J104" s="279"/>
      <c r="K104" s="190"/>
      <c r="L104" s="190"/>
      <c r="M104" s="190"/>
      <c r="N104" s="190"/>
      <c r="O104" s="190"/>
      <c r="P104" s="279"/>
      <c r="Q104" s="282"/>
    </row>
    <row r="105" spans="2:17" ht="22.5" x14ac:dyDescent="0.25">
      <c r="B105" s="278" t="s">
        <v>9</v>
      </c>
      <c r="C105" s="160" t="s">
        <v>929</v>
      </c>
      <c r="D105" s="161" t="s">
        <v>335</v>
      </c>
      <c r="E105" s="162" t="s">
        <v>24</v>
      </c>
      <c r="F105" s="172" t="s">
        <v>686</v>
      </c>
      <c r="G105" s="284" t="s">
        <v>32</v>
      </c>
      <c r="H105" s="285" t="s">
        <v>41</v>
      </c>
      <c r="I105" s="286"/>
      <c r="J105" s="284"/>
      <c r="K105" s="191"/>
      <c r="L105" s="191"/>
      <c r="M105" s="191"/>
      <c r="N105" s="191"/>
      <c r="O105" s="191"/>
      <c r="P105" s="284"/>
      <c r="Q105" s="287"/>
    </row>
    <row r="106" spans="2:17" ht="22.5" x14ac:dyDescent="0.25">
      <c r="B106" s="278" t="s">
        <v>9</v>
      </c>
      <c r="C106" s="157" t="s">
        <v>930</v>
      </c>
      <c r="D106" s="158" t="s">
        <v>336</v>
      </c>
      <c r="E106" s="159" t="s">
        <v>24</v>
      </c>
      <c r="F106" s="173" t="s">
        <v>930</v>
      </c>
      <c r="G106" s="279" t="s">
        <v>32</v>
      </c>
      <c r="H106" s="285" t="s">
        <v>41</v>
      </c>
      <c r="I106" s="283"/>
      <c r="J106" s="279"/>
      <c r="K106" s="190"/>
      <c r="L106" s="190"/>
      <c r="M106" s="190"/>
      <c r="N106" s="190"/>
      <c r="O106" s="190"/>
      <c r="P106" s="279"/>
      <c r="Q106" s="282"/>
    </row>
    <row r="107" spans="2:17" ht="56.25" x14ac:dyDescent="0.25">
      <c r="B107" s="278" t="s">
        <v>9</v>
      </c>
      <c r="C107" s="328" t="s">
        <v>1243</v>
      </c>
      <c r="D107" s="161" t="s">
        <v>337</v>
      </c>
      <c r="E107" s="162" t="s">
        <v>24</v>
      </c>
      <c r="F107" s="322" t="s">
        <v>1223</v>
      </c>
      <c r="G107" s="284" t="s">
        <v>32</v>
      </c>
      <c r="H107" s="285" t="s">
        <v>41</v>
      </c>
      <c r="I107" s="286"/>
      <c r="J107" s="284"/>
      <c r="K107" s="191"/>
      <c r="L107" s="191"/>
      <c r="M107" s="191"/>
      <c r="N107" s="191"/>
      <c r="O107" s="191"/>
      <c r="P107" s="284"/>
      <c r="Q107" s="287"/>
    </row>
    <row r="108" spans="2:17" ht="33.75" x14ac:dyDescent="0.25">
      <c r="B108" s="278" t="s">
        <v>9</v>
      </c>
      <c r="C108" s="157" t="s">
        <v>931</v>
      </c>
      <c r="D108" s="158" t="s">
        <v>338</v>
      </c>
      <c r="E108" s="159" t="s">
        <v>24</v>
      </c>
      <c r="F108" s="173" t="s">
        <v>931</v>
      </c>
      <c r="G108" s="279" t="s">
        <v>32</v>
      </c>
      <c r="H108" s="285" t="s">
        <v>41</v>
      </c>
      <c r="I108" s="283"/>
      <c r="J108" s="279"/>
      <c r="K108" s="190"/>
      <c r="L108" s="190"/>
      <c r="M108" s="190"/>
      <c r="N108" s="190"/>
      <c r="O108" s="190"/>
      <c r="P108" s="279"/>
      <c r="Q108" s="282"/>
    </row>
    <row r="109" spans="2:17" ht="45" x14ac:dyDescent="0.25">
      <c r="B109" s="278" t="s">
        <v>9</v>
      </c>
      <c r="C109" s="160" t="s">
        <v>932</v>
      </c>
      <c r="D109" s="161" t="s">
        <v>339</v>
      </c>
      <c r="E109" s="162" t="s">
        <v>24</v>
      </c>
      <c r="F109" s="172" t="s">
        <v>933</v>
      </c>
      <c r="G109" s="284" t="s">
        <v>32</v>
      </c>
      <c r="H109" s="285" t="s">
        <v>41</v>
      </c>
      <c r="I109" s="286"/>
      <c r="J109" s="284"/>
      <c r="K109" s="191"/>
      <c r="L109" s="191"/>
      <c r="M109" s="191"/>
      <c r="N109" s="191"/>
      <c r="O109" s="191"/>
      <c r="P109" s="284"/>
      <c r="Q109" s="287"/>
    </row>
    <row r="110" spans="2:17" ht="81.95" customHeight="1" x14ac:dyDescent="0.25">
      <c r="B110" s="278" t="s">
        <v>9</v>
      </c>
      <c r="C110" s="157" t="s">
        <v>340</v>
      </c>
      <c r="D110" s="158" t="s">
        <v>341</v>
      </c>
      <c r="E110" s="159" t="s">
        <v>24</v>
      </c>
      <c r="F110" s="173" t="s">
        <v>934</v>
      </c>
      <c r="G110" s="279" t="s">
        <v>32</v>
      </c>
      <c r="H110" s="280" t="s">
        <v>41</v>
      </c>
      <c r="I110" s="283"/>
      <c r="J110" s="279"/>
      <c r="K110" s="190"/>
      <c r="L110" s="190"/>
      <c r="M110" s="190"/>
      <c r="N110" s="190"/>
      <c r="O110" s="190"/>
      <c r="P110" s="279"/>
      <c r="Q110" s="282"/>
    </row>
    <row r="111" spans="2:17" ht="90" x14ac:dyDescent="0.25">
      <c r="B111" s="278" t="s">
        <v>9</v>
      </c>
      <c r="C111" s="157"/>
      <c r="D111" s="158" t="s">
        <v>342</v>
      </c>
      <c r="E111" s="159" t="s">
        <v>24</v>
      </c>
      <c r="F111" s="173" t="s">
        <v>935</v>
      </c>
      <c r="G111" s="279" t="s">
        <v>32</v>
      </c>
      <c r="H111" s="280" t="s">
        <v>41</v>
      </c>
      <c r="I111" s="283"/>
      <c r="J111" s="279"/>
      <c r="K111" s="190"/>
      <c r="L111" s="190"/>
      <c r="M111" s="190"/>
      <c r="N111" s="190"/>
      <c r="O111" s="190"/>
      <c r="P111" s="279"/>
      <c r="Q111" s="282"/>
    </row>
    <row r="112" spans="2:17" ht="45" x14ac:dyDescent="0.25">
      <c r="B112" s="278" t="s">
        <v>9</v>
      </c>
      <c r="C112" s="157"/>
      <c r="D112" s="158" t="s">
        <v>687</v>
      </c>
      <c r="E112" s="159" t="s">
        <v>24</v>
      </c>
      <c r="F112" s="173" t="s">
        <v>936</v>
      </c>
      <c r="G112" s="279" t="s">
        <v>32</v>
      </c>
      <c r="H112" s="280" t="s">
        <v>41</v>
      </c>
      <c r="I112" s="283"/>
      <c r="J112" s="279"/>
      <c r="K112" s="190"/>
      <c r="L112" s="190"/>
      <c r="M112" s="190"/>
      <c r="N112" s="190"/>
      <c r="O112" s="190"/>
      <c r="P112" s="279"/>
      <c r="Q112" s="282"/>
    </row>
    <row r="113" spans="2:17" ht="45" x14ac:dyDescent="0.25">
      <c r="B113" s="278" t="s">
        <v>9</v>
      </c>
      <c r="C113" s="157"/>
      <c r="D113" s="158" t="s">
        <v>1224</v>
      </c>
      <c r="E113" s="159" t="s">
        <v>24</v>
      </c>
      <c r="F113" s="321" t="s">
        <v>1225</v>
      </c>
      <c r="G113" s="279" t="s">
        <v>32</v>
      </c>
      <c r="H113" s="280" t="s">
        <v>41</v>
      </c>
      <c r="I113" s="283"/>
      <c r="J113" s="279"/>
      <c r="K113" s="190"/>
      <c r="L113" s="190"/>
      <c r="M113" s="190"/>
      <c r="N113" s="190"/>
      <c r="O113" s="190"/>
      <c r="P113" s="279"/>
      <c r="Q113" s="282"/>
    </row>
    <row r="114" spans="2:17" ht="90" x14ac:dyDescent="0.25">
      <c r="B114" s="278" t="s">
        <v>9</v>
      </c>
      <c r="C114" s="160" t="s">
        <v>937</v>
      </c>
      <c r="D114" s="161" t="s">
        <v>343</v>
      </c>
      <c r="E114" s="162" t="s">
        <v>24</v>
      </c>
      <c r="F114" s="172" t="s">
        <v>938</v>
      </c>
      <c r="G114" s="284" t="s">
        <v>32</v>
      </c>
      <c r="H114" s="285" t="s">
        <v>41</v>
      </c>
      <c r="I114" s="286"/>
      <c r="J114" s="284"/>
      <c r="K114" s="191"/>
      <c r="L114" s="191"/>
      <c r="M114" s="191"/>
      <c r="N114" s="191"/>
      <c r="O114" s="191"/>
      <c r="P114" s="284"/>
      <c r="Q114" s="287"/>
    </row>
    <row r="115" spans="2:17" ht="76.5" customHeight="1" x14ac:dyDescent="0.25">
      <c r="B115" s="278" t="s">
        <v>9</v>
      </c>
      <c r="C115" s="160"/>
      <c r="D115" s="161" t="s">
        <v>344</v>
      </c>
      <c r="E115" s="162" t="s">
        <v>24</v>
      </c>
      <c r="F115" s="172" t="s">
        <v>939</v>
      </c>
      <c r="G115" s="284" t="s">
        <v>32</v>
      </c>
      <c r="H115" s="285" t="s">
        <v>41</v>
      </c>
      <c r="I115" s="286"/>
      <c r="J115" s="284"/>
      <c r="K115" s="191"/>
      <c r="L115" s="191"/>
      <c r="M115" s="191"/>
      <c r="N115" s="191"/>
      <c r="O115" s="191"/>
      <c r="P115" s="284"/>
      <c r="Q115" s="287"/>
    </row>
    <row r="116" spans="2:17" ht="90" x14ac:dyDescent="0.25">
      <c r="B116" s="278" t="s">
        <v>9</v>
      </c>
      <c r="C116" s="160"/>
      <c r="D116" s="161" t="s">
        <v>345</v>
      </c>
      <c r="E116" s="162" t="s">
        <v>24</v>
      </c>
      <c r="F116" s="172" t="s">
        <v>940</v>
      </c>
      <c r="G116" s="284" t="s">
        <v>32</v>
      </c>
      <c r="H116" s="285" t="s">
        <v>41</v>
      </c>
      <c r="I116" s="286"/>
      <c r="J116" s="284"/>
      <c r="K116" s="191"/>
      <c r="L116" s="191"/>
      <c r="M116" s="191"/>
      <c r="N116" s="191"/>
      <c r="O116" s="191"/>
      <c r="P116" s="284"/>
      <c r="Q116" s="287"/>
    </row>
    <row r="117" spans="2:17" ht="98.45" customHeight="1" x14ac:dyDescent="0.25">
      <c r="B117" s="278" t="s">
        <v>9</v>
      </c>
      <c r="C117" s="160"/>
      <c r="D117" s="161" t="s">
        <v>346</v>
      </c>
      <c r="E117" s="162" t="s">
        <v>24</v>
      </c>
      <c r="F117" s="172" t="s">
        <v>941</v>
      </c>
      <c r="G117" s="284" t="s">
        <v>32</v>
      </c>
      <c r="H117" s="285" t="s">
        <v>41</v>
      </c>
      <c r="I117" s="286"/>
      <c r="J117" s="284"/>
      <c r="K117" s="191"/>
      <c r="L117" s="191"/>
      <c r="M117" s="191"/>
      <c r="N117" s="191"/>
      <c r="O117" s="191"/>
      <c r="P117" s="284"/>
      <c r="Q117" s="287"/>
    </row>
    <row r="118" spans="2:17" ht="112.5" x14ac:dyDescent="0.25">
      <c r="B118" s="278" t="s">
        <v>9</v>
      </c>
      <c r="C118" s="160"/>
      <c r="D118" s="161" t="s">
        <v>688</v>
      </c>
      <c r="E118" s="162" t="s">
        <v>24</v>
      </c>
      <c r="F118" s="172" t="s">
        <v>942</v>
      </c>
      <c r="G118" s="284" t="s">
        <v>32</v>
      </c>
      <c r="H118" s="285" t="s">
        <v>41</v>
      </c>
      <c r="I118" s="286"/>
      <c r="J118" s="284"/>
      <c r="K118" s="191"/>
      <c r="L118" s="191"/>
      <c r="M118" s="191"/>
      <c r="N118" s="191"/>
      <c r="O118" s="191"/>
      <c r="P118" s="284"/>
      <c r="Q118" s="287"/>
    </row>
    <row r="119" spans="2:17" ht="112.5" x14ac:dyDescent="0.25">
      <c r="B119" s="278" t="s">
        <v>9</v>
      </c>
      <c r="C119" s="157" t="s">
        <v>943</v>
      </c>
      <c r="D119" s="158" t="s">
        <v>347</v>
      </c>
      <c r="E119" s="159" t="s">
        <v>24</v>
      </c>
      <c r="F119" s="322" t="s">
        <v>1226</v>
      </c>
      <c r="G119" s="279" t="s">
        <v>32</v>
      </c>
      <c r="H119" s="280" t="s">
        <v>41</v>
      </c>
      <c r="I119" s="283"/>
      <c r="J119" s="279"/>
      <c r="K119" s="190"/>
      <c r="L119" s="190"/>
      <c r="M119" s="190"/>
      <c r="N119" s="190"/>
      <c r="O119" s="190"/>
      <c r="P119" s="279"/>
      <c r="Q119" s="282"/>
    </row>
    <row r="120" spans="2:17" ht="78.75" x14ac:dyDescent="0.25">
      <c r="B120" s="290" t="s">
        <v>348</v>
      </c>
      <c r="C120" s="160" t="s">
        <v>944</v>
      </c>
      <c r="D120" s="161" t="s">
        <v>349</v>
      </c>
      <c r="E120" s="162" t="s">
        <v>24</v>
      </c>
      <c r="F120" s="172" t="s">
        <v>945</v>
      </c>
      <c r="G120" s="284" t="s">
        <v>32</v>
      </c>
      <c r="H120" s="285" t="s">
        <v>41</v>
      </c>
      <c r="I120" s="286"/>
      <c r="J120" s="284"/>
      <c r="K120" s="191"/>
      <c r="L120" s="191"/>
      <c r="M120" s="191"/>
      <c r="N120" s="191"/>
      <c r="O120" s="191"/>
      <c r="P120" s="284"/>
      <c r="Q120" s="287"/>
    </row>
    <row r="121" spans="2:17" ht="78.75" x14ac:dyDescent="0.25">
      <c r="B121" s="290" t="s">
        <v>348</v>
      </c>
      <c r="C121" s="160"/>
      <c r="D121" s="161" t="s">
        <v>350</v>
      </c>
      <c r="E121" s="162" t="s">
        <v>24</v>
      </c>
      <c r="F121" s="172" t="s">
        <v>946</v>
      </c>
      <c r="G121" s="284" t="s">
        <v>32</v>
      </c>
      <c r="H121" s="285" t="s">
        <v>41</v>
      </c>
      <c r="I121" s="286"/>
      <c r="J121" s="284"/>
      <c r="K121" s="191"/>
      <c r="L121" s="191"/>
      <c r="M121" s="191"/>
      <c r="N121" s="191"/>
      <c r="O121" s="191"/>
      <c r="P121" s="284"/>
      <c r="Q121" s="287"/>
    </row>
    <row r="122" spans="2:17" ht="78.75" x14ac:dyDescent="0.25">
      <c r="B122" s="290" t="s">
        <v>348</v>
      </c>
      <c r="C122" s="160"/>
      <c r="D122" s="161" t="s">
        <v>351</v>
      </c>
      <c r="E122" s="162" t="s">
        <v>24</v>
      </c>
      <c r="F122" s="172" t="s">
        <v>947</v>
      </c>
      <c r="G122" s="284" t="s">
        <v>32</v>
      </c>
      <c r="H122" s="285" t="s">
        <v>41</v>
      </c>
      <c r="I122" s="286"/>
      <c r="J122" s="284"/>
      <c r="K122" s="191"/>
      <c r="L122" s="191"/>
      <c r="M122" s="191"/>
      <c r="N122" s="191"/>
      <c r="O122" s="191"/>
      <c r="P122" s="284"/>
      <c r="Q122" s="287"/>
    </row>
    <row r="123" spans="2:17" ht="34.5" customHeight="1" x14ac:dyDescent="0.25">
      <c r="B123" s="290" t="s">
        <v>348</v>
      </c>
      <c r="C123" s="160"/>
      <c r="D123" s="161" t="s">
        <v>689</v>
      </c>
      <c r="E123" s="162" t="s">
        <v>24</v>
      </c>
      <c r="F123" s="172" t="s">
        <v>948</v>
      </c>
      <c r="G123" s="284" t="s">
        <v>32</v>
      </c>
      <c r="H123" s="285" t="s">
        <v>41</v>
      </c>
      <c r="I123" s="286"/>
      <c r="J123" s="284"/>
      <c r="K123" s="191"/>
      <c r="L123" s="191"/>
      <c r="M123" s="191"/>
      <c r="N123" s="191"/>
      <c r="O123" s="191"/>
      <c r="P123" s="284"/>
      <c r="Q123" s="287"/>
    </row>
    <row r="124" spans="2:17" ht="33.75" x14ac:dyDescent="0.25">
      <c r="B124" s="290" t="s">
        <v>348</v>
      </c>
      <c r="C124" s="160"/>
      <c r="D124" s="161" t="s">
        <v>690</v>
      </c>
      <c r="E124" s="162" t="s">
        <v>24</v>
      </c>
      <c r="F124" s="172" t="s">
        <v>949</v>
      </c>
      <c r="G124" s="284" t="s">
        <v>32</v>
      </c>
      <c r="H124" s="285" t="s">
        <v>41</v>
      </c>
      <c r="I124" s="286"/>
      <c r="J124" s="284"/>
      <c r="K124" s="191"/>
      <c r="L124" s="191"/>
      <c r="M124" s="191"/>
      <c r="N124" s="191"/>
      <c r="O124" s="191"/>
      <c r="P124" s="284"/>
      <c r="Q124" s="287"/>
    </row>
    <row r="125" spans="2:17" ht="22.5" x14ac:dyDescent="0.25">
      <c r="B125" s="290" t="s">
        <v>348</v>
      </c>
      <c r="C125" s="328" t="s">
        <v>1244</v>
      </c>
      <c r="D125" s="158" t="s">
        <v>352</v>
      </c>
      <c r="E125" s="159" t="s">
        <v>24</v>
      </c>
      <c r="F125" s="321" t="s">
        <v>1227</v>
      </c>
      <c r="G125" s="279" t="s">
        <v>32</v>
      </c>
      <c r="H125" s="285" t="s">
        <v>41</v>
      </c>
      <c r="I125" s="283"/>
      <c r="J125" s="279"/>
      <c r="K125" s="190"/>
      <c r="L125" s="190"/>
      <c r="M125" s="190"/>
      <c r="N125" s="190"/>
      <c r="O125" s="190"/>
      <c r="P125" s="279"/>
      <c r="Q125" s="282"/>
    </row>
    <row r="126" spans="2:17" ht="135" x14ac:dyDescent="0.25">
      <c r="B126" s="278" t="s">
        <v>8</v>
      </c>
      <c r="C126" s="160" t="s">
        <v>950</v>
      </c>
      <c r="D126" s="161" t="s">
        <v>353</v>
      </c>
      <c r="E126" s="162" t="s">
        <v>24</v>
      </c>
      <c r="F126" s="164" t="s">
        <v>951</v>
      </c>
      <c r="G126" s="284" t="s">
        <v>32</v>
      </c>
      <c r="H126" s="285" t="s">
        <v>41</v>
      </c>
      <c r="I126" s="286"/>
      <c r="J126" s="284"/>
      <c r="K126" s="191"/>
      <c r="L126" s="191"/>
      <c r="M126" s="191"/>
      <c r="N126" s="191"/>
      <c r="O126" s="191"/>
      <c r="P126" s="284"/>
      <c r="Q126" s="287"/>
    </row>
    <row r="127" spans="2:17" ht="78.75" x14ac:dyDescent="0.25">
      <c r="B127" s="278" t="s">
        <v>8</v>
      </c>
      <c r="C127" s="160"/>
      <c r="D127" s="161" t="s">
        <v>354</v>
      </c>
      <c r="E127" s="162" t="s">
        <v>24</v>
      </c>
      <c r="F127" s="172" t="s">
        <v>952</v>
      </c>
      <c r="G127" s="284" t="s">
        <v>32</v>
      </c>
      <c r="H127" s="285" t="s">
        <v>41</v>
      </c>
      <c r="I127" s="286"/>
      <c r="J127" s="284"/>
      <c r="K127" s="191"/>
      <c r="L127" s="191"/>
      <c r="M127" s="191"/>
      <c r="N127" s="191"/>
      <c r="O127" s="191"/>
      <c r="P127" s="284"/>
      <c r="Q127" s="287"/>
    </row>
    <row r="128" spans="2:17" ht="78.75" x14ac:dyDescent="0.25">
      <c r="B128" s="278" t="s">
        <v>8</v>
      </c>
      <c r="C128" s="160"/>
      <c r="D128" s="161" t="s">
        <v>355</v>
      </c>
      <c r="E128" s="162" t="s">
        <v>24</v>
      </c>
      <c r="F128" s="164" t="s">
        <v>953</v>
      </c>
      <c r="G128" s="284" t="s">
        <v>32</v>
      </c>
      <c r="H128" s="285" t="s">
        <v>41</v>
      </c>
      <c r="I128" s="286"/>
      <c r="J128" s="284"/>
      <c r="K128" s="191"/>
      <c r="L128" s="191"/>
      <c r="M128" s="191"/>
      <c r="N128" s="191"/>
      <c r="O128" s="191"/>
      <c r="P128" s="284"/>
      <c r="Q128" s="287"/>
    </row>
    <row r="129" spans="2:17" ht="191.25" x14ac:dyDescent="0.25">
      <c r="B129" s="278" t="s">
        <v>8</v>
      </c>
      <c r="C129" s="157" t="s">
        <v>954</v>
      </c>
      <c r="D129" s="158" t="s">
        <v>356</v>
      </c>
      <c r="E129" s="159" t="s">
        <v>24</v>
      </c>
      <c r="F129" s="170" t="s">
        <v>955</v>
      </c>
      <c r="G129" s="279" t="s">
        <v>32</v>
      </c>
      <c r="H129" s="285" t="s">
        <v>41</v>
      </c>
      <c r="I129" s="283"/>
      <c r="J129" s="279"/>
      <c r="K129" s="190"/>
      <c r="L129" s="190"/>
      <c r="M129" s="190"/>
      <c r="N129" s="190"/>
      <c r="O129" s="190"/>
      <c r="P129" s="279"/>
      <c r="Q129" s="282"/>
    </row>
    <row r="130" spans="2:17" ht="78.75" x14ac:dyDescent="0.25">
      <c r="B130" s="278" t="s">
        <v>8</v>
      </c>
      <c r="C130" s="157"/>
      <c r="D130" s="158" t="s">
        <v>357</v>
      </c>
      <c r="E130" s="159" t="s">
        <v>24</v>
      </c>
      <c r="F130" s="163" t="s">
        <v>956</v>
      </c>
      <c r="G130" s="279" t="s">
        <v>32</v>
      </c>
      <c r="H130" s="285" t="s">
        <v>41</v>
      </c>
      <c r="I130" s="283"/>
      <c r="J130" s="279"/>
      <c r="K130" s="190"/>
      <c r="L130" s="190"/>
      <c r="M130" s="190"/>
      <c r="N130" s="190"/>
      <c r="O130" s="190"/>
      <c r="P130" s="279"/>
      <c r="Q130" s="282"/>
    </row>
    <row r="131" spans="2:17" ht="101.25" x14ac:dyDescent="0.25">
      <c r="B131" s="278" t="s">
        <v>8</v>
      </c>
      <c r="C131" s="160" t="s">
        <v>957</v>
      </c>
      <c r="D131" s="161" t="s">
        <v>358</v>
      </c>
      <c r="E131" s="162" t="s">
        <v>24</v>
      </c>
      <c r="F131" s="164" t="s">
        <v>958</v>
      </c>
      <c r="G131" s="284" t="s">
        <v>32</v>
      </c>
      <c r="H131" s="285" t="s">
        <v>41</v>
      </c>
      <c r="I131" s="286"/>
      <c r="J131" s="284"/>
      <c r="K131" s="191"/>
      <c r="L131" s="191"/>
      <c r="M131" s="191"/>
      <c r="N131" s="191"/>
      <c r="O131" s="191"/>
      <c r="P131" s="284"/>
      <c r="Q131" s="287"/>
    </row>
    <row r="132" spans="2:17" ht="33.75" x14ac:dyDescent="0.25">
      <c r="B132" s="278" t="s">
        <v>8</v>
      </c>
      <c r="C132" s="160"/>
      <c r="D132" s="161" t="s">
        <v>360</v>
      </c>
      <c r="E132" s="162" t="s">
        <v>24</v>
      </c>
      <c r="F132" s="172" t="s">
        <v>359</v>
      </c>
      <c r="G132" s="284" t="s">
        <v>32</v>
      </c>
      <c r="H132" s="285" t="s">
        <v>41</v>
      </c>
      <c r="I132" s="286"/>
      <c r="J132" s="284"/>
      <c r="K132" s="191"/>
      <c r="L132" s="191"/>
      <c r="M132" s="191"/>
      <c r="N132" s="191"/>
      <c r="O132" s="191"/>
      <c r="P132" s="284"/>
      <c r="Q132" s="287"/>
    </row>
    <row r="133" spans="2:17" ht="112.5" x14ac:dyDescent="0.25">
      <c r="B133" s="278" t="s">
        <v>8</v>
      </c>
      <c r="C133" s="157" t="s">
        <v>959</v>
      </c>
      <c r="D133" s="158" t="s">
        <v>361</v>
      </c>
      <c r="E133" s="159" t="s">
        <v>24</v>
      </c>
      <c r="F133" s="170" t="s">
        <v>960</v>
      </c>
      <c r="G133" s="279" t="s">
        <v>32</v>
      </c>
      <c r="H133" s="285" t="s">
        <v>41</v>
      </c>
      <c r="I133" s="283"/>
      <c r="J133" s="279"/>
      <c r="K133" s="190"/>
      <c r="L133" s="190"/>
      <c r="M133" s="190"/>
      <c r="N133" s="190"/>
      <c r="O133" s="190"/>
      <c r="P133" s="279"/>
      <c r="Q133" s="282"/>
    </row>
    <row r="134" spans="2:17" ht="45" x14ac:dyDescent="0.25">
      <c r="B134" s="278" t="s">
        <v>8</v>
      </c>
      <c r="C134" s="160" t="s">
        <v>961</v>
      </c>
      <c r="D134" s="161" t="s">
        <v>362</v>
      </c>
      <c r="E134" s="162" t="s">
        <v>25</v>
      </c>
      <c r="F134" s="172" t="s">
        <v>962</v>
      </c>
      <c r="G134" s="284" t="s">
        <v>32</v>
      </c>
      <c r="H134" s="285" t="s">
        <v>41</v>
      </c>
      <c r="I134" s="286"/>
      <c r="J134" s="284"/>
      <c r="K134" s="191"/>
      <c r="L134" s="191"/>
      <c r="M134" s="191"/>
      <c r="N134" s="191"/>
      <c r="O134" s="191"/>
      <c r="P134" s="284"/>
      <c r="Q134" s="287"/>
    </row>
    <row r="135" spans="2:17" ht="45" x14ac:dyDescent="0.25">
      <c r="B135" s="278" t="s">
        <v>8</v>
      </c>
      <c r="C135" s="164"/>
      <c r="D135" s="161" t="s">
        <v>691</v>
      </c>
      <c r="E135" s="162" t="s">
        <v>25</v>
      </c>
      <c r="F135" s="172" t="s">
        <v>963</v>
      </c>
      <c r="G135" s="284" t="s">
        <v>32</v>
      </c>
      <c r="H135" s="285" t="s">
        <v>41</v>
      </c>
      <c r="I135" s="286"/>
      <c r="J135" s="284"/>
      <c r="K135" s="191"/>
      <c r="L135" s="191"/>
      <c r="M135" s="191"/>
      <c r="N135" s="191"/>
      <c r="O135" s="191"/>
      <c r="P135" s="284"/>
      <c r="Q135" s="287"/>
    </row>
    <row r="136" spans="2:17" ht="45" x14ac:dyDescent="0.25">
      <c r="B136" s="278" t="s">
        <v>8</v>
      </c>
      <c r="C136" s="164"/>
      <c r="D136" s="161" t="s">
        <v>692</v>
      </c>
      <c r="E136" s="168" t="s">
        <v>25</v>
      </c>
      <c r="F136" s="172" t="s">
        <v>964</v>
      </c>
      <c r="G136" s="284" t="s">
        <v>32</v>
      </c>
      <c r="H136" s="285" t="s">
        <v>41</v>
      </c>
      <c r="I136" s="286"/>
      <c r="J136" s="284"/>
      <c r="K136" s="191"/>
      <c r="L136" s="191"/>
      <c r="M136" s="191"/>
      <c r="N136" s="191"/>
      <c r="O136" s="191"/>
      <c r="P136" s="284"/>
      <c r="Q136" s="287"/>
    </row>
    <row r="137" spans="2:17" ht="42.95" customHeight="1" x14ac:dyDescent="0.25">
      <c r="B137" s="290" t="s">
        <v>363</v>
      </c>
      <c r="C137" s="157" t="s">
        <v>965</v>
      </c>
      <c r="D137" s="157" t="s">
        <v>364</v>
      </c>
      <c r="E137" s="169" t="s">
        <v>24</v>
      </c>
      <c r="F137" s="173" t="s">
        <v>966</v>
      </c>
      <c r="G137" s="279" t="s">
        <v>32</v>
      </c>
      <c r="H137" s="280" t="s">
        <v>41</v>
      </c>
      <c r="I137" s="283"/>
      <c r="J137" s="279"/>
      <c r="K137" s="190"/>
      <c r="L137" s="190"/>
      <c r="M137" s="190"/>
      <c r="N137" s="190"/>
      <c r="O137" s="190"/>
      <c r="P137" s="279"/>
      <c r="Q137" s="282"/>
    </row>
    <row r="138" spans="2:17" ht="22.5" x14ac:dyDescent="0.25">
      <c r="B138" s="290" t="s">
        <v>363</v>
      </c>
      <c r="C138" s="157"/>
      <c r="D138" s="157" t="s">
        <v>365</v>
      </c>
      <c r="E138" s="169" t="s">
        <v>24</v>
      </c>
      <c r="F138" s="173" t="s">
        <v>967</v>
      </c>
      <c r="G138" s="279" t="s">
        <v>32</v>
      </c>
      <c r="H138" s="280" t="s">
        <v>41</v>
      </c>
      <c r="I138" s="283"/>
      <c r="J138" s="279"/>
      <c r="K138" s="190"/>
      <c r="L138" s="190"/>
      <c r="M138" s="190"/>
      <c r="N138" s="190"/>
      <c r="O138" s="190"/>
      <c r="P138" s="279"/>
      <c r="Q138" s="282"/>
    </row>
    <row r="139" spans="2:17" ht="45" x14ac:dyDescent="0.25">
      <c r="B139" s="290" t="s">
        <v>363</v>
      </c>
      <c r="C139" s="157"/>
      <c r="D139" s="157" t="s">
        <v>366</v>
      </c>
      <c r="E139" s="169" t="s">
        <v>24</v>
      </c>
      <c r="F139" s="173" t="s">
        <v>968</v>
      </c>
      <c r="G139" s="279" t="s">
        <v>32</v>
      </c>
      <c r="H139" s="280" t="s">
        <v>41</v>
      </c>
      <c r="I139" s="283"/>
      <c r="J139" s="279"/>
      <c r="K139" s="190"/>
      <c r="L139" s="190"/>
      <c r="M139" s="190"/>
      <c r="N139" s="190"/>
      <c r="O139" s="190"/>
      <c r="P139" s="279"/>
      <c r="Q139" s="282"/>
    </row>
    <row r="140" spans="2:17" ht="135" x14ac:dyDescent="0.25">
      <c r="B140" s="290" t="s">
        <v>363</v>
      </c>
      <c r="C140" s="328" t="s">
        <v>1245</v>
      </c>
      <c r="D140" s="160" t="s">
        <v>367</v>
      </c>
      <c r="E140" s="168" t="s">
        <v>24</v>
      </c>
      <c r="F140" s="321" t="s">
        <v>1228</v>
      </c>
      <c r="G140" s="284" t="s">
        <v>32</v>
      </c>
      <c r="H140" s="285" t="s">
        <v>41</v>
      </c>
      <c r="I140" s="286"/>
      <c r="J140" s="284"/>
      <c r="K140" s="191"/>
      <c r="L140" s="191"/>
      <c r="M140" s="191"/>
      <c r="N140" s="191"/>
      <c r="O140" s="191"/>
      <c r="P140" s="284"/>
      <c r="Q140" s="287"/>
    </row>
    <row r="141" spans="2:17" ht="90" x14ac:dyDescent="0.25">
      <c r="B141" s="290" t="s">
        <v>363</v>
      </c>
      <c r="C141" s="157" t="s">
        <v>969</v>
      </c>
      <c r="D141" s="157" t="s">
        <v>368</v>
      </c>
      <c r="E141" s="169" t="s">
        <v>24</v>
      </c>
      <c r="F141" s="170" t="s">
        <v>970</v>
      </c>
      <c r="G141" s="279" t="s">
        <v>32</v>
      </c>
      <c r="H141" s="280" t="s">
        <v>41</v>
      </c>
      <c r="I141" s="283"/>
      <c r="J141" s="279"/>
      <c r="K141" s="190"/>
      <c r="L141" s="190"/>
      <c r="M141" s="190"/>
      <c r="N141" s="190"/>
      <c r="O141" s="190"/>
      <c r="P141" s="279"/>
      <c r="Q141" s="282"/>
    </row>
    <row r="142" spans="2:17" ht="56.25" x14ac:dyDescent="0.25">
      <c r="B142" s="290" t="s">
        <v>363</v>
      </c>
      <c r="C142" s="160" t="s">
        <v>971</v>
      </c>
      <c r="D142" s="160" t="s">
        <v>369</v>
      </c>
      <c r="E142" s="168" t="s">
        <v>24</v>
      </c>
      <c r="F142" s="164" t="s">
        <v>972</v>
      </c>
      <c r="G142" s="284" t="s">
        <v>32</v>
      </c>
      <c r="H142" s="285" t="s">
        <v>41</v>
      </c>
      <c r="I142" s="286"/>
      <c r="J142" s="284"/>
      <c r="K142" s="191"/>
      <c r="L142" s="191"/>
      <c r="M142" s="191"/>
      <c r="N142" s="191"/>
      <c r="O142" s="191"/>
      <c r="P142" s="284"/>
      <c r="Q142" s="287"/>
    </row>
    <row r="143" spans="2:17" ht="83.1" customHeight="1" x14ac:dyDescent="0.25">
      <c r="B143" s="290" t="s">
        <v>363</v>
      </c>
      <c r="C143" s="157" t="s">
        <v>973</v>
      </c>
      <c r="D143" s="157" t="s">
        <v>370</v>
      </c>
      <c r="E143" s="169" t="s">
        <v>24</v>
      </c>
      <c r="F143" s="173" t="s">
        <v>974</v>
      </c>
      <c r="G143" s="279" t="s">
        <v>32</v>
      </c>
      <c r="H143" s="280" t="s">
        <v>41</v>
      </c>
      <c r="I143" s="283"/>
      <c r="J143" s="279"/>
      <c r="K143" s="190"/>
      <c r="L143" s="190"/>
      <c r="M143" s="190"/>
      <c r="N143" s="190"/>
      <c r="O143" s="190"/>
      <c r="P143" s="279"/>
      <c r="Q143" s="282"/>
    </row>
    <row r="144" spans="2:17" ht="33.75" x14ac:dyDescent="0.25">
      <c r="B144" s="290" t="s">
        <v>363</v>
      </c>
      <c r="C144" s="160" t="s">
        <v>975</v>
      </c>
      <c r="D144" s="160" t="s">
        <v>371</v>
      </c>
      <c r="E144" s="168" t="s">
        <v>24</v>
      </c>
      <c r="F144" s="172" t="s">
        <v>976</v>
      </c>
      <c r="G144" s="284" t="s">
        <v>32</v>
      </c>
      <c r="H144" s="285" t="s">
        <v>41</v>
      </c>
      <c r="I144" s="286"/>
      <c r="J144" s="284"/>
      <c r="K144" s="191"/>
      <c r="L144" s="191"/>
      <c r="M144" s="191"/>
      <c r="N144" s="191"/>
      <c r="O144" s="191"/>
      <c r="P144" s="284"/>
      <c r="Q144" s="287"/>
    </row>
    <row r="145" spans="2:17" ht="90" x14ac:dyDescent="0.25">
      <c r="B145" s="290" t="s">
        <v>363</v>
      </c>
      <c r="C145" s="170" t="s">
        <v>977</v>
      </c>
      <c r="D145" s="170" t="s">
        <v>372</v>
      </c>
      <c r="E145" s="169" t="s">
        <v>25</v>
      </c>
      <c r="F145" s="170" t="s">
        <v>978</v>
      </c>
      <c r="G145" s="279" t="s">
        <v>32</v>
      </c>
      <c r="H145" s="280" t="s">
        <v>41</v>
      </c>
      <c r="I145" s="283"/>
      <c r="J145" s="279"/>
      <c r="K145" s="190"/>
      <c r="L145" s="190"/>
      <c r="M145" s="190"/>
      <c r="N145" s="190"/>
      <c r="O145" s="190"/>
      <c r="P145" s="279"/>
      <c r="Q145" s="282"/>
    </row>
    <row r="146" spans="2:17" ht="56.25" x14ac:dyDescent="0.25">
      <c r="B146" s="290" t="s">
        <v>363</v>
      </c>
      <c r="C146" s="164" t="s">
        <v>693</v>
      </c>
      <c r="D146" s="164" t="s">
        <v>373</v>
      </c>
      <c r="E146" s="168" t="s">
        <v>25</v>
      </c>
      <c r="F146" s="172" t="s">
        <v>979</v>
      </c>
      <c r="G146" s="284" t="s">
        <v>32</v>
      </c>
      <c r="H146" s="285" t="s">
        <v>41</v>
      </c>
      <c r="I146" s="286"/>
      <c r="J146" s="284"/>
      <c r="K146" s="191"/>
      <c r="L146" s="191"/>
      <c r="M146" s="191"/>
      <c r="N146" s="191"/>
      <c r="O146" s="191"/>
      <c r="P146" s="284"/>
      <c r="Q146" s="287"/>
    </row>
    <row r="147" spans="2:17" ht="56.25" x14ac:dyDescent="0.25">
      <c r="B147" s="290" t="s">
        <v>363</v>
      </c>
      <c r="C147" s="170" t="s">
        <v>980</v>
      </c>
      <c r="D147" s="170" t="s">
        <v>374</v>
      </c>
      <c r="E147" s="169" t="s">
        <v>24</v>
      </c>
      <c r="F147" s="173" t="s">
        <v>981</v>
      </c>
      <c r="G147" s="279" t="s">
        <v>32</v>
      </c>
      <c r="H147" s="280" t="s">
        <v>41</v>
      </c>
      <c r="I147" s="283"/>
      <c r="J147" s="279"/>
      <c r="K147" s="190"/>
      <c r="L147" s="190"/>
      <c r="M147" s="190"/>
      <c r="N147" s="190"/>
      <c r="O147" s="190"/>
      <c r="P147" s="279"/>
      <c r="Q147" s="282"/>
    </row>
    <row r="148" spans="2:17" ht="45" x14ac:dyDescent="0.25">
      <c r="B148" s="290" t="s">
        <v>363</v>
      </c>
      <c r="C148" s="164" t="s">
        <v>982</v>
      </c>
      <c r="D148" s="164" t="s">
        <v>375</v>
      </c>
      <c r="E148" s="168" t="s">
        <v>24</v>
      </c>
      <c r="F148" s="172" t="s">
        <v>649</v>
      </c>
      <c r="G148" s="284" t="s">
        <v>32</v>
      </c>
      <c r="H148" s="285" t="s">
        <v>41</v>
      </c>
      <c r="I148" s="286"/>
      <c r="J148" s="284"/>
      <c r="K148" s="191"/>
      <c r="L148" s="191"/>
      <c r="M148" s="191"/>
      <c r="N148" s="191"/>
      <c r="O148" s="191"/>
      <c r="P148" s="284"/>
      <c r="Q148" s="287"/>
    </row>
    <row r="149" spans="2:17" ht="56.25" x14ac:dyDescent="0.25">
      <c r="B149" s="290" t="s">
        <v>363</v>
      </c>
      <c r="C149" s="164"/>
      <c r="D149" s="164" t="s">
        <v>486</v>
      </c>
      <c r="E149" s="168" t="s">
        <v>24</v>
      </c>
      <c r="F149" s="172" t="s">
        <v>983</v>
      </c>
      <c r="G149" s="284" t="s">
        <v>32</v>
      </c>
      <c r="H149" s="285" t="s">
        <v>41</v>
      </c>
      <c r="I149" s="286"/>
      <c r="J149" s="284"/>
      <c r="K149" s="191"/>
      <c r="L149" s="191"/>
      <c r="M149" s="191"/>
      <c r="N149" s="191"/>
      <c r="O149" s="191"/>
      <c r="P149" s="284"/>
      <c r="Q149" s="287"/>
    </row>
    <row r="150" spans="2:17" ht="56.25" x14ac:dyDescent="0.25">
      <c r="B150" s="278" t="s">
        <v>376</v>
      </c>
      <c r="C150" s="170" t="s">
        <v>984</v>
      </c>
      <c r="D150" s="170" t="s">
        <v>377</v>
      </c>
      <c r="E150" s="169" t="s">
        <v>24</v>
      </c>
      <c r="F150" s="173" t="s">
        <v>694</v>
      </c>
      <c r="G150" s="279" t="s">
        <v>32</v>
      </c>
      <c r="H150" s="280" t="s">
        <v>41</v>
      </c>
      <c r="I150" s="283"/>
      <c r="J150" s="279"/>
      <c r="K150" s="190"/>
      <c r="L150" s="190"/>
      <c r="M150" s="190"/>
      <c r="N150" s="190"/>
      <c r="O150" s="190"/>
      <c r="P150" s="279"/>
      <c r="Q150" s="282"/>
    </row>
    <row r="151" spans="2:17" ht="151.5" customHeight="1" x14ac:dyDescent="0.25">
      <c r="B151" s="278" t="s">
        <v>376</v>
      </c>
      <c r="C151" s="170"/>
      <c r="D151" s="170" t="s">
        <v>378</v>
      </c>
      <c r="E151" s="169" t="s">
        <v>24</v>
      </c>
      <c r="F151" s="173" t="s">
        <v>985</v>
      </c>
      <c r="G151" s="279" t="s">
        <v>32</v>
      </c>
      <c r="H151" s="280" t="s">
        <v>41</v>
      </c>
      <c r="I151" s="283"/>
      <c r="J151" s="279"/>
      <c r="K151" s="190"/>
      <c r="L151" s="190"/>
      <c r="M151" s="190"/>
      <c r="N151" s="190"/>
      <c r="O151" s="190"/>
      <c r="P151" s="279"/>
      <c r="Q151" s="282"/>
    </row>
    <row r="152" spans="2:17" ht="75" customHeight="1" x14ac:dyDescent="0.25">
      <c r="B152" s="278" t="s">
        <v>376</v>
      </c>
      <c r="C152" s="170"/>
      <c r="D152" s="170" t="s">
        <v>379</v>
      </c>
      <c r="E152" s="169" t="s">
        <v>24</v>
      </c>
      <c r="F152" s="173" t="s">
        <v>695</v>
      </c>
      <c r="G152" s="279" t="s">
        <v>32</v>
      </c>
      <c r="H152" s="280" t="s">
        <v>41</v>
      </c>
      <c r="I152" s="283"/>
      <c r="J152" s="279"/>
      <c r="K152" s="190"/>
      <c r="L152" s="190"/>
      <c r="M152" s="190"/>
      <c r="N152" s="190"/>
      <c r="O152" s="190"/>
      <c r="P152" s="279"/>
      <c r="Q152" s="282"/>
    </row>
    <row r="153" spans="2:17" ht="180" x14ac:dyDescent="0.25">
      <c r="B153" s="278" t="s">
        <v>376</v>
      </c>
      <c r="C153" s="164" t="s">
        <v>986</v>
      </c>
      <c r="D153" s="164" t="s">
        <v>380</v>
      </c>
      <c r="E153" s="168" t="s">
        <v>24</v>
      </c>
      <c r="F153" s="172" t="s">
        <v>987</v>
      </c>
      <c r="G153" s="284" t="s">
        <v>32</v>
      </c>
      <c r="H153" s="285" t="s">
        <v>41</v>
      </c>
      <c r="I153" s="286"/>
      <c r="J153" s="284"/>
      <c r="K153" s="191"/>
      <c r="L153" s="191"/>
      <c r="M153" s="191"/>
      <c r="N153" s="191"/>
      <c r="O153" s="191"/>
      <c r="P153" s="284"/>
      <c r="Q153" s="287"/>
    </row>
    <row r="154" spans="2:17" ht="78.75" x14ac:dyDescent="0.25">
      <c r="B154" s="278" t="s">
        <v>376</v>
      </c>
      <c r="C154" s="170" t="s">
        <v>988</v>
      </c>
      <c r="D154" s="170" t="s">
        <v>381</v>
      </c>
      <c r="E154" s="169" t="s">
        <v>24</v>
      </c>
      <c r="F154" s="173" t="s">
        <v>989</v>
      </c>
      <c r="G154" s="279" t="s">
        <v>32</v>
      </c>
      <c r="H154" s="280" t="s">
        <v>41</v>
      </c>
      <c r="I154" s="283"/>
      <c r="J154" s="279"/>
      <c r="K154" s="190"/>
      <c r="L154" s="190"/>
      <c r="M154" s="190"/>
      <c r="N154" s="190"/>
      <c r="O154" s="190"/>
      <c r="P154" s="279"/>
      <c r="Q154" s="282"/>
    </row>
    <row r="155" spans="2:17" ht="78.75" x14ac:dyDescent="0.25">
      <c r="B155" s="278" t="s">
        <v>376</v>
      </c>
      <c r="C155" s="170"/>
      <c r="D155" s="170" t="s">
        <v>382</v>
      </c>
      <c r="E155" s="169" t="s">
        <v>24</v>
      </c>
      <c r="F155" s="173" t="s">
        <v>990</v>
      </c>
      <c r="G155" s="279" t="s">
        <v>32</v>
      </c>
      <c r="H155" s="280" t="s">
        <v>41</v>
      </c>
      <c r="I155" s="283"/>
      <c r="J155" s="279"/>
      <c r="K155" s="190"/>
      <c r="L155" s="190"/>
      <c r="M155" s="190"/>
      <c r="N155" s="190"/>
      <c r="O155" s="190"/>
      <c r="P155" s="279"/>
      <c r="Q155" s="282"/>
    </row>
    <row r="156" spans="2:17" ht="45" x14ac:dyDescent="0.25">
      <c r="B156" s="278" t="s">
        <v>376</v>
      </c>
      <c r="C156" s="170"/>
      <c r="D156" s="170" t="s">
        <v>383</v>
      </c>
      <c r="E156" s="169" t="s">
        <v>24</v>
      </c>
      <c r="F156" s="173" t="s">
        <v>991</v>
      </c>
      <c r="G156" s="279" t="s">
        <v>32</v>
      </c>
      <c r="H156" s="280" t="s">
        <v>41</v>
      </c>
      <c r="I156" s="283"/>
      <c r="J156" s="279"/>
      <c r="K156" s="190"/>
      <c r="L156" s="190"/>
      <c r="M156" s="190"/>
      <c r="N156" s="190"/>
      <c r="O156" s="190"/>
      <c r="P156" s="279"/>
      <c r="Q156" s="282"/>
    </row>
    <row r="157" spans="2:17" ht="33.75" x14ac:dyDescent="0.25">
      <c r="B157" s="278" t="s">
        <v>376</v>
      </c>
      <c r="C157" s="164" t="s">
        <v>992</v>
      </c>
      <c r="D157" s="164" t="s">
        <v>384</v>
      </c>
      <c r="E157" s="168" t="s">
        <v>24</v>
      </c>
      <c r="F157" s="172" t="s">
        <v>993</v>
      </c>
      <c r="G157" s="284" t="s">
        <v>32</v>
      </c>
      <c r="H157" s="285" t="s">
        <v>41</v>
      </c>
      <c r="I157" s="286"/>
      <c r="J157" s="284"/>
      <c r="K157" s="191"/>
      <c r="L157" s="191"/>
      <c r="M157" s="191"/>
      <c r="N157" s="191"/>
      <c r="O157" s="191"/>
      <c r="P157" s="284"/>
      <c r="Q157" s="287"/>
    </row>
    <row r="158" spans="2:17" ht="33.75" x14ac:dyDescent="0.25">
      <c r="B158" s="278" t="s">
        <v>376</v>
      </c>
      <c r="C158" s="164"/>
      <c r="D158" s="164" t="s">
        <v>696</v>
      </c>
      <c r="E158" s="168" t="s">
        <v>24</v>
      </c>
      <c r="F158" s="172" t="s">
        <v>994</v>
      </c>
      <c r="G158" s="284" t="s">
        <v>32</v>
      </c>
      <c r="H158" s="285" t="s">
        <v>41</v>
      </c>
      <c r="I158" s="286"/>
      <c r="J158" s="284"/>
      <c r="K158" s="191"/>
      <c r="L158" s="191"/>
      <c r="M158" s="191"/>
      <c r="N158" s="191"/>
      <c r="O158" s="191"/>
      <c r="P158" s="284"/>
      <c r="Q158" s="287"/>
    </row>
    <row r="159" spans="2:17" ht="56.25" x14ac:dyDescent="0.25">
      <c r="B159" s="290" t="s">
        <v>385</v>
      </c>
      <c r="C159" s="170" t="s">
        <v>995</v>
      </c>
      <c r="D159" s="170" t="s">
        <v>386</v>
      </c>
      <c r="E159" s="169" t="s">
        <v>24</v>
      </c>
      <c r="F159" s="173" t="s">
        <v>996</v>
      </c>
      <c r="G159" s="279" t="s">
        <v>32</v>
      </c>
      <c r="H159" s="280" t="s">
        <v>41</v>
      </c>
      <c r="I159" s="283"/>
      <c r="J159" s="279"/>
      <c r="K159" s="190"/>
      <c r="L159" s="190"/>
      <c r="M159" s="190"/>
      <c r="N159" s="190"/>
      <c r="O159" s="190"/>
      <c r="P159" s="279"/>
      <c r="Q159" s="282"/>
    </row>
    <row r="160" spans="2:17" ht="56.25" x14ac:dyDescent="0.25">
      <c r="B160" s="290" t="s">
        <v>385</v>
      </c>
      <c r="C160" s="170"/>
      <c r="D160" s="170" t="s">
        <v>387</v>
      </c>
      <c r="E160" s="169" t="s">
        <v>24</v>
      </c>
      <c r="F160" s="173" t="s">
        <v>997</v>
      </c>
      <c r="G160" s="279" t="s">
        <v>32</v>
      </c>
      <c r="H160" s="280" t="s">
        <v>41</v>
      </c>
      <c r="I160" s="283"/>
      <c r="J160" s="279"/>
      <c r="K160" s="190"/>
      <c r="L160" s="190"/>
      <c r="M160" s="190"/>
      <c r="N160" s="190"/>
      <c r="O160" s="190"/>
      <c r="P160" s="279"/>
      <c r="Q160" s="282"/>
    </row>
    <row r="161" spans="2:17" ht="90" x14ac:dyDescent="0.25">
      <c r="B161" s="290" t="s">
        <v>385</v>
      </c>
      <c r="C161" s="170"/>
      <c r="D161" s="170" t="s">
        <v>388</v>
      </c>
      <c r="E161" s="169" t="s">
        <v>24</v>
      </c>
      <c r="F161" s="170" t="s">
        <v>998</v>
      </c>
      <c r="G161" s="279" t="s">
        <v>32</v>
      </c>
      <c r="H161" s="280" t="s">
        <v>41</v>
      </c>
      <c r="I161" s="283"/>
      <c r="J161" s="279"/>
      <c r="K161" s="190"/>
      <c r="L161" s="190"/>
      <c r="M161" s="190"/>
      <c r="N161" s="190"/>
      <c r="O161" s="190"/>
      <c r="P161" s="279"/>
      <c r="Q161" s="282"/>
    </row>
    <row r="162" spans="2:17" ht="45" x14ac:dyDescent="0.25">
      <c r="B162" s="290" t="s">
        <v>385</v>
      </c>
      <c r="C162" s="322" t="s">
        <v>1229</v>
      </c>
      <c r="D162" s="164" t="s">
        <v>389</v>
      </c>
      <c r="E162" s="168" t="s">
        <v>24</v>
      </c>
      <c r="F162" s="172" t="s">
        <v>999</v>
      </c>
      <c r="G162" s="284" t="s">
        <v>32</v>
      </c>
      <c r="H162" s="285" t="s">
        <v>41</v>
      </c>
      <c r="I162" s="286"/>
      <c r="J162" s="284"/>
      <c r="K162" s="191"/>
      <c r="L162" s="191"/>
      <c r="M162" s="191"/>
      <c r="N162" s="191"/>
      <c r="O162" s="191"/>
      <c r="P162" s="284"/>
      <c r="Q162" s="287"/>
    </row>
    <row r="163" spans="2:17" ht="33.75" x14ac:dyDescent="0.25">
      <c r="B163" s="290" t="s">
        <v>385</v>
      </c>
      <c r="C163" s="170" t="s">
        <v>1000</v>
      </c>
      <c r="D163" s="170" t="s">
        <v>390</v>
      </c>
      <c r="E163" s="169" t="s">
        <v>24</v>
      </c>
      <c r="F163" s="173" t="s">
        <v>1000</v>
      </c>
      <c r="G163" s="279" t="s">
        <v>32</v>
      </c>
      <c r="H163" s="280" t="s">
        <v>41</v>
      </c>
      <c r="I163" s="283"/>
      <c r="J163" s="279"/>
      <c r="K163" s="190"/>
      <c r="L163" s="190"/>
      <c r="M163" s="190"/>
      <c r="N163" s="190"/>
      <c r="O163" s="190"/>
      <c r="P163" s="279"/>
      <c r="Q163" s="282"/>
    </row>
    <row r="164" spans="2:17" ht="146.25" x14ac:dyDescent="0.25">
      <c r="B164" s="290" t="s">
        <v>385</v>
      </c>
      <c r="C164" s="164" t="s">
        <v>1001</v>
      </c>
      <c r="D164" s="164" t="s">
        <v>391</v>
      </c>
      <c r="E164" s="168" t="s">
        <v>25</v>
      </c>
      <c r="F164" s="172" t="s">
        <v>1002</v>
      </c>
      <c r="G164" s="284" t="s">
        <v>32</v>
      </c>
      <c r="H164" s="285" t="s">
        <v>41</v>
      </c>
      <c r="I164" s="286"/>
      <c r="J164" s="284"/>
      <c r="K164" s="191"/>
      <c r="L164" s="191"/>
      <c r="M164" s="191"/>
      <c r="N164" s="191"/>
      <c r="O164" s="191"/>
      <c r="P164" s="284"/>
      <c r="Q164" s="287"/>
    </row>
    <row r="165" spans="2:17" ht="146.25" x14ac:dyDescent="0.25">
      <c r="B165" s="290" t="s">
        <v>385</v>
      </c>
      <c r="C165" s="164"/>
      <c r="D165" s="164" t="s">
        <v>393</v>
      </c>
      <c r="E165" s="168" t="s">
        <v>25</v>
      </c>
      <c r="F165" s="172" t="s">
        <v>1003</v>
      </c>
      <c r="G165" s="284" t="s">
        <v>32</v>
      </c>
      <c r="H165" s="285" t="s">
        <v>41</v>
      </c>
      <c r="I165" s="286"/>
      <c r="J165" s="284"/>
      <c r="K165" s="191"/>
      <c r="L165" s="191"/>
      <c r="M165" s="191"/>
      <c r="N165" s="191"/>
      <c r="O165" s="191"/>
      <c r="P165" s="284"/>
      <c r="Q165" s="287"/>
    </row>
    <row r="166" spans="2:17" ht="64.5" customHeight="1" x14ac:dyDescent="0.25">
      <c r="B166" s="290" t="s">
        <v>385</v>
      </c>
      <c r="C166" s="170" t="s">
        <v>1004</v>
      </c>
      <c r="D166" s="170" t="s">
        <v>392</v>
      </c>
      <c r="E166" s="169" t="s">
        <v>25</v>
      </c>
      <c r="F166" s="173" t="s">
        <v>1005</v>
      </c>
      <c r="G166" s="279" t="s">
        <v>32</v>
      </c>
      <c r="H166" s="280" t="s">
        <v>41</v>
      </c>
      <c r="I166" s="283"/>
      <c r="J166" s="279"/>
      <c r="K166" s="190"/>
      <c r="L166" s="190"/>
      <c r="M166" s="190"/>
      <c r="N166" s="190"/>
      <c r="O166" s="190"/>
      <c r="P166" s="279"/>
      <c r="Q166" s="282"/>
    </row>
    <row r="167" spans="2:17" ht="67.5" x14ac:dyDescent="0.25">
      <c r="B167" s="290" t="s">
        <v>385</v>
      </c>
      <c r="C167" s="170"/>
      <c r="D167" s="170" t="s">
        <v>394</v>
      </c>
      <c r="E167" s="169" t="s">
        <v>25</v>
      </c>
      <c r="F167" s="173" t="s">
        <v>1006</v>
      </c>
      <c r="G167" s="279" t="s">
        <v>32</v>
      </c>
      <c r="H167" s="280" t="s">
        <v>41</v>
      </c>
      <c r="I167" s="283"/>
      <c r="J167" s="279"/>
      <c r="K167" s="190"/>
      <c r="L167" s="190"/>
      <c r="M167" s="190"/>
      <c r="N167" s="190"/>
      <c r="O167" s="190"/>
      <c r="P167" s="279"/>
      <c r="Q167" s="282"/>
    </row>
    <row r="168" spans="2:17" ht="90" x14ac:dyDescent="0.25">
      <c r="B168" s="290" t="s">
        <v>385</v>
      </c>
      <c r="C168" s="170"/>
      <c r="D168" s="170" t="s">
        <v>395</v>
      </c>
      <c r="E168" s="169" t="s">
        <v>25</v>
      </c>
      <c r="F168" s="173" t="s">
        <v>1007</v>
      </c>
      <c r="G168" s="279" t="s">
        <v>32</v>
      </c>
      <c r="H168" s="280" t="s">
        <v>41</v>
      </c>
      <c r="I168" s="283"/>
      <c r="J168" s="279"/>
      <c r="K168" s="190"/>
      <c r="L168" s="190"/>
      <c r="M168" s="190"/>
      <c r="N168" s="190"/>
      <c r="O168" s="190"/>
      <c r="P168" s="279"/>
      <c r="Q168" s="282"/>
    </row>
    <row r="169" spans="2:17" ht="123.75" x14ac:dyDescent="0.25">
      <c r="B169" s="290" t="s">
        <v>385</v>
      </c>
      <c r="C169" s="164" t="s">
        <v>1008</v>
      </c>
      <c r="D169" s="164" t="s">
        <v>396</v>
      </c>
      <c r="E169" s="168" t="s">
        <v>24</v>
      </c>
      <c r="F169" s="172" t="s">
        <v>1009</v>
      </c>
      <c r="G169" s="284" t="s">
        <v>32</v>
      </c>
      <c r="H169" s="285" t="s">
        <v>41</v>
      </c>
      <c r="I169" s="286"/>
      <c r="J169" s="284"/>
      <c r="K169" s="191"/>
      <c r="L169" s="191"/>
      <c r="M169" s="191"/>
      <c r="N169" s="191"/>
      <c r="O169" s="191"/>
      <c r="P169" s="284"/>
      <c r="Q169" s="287"/>
    </row>
    <row r="170" spans="2:17" ht="67.5" x14ac:dyDescent="0.25">
      <c r="B170" s="290" t="s">
        <v>385</v>
      </c>
      <c r="C170" s="170" t="s">
        <v>1010</v>
      </c>
      <c r="D170" s="170" t="s">
        <v>397</v>
      </c>
      <c r="E170" s="169" t="s">
        <v>24</v>
      </c>
      <c r="F170" s="173" t="s">
        <v>1011</v>
      </c>
      <c r="G170" s="279" t="s">
        <v>32</v>
      </c>
      <c r="H170" s="280" t="s">
        <v>41</v>
      </c>
      <c r="I170" s="283"/>
      <c r="J170" s="279"/>
      <c r="K170" s="190"/>
      <c r="L170" s="190"/>
      <c r="M170" s="190"/>
      <c r="N170" s="190"/>
      <c r="O170" s="190"/>
      <c r="P170" s="279"/>
      <c r="Q170" s="282"/>
    </row>
    <row r="171" spans="2:17" ht="123.75" x14ac:dyDescent="0.25">
      <c r="B171" s="290" t="s">
        <v>385</v>
      </c>
      <c r="C171" s="164" t="s">
        <v>697</v>
      </c>
      <c r="D171" s="164" t="s">
        <v>398</v>
      </c>
      <c r="E171" s="168" t="s">
        <v>24</v>
      </c>
      <c r="F171" s="164" t="s">
        <v>1012</v>
      </c>
      <c r="G171" s="284" t="s">
        <v>32</v>
      </c>
      <c r="H171" s="285" t="s">
        <v>41</v>
      </c>
      <c r="I171" s="286"/>
      <c r="J171" s="284"/>
      <c r="K171" s="191"/>
      <c r="L171" s="191"/>
      <c r="M171" s="191"/>
      <c r="N171" s="191"/>
      <c r="O171" s="191"/>
      <c r="P171" s="284"/>
      <c r="Q171" s="287"/>
    </row>
    <row r="172" spans="2:17" ht="56.25" x14ac:dyDescent="0.25">
      <c r="B172" s="290" t="s">
        <v>385</v>
      </c>
      <c r="C172" s="170" t="s">
        <v>1013</v>
      </c>
      <c r="D172" s="170" t="s">
        <v>399</v>
      </c>
      <c r="E172" s="169" t="s">
        <v>24</v>
      </c>
      <c r="F172" s="173" t="s">
        <v>1015</v>
      </c>
      <c r="G172" s="279" t="s">
        <v>32</v>
      </c>
      <c r="H172" s="280" t="s">
        <v>41</v>
      </c>
      <c r="I172" s="283"/>
      <c r="J172" s="279"/>
      <c r="K172" s="190"/>
      <c r="L172" s="190"/>
      <c r="M172" s="190"/>
      <c r="N172" s="190"/>
      <c r="O172" s="190"/>
      <c r="P172" s="279"/>
      <c r="Q172" s="282"/>
    </row>
    <row r="173" spans="2:17" ht="56.25" x14ac:dyDescent="0.25">
      <c r="B173" s="290" t="s">
        <v>385</v>
      </c>
      <c r="C173" s="170"/>
      <c r="D173" s="170" t="s">
        <v>698</v>
      </c>
      <c r="E173" s="169" t="s">
        <v>24</v>
      </c>
      <c r="F173" s="173" t="s">
        <v>1016</v>
      </c>
      <c r="G173" s="279" t="s">
        <v>32</v>
      </c>
      <c r="H173" s="280" t="s">
        <v>41</v>
      </c>
      <c r="I173" s="283"/>
      <c r="J173" s="279"/>
      <c r="K173" s="190"/>
      <c r="L173" s="190"/>
      <c r="M173" s="190"/>
      <c r="N173" s="190"/>
      <c r="O173" s="190"/>
      <c r="P173" s="279"/>
      <c r="Q173" s="282"/>
    </row>
    <row r="174" spans="2:17" ht="45" x14ac:dyDescent="0.25">
      <c r="B174" s="290" t="s">
        <v>385</v>
      </c>
      <c r="C174" s="170"/>
      <c r="D174" s="170" t="s">
        <v>699</v>
      </c>
      <c r="E174" s="169" t="s">
        <v>24</v>
      </c>
      <c r="F174" s="173" t="s">
        <v>1017</v>
      </c>
      <c r="G174" s="279" t="s">
        <v>32</v>
      </c>
      <c r="H174" s="280" t="s">
        <v>41</v>
      </c>
      <c r="I174" s="283"/>
      <c r="J174" s="279"/>
      <c r="K174" s="190"/>
      <c r="L174" s="190"/>
      <c r="M174" s="190"/>
      <c r="N174" s="190"/>
      <c r="O174" s="190"/>
      <c r="P174" s="279"/>
      <c r="Q174" s="282"/>
    </row>
    <row r="175" spans="2:17" ht="45" x14ac:dyDescent="0.25">
      <c r="B175" s="290" t="s">
        <v>385</v>
      </c>
      <c r="C175" s="170"/>
      <c r="D175" s="170" t="s">
        <v>700</v>
      </c>
      <c r="E175" s="169" t="s">
        <v>24</v>
      </c>
      <c r="F175" s="173" t="s">
        <v>1018</v>
      </c>
      <c r="G175" s="279" t="s">
        <v>32</v>
      </c>
      <c r="H175" s="280" t="s">
        <v>41</v>
      </c>
      <c r="I175" s="283"/>
      <c r="J175" s="279"/>
      <c r="K175" s="190"/>
      <c r="L175" s="190"/>
      <c r="M175" s="190"/>
      <c r="N175" s="190"/>
      <c r="O175" s="190"/>
      <c r="P175" s="279"/>
      <c r="Q175" s="282"/>
    </row>
    <row r="176" spans="2:17" ht="56.25" x14ac:dyDescent="0.25">
      <c r="B176" s="290" t="s">
        <v>385</v>
      </c>
      <c r="C176" s="164" t="s">
        <v>1014</v>
      </c>
      <c r="D176" s="164" t="s">
        <v>400</v>
      </c>
      <c r="E176" s="168" t="s">
        <v>24</v>
      </c>
      <c r="F176" s="172" t="s">
        <v>1019</v>
      </c>
      <c r="G176" s="284" t="s">
        <v>32</v>
      </c>
      <c r="H176" s="285" t="s">
        <v>41</v>
      </c>
      <c r="I176" s="286"/>
      <c r="J176" s="284"/>
      <c r="K176" s="191"/>
      <c r="L176" s="191"/>
      <c r="M176" s="191"/>
      <c r="N176" s="191"/>
      <c r="O176" s="191"/>
      <c r="P176" s="284"/>
      <c r="Q176" s="287"/>
    </row>
    <row r="177" spans="2:17" ht="56.25" x14ac:dyDescent="0.25">
      <c r="B177" s="290" t="s">
        <v>385</v>
      </c>
      <c r="C177" s="164"/>
      <c r="D177" s="164" t="s">
        <v>701</v>
      </c>
      <c r="E177" s="168" t="s">
        <v>24</v>
      </c>
      <c r="F177" s="172" t="s">
        <v>1020</v>
      </c>
      <c r="G177" s="284" t="s">
        <v>32</v>
      </c>
      <c r="H177" s="285" t="s">
        <v>41</v>
      </c>
      <c r="I177" s="286"/>
      <c r="J177" s="284"/>
      <c r="K177" s="191"/>
      <c r="L177" s="191"/>
      <c r="M177" s="191"/>
      <c r="N177" s="191"/>
      <c r="O177" s="191"/>
      <c r="P177" s="284"/>
      <c r="Q177" s="287"/>
    </row>
    <row r="178" spans="2:17" ht="54" customHeight="1" x14ac:dyDescent="0.25">
      <c r="B178" s="290" t="s">
        <v>385</v>
      </c>
      <c r="C178" s="164"/>
      <c r="D178" s="164" t="s">
        <v>702</v>
      </c>
      <c r="E178" s="168" t="s">
        <v>24</v>
      </c>
      <c r="F178" s="172" t="s">
        <v>1021</v>
      </c>
      <c r="G178" s="284" t="s">
        <v>32</v>
      </c>
      <c r="H178" s="285" t="s">
        <v>41</v>
      </c>
      <c r="I178" s="286"/>
      <c r="J178" s="284"/>
      <c r="K178" s="191"/>
      <c r="L178" s="191"/>
      <c r="M178" s="191"/>
      <c r="N178" s="191"/>
      <c r="O178" s="191"/>
      <c r="P178" s="284"/>
      <c r="Q178" s="287"/>
    </row>
    <row r="179" spans="2:17" ht="54" customHeight="1" x14ac:dyDescent="0.25">
      <c r="B179" s="290" t="s">
        <v>385</v>
      </c>
      <c r="C179" s="164"/>
      <c r="D179" s="164" t="s">
        <v>703</v>
      </c>
      <c r="E179" s="168" t="s">
        <v>24</v>
      </c>
      <c r="F179" s="172" t="s">
        <v>1022</v>
      </c>
      <c r="G179" s="284" t="s">
        <v>32</v>
      </c>
      <c r="H179" s="285" t="s">
        <v>41</v>
      </c>
      <c r="I179" s="286"/>
      <c r="J179" s="284"/>
      <c r="K179" s="191"/>
      <c r="L179" s="191"/>
      <c r="M179" s="191"/>
      <c r="N179" s="191"/>
      <c r="O179" s="191"/>
      <c r="P179" s="284"/>
      <c r="Q179" s="287"/>
    </row>
    <row r="180" spans="2:17" ht="77.45" customHeight="1" x14ac:dyDescent="0.25">
      <c r="B180" s="290" t="s">
        <v>385</v>
      </c>
      <c r="C180" s="322" t="s">
        <v>1230</v>
      </c>
      <c r="D180" s="170" t="s">
        <v>401</v>
      </c>
      <c r="E180" s="169" t="s">
        <v>25</v>
      </c>
      <c r="F180" s="173" t="s">
        <v>1023</v>
      </c>
      <c r="G180" s="279" t="s">
        <v>32</v>
      </c>
      <c r="H180" s="280" t="s">
        <v>41</v>
      </c>
      <c r="I180" s="283"/>
      <c r="J180" s="279"/>
      <c r="K180" s="190"/>
      <c r="L180" s="190"/>
      <c r="M180" s="190"/>
      <c r="N180" s="190"/>
      <c r="O180" s="190"/>
      <c r="P180" s="279"/>
      <c r="Q180" s="282"/>
    </row>
    <row r="181" spans="2:17" ht="78.95" customHeight="1" x14ac:dyDescent="0.25">
      <c r="B181" s="290" t="s">
        <v>385</v>
      </c>
      <c r="C181" s="170"/>
      <c r="D181" s="170" t="s">
        <v>704</v>
      </c>
      <c r="E181" s="169" t="s">
        <v>25</v>
      </c>
      <c r="F181" s="173" t="s">
        <v>1024</v>
      </c>
      <c r="G181" s="292" t="s">
        <v>32</v>
      </c>
      <c r="H181" s="280" t="s">
        <v>41</v>
      </c>
      <c r="I181" s="190"/>
      <c r="J181" s="292"/>
      <c r="K181" s="190"/>
      <c r="L181" s="190"/>
      <c r="M181" s="190"/>
      <c r="N181" s="190"/>
      <c r="O181" s="190"/>
      <c r="P181" s="292"/>
      <c r="Q181" s="293"/>
    </row>
    <row r="182" spans="2:17" ht="135" x14ac:dyDescent="0.25">
      <c r="B182" s="290" t="s">
        <v>385</v>
      </c>
      <c r="C182" s="164" t="s">
        <v>1025</v>
      </c>
      <c r="D182" s="164" t="s">
        <v>402</v>
      </c>
      <c r="E182" s="168" t="s">
        <v>25</v>
      </c>
      <c r="F182" s="172" t="s">
        <v>1026</v>
      </c>
      <c r="G182" s="294" t="s">
        <v>32</v>
      </c>
      <c r="H182" s="285" t="s">
        <v>41</v>
      </c>
      <c r="I182" s="191"/>
      <c r="J182" s="294"/>
      <c r="K182" s="191"/>
      <c r="L182" s="191"/>
      <c r="M182" s="191"/>
      <c r="N182" s="191"/>
      <c r="O182" s="191"/>
      <c r="P182" s="294"/>
      <c r="Q182" s="295"/>
    </row>
    <row r="183" spans="2:17" ht="67.5" x14ac:dyDescent="0.25">
      <c r="B183" s="290" t="s">
        <v>385</v>
      </c>
      <c r="C183" s="170" t="s">
        <v>1027</v>
      </c>
      <c r="D183" s="170" t="s">
        <v>403</v>
      </c>
      <c r="E183" s="169" t="s">
        <v>25</v>
      </c>
      <c r="F183" s="173" t="s">
        <v>1028</v>
      </c>
      <c r="G183" s="292" t="s">
        <v>32</v>
      </c>
      <c r="H183" s="280" t="s">
        <v>41</v>
      </c>
      <c r="I183" s="190"/>
      <c r="J183" s="292"/>
      <c r="K183" s="190"/>
      <c r="L183" s="190"/>
      <c r="M183" s="190"/>
      <c r="N183" s="190"/>
      <c r="O183" s="190"/>
      <c r="P183" s="292"/>
      <c r="Q183" s="293"/>
    </row>
    <row r="184" spans="2:17" ht="45" x14ac:dyDescent="0.25">
      <c r="B184" s="290" t="s">
        <v>385</v>
      </c>
      <c r="C184" s="170"/>
      <c r="D184" s="170" t="s">
        <v>705</v>
      </c>
      <c r="E184" s="169" t="s">
        <v>25</v>
      </c>
      <c r="F184" s="173" t="s">
        <v>1029</v>
      </c>
      <c r="G184" s="292" t="s">
        <v>32</v>
      </c>
      <c r="H184" s="280" t="s">
        <v>41</v>
      </c>
      <c r="I184" s="190"/>
      <c r="J184" s="292"/>
      <c r="K184" s="190"/>
      <c r="L184" s="190"/>
      <c r="M184" s="190"/>
      <c r="N184" s="190"/>
      <c r="O184" s="190"/>
      <c r="P184" s="292"/>
      <c r="Q184" s="293"/>
    </row>
    <row r="185" spans="2:17" ht="168.75" x14ac:dyDescent="0.25">
      <c r="B185" s="290" t="s">
        <v>385</v>
      </c>
      <c r="C185" s="170"/>
      <c r="D185" s="170" t="s">
        <v>706</v>
      </c>
      <c r="E185" s="169" t="s">
        <v>25</v>
      </c>
      <c r="F185" s="173" t="s">
        <v>1030</v>
      </c>
      <c r="G185" s="292" t="s">
        <v>32</v>
      </c>
      <c r="H185" s="280" t="s">
        <v>41</v>
      </c>
      <c r="I185" s="190"/>
      <c r="J185" s="292"/>
      <c r="K185" s="190"/>
      <c r="L185" s="190"/>
      <c r="M185" s="190"/>
      <c r="N185" s="190"/>
      <c r="O185" s="190"/>
      <c r="P185" s="292"/>
      <c r="Q185" s="293"/>
    </row>
    <row r="186" spans="2:17" ht="133.5" customHeight="1" x14ac:dyDescent="0.25">
      <c r="B186" s="290" t="s">
        <v>385</v>
      </c>
      <c r="C186" s="164" t="s">
        <v>707</v>
      </c>
      <c r="D186" s="164" t="s">
        <v>404</v>
      </c>
      <c r="E186" s="168" t="s">
        <v>24</v>
      </c>
      <c r="F186" s="172" t="s">
        <v>1031</v>
      </c>
      <c r="G186" s="294" t="s">
        <v>32</v>
      </c>
      <c r="H186" s="285" t="s">
        <v>41</v>
      </c>
      <c r="I186" s="191"/>
      <c r="J186" s="294"/>
      <c r="K186" s="191"/>
      <c r="L186" s="191"/>
      <c r="M186" s="191"/>
      <c r="N186" s="191"/>
      <c r="O186" s="191"/>
      <c r="P186" s="294"/>
      <c r="Q186" s="295"/>
    </row>
    <row r="187" spans="2:17" ht="134.1" customHeight="1" x14ac:dyDescent="0.25">
      <c r="B187" s="290" t="s">
        <v>385</v>
      </c>
      <c r="C187" s="164"/>
      <c r="D187" s="164" t="s">
        <v>405</v>
      </c>
      <c r="E187" s="168" t="s">
        <v>24</v>
      </c>
      <c r="F187" s="172" t="s">
        <v>1032</v>
      </c>
      <c r="G187" s="294" t="s">
        <v>32</v>
      </c>
      <c r="H187" s="285" t="s">
        <v>41</v>
      </c>
      <c r="I187" s="191"/>
      <c r="J187" s="294"/>
      <c r="K187" s="191"/>
      <c r="L187" s="191"/>
      <c r="M187" s="191"/>
      <c r="N187" s="191"/>
      <c r="O187" s="191"/>
      <c r="P187" s="294"/>
      <c r="Q187" s="295"/>
    </row>
    <row r="188" spans="2:17" ht="132.6" customHeight="1" x14ac:dyDescent="0.25">
      <c r="B188" s="278" t="s">
        <v>4</v>
      </c>
      <c r="C188" s="170" t="s">
        <v>1033</v>
      </c>
      <c r="D188" s="170" t="s">
        <v>406</v>
      </c>
      <c r="E188" s="169" t="s">
        <v>24</v>
      </c>
      <c r="F188" s="322" t="s">
        <v>1231</v>
      </c>
      <c r="G188" s="292" t="s">
        <v>32</v>
      </c>
      <c r="H188" s="280" t="s">
        <v>41</v>
      </c>
      <c r="I188" s="190"/>
      <c r="J188" s="292"/>
      <c r="K188" s="190"/>
      <c r="L188" s="190"/>
      <c r="M188" s="190"/>
      <c r="N188" s="190"/>
      <c r="O188" s="190"/>
      <c r="P188" s="292"/>
      <c r="Q188" s="293"/>
    </row>
    <row r="189" spans="2:17" ht="67.5" x14ac:dyDescent="0.25">
      <c r="B189" s="278" t="s">
        <v>4</v>
      </c>
      <c r="C189" s="170"/>
      <c r="D189" s="170" t="s">
        <v>407</v>
      </c>
      <c r="E189" s="169" t="s">
        <v>24</v>
      </c>
      <c r="F189" s="170" t="s">
        <v>1034</v>
      </c>
      <c r="G189" s="292" t="s">
        <v>32</v>
      </c>
      <c r="H189" s="280" t="s">
        <v>41</v>
      </c>
      <c r="I189" s="190"/>
      <c r="J189" s="292"/>
      <c r="K189" s="190"/>
      <c r="L189" s="190"/>
      <c r="M189" s="190"/>
      <c r="N189" s="190"/>
      <c r="O189" s="190"/>
      <c r="P189" s="292"/>
      <c r="Q189" s="293"/>
    </row>
    <row r="190" spans="2:17" ht="180" x14ac:dyDescent="0.25">
      <c r="B190" s="278" t="s">
        <v>4</v>
      </c>
      <c r="C190" s="170"/>
      <c r="D190" s="170" t="s">
        <v>408</v>
      </c>
      <c r="E190" s="169" t="s">
        <v>24</v>
      </c>
      <c r="F190" s="170" t="s">
        <v>1035</v>
      </c>
      <c r="G190" s="292" t="s">
        <v>32</v>
      </c>
      <c r="H190" s="280" t="s">
        <v>41</v>
      </c>
      <c r="I190" s="283"/>
      <c r="J190" s="292"/>
      <c r="K190" s="192"/>
      <c r="L190" s="192"/>
      <c r="M190" s="192"/>
      <c r="N190" s="192"/>
      <c r="O190" s="192"/>
      <c r="P190" s="292"/>
      <c r="Q190" s="293"/>
    </row>
    <row r="191" spans="2:17" ht="33.75" x14ac:dyDescent="0.25">
      <c r="B191" s="278" t="s">
        <v>4</v>
      </c>
      <c r="C191" s="164" t="s">
        <v>1036</v>
      </c>
      <c r="D191" s="164" t="s">
        <v>409</v>
      </c>
      <c r="E191" s="168" t="s">
        <v>24</v>
      </c>
      <c r="F191" s="172" t="s">
        <v>708</v>
      </c>
      <c r="G191" s="294" t="s">
        <v>32</v>
      </c>
      <c r="H191" s="285" t="s">
        <v>41</v>
      </c>
      <c r="I191" s="286"/>
      <c r="J191" s="294"/>
      <c r="K191" s="193"/>
      <c r="L191" s="193"/>
      <c r="M191" s="193"/>
      <c r="N191" s="193"/>
      <c r="O191" s="193"/>
      <c r="P191" s="294"/>
      <c r="Q191" s="295"/>
    </row>
    <row r="192" spans="2:17" ht="33.75" x14ac:dyDescent="0.25">
      <c r="B192" s="278" t="s">
        <v>4</v>
      </c>
      <c r="C192" s="164"/>
      <c r="D192" s="164" t="s">
        <v>411</v>
      </c>
      <c r="E192" s="168" t="s">
        <v>24</v>
      </c>
      <c r="F192" s="172" t="s">
        <v>415</v>
      </c>
      <c r="G192" s="294" t="s">
        <v>32</v>
      </c>
      <c r="H192" s="285" t="s">
        <v>41</v>
      </c>
      <c r="I192" s="286"/>
      <c r="J192" s="294"/>
      <c r="K192" s="193"/>
      <c r="L192" s="193"/>
      <c r="M192" s="193"/>
      <c r="N192" s="193"/>
      <c r="O192" s="193"/>
      <c r="P192" s="294"/>
      <c r="Q192" s="295"/>
    </row>
    <row r="193" spans="2:17" ht="45" x14ac:dyDescent="0.25">
      <c r="B193" s="278" t="s">
        <v>4</v>
      </c>
      <c r="C193" s="164"/>
      <c r="D193" s="164" t="s">
        <v>412</v>
      </c>
      <c r="E193" s="168" t="s">
        <v>24</v>
      </c>
      <c r="F193" s="172" t="s">
        <v>1037</v>
      </c>
      <c r="G193" s="294" t="s">
        <v>32</v>
      </c>
      <c r="H193" s="285" t="s">
        <v>41</v>
      </c>
      <c r="I193" s="193"/>
      <c r="J193" s="294"/>
      <c r="K193" s="193"/>
      <c r="L193" s="193"/>
      <c r="M193" s="193"/>
      <c r="N193" s="193"/>
      <c r="O193" s="193"/>
      <c r="P193" s="294"/>
      <c r="Q193" s="295"/>
    </row>
    <row r="194" spans="2:17" ht="45" x14ac:dyDescent="0.25">
      <c r="B194" s="278" t="s">
        <v>4</v>
      </c>
      <c r="C194" s="164"/>
      <c r="D194" s="164" t="s">
        <v>413</v>
      </c>
      <c r="E194" s="168" t="s">
        <v>24</v>
      </c>
      <c r="F194" s="172" t="s">
        <v>1038</v>
      </c>
      <c r="G194" s="294" t="s">
        <v>32</v>
      </c>
      <c r="H194" s="285" t="s">
        <v>41</v>
      </c>
      <c r="I194" s="193"/>
      <c r="J194" s="294"/>
      <c r="K194" s="193"/>
      <c r="L194" s="193"/>
      <c r="M194" s="193"/>
      <c r="N194" s="193"/>
      <c r="O194" s="193"/>
      <c r="P194" s="294"/>
      <c r="Q194" s="295"/>
    </row>
    <row r="195" spans="2:17" ht="168.75" x14ac:dyDescent="0.25">
      <c r="B195" s="278" t="s">
        <v>4</v>
      </c>
      <c r="C195" s="164"/>
      <c r="D195" s="164" t="s">
        <v>709</v>
      </c>
      <c r="E195" s="168" t="s">
        <v>24</v>
      </c>
      <c r="F195" s="172" t="s">
        <v>1039</v>
      </c>
      <c r="G195" s="294" t="s">
        <v>32</v>
      </c>
      <c r="H195" s="285" t="s">
        <v>41</v>
      </c>
      <c r="I195" s="193"/>
      <c r="J195" s="294"/>
      <c r="K195" s="193"/>
      <c r="L195" s="193"/>
      <c r="M195" s="193"/>
      <c r="N195" s="193"/>
      <c r="O195" s="193"/>
      <c r="P195" s="294"/>
      <c r="Q195" s="295"/>
    </row>
    <row r="196" spans="2:17" ht="45" x14ac:dyDescent="0.25">
      <c r="B196" s="278" t="s">
        <v>4</v>
      </c>
      <c r="C196" s="164"/>
      <c r="D196" s="164" t="s">
        <v>710</v>
      </c>
      <c r="E196" s="168" t="s">
        <v>24</v>
      </c>
      <c r="F196" s="172" t="s">
        <v>711</v>
      </c>
      <c r="G196" s="294" t="s">
        <v>32</v>
      </c>
      <c r="H196" s="285" t="s">
        <v>41</v>
      </c>
      <c r="I196" s="193"/>
      <c r="J196" s="294"/>
      <c r="K196" s="193"/>
      <c r="L196" s="193"/>
      <c r="M196" s="193"/>
      <c r="N196" s="193"/>
      <c r="O196" s="193"/>
      <c r="P196" s="294"/>
      <c r="Q196" s="295"/>
    </row>
    <row r="197" spans="2:17" ht="56.25" x14ac:dyDescent="0.25">
      <c r="B197" s="278" t="s">
        <v>4</v>
      </c>
      <c r="C197" s="170" t="s">
        <v>1116</v>
      </c>
      <c r="D197" s="170" t="s">
        <v>410</v>
      </c>
      <c r="E197" s="169" t="s">
        <v>25</v>
      </c>
      <c r="F197" s="173" t="s">
        <v>416</v>
      </c>
      <c r="G197" s="292" t="s">
        <v>32</v>
      </c>
      <c r="H197" s="280" t="s">
        <v>41</v>
      </c>
      <c r="I197" s="192"/>
      <c r="J197" s="292"/>
      <c r="K197" s="192"/>
      <c r="L197" s="192"/>
      <c r="M197" s="192"/>
      <c r="N197" s="192"/>
      <c r="O197" s="192"/>
      <c r="P197" s="292"/>
      <c r="Q197" s="293"/>
    </row>
    <row r="198" spans="2:17" ht="45" customHeight="1" x14ac:dyDescent="0.25">
      <c r="B198" s="278" t="s">
        <v>4</v>
      </c>
      <c r="C198" s="170"/>
      <c r="D198" s="170" t="s">
        <v>414</v>
      </c>
      <c r="E198" s="169" t="s">
        <v>25</v>
      </c>
      <c r="F198" s="173" t="s">
        <v>417</v>
      </c>
      <c r="G198" s="292" t="s">
        <v>32</v>
      </c>
      <c r="H198" s="280" t="s">
        <v>41</v>
      </c>
      <c r="I198" s="192"/>
      <c r="J198" s="292"/>
      <c r="K198" s="192"/>
      <c r="L198" s="192"/>
      <c r="M198" s="192"/>
      <c r="N198" s="192"/>
      <c r="O198" s="192"/>
      <c r="P198" s="292"/>
      <c r="Q198" s="293"/>
    </row>
    <row r="199" spans="2:17" ht="33.75" x14ac:dyDescent="0.25">
      <c r="B199" s="278" t="s">
        <v>4</v>
      </c>
      <c r="C199" s="164" t="s">
        <v>712</v>
      </c>
      <c r="D199" s="164" t="s">
        <v>418</v>
      </c>
      <c r="E199" s="168" t="s">
        <v>25</v>
      </c>
      <c r="F199" s="172" t="s">
        <v>1040</v>
      </c>
      <c r="G199" s="294" t="s">
        <v>32</v>
      </c>
      <c r="H199" s="285" t="s">
        <v>41</v>
      </c>
      <c r="I199" s="193"/>
      <c r="J199" s="294"/>
      <c r="K199" s="193"/>
      <c r="L199" s="193"/>
      <c r="M199" s="193"/>
      <c r="N199" s="193"/>
      <c r="O199" s="193"/>
      <c r="P199" s="294"/>
      <c r="Q199" s="295"/>
    </row>
    <row r="200" spans="2:17" ht="145.5" customHeight="1" x14ac:dyDescent="0.25">
      <c r="B200" s="278" t="s">
        <v>4</v>
      </c>
      <c r="C200" s="164"/>
      <c r="D200" s="164" t="s">
        <v>713</v>
      </c>
      <c r="E200" s="168" t="s">
        <v>25</v>
      </c>
      <c r="F200" s="172" t="s">
        <v>1041</v>
      </c>
      <c r="G200" s="294" t="s">
        <v>32</v>
      </c>
      <c r="H200" s="285" t="s">
        <v>41</v>
      </c>
      <c r="I200" s="193"/>
      <c r="J200" s="294"/>
      <c r="K200" s="193"/>
      <c r="L200" s="193"/>
      <c r="M200" s="193"/>
      <c r="N200" s="193"/>
      <c r="O200" s="193"/>
      <c r="P200" s="294"/>
      <c r="Q200" s="295"/>
    </row>
    <row r="201" spans="2:17" ht="146.25" x14ac:dyDescent="0.25">
      <c r="B201" s="278" t="s">
        <v>4</v>
      </c>
      <c r="C201" s="164"/>
      <c r="D201" s="164" t="s">
        <v>714</v>
      </c>
      <c r="E201" s="168" t="s">
        <v>25</v>
      </c>
      <c r="F201" s="321" t="s">
        <v>1232</v>
      </c>
      <c r="G201" s="294" t="s">
        <v>32</v>
      </c>
      <c r="H201" s="285" t="s">
        <v>41</v>
      </c>
      <c r="I201" s="193"/>
      <c r="J201" s="294"/>
      <c r="K201" s="193"/>
      <c r="L201" s="193"/>
      <c r="M201" s="193"/>
      <c r="N201" s="193"/>
      <c r="O201" s="193"/>
      <c r="P201" s="294"/>
      <c r="Q201" s="295"/>
    </row>
    <row r="202" spans="2:17" ht="123.95" customHeight="1" x14ac:dyDescent="0.25">
      <c r="B202" s="278" t="s">
        <v>4</v>
      </c>
      <c r="C202" s="170" t="s">
        <v>1042</v>
      </c>
      <c r="D202" s="170" t="s">
        <v>419</v>
      </c>
      <c r="E202" s="169" t="s">
        <v>24</v>
      </c>
      <c r="F202" s="173" t="s">
        <v>1043</v>
      </c>
      <c r="G202" s="292" t="s">
        <v>32</v>
      </c>
      <c r="H202" s="280" t="s">
        <v>41</v>
      </c>
      <c r="I202" s="192"/>
      <c r="J202" s="292"/>
      <c r="K202" s="192"/>
      <c r="L202" s="192"/>
      <c r="M202" s="192"/>
      <c r="N202" s="192"/>
      <c r="O202" s="192"/>
      <c r="P202" s="292"/>
      <c r="Q202" s="293"/>
    </row>
    <row r="203" spans="2:17" ht="33.75" x14ac:dyDescent="0.25">
      <c r="B203" s="278" t="s">
        <v>4</v>
      </c>
      <c r="C203" s="322" t="s">
        <v>1233</v>
      </c>
      <c r="D203" s="164" t="s">
        <v>420</v>
      </c>
      <c r="E203" s="168" t="s">
        <v>24</v>
      </c>
      <c r="F203" s="172" t="s">
        <v>715</v>
      </c>
      <c r="G203" s="294" t="s">
        <v>32</v>
      </c>
      <c r="H203" s="285" t="s">
        <v>41</v>
      </c>
      <c r="I203" s="193"/>
      <c r="J203" s="294"/>
      <c r="K203" s="193"/>
      <c r="L203" s="193"/>
      <c r="M203" s="193"/>
      <c r="N203" s="193"/>
      <c r="O203" s="193"/>
      <c r="P203" s="294"/>
      <c r="Q203" s="295"/>
    </row>
    <row r="204" spans="2:17" ht="33.75" x14ac:dyDescent="0.25">
      <c r="B204" s="278" t="s">
        <v>4</v>
      </c>
      <c r="C204" s="170" t="s">
        <v>716</v>
      </c>
      <c r="D204" s="170" t="s">
        <v>421</v>
      </c>
      <c r="E204" s="169" t="s">
        <v>24</v>
      </c>
      <c r="F204" s="173" t="s">
        <v>1044</v>
      </c>
      <c r="G204" s="292" t="s">
        <v>32</v>
      </c>
      <c r="H204" s="280" t="s">
        <v>41</v>
      </c>
      <c r="I204" s="192"/>
      <c r="J204" s="292"/>
      <c r="K204" s="192"/>
      <c r="L204" s="192"/>
      <c r="M204" s="192"/>
      <c r="N204" s="192"/>
      <c r="O204" s="192"/>
      <c r="P204" s="292"/>
      <c r="Q204" s="293"/>
    </row>
    <row r="205" spans="2:17" ht="45" x14ac:dyDescent="0.25">
      <c r="B205" s="278" t="s">
        <v>4</v>
      </c>
      <c r="C205" s="164" t="s">
        <v>1045</v>
      </c>
      <c r="D205" s="164" t="s">
        <v>422</v>
      </c>
      <c r="E205" s="168" t="s">
        <v>24</v>
      </c>
      <c r="F205" s="172" t="s">
        <v>1046</v>
      </c>
      <c r="G205" s="294" t="s">
        <v>32</v>
      </c>
      <c r="H205" s="285" t="s">
        <v>41</v>
      </c>
      <c r="I205" s="286"/>
      <c r="J205" s="294"/>
      <c r="K205" s="193"/>
      <c r="L205" s="193"/>
      <c r="M205" s="193"/>
      <c r="N205" s="193"/>
      <c r="O205" s="193"/>
      <c r="P205" s="294"/>
      <c r="Q205" s="295"/>
    </row>
    <row r="206" spans="2:17" ht="22.5" x14ac:dyDescent="0.25">
      <c r="B206" s="278" t="s">
        <v>4</v>
      </c>
      <c r="C206" s="164"/>
      <c r="D206" s="164" t="s">
        <v>423</v>
      </c>
      <c r="E206" s="168" t="s">
        <v>24</v>
      </c>
      <c r="F206" s="172" t="s">
        <v>717</v>
      </c>
      <c r="G206" s="294" t="s">
        <v>32</v>
      </c>
      <c r="H206" s="285" t="s">
        <v>41</v>
      </c>
      <c r="I206" s="286"/>
      <c r="J206" s="294"/>
      <c r="K206" s="193"/>
      <c r="L206" s="193"/>
      <c r="M206" s="193"/>
      <c r="N206" s="193"/>
      <c r="O206" s="193"/>
      <c r="P206" s="294"/>
      <c r="Q206" s="295"/>
    </row>
    <row r="207" spans="2:17" ht="38.1" customHeight="1" x14ac:dyDescent="0.25">
      <c r="B207" s="278" t="s">
        <v>4</v>
      </c>
      <c r="C207" s="164"/>
      <c r="D207" s="164" t="s">
        <v>424</v>
      </c>
      <c r="E207" s="168" t="s">
        <v>24</v>
      </c>
      <c r="F207" s="172" t="s">
        <v>1047</v>
      </c>
      <c r="G207" s="294" t="s">
        <v>32</v>
      </c>
      <c r="H207" s="285" t="s">
        <v>41</v>
      </c>
      <c r="I207" s="193"/>
      <c r="J207" s="294"/>
      <c r="K207" s="193"/>
      <c r="L207" s="193"/>
      <c r="M207" s="193"/>
      <c r="N207" s="193"/>
      <c r="O207" s="193"/>
      <c r="P207" s="294"/>
      <c r="Q207" s="295"/>
    </row>
    <row r="208" spans="2:17" ht="168.75" x14ac:dyDescent="0.25">
      <c r="B208" s="278" t="s">
        <v>4</v>
      </c>
      <c r="C208" s="170" t="s">
        <v>1048</v>
      </c>
      <c r="D208" s="170" t="s">
        <v>425</v>
      </c>
      <c r="E208" s="169" t="s">
        <v>24</v>
      </c>
      <c r="F208" s="170" t="s">
        <v>1049</v>
      </c>
      <c r="G208" s="292" t="s">
        <v>32</v>
      </c>
      <c r="H208" s="280" t="s">
        <v>41</v>
      </c>
      <c r="I208" s="192"/>
      <c r="J208" s="292"/>
      <c r="K208" s="192"/>
      <c r="L208" s="192"/>
      <c r="M208" s="192"/>
      <c r="N208" s="192"/>
      <c r="O208" s="192"/>
      <c r="P208" s="292"/>
      <c r="Q208" s="293"/>
    </row>
    <row r="209" spans="2:17" ht="202.5" x14ac:dyDescent="0.25">
      <c r="B209" s="278" t="s">
        <v>4</v>
      </c>
      <c r="C209" s="170"/>
      <c r="D209" s="170" t="s">
        <v>426</v>
      </c>
      <c r="E209" s="169" t="s">
        <v>24</v>
      </c>
      <c r="F209" s="170" t="s">
        <v>1050</v>
      </c>
      <c r="G209" s="292" t="s">
        <v>32</v>
      </c>
      <c r="H209" s="280" t="s">
        <v>41</v>
      </c>
      <c r="I209" s="192"/>
      <c r="J209" s="292"/>
      <c r="K209" s="192"/>
      <c r="L209" s="192"/>
      <c r="M209" s="192"/>
      <c r="N209" s="192"/>
      <c r="O209" s="192"/>
      <c r="P209" s="292"/>
      <c r="Q209" s="293"/>
    </row>
    <row r="210" spans="2:17" ht="101.25" x14ac:dyDescent="0.25">
      <c r="B210" s="278" t="s">
        <v>4</v>
      </c>
      <c r="C210" s="164" t="s">
        <v>1051</v>
      </c>
      <c r="D210" s="164" t="s">
        <v>427</v>
      </c>
      <c r="E210" s="168" t="s">
        <v>24</v>
      </c>
      <c r="F210" s="164" t="s">
        <v>1052</v>
      </c>
      <c r="G210" s="294" t="s">
        <v>32</v>
      </c>
      <c r="H210" s="285" t="s">
        <v>41</v>
      </c>
      <c r="I210" s="193"/>
      <c r="J210" s="294"/>
      <c r="K210" s="193"/>
      <c r="L210" s="193"/>
      <c r="M210" s="193"/>
      <c r="N210" s="193"/>
      <c r="O210" s="193"/>
      <c r="P210" s="294"/>
      <c r="Q210" s="295"/>
    </row>
    <row r="211" spans="2:17" ht="101.25" x14ac:dyDescent="0.25">
      <c r="B211" s="278" t="s">
        <v>4</v>
      </c>
      <c r="C211" s="164"/>
      <c r="D211" s="164" t="s">
        <v>428</v>
      </c>
      <c r="E211" s="168" t="s">
        <v>24</v>
      </c>
      <c r="F211" s="172" t="s">
        <v>1053</v>
      </c>
      <c r="G211" s="294" t="s">
        <v>32</v>
      </c>
      <c r="H211" s="285" t="s">
        <v>41</v>
      </c>
      <c r="I211" s="193"/>
      <c r="J211" s="294"/>
      <c r="K211" s="193"/>
      <c r="L211" s="193"/>
      <c r="M211" s="193"/>
      <c r="N211" s="193"/>
      <c r="O211" s="193"/>
      <c r="P211" s="294"/>
      <c r="Q211" s="295"/>
    </row>
    <row r="212" spans="2:17" ht="90" x14ac:dyDescent="0.25">
      <c r="B212" s="278" t="s">
        <v>4</v>
      </c>
      <c r="C212" s="164"/>
      <c r="D212" s="164" t="s">
        <v>429</v>
      </c>
      <c r="E212" s="168" t="s">
        <v>24</v>
      </c>
      <c r="F212" s="164" t="s">
        <v>1054</v>
      </c>
      <c r="G212" s="294" t="s">
        <v>32</v>
      </c>
      <c r="H212" s="285" t="s">
        <v>41</v>
      </c>
      <c r="I212" s="193"/>
      <c r="J212" s="294"/>
      <c r="K212" s="193"/>
      <c r="L212" s="193"/>
      <c r="M212" s="193"/>
      <c r="N212" s="193"/>
      <c r="O212" s="193"/>
      <c r="P212" s="294"/>
      <c r="Q212" s="295"/>
    </row>
    <row r="213" spans="2:17" ht="74.099999999999994" customHeight="1" x14ac:dyDescent="0.25">
      <c r="B213" s="278" t="s">
        <v>4</v>
      </c>
      <c r="C213" s="164"/>
      <c r="D213" s="164" t="s">
        <v>430</v>
      </c>
      <c r="E213" s="168" t="s">
        <v>24</v>
      </c>
      <c r="F213" s="322" t="s">
        <v>1234</v>
      </c>
      <c r="G213" s="294" t="s">
        <v>32</v>
      </c>
      <c r="H213" s="285" t="s">
        <v>41</v>
      </c>
      <c r="I213" s="193"/>
      <c r="J213" s="294"/>
      <c r="K213" s="193"/>
      <c r="L213" s="193"/>
      <c r="M213" s="193"/>
      <c r="N213" s="193"/>
      <c r="O213" s="193"/>
      <c r="P213" s="294"/>
      <c r="Q213" s="295"/>
    </row>
    <row r="214" spans="2:17" ht="123.75" x14ac:dyDescent="0.25">
      <c r="B214" s="278" t="s">
        <v>4</v>
      </c>
      <c r="C214" s="164"/>
      <c r="D214" s="164" t="s">
        <v>431</v>
      </c>
      <c r="E214" s="168" t="s">
        <v>24</v>
      </c>
      <c r="F214" s="172" t="s">
        <v>1055</v>
      </c>
      <c r="G214" s="294" t="s">
        <v>32</v>
      </c>
      <c r="H214" s="285" t="s">
        <v>41</v>
      </c>
      <c r="I214" s="286"/>
      <c r="J214" s="294"/>
      <c r="K214" s="193"/>
      <c r="L214" s="193"/>
      <c r="M214" s="193"/>
      <c r="N214" s="193"/>
      <c r="O214" s="193"/>
      <c r="P214" s="294"/>
      <c r="Q214" s="295"/>
    </row>
    <row r="215" spans="2:17" ht="101.25" x14ac:dyDescent="0.25">
      <c r="B215" s="278" t="s">
        <v>4</v>
      </c>
      <c r="C215" s="164"/>
      <c r="D215" s="164" t="s">
        <v>432</v>
      </c>
      <c r="E215" s="168" t="s">
        <v>24</v>
      </c>
      <c r="F215" s="164" t="s">
        <v>1056</v>
      </c>
      <c r="G215" s="294" t="s">
        <v>32</v>
      </c>
      <c r="H215" s="285" t="s">
        <v>41</v>
      </c>
      <c r="I215" s="286"/>
      <c r="J215" s="294"/>
      <c r="K215" s="193"/>
      <c r="L215" s="193"/>
      <c r="M215" s="193"/>
      <c r="N215" s="193"/>
      <c r="O215" s="193"/>
      <c r="P215" s="294"/>
      <c r="Q215" s="295"/>
    </row>
    <row r="216" spans="2:17" ht="112.5" x14ac:dyDescent="0.25">
      <c r="B216" s="278" t="s">
        <v>4</v>
      </c>
      <c r="C216" s="164"/>
      <c r="D216" s="164" t="s">
        <v>433</v>
      </c>
      <c r="E216" s="168" t="s">
        <v>24</v>
      </c>
      <c r="F216" s="164" t="s">
        <v>1057</v>
      </c>
      <c r="G216" s="294" t="s">
        <v>32</v>
      </c>
      <c r="H216" s="285" t="s">
        <v>41</v>
      </c>
      <c r="I216" s="286"/>
      <c r="J216" s="294"/>
      <c r="K216" s="193"/>
      <c r="L216" s="193"/>
      <c r="M216" s="193"/>
      <c r="N216" s="193"/>
      <c r="O216" s="193"/>
      <c r="P216" s="294"/>
      <c r="Q216" s="295"/>
    </row>
    <row r="217" spans="2:17" ht="45" x14ac:dyDescent="0.25">
      <c r="B217" s="278" t="s">
        <v>4</v>
      </c>
      <c r="C217" s="170" t="s">
        <v>1058</v>
      </c>
      <c r="D217" s="170" t="s">
        <v>434</v>
      </c>
      <c r="E217" s="169" t="s">
        <v>25</v>
      </c>
      <c r="F217" s="173" t="s">
        <v>1059</v>
      </c>
      <c r="G217" s="292" t="s">
        <v>32</v>
      </c>
      <c r="H217" s="280" t="s">
        <v>41</v>
      </c>
      <c r="I217" s="283"/>
      <c r="J217" s="292"/>
      <c r="K217" s="192"/>
      <c r="L217" s="192"/>
      <c r="M217" s="192"/>
      <c r="N217" s="192"/>
      <c r="O217" s="192"/>
      <c r="P217" s="292"/>
      <c r="Q217" s="293"/>
    </row>
    <row r="218" spans="2:17" ht="33.75" x14ac:dyDescent="0.25">
      <c r="B218" s="278" t="s">
        <v>4</v>
      </c>
      <c r="C218" s="170"/>
      <c r="D218" s="170" t="s">
        <v>436</v>
      </c>
      <c r="E218" s="169" t="s">
        <v>25</v>
      </c>
      <c r="F218" s="173" t="s">
        <v>1060</v>
      </c>
      <c r="G218" s="292" t="s">
        <v>32</v>
      </c>
      <c r="H218" s="280" t="s">
        <v>41</v>
      </c>
      <c r="I218" s="283"/>
      <c r="J218" s="292"/>
      <c r="K218" s="192"/>
      <c r="L218" s="192"/>
      <c r="M218" s="192"/>
      <c r="N218" s="192"/>
      <c r="O218" s="192"/>
      <c r="P218" s="292"/>
      <c r="Q218" s="293"/>
    </row>
    <row r="219" spans="2:17" ht="154.5" customHeight="1" x14ac:dyDescent="0.25">
      <c r="B219" s="278" t="s">
        <v>4</v>
      </c>
      <c r="C219" s="322" t="s">
        <v>1235</v>
      </c>
      <c r="D219" s="164" t="s">
        <v>435</v>
      </c>
      <c r="E219" s="168" t="s">
        <v>25</v>
      </c>
      <c r="F219" s="164" t="s">
        <v>1061</v>
      </c>
      <c r="G219" s="294" t="s">
        <v>32</v>
      </c>
      <c r="H219" s="285" t="s">
        <v>41</v>
      </c>
      <c r="I219" s="286"/>
      <c r="J219" s="294"/>
      <c r="K219" s="193"/>
      <c r="L219" s="193"/>
      <c r="M219" s="193"/>
      <c r="N219" s="193"/>
      <c r="O219" s="193"/>
      <c r="P219" s="294"/>
      <c r="Q219" s="295"/>
    </row>
    <row r="220" spans="2:17" ht="105.6" customHeight="1" x14ac:dyDescent="0.25">
      <c r="B220" s="278" t="s">
        <v>4</v>
      </c>
      <c r="C220" s="164"/>
      <c r="D220" s="164" t="s">
        <v>437</v>
      </c>
      <c r="E220" s="168" t="s">
        <v>25</v>
      </c>
      <c r="F220" s="164" t="s">
        <v>1062</v>
      </c>
      <c r="G220" s="294" t="s">
        <v>32</v>
      </c>
      <c r="H220" s="285" t="s">
        <v>41</v>
      </c>
      <c r="I220" s="193"/>
      <c r="J220" s="294"/>
      <c r="K220" s="193"/>
      <c r="L220" s="193"/>
      <c r="M220" s="193"/>
      <c r="N220" s="193"/>
      <c r="O220" s="193"/>
      <c r="P220" s="294"/>
      <c r="Q220" s="295"/>
    </row>
    <row r="221" spans="2:17" ht="123.75" x14ac:dyDescent="0.25">
      <c r="B221" s="278" t="s">
        <v>4</v>
      </c>
      <c r="C221" s="170" t="s">
        <v>1063</v>
      </c>
      <c r="D221" s="170" t="s">
        <v>438</v>
      </c>
      <c r="E221" s="169" t="s">
        <v>25</v>
      </c>
      <c r="F221" s="173" t="s">
        <v>1064</v>
      </c>
      <c r="G221" s="292" t="s">
        <v>32</v>
      </c>
      <c r="H221" s="280" t="s">
        <v>41</v>
      </c>
      <c r="I221" s="192"/>
      <c r="J221" s="292"/>
      <c r="K221" s="192"/>
      <c r="L221" s="192"/>
      <c r="M221" s="192"/>
      <c r="N221" s="192"/>
      <c r="O221" s="192"/>
      <c r="P221" s="292"/>
      <c r="Q221" s="293"/>
    </row>
    <row r="222" spans="2:17" ht="81.599999999999994" customHeight="1" x14ac:dyDescent="0.25">
      <c r="B222" s="290" t="s">
        <v>7</v>
      </c>
      <c r="C222" s="164" t="s">
        <v>439</v>
      </c>
      <c r="D222" s="164" t="s">
        <v>440</v>
      </c>
      <c r="E222" s="168" t="s">
        <v>25</v>
      </c>
      <c r="F222" s="164" t="s">
        <v>1065</v>
      </c>
      <c r="G222" s="294" t="s">
        <v>32</v>
      </c>
      <c r="H222" s="285" t="s">
        <v>41</v>
      </c>
      <c r="I222" s="193"/>
      <c r="J222" s="294"/>
      <c r="K222" s="193"/>
      <c r="L222" s="193"/>
      <c r="M222" s="193"/>
      <c r="N222" s="193"/>
      <c r="O222" s="193"/>
      <c r="P222" s="294"/>
      <c r="Q222" s="295"/>
    </row>
    <row r="223" spans="2:17" ht="81.95" customHeight="1" x14ac:dyDescent="0.25">
      <c r="B223" s="290" t="s">
        <v>7</v>
      </c>
      <c r="C223" s="170" t="s">
        <v>1066</v>
      </c>
      <c r="D223" s="170" t="s">
        <v>441</v>
      </c>
      <c r="E223" s="169" t="s">
        <v>25</v>
      </c>
      <c r="F223" s="173" t="s">
        <v>1067</v>
      </c>
      <c r="G223" s="292" t="s">
        <v>32</v>
      </c>
      <c r="H223" s="280" t="s">
        <v>41</v>
      </c>
      <c r="I223" s="192"/>
      <c r="J223" s="292"/>
      <c r="K223" s="192"/>
      <c r="L223" s="192"/>
      <c r="M223" s="192"/>
      <c r="N223" s="192"/>
      <c r="O223" s="192"/>
      <c r="P223" s="292"/>
      <c r="Q223" s="293"/>
    </row>
    <row r="224" spans="2:17" ht="33.75" x14ac:dyDescent="0.25">
      <c r="B224" s="290" t="s">
        <v>7</v>
      </c>
      <c r="C224" s="164" t="s">
        <v>1068</v>
      </c>
      <c r="D224" s="164" t="s">
        <v>442</v>
      </c>
      <c r="E224" s="168" t="s">
        <v>25</v>
      </c>
      <c r="F224" s="172" t="s">
        <v>1069</v>
      </c>
      <c r="G224" s="294" t="s">
        <v>32</v>
      </c>
      <c r="H224" s="285" t="s">
        <v>41</v>
      </c>
      <c r="I224" s="286"/>
      <c r="J224" s="294"/>
      <c r="K224" s="193"/>
      <c r="L224" s="193"/>
      <c r="M224" s="193"/>
      <c r="N224" s="193"/>
      <c r="O224" s="193"/>
      <c r="P224" s="294"/>
      <c r="Q224" s="295"/>
    </row>
    <row r="225" spans="2:17" ht="22.5" x14ac:dyDescent="0.25">
      <c r="B225" s="290" t="s">
        <v>7</v>
      </c>
      <c r="C225" s="164"/>
      <c r="D225" s="164" t="s">
        <v>444</v>
      </c>
      <c r="E225" s="168" t="s">
        <v>25</v>
      </c>
      <c r="F225" s="172" t="s">
        <v>447</v>
      </c>
      <c r="G225" s="294" t="s">
        <v>32</v>
      </c>
      <c r="H225" s="285" t="s">
        <v>41</v>
      </c>
      <c r="I225" s="286"/>
      <c r="J225" s="294"/>
      <c r="K225" s="193"/>
      <c r="L225" s="193"/>
      <c r="M225" s="193"/>
      <c r="N225" s="193"/>
      <c r="O225" s="193"/>
      <c r="P225" s="294"/>
      <c r="Q225" s="295"/>
    </row>
    <row r="226" spans="2:17" ht="22.5" x14ac:dyDescent="0.25">
      <c r="B226" s="290" t="s">
        <v>7</v>
      </c>
      <c r="C226" s="164"/>
      <c r="D226" s="164" t="s">
        <v>718</v>
      </c>
      <c r="E226" s="168" t="s">
        <v>25</v>
      </c>
      <c r="F226" s="172" t="s">
        <v>448</v>
      </c>
      <c r="G226" s="294" t="s">
        <v>32</v>
      </c>
      <c r="H226" s="285" t="s">
        <v>41</v>
      </c>
      <c r="I226" s="286"/>
      <c r="J226" s="294"/>
      <c r="K226" s="193"/>
      <c r="L226" s="193"/>
      <c r="M226" s="193"/>
      <c r="N226" s="193"/>
      <c r="O226" s="193"/>
      <c r="P226" s="294"/>
      <c r="Q226" s="295"/>
    </row>
    <row r="227" spans="2:17" ht="33.75" x14ac:dyDescent="0.25">
      <c r="B227" s="290" t="s">
        <v>7</v>
      </c>
      <c r="C227" s="170" t="s">
        <v>1070</v>
      </c>
      <c r="D227" s="170" t="s">
        <v>443</v>
      </c>
      <c r="E227" s="169" t="s">
        <v>25</v>
      </c>
      <c r="F227" s="173" t="s">
        <v>1071</v>
      </c>
      <c r="G227" s="292" t="s">
        <v>32</v>
      </c>
      <c r="H227" s="280" t="s">
        <v>41</v>
      </c>
      <c r="I227" s="283"/>
      <c r="J227" s="292"/>
      <c r="K227" s="192"/>
      <c r="L227" s="192"/>
      <c r="M227" s="192"/>
      <c r="N227" s="192"/>
      <c r="O227" s="192"/>
      <c r="P227" s="292"/>
      <c r="Q227" s="293"/>
    </row>
    <row r="228" spans="2:17" ht="45.6" customHeight="1" x14ac:dyDescent="0.25">
      <c r="B228" s="290" t="s">
        <v>7</v>
      </c>
      <c r="C228" s="170"/>
      <c r="D228" s="170" t="s">
        <v>445</v>
      </c>
      <c r="E228" s="169" t="s">
        <v>25</v>
      </c>
      <c r="F228" s="173" t="s">
        <v>1073</v>
      </c>
      <c r="G228" s="292" t="s">
        <v>32</v>
      </c>
      <c r="H228" s="280" t="s">
        <v>41</v>
      </c>
      <c r="I228" s="283"/>
      <c r="J228" s="292"/>
      <c r="K228" s="192"/>
      <c r="L228" s="192"/>
      <c r="M228" s="192"/>
      <c r="N228" s="192"/>
      <c r="O228" s="192"/>
      <c r="P228" s="292"/>
      <c r="Q228" s="293"/>
    </row>
    <row r="229" spans="2:17" ht="45" x14ac:dyDescent="0.25">
      <c r="B229" s="290" t="s">
        <v>7</v>
      </c>
      <c r="C229" s="170"/>
      <c r="D229" s="170" t="s">
        <v>446</v>
      </c>
      <c r="E229" s="169" t="s">
        <v>25</v>
      </c>
      <c r="F229" s="173" t="s">
        <v>1072</v>
      </c>
      <c r="G229" s="292" t="s">
        <v>32</v>
      </c>
      <c r="H229" s="280" t="s">
        <v>41</v>
      </c>
      <c r="I229" s="283"/>
      <c r="J229" s="292"/>
      <c r="K229" s="192"/>
      <c r="L229" s="192"/>
      <c r="M229" s="192"/>
      <c r="N229" s="192"/>
      <c r="O229" s="192"/>
      <c r="P229" s="292"/>
      <c r="Q229" s="293"/>
    </row>
    <row r="230" spans="2:17" ht="33.75" x14ac:dyDescent="0.25">
      <c r="B230" s="290" t="s">
        <v>7</v>
      </c>
      <c r="C230" s="164" t="s">
        <v>449</v>
      </c>
      <c r="D230" s="164" t="s">
        <v>450</v>
      </c>
      <c r="E230" s="168" t="s">
        <v>25</v>
      </c>
      <c r="F230" s="172" t="s">
        <v>454</v>
      </c>
      <c r="G230" s="294" t="s">
        <v>32</v>
      </c>
      <c r="H230" s="285" t="s">
        <v>41</v>
      </c>
      <c r="I230" s="286"/>
      <c r="J230" s="294"/>
      <c r="K230" s="193"/>
      <c r="L230" s="193"/>
      <c r="M230" s="193"/>
      <c r="N230" s="193"/>
      <c r="O230" s="193"/>
      <c r="P230" s="294"/>
      <c r="Q230" s="295"/>
    </row>
    <row r="231" spans="2:17" ht="42" customHeight="1" x14ac:dyDescent="0.25">
      <c r="B231" s="290" t="s">
        <v>7</v>
      </c>
      <c r="C231" s="164"/>
      <c r="D231" s="164" t="s">
        <v>452</v>
      </c>
      <c r="E231" s="168" t="s">
        <v>25</v>
      </c>
      <c r="F231" s="172" t="s">
        <v>1074</v>
      </c>
      <c r="G231" s="294" t="s">
        <v>32</v>
      </c>
      <c r="H231" s="285" t="s">
        <v>41</v>
      </c>
      <c r="I231" s="286"/>
      <c r="J231" s="294"/>
      <c r="K231" s="193"/>
      <c r="L231" s="193"/>
      <c r="M231" s="193"/>
      <c r="N231" s="193"/>
      <c r="O231" s="193"/>
      <c r="P231" s="294"/>
      <c r="Q231" s="295"/>
    </row>
    <row r="232" spans="2:17" ht="45" x14ac:dyDescent="0.25">
      <c r="B232" s="290" t="s">
        <v>7</v>
      </c>
      <c r="C232" s="164"/>
      <c r="D232" s="164" t="s">
        <v>453</v>
      </c>
      <c r="E232" s="168" t="s">
        <v>25</v>
      </c>
      <c r="F232" s="172" t="s">
        <v>455</v>
      </c>
      <c r="G232" s="294" t="s">
        <v>32</v>
      </c>
      <c r="H232" s="285" t="s">
        <v>41</v>
      </c>
      <c r="I232" s="286"/>
      <c r="J232" s="294"/>
      <c r="K232" s="193"/>
      <c r="L232" s="193"/>
      <c r="M232" s="193"/>
      <c r="N232" s="193"/>
      <c r="O232" s="193"/>
      <c r="P232" s="294"/>
      <c r="Q232" s="295"/>
    </row>
    <row r="233" spans="2:17" ht="185.45" customHeight="1" x14ac:dyDescent="0.25">
      <c r="B233" s="290" t="s">
        <v>7</v>
      </c>
      <c r="C233" s="170" t="s">
        <v>1075</v>
      </c>
      <c r="D233" s="170" t="s">
        <v>451</v>
      </c>
      <c r="E233" s="169" t="s">
        <v>24</v>
      </c>
      <c r="F233" s="322" t="s">
        <v>1236</v>
      </c>
      <c r="G233" s="292" t="s">
        <v>32</v>
      </c>
      <c r="H233" s="280" t="s">
        <v>41</v>
      </c>
      <c r="I233" s="192"/>
      <c r="J233" s="292"/>
      <c r="K233" s="192"/>
      <c r="L233" s="192"/>
      <c r="M233" s="192"/>
      <c r="N233" s="192"/>
      <c r="O233" s="192"/>
      <c r="P233" s="292"/>
      <c r="Q233" s="293"/>
    </row>
    <row r="234" spans="2:17" ht="45" x14ac:dyDescent="0.25">
      <c r="B234" s="290" t="s">
        <v>7</v>
      </c>
      <c r="C234" s="164" t="s">
        <v>1076</v>
      </c>
      <c r="D234" s="164" t="s">
        <v>456</v>
      </c>
      <c r="E234" s="168" t="s">
        <v>24</v>
      </c>
      <c r="F234" s="172" t="s">
        <v>719</v>
      </c>
      <c r="G234" s="294" t="s">
        <v>32</v>
      </c>
      <c r="H234" s="285" t="s">
        <v>41</v>
      </c>
      <c r="I234" s="193"/>
      <c r="J234" s="294"/>
      <c r="K234" s="193"/>
      <c r="L234" s="193"/>
      <c r="M234" s="193"/>
      <c r="N234" s="193"/>
      <c r="O234" s="193"/>
      <c r="P234" s="294"/>
      <c r="Q234" s="295"/>
    </row>
    <row r="235" spans="2:17" ht="123.75" x14ac:dyDescent="0.25">
      <c r="B235" s="290" t="s">
        <v>7</v>
      </c>
      <c r="C235" s="164"/>
      <c r="D235" s="164" t="s">
        <v>720</v>
      </c>
      <c r="E235" s="168" t="s">
        <v>24</v>
      </c>
      <c r="F235" s="321" t="s">
        <v>1246</v>
      </c>
      <c r="G235" s="294" t="s">
        <v>32</v>
      </c>
      <c r="H235" s="285" t="s">
        <v>41</v>
      </c>
      <c r="I235" s="193"/>
      <c r="J235" s="294"/>
      <c r="K235" s="193"/>
      <c r="L235" s="193"/>
      <c r="M235" s="193"/>
      <c r="N235" s="193"/>
      <c r="O235" s="193"/>
      <c r="P235" s="294"/>
      <c r="Q235" s="295"/>
    </row>
    <row r="236" spans="2:17" ht="22.5" x14ac:dyDescent="0.25">
      <c r="B236" s="290" t="s">
        <v>7</v>
      </c>
      <c r="C236" s="170" t="s">
        <v>1077</v>
      </c>
      <c r="D236" s="170" t="s">
        <v>457</v>
      </c>
      <c r="E236" s="169" t="s">
        <v>24</v>
      </c>
      <c r="F236" s="173" t="s">
        <v>1078</v>
      </c>
      <c r="G236" s="292" t="s">
        <v>32</v>
      </c>
      <c r="H236" s="280" t="s">
        <v>41</v>
      </c>
      <c r="I236" s="192"/>
      <c r="J236" s="292"/>
      <c r="K236" s="192"/>
      <c r="L236" s="192"/>
      <c r="M236" s="192"/>
      <c r="N236" s="192"/>
      <c r="O236" s="192"/>
      <c r="P236" s="292"/>
      <c r="Q236" s="293"/>
    </row>
    <row r="237" spans="2:17" ht="32.450000000000003" customHeight="1" x14ac:dyDescent="0.25">
      <c r="B237" s="290" t="s">
        <v>7</v>
      </c>
      <c r="C237" s="170"/>
      <c r="D237" s="170" t="s">
        <v>721</v>
      </c>
      <c r="E237" s="169" t="s">
        <v>24</v>
      </c>
      <c r="F237" s="173" t="s">
        <v>1079</v>
      </c>
      <c r="G237" s="292" t="s">
        <v>32</v>
      </c>
      <c r="H237" s="280" t="s">
        <v>41</v>
      </c>
      <c r="I237" s="192"/>
      <c r="J237" s="292"/>
      <c r="K237" s="192"/>
      <c r="L237" s="192"/>
      <c r="M237" s="192"/>
      <c r="N237" s="192"/>
      <c r="O237" s="192"/>
      <c r="P237" s="292"/>
      <c r="Q237" s="293"/>
    </row>
    <row r="238" spans="2:17" ht="96.95" customHeight="1" x14ac:dyDescent="0.25">
      <c r="B238" s="290" t="s">
        <v>7</v>
      </c>
      <c r="C238" s="164" t="s">
        <v>1080</v>
      </c>
      <c r="D238" s="164" t="s">
        <v>458</v>
      </c>
      <c r="E238" s="168" t="s">
        <v>24</v>
      </c>
      <c r="F238" s="164" t="s">
        <v>1081</v>
      </c>
      <c r="G238" s="294" t="s">
        <v>32</v>
      </c>
      <c r="H238" s="285" t="s">
        <v>41</v>
      </c>
      <c r="I238" s="193"/>
      <c r="J238" s="294"/>
      <c r="K238" s="193"/>
      <c r="L238" s="193"/>
      <c r="M238" s="193"/>
      <c r="N238" s="193"/>
      <c r="O238" s="193"/>
      <c r="P238" s="294"/>
      <c r="Q238" s="295"/>
    </row>
    <row r="239" spans="2:17" ht="157.5" x14ac:dyDescent="0.25">
      <c r="B239" s="290" t="s">
        <v>7</v>
      </c>
      <c r="C239" s="170" t="s">
        <v>1082</v>
      </c>
      <c r="D239" s="170" t="s">
        <v>459</v>
      </c>
      <c r="E239" s="169" t="s">
        <v>24</v>
      </c>
      <c r="F239" s="170" t="s">
        <v>1083</v>
      </c>
      <c r="G239" s="292" t="s">
        <v>32</v>
      </c>
      <c r="H239" s="280" t="s">
        <v>41</v>
      </c>
      <c r="I239" s="192"/>
      <c r="J239" s="292"/>
      <c r="K239" s="192"/>
      <c r="L239" s="192"/>
      <c r="M239" s="192"/>
      <c r="N239" s="192"/>
      <c r="O239" s="192"/>
      <c r="P239" s="292"/>
      <c r="Q239" s="293"/>
    </row>
    <row r="240" spans="2:17" ht="58.5" customHeight="1" x14ac:dyDescent="0.25">
      <c r="B240" s="290" t="s">
        <v>7</v>
      </c>
      <c r="C240" s="164" t="s">
        <v>1084</v>
      </c>
      <c r="D240" s="164" t="s">
        <v>460</v>
      </c>
      <c r="E240" s="168" t="s">
        <v>24</v>
      </c>
      <c r="F240" s="172" t="s">
        <v>1085</v>
      </c>
      <c r="G240" s="294" t="s">
        <v>32</v>
      </c>
      <c r="H240" s="285" t="s">
        <v>41</v>
      </c>
      <c r="I240" s="193"/>
      <c r="J240" s="294"/>
      <c r="K240" s="193"/>
      <c r="L240" s="193"/>
      <c r="M240" s="193"/>
      <c r="N240" s="193"/>
      <c r="O240" s="193"/>
      <c r="P240" s="294"/>
      <c r="Q240" s="295"/>
    </row>
    <row r="241" spans="2:17" ht="156.94999999999999" customHeight="1" x14ac:dyDescent="0.25">
      <c r="B241" s="278" t="s">
        <v>461</v>
      </c>
      <c r="C241" s="170" t="s">
        <v>1086</v>
      </c>
      <c r="D241" s="170" t="s">
        <v>462</v>
      </c>
      <c r="E241" s="169" t="s">
        <v>24</v>
      </c>
      <c r="F241" s="170" t="s">
        <v>1087</v>
      </c>
      <c r="G241" s="292" t="s">
        <v>32</v>
      </c>
      <c r="H241" s="280" t="s">
        <v>41</v>
      </c>
      <c r="I241" s="192"/>
      <c r="J241" s="292"/>
      <c r="K241" s="192"/>
      <c r="L241" s="192"/>
      <c r="M241" s="192"/>
      <c r="N241" s="192"/>
      <c r="O241" s="192"/>
      <c r="P241" s="292"/>
      <c r="Q241" s="293"/>
    </row>
    <row r="242" spans="2:17" ht="33.75" x14ac:dyDescent="0.25">
      <c r="B242" s="278" t="s">
        <v>461</v>
      </c>
      <c r="C242" s="170"/>
      <c r="D242" s="170" t="s">
        <v>463</v>
      </c>
      <c r="E242" s="169" t="s">
        <v>24</v>
      </c>
      <c r="F242" s="173" t="s">
        <v>1088</v>
      </c>
      <c r="G242" s="292" t="s">
        <v>32</v>
      </c>
      <c r="H242" s="280" t="s">
        <v>41</v>
      </c>
      <c r="I242" s="192"/>
      <c r="J242" s="292"/>
      <c r="K242" s="192"/>
      <c r="L242" s="192"/>
      <c r="M242" s="192"/>
      <c r="N242" s="192"/>
      <c r="O242" s="192"/>
      <c r="P242" s="292"/>
      <c r="Q242" s="293"/>
    </row>
    <row r="243" spans="2:17" ht="123" customHeight="1" x14ac:dyDescent="0.25">
      <c r="B243" s="278" t="s">
        <v>461</v>
      </c>
      <c r="C243" s="170"/>
      <c r="D243" s="170" t="s">
        <v>464</v>
      </c>
      <c r="E243" s="169" t="s">
        <v>24</v>
      </c>
      <c r="F243" s="170" t="s">
        <v>1089</v>
      </c>
      <c r="G243" s="292" t="s">
        <v>32</v>
      </c>
      <c r="H243" s="280" t="s">
        <v>41</v>
      </c>
      <c r="I243" s="192"/>
      <c r="J243" s="292"/>
      <c r="K243" s="192"/>
      <c r="L243" s="192"/>
      <c r="M243" s="192"/>
      <c r="N243" s="192"/>
      <c r="O243" s="192"/>
      <c r="P243" s="292"/>
      <c r="Q243" s="293"/>
    </row>
    <row r="244" spans="2:17" ht="90" x14ac:dyDescent="0.25">
      <c r="B244" s="278" t="s">
        <v>461</v>
      </c>
      <c r="C244" s="170"/>
      <c r="D244" s="170" t="s">
        <v>465</v>
      </c>
      <c r="E244" s="169" t="s">
        <v>24</v>
      </c>
      <c r="F244" s="170" t="s">
        <v>1090</v>
      </c>
      <c r="G244" s="292" t="s">
        <v>32</v>
      </c>
      <c r="H244" s="280" t="s">
        <v>41</v>
      </c>
      <c r="I244" s="192"/>
      <c r="J244" s="292"/>
      <c r="K244" s="192"/>
      <c r="L244" s="192"/>
      <c r="M244" s="192"/>
      <c r="N244" s="192"/>
      <c r="O244" s="192"/>
      <c r="P244" s="292"/>
      <c r="Q244" s="293"/>
    </row>
    <row r="245" spans="2:17" ht="50.45" customHeight="1" x14ac:dyDescent="0.25">
      <c r="B245" s="278" t="s">
        <v>461</v>
      </c>
      <c r="C245" s="164" t="s">
        <v>1091</v>
      </c>
      <c r="D245" s="164" t="s">
        <v>466</v>
      </c>
      <c r="E245" s="168" t="s">
        <v>24</v>
      </c>
      <c r="F245" s="172" t="s">
        <v>1091</v>
      </c>
      <c r="G245" s="294" t="s">
        <v>32</v>
      </c>
      <c r="H245" s="285" t="s">
        <v>41</v>
      </c>
      <c r="I245" s="193"/>
      <c r="J245" s="294"/>
      <c r="K245" s="193"/>
      <c r="L245" s="193"/>
      <c r="M245" s="193"/>
      <c r="N245" s="193"/>
      <c r="O245" s="193"/>
      <c r="P245" s="294"/>
      <c r="Q245" s="295"/>
    </row>
    <row r="246" spans="2:17" ht="112.5" x14ac:dyDescent="0.25">
      <c r="B246" s="278" t="s">
        <v>461</v>
      </c>
      <c r="C246" s="170" t="s">
        <v>1092</v>
      </c>
      <c r="D246" s="170" t="s">
        <v>467</v>
      </c>
      <c r="E246" s="169" t="s">
        <v>24</v>
      </c>
      <c r="F246" s="170" t="s">
        <v>1093</v>
      </c>
      <c r="G246" s="292" t="s">
        <v>32</v>
      </c>
      <c r="H246" s="280" t="s">
        <v>41</v>
      </c>
      <c r="I246" s="192"/>
      <c r="J246" s="292"/>
      <c r="K246" s="192"/>
      <c r="L246" s="192"/>
      <c r="M246" s="192"/>
      <c r="N246" s="192"/>
      <c r="O246" s="192"/>
      <c r="P246" s="292"/>
      <c r="Q246" s="293"/>
    </row>
    <row r="247" spans="2:17" ht="74.099999999999994" customHeight="1" x14ac:dyDescent="0.25">
      <c r="B247" s="278" t="s">
        <v>461</v>
      </c>
      <c r="C247" s="164" t="s">
        <v>471</v>
      </c>
      <c r="D247" s="164" t="s">
        <v>468</v>
      </c>
      <c r="E247" s="168" t="s">
        <v>24</v>
      </c>
      <c r="F247" s="164" t="s">
        <v>1094</v>
      </c>
      <c r="G247" s="294" t="s">
        <v>32</v>
      </c>
      <c r="H247" s="285" t="s">
        <v>41</v>
      </c>
      <c r="I247" s="193"/>
      <c r="J247" s="294"/>
      <c r="K247" s="193"/>
      <c r="L247" s="193"/>
      <c r="M247" s="193"/>
      <c r="N247" s="193"/>
      <c r="O247" s="193"/>
      <c r="P247" s="294"/>
      <c r="Q247" s="295"/>
    </row>
    <row r="248" spans="2:17" ht="67.5" x14ac:dyDescent="0.25">
      <c r="B248" s="278" t="s">
        <v>461</v>
      </c>
      <c r="C248" s="170" t="s">
        <v>1095</v>
      </c>
      <c r="D248" s="170" t="s">
        <v>469</v>
      </c>
      <c r="E248" s="169" t="s">
        <v>24</v>
      </c>
      <c r="F248" s="170" t="s">
        <v>1096</v>
      </c>
      <c r="G248" s="292" t="s">
        <v>32</v>
      </c>
      <c r="H248" s="280" t="s">
        <v>41</v>
      </c>
      <c r="I248" s="192"/>
      <c r="J248" s="292"/>
      <c r="K248" s="192"/>
      <c r="L248" s="192"/>
      <c r="M248" s="192"/>
      <c r="N248" s="192"/>
      <c r="O248" s="192"/>
      <c r="P248" s="292"/>
      <c r="Q248" s="293"/>
    </row>
    <row r="249" spans="2:17" ht="67.5" x14ac:dyDescent="0.25">
      <c r="B249" s="278" t="s">
        <v>461</v>
      </c>
      <c r="C249" s="164" t="s">
        <v>1097</v>
      </c>
      <c r="D249" s="164" t="s">
        <v>470</v>
      </c>
      <c r="E249" s="168" t="s">
        <v>24</v>
      </c>
      <c r="F249" s="164" t="s">
        <v>1098</v>
      </c>
      <c r="G249" s="294" t="s">
        <v>32</v>
      </c>
      <c r="H249" s="285" t="s">
        <v>41</v>
      </c>
      <c r="I249" s="193"/>
      <c r="J249" s="294"/>
      <c r="K249" s="193"/>
      <c r="L249" s="193"/>
      <c r="M249" s="193"/>
      <c r="N249" s="193"/>
      <c r="O249" s="193"/>
      <c r="P249" s="294"/>
      <c r="Q249" s="295"/>
    </row>
    <row r="250" spans="2:17" ht="94.5" customHeight="1" x14ac:dyDescent="0.25">
      <c r="B250" s="278" t="s">
        <v>461</v>
      </c>
      <c r="C250" s="170" t="s">
        <v>1099</v>
      </c>
      <c r="D250" s="170" t="s">
        <v>472</v>
      </c>
      <c r="E250" s="169" t="s">
        <v>24</v>
      </c>
      <c r="F250" s="321" t="s">
        <v>1238</v>
      </c>
      <c r="G250" s="292" t="s">
        <v>32</v>
      </c>
      <c r="H250" s="280" t="s">
        <v>41</v>
      </c>
      <c r="I250" s="192"/>
      <c r="J250" s="292"/>
      <c r="K250" s="192"/>
      <c r="L250" s="192"/>
      <c r="M250" s="192"/>
      <c r="N250" s="192"/>
      <c r="O250" s="192"/>
      <c r="P250" s="292"/>
      <c r="Q250" s="293"/>
    </row>
    <row r="251" spans="2:17" ht="86.45" customHeight="1" x14ac:dyDescent="0.25">
      <c r="B251" s="278" t="s">
        <v>461</v>
      </c>
      <c r="C251" s="170"/>
      <c r="D251" s="170" t="s">
        <v>722</v>
      </c>
      <c r="E251" s="169" t="s">
        <v>24</v>
      </c>
      <c r="F251" s="170" t="s">
        <v>1100</v>
      </c>
      <c r="G251" s="292" t="s">
        <v>32</v>
      </c>
      <c r="H251" s="280" t="s">
        <v>41</v>
      </c>
      <c r="I251" s="283"/>
      <c r="J251" s="292"/>
      <c r="K251" s="192"/>
      <c r="L251" s="192"/>
      <c r="M251" s="192"/>
      <c r="N251" s="192"/>
      <c r="O251" s="192"/>
      <c r="P251" s="292"/>
      <c r="Q251" s="293"/>
    </row>
    <row r="252" spans="2:17" ht="82.5" customHeight="1" x14ac:dyDescent="0.25">
      <c r="B252" s="278" t="s">
        <v>461</v>
      </c>
      <c r="C252" s="170"/>
      <c r="D252" s="170" t="s">
        <v>723</v>
      </c>
      <c r="E252" s="169" t="s">
        <v>24</v>
      </c>
      <c r="F252" s="170" t="s">
        <v>1101</v>
      </c>
      <c r="G252" s="292" t="s">
        <v>32</v>
      </c>
      <c r="H252" s="280" t="s">
        <v>41</v>
      </c>
      <c r="I252" s="283"/>
      <c r="J252" s="292"/>
      <c r="K252" s="192"/>
      <c r="L252" s="192"/>
      <c r="M252" s="192"/>
      <c r="N252" s="192"/>
      <c r="O252" s="192"/>
      <c r="P252" s="292"/>
      <c r="Q252" s="293"/>
    </row>
    <row r="253" spans="2:17" ht="112.5" x14ac:dyDescent="0.25">
      <c r="B253" s="278" t="s">
        <v>461</v>
      </c>
      <c r="C253" s="164" t="s">
        <v>1102</v>
      </c>
      <c r="D253" s="164" t="s">
        <v>473</v>
      </c>
      <c r="E253" s="168" t="s">
        <v>24</v>
      </c>
      <c r="F253" s="164" t="s">
        <v>1103</v>
      </c>
      <c r="G253" s="294" t="s">
        <v>32</v>
      </c>
      <c r="H253" s="285" t="s">
        <v>41</v>
      </c>
      <c r="I253" s="193"/>
      <c r="J253" s="294"/>
      <c r="K253" s="193"/>
      <c r="L253" s="193"/>
      <c r="M253" s="193"/>
      <c r="N253" s="193"/>
      <c r="O253" s="193"/>
      <c r="P253" s="294"/>
      <c r="Q253" s="295"/>
    </row>
    <row r="254" spans="2:17" ht="123.75" x14ac:dyDescent="0.25">
      <c r="B254" s="278" t="s">
        <v>461</v>
      </c>
      <c r="C254" s="164"/>
      <c r="D254" s="164" t="s">
        <v>724</v>
      </c>
      <c r="E254" s="168" t="s">
        <v>24</v>
      </c>
      <c r="F254" s="164" t="s">
        <v>1104</v>
      </c>
      <c r="G254" s="294" t="s">
        <v>32</v>
      </c>
      <c r="H254" s="285" t="s">
        <v>41</v>
      </c>
      <c r="I254" s="193"/>
      <c r="J254" s="294"/>
      <c r="K254" s="193"/>
      <c r="L254" s="193"/>
      <c r="M254" s="193"/>
      <c r="N254" s="193"/>
      <c r="O254" s="193"/>
      <c r="P254" s="294"/>
      <c r="Q254" s="295"/>
    </row>
    <row r="255" spans="2:17" ht="90" x14ac:dyDescent="0.25">
      <c r="B255" s="278" t="s">
        <v>461</v>
      </c>
      <c r="C255" s="170" t="s">
        <v>1115</v>
      </c>
      <c r="D255" s="170" t="s">
        <v>474</v>
      </c>
      <c r="E255" s="169" t="s">
        <v>25</v>
      </c>
      <c r="F255" s="173" t="s">
        <v>1105</v>
      </c>
      <c r="G255" s="292" t="s">
        <v>32</v>
      </c>
      <c r="H255" s="280" t="s">
        <v>41</v>
      </c>
      <c r="I255" s="192"/>
      <c r="J255" s="292"/>
      <c r="K255" s="192"/>
      <c r="L255" s="192"/>
      <c r="M255" s="192"/>
      <c r="N255" s="192"/>
      <c r="O255" s="192"/>
      <c r="P255" s="292"/>
      <c r="Q255" s="293"/>
    </row>
    <row r="256" spans="2:17" ht="67.5" x14ac:dyDescent="0.25">
      <c r="B256" s="278" t="s">
        <v>461</v>
      </c>
      <c r="C256" s="164" t="s">
        <v>1106</v>
      </c>
      <c r="D256" s="164" t="s">
        <v>475</v>
      </c>
      <c r="E256" s="168" t="s">
        <v>24</v>
      </c>
      <c r="F256" s="172" t="s">
        <v>1107</v>
      </c>
      <c r="G256" s="294" t="s">
        <v>32</v>
      </c>
      <c r="H256" s="285" t="s">
        <v>41</v>
      </c>
      <c r="I256" s="193"/>
      <c r="J256" s="294"/>
      <c r="K256" s="193"/>
      <c r="L256" s="193"/>
      <c r="M256" s="193"/>
      <c r="N256" s="193"/>
      <c r="O256" s="193"/>
      <c r="P256" s="294"/>
      <c r="Q256" s="295"/>
    </row>
    <row r="257" spans="2:17" ht="68.45" customHeight="1" x14ac:dyDescent="0.25">
      <c r="B257" s="278" t="s">
        <v>461</v>
      </c>
      <c r="C257" s="164"/>
      <c r="D257" s="164" t="s">
        <v>725</v>
      </c>
      <c r="E257" s="168" t="s">
        <v>24</v>
      </c>
      <c r="F257" s="172" t="s">
        <v>1108</v>
      </c>
      <c r="G257" s="294" t="s">
        <v>32</v>
      </c>
      <c r="H257" s="285" t="s">
        <v>41</v>
      </c>
      <c r="I257" s="193"/>
      <c r="J257" s="294"/>
      <c r="K257" s="193"/>
      <c r="L257" s="193"/>
      <c r="M257" s="193"/>
      <c r="N257" s="193"/>
      <c r="O257" s="193"/>
      <c r="P257" s="294"/>
      <c r="Q257" s="295"/>
    </row>
    <row r="258" spans="2:17" ht="157.5" x14ac:dyDescent="0.25">
      <c r="B258" s="278" t="s">
        <v>461</v>
      </c>
      <c r="C258" s="170" t="s">
        <v>1109</v>
      </c>
      <c r="D258" s="170" t="s">
        <v>476</v>
      </c>
      <c r="E258" s="169" t="s">
        <v>24</v>
      </c>
      <c r="F258" s="173" t="s">
        <v>1110</v>
      </c>
      <c r="G258" s="292" t="s">
        <v>32</v>
      </c>
      <c r="H258" s="280" t="s">
        <v>41</v>
      </c>
      <c r="I258" s="192"/>
      <c r="J258" s="292"/>
      <c r="K258" s="192"/>
      <c r="L258" s="192"/>
      <c r="M258" s="192"/>
      <c r="N258" s="192"/>
      <c r="O258" s="192"/>
      <c r="P258" s="292"/>
      <c r="Q258" s="293"/>
    </row>
    <row r="259" spans="2:17" ht="56.25" x14ac:dyDescent="0.25">
      <c r="B259" s="278" t="s">
        <v>461</v>
      </c>
      <c r="C259" s="164" t="s">
        <v>1111</v>
      </c>
      <c r="D259" s="164" t="s">
        <v>477</v>
      </c>
      <c r="E259" s="168" t="s">
        <v>24</v>
      </c>
      <c r="F259" s="172" t="s">
        <v>1112</v>
      </c>
      <c r="G259" s="294" t="s">
        <v>32</v>
      </c>
      <c r="H259" s="285" t="s">
        <v>41</v>
      </c>
      <c r="I259" s="193"/>
      <c r="J259" s="294"/>
      <c r="K259" s="193"/>
      <c r="L259" s="193"/>
      <c r="M259" s="193"/>
      <c r="N259" s="193"/>
      <c r="O259" s="193"/>
      <c r="P259" s="294"/>
      <c r="Q259" s="295"/>
    </row>
    <row r="260" spans="2:17" ht="56.25" x14ac:dyDescent="0.25">
      <c r="B260" s="278" t="s">
        <v>461</v>
      </c>
      <c r="C260" s="164"/>
      <c r="D260" s="164" t="s">
        <v>726</v>
      </c>
      <c r="E260" s="168" t="s">
        <v>24</v>
      </c>
      <c r="F260" s="172" t="s">
        <v>1113</v>
      </c>
      <c r="G260" s="294" t="s">
        <v>32</v>
      </c>
      <c r="H260" s="285" t="s">
        <v>41</v>
      </c>
      <c r="I260" s="193"/>
      <c r="J260" s="294"/>
      <c r="K260" s="193"/>
      <c r="L260" s="193"/>
      <c r="M260" s="193"/>
      <c r="N260" s="193"/>
      <c r="O260" s="193"/>
      <c r="P260" s="294"/>
      <c r="Q260" s="295"/>
    </row>
    <row r="261" spans="2:17" ht="45" x14ac:dyDescent="0.25">
      <c r="B261" s="296" t="s">
        <v>461</v>
      </c>
      <c r="C261" s="297"/>
      <c r="D261" s="297" t="s">
        <v>727</v>
      </c>
      <c r="E261" s="298" t="s">
        <v>24</v>
      </c>
      <c r="F261" s="299" t="s">
        <v>1114</v>
      </c>
      <c r="G261" s="300" t="s">
        <v>32</v>
      </c>
      <c r="H261" s="301" t="s">
        <v>41</v>
      </c>
      <c r="I261" s="302"/>
      <c r="J261" s="300"/>
      <c r="K261" s="302"/>
      <c r="L261" s="302"/>
      <c r="M261" s="302"/>
      <c r="N261" s="302"/>
      <c r="O261" s="302"/>
      <c r="P261" s="300"/>
      <c r="Q261" s="303"/>
    </row>
    <row r="262" spans="2:17" x14ac:dyDescent="0.25">
      <c r="H262" s="13">
        <f>COUNTIF(H4:H261,"=Indéterminé")</f>
        <v>258</v>
      </c>
    </row>
    <row r="265" spans="2:17" x14ac:dyDescent="0.25">
      <c r="F265" s="56"/>
    </row>
    <row r="266" spans="2:17" x14ac:dyDescent="0.25">
      <c r="F266" s="56"/>
    </row>
    <row r="267" spans="2:17" x14ac:dyDescent="0.25">
      <c r="F267" s="56"/>
    </row>
    <row r="268" spans="2:17" x14ac:dyDescent="0.25">
      <c r="F268" s="56"/>
    </row>
    <row r="269" spans="2:17" x14ac:dyDescent="0.25">
      <c r="F269" s="56"/>
    </row>
    <row r="270" spans="2:17" x14ac:dyDescent="0.25">
      <c r="F270" s="56"/>
    </row>
    <row r="271" spans="2:17" x14ac:dyDescent="0.25">
      <c r="F271" s="56"/>
    </row>
    <row r="272" spans="2:17" x14ac:dyDescent="0.25">
      <c r="F272" s="56"/>
    </row>
    <row r="273" spans="6:6" x14ac:dyDescent="0.25">
      <c r="F273" s="56"/>
    </row>
    <row r="274" spans="6:6" x14ac:dyDescent="0.25">
      <c r="F274" s="56"/>
    </row>
    <row r="275" spans="6:6" x14ac:dyDescent="0.25">
      <c r="F275" s="56"/>
    </row>
    <row r="276" spans="6:6" x14ac:dyDescent="0.25">
      <c r="F276" s="56"/>
    </row>
    <row r="277" spans="6:6" x14ac:dyDescent="0.25">
      <c r="F277" s="56"/>
    </row>
    <row r="278" spans="6:6" x14ac:dyDescent="0.25">
      <c r="F278" s="56"/>
    </row>
    <row r="279" spans="6:6" x14ac:dyDescent="0.25">
      <c r="F279" s="56"/>
    </row>
    <row r="280" spans="6:6" x14ac:dyDescent="0.25">
      <c r="F280" s="56"/>
    </row>
    <row r="281" spans="6:6" x14ac:dyDescent="0.25">
      <c r="F281" s="56"/>
    </row>
    <row r="282" spans="6:6" x14ac:dyDescent="0.25">
      <c r="F282" s="56"/>
    </row>
    <row r="283" spans="6:6" x14ac:dyDescent="0.25">
      <c r="F283" s="56"/>
    </row>
    <row r="284" spans="6:6" x14ac:dyDescent="0.25">
      <c r="F284" s="56"/>
    </row>
    <row r="285" spans="6:6" x14ac:dyDescent="0.25">
      <c r="F285" s="56"/>
    </row>
    <row r="286" spans="6:6" x14ac:dyDescent="0.25">
      <c r="F286" s="56"/>
    </row>
    <row r="287" spans="6:6" x14ac:dyDescent="0.25">
      <c r="F287" s="56"/>
    </row>
    <row r="288" spans="6:6" x14ac:dyDescent="0.25">
      <c r="F288" s="56"/>
    </row>
    <row r="289" spans="6:6" x14ac:dyDescent="0.25">
      <c r="F289" s="56"/>
    </row>
    <row r="290" spans="6:6" x14ac:dyDescent="0.25">
      <c r="F290" s="56"/>
    </row>
    <row r="291" spans="6:6" x14ac:dyDescent="0.25">
      <c r="F291" s="56"/>
    </row>
    <row r="292" spans="6:6" x14ac:dyDescent="0.25">
      <c r="F292" s="56"/>
    </row>
    <row r="293" spans="6:6" x14ac:dyDescent="0.25">
      <c r="F293" s="56"/>
    </row>
    <row r="294" spans="6:6" x14ac:dyDescent="0.25">
      <c r="F294" s="56"/>
    </row>
    <row r="295" spans="6:6" x14ac:dyDescent="0.25">
      <c r="F295" s="56"/>
    </row>
    <row r="296" spans="6:6" x14ac:dyDescent="0.25">
      <c r="F296" s="56"/>
    </row>
    <row r="297" spans="6:6" x14ac:dyDescent="0.25">
      <c r="F297" s="56"/>
    </row>
    <row r="298" spans="6:6" x14ac:dyDescent="0.25">
      <c r="F298" s="56"/>
    </row>
    <row r="299" spans="6:6" x14ac:dyDescent="0.25">
      <c r="F299" s="56"/>
    </row>
    <row r="300" spans="6:6" x14ac:dyDescent="0.25">
      <c r="F300" s="56"/>
    </row>
    <row r="301" spans="6:6" x14ac:dyDescent="0.25">
      <c r="F301" s="56"/>
    </row>
    <row r="302" spans="6:6" x14ac:dyDescent="0.25">
      <c r="F302" s="56"/>
    </row>
    <row r="303" spans="6:6" x14ac:dyDescent="0.25">
      <c r="F303" s="56"/>
    </row>
    <row r="304" spans="6:6" x14ac:dyDescent="0.25">
      <c r="F304" s="56"/>
    </row>
    <row r="305" spans="6:6" x14ac:dyDescent="0.25">
      <c r="F305" s="56"/>
    </row>
    <row r="306" spans="6:6" x14ac:dyDescent="0.25">
      <c r="F306" s="56"/>
    </row>
    <row r="307" spans="6:6" x14ac:dyDescent="0.25">
      <c r="F307" s="56"/>
    </row>
    <row r="308" spans="6:6" x14ac:dyDescent="0.25">
      <c r="F308" s="56"/>
    </row>
    <row r="309" spans="6:6" x14ac:dyDescent="0.25">
      <c r="F309" s="56"/>
    </row>
    <row r="310" spans="6:6" x14ac:dyDescent="0.25">
      <c r="F310" s="56"/>
    </row>
    <row r="311" spans="6:6" x14ac:dyDescent="0.25">
      <c r="F311" s="56"/>
    </row>
    <row r="312" spans="6:6" x14ac:dyDescent="0.25">
      <c r="F312" s="56"/>
    </row>
    <row r="313" spans="6:6" x14ac:dyDescent="0.25">
      <c r="F313" s="56"/>
    </row>
    <row r="314" spans="6:6" x14ac:dyDescent="0.25">
      <c r="F314" s="56"/>
    </row>
    <row r="315" spans="6:6" x14ac:dyDescent="0.25">
      <c r="F315" s="56"/>
    </row>
    <row r="316" spans="6:6" x14ac:dyDescent="0.25">
      <c r="F316" s="56"/>
    </row>
    <row r="317" spans="6:6" x14ac:dyDescent="0.25">
      <c r="F317" s="56"/>
    </row>
    <row r="318" spans="6:6" x14ac:dyDescent="0.25">
      <c r="F318" s="56"/>
    </row>
    <row r="319" spans="6:6" x14ac:dyDescent="0.25">
      <c r="F319" s="56"/>
    </row>
    <row r="320" spans="6:6" x14ac:dyDescent="0.25">
      <c r="F320" s="56"/>
    </row>
    <row r="321" spans="6:6" x14ac:dyDescent="0.25">
      <c r="F321" s="56"/>
    </row>
    <row r="322" spans="6:6" x14ac:dyDescent="0.25">
      <c r="F322" s="56"/>
    </row>
    <row r="323" spans="6:6" x14ac:dyDescent="0.25">
      <c r="F323" s="56"/>
    </row>
    <row r="324" spans="6:6" x14ac:dyDescent="0.25">
      <c r="F324" s="56"/>
    </row>
    <row r="325" spans="6:6" x14ac:dyDescent="0.25">
      <c r="F325" s="56"/>
    </row>
    <row r="326" spans="6:6" x14ac:dyDescent="0.25">
      <c r="F326" s="56"/>
    </row>
    <row r="327" spans="6:6" x14ac:dyDescent="0.25">
      <c r="F327" s="56"/>
    </row>
    <row r="328" spans="6:6" x14ac:dyDescent="0.25">
      <c r="F328" s="56"/>
    </row>
    <row r="329" spans="6:6" x14ac:dyDescent="0.25">
      <c r="F329" s="56"/>
    </row>
    <row r="330" spans="6:6" x14ac:dyDescent="0.25">
      <c r="F330" s="56"/>
    </row>
    <row r="331" spans="6:6" x14ac:dyDescent="0.25">
      <c r="F331" s="56"/>
    </row>
    <row r="332" spans="6:6" x14ac:dyDescent="0.25">
      <c r="F332" s="56"/>
    </row>
    <row r="333" spans="6:6" x14ac:dyDescent="0.25">
      <c r="F333" s="56"/>
    </row>
    <row r="334" spans="6:6" x14ac:dyDescent="0.25">
      <c r="F334" s="56"/>
    </row>
    <row r="335" spans="6:6" x14ac:dyDescent="0.25">
      <c r="F335" s="56"/>
    </row>
    <row r="336" spans="6:6" x14ac:dyDescent="0.25">
      <c r="F336" s="56"/>
    </row>
    <row r="337" spans="6:6" x14ac:dyDescent="0.25">
      <c r="F337" s="56"/>
    </row>
    <row r="338" spans="6:6" x14ac:dyDescent="0.25">
      <c r="F338" s="56"/>
    </row>
    <row r="339" spans="6:6" x14ac:dyDescent="0.25">
      <c r="F339" s="56"/>
    </row>
    <row r="340" spans="6:6" x14ac:dyDescent="0.25">
      <c r="F340" s="56"/>
    </row>
    <row r="341" spans="6:6" x14ac:dyDescent="0.25">
      <c r="F341" s="56"/>
    </row>
    <row r="342" spans="6:6" x14ac:dyDescent="0.25">
      <c r="F342" s="56"/>
    </row>
    <row r="343" spans="6:6" x14ac:dyDescent="0.25">
      <c r="F343" s="56"/>
    </row>
    <row r="344" spans="6:6" x14ac:dyDescent="0.25">
      <c r="F344" s="56"/>
    </row>
    <row r="345" spans="6:6" x14ac:dyDescent="0.25">
      <c r="F345" s="56"/>
    </row>
    <row r="346" spans="6:6" x14ac:dyDescent="0.25">
      <c r="F346" s="56"/>
    </row>
    <row r="347" spans="6:6" x14ac:dyDescent="0.25">
      <c r="F347" s="56"/>
    </row>
    <row r="348" spans="6:6" x14ac:dyDescent="0.25">
      <c r="F348" s="56"/>
    </row>
    <row r="349" spans="6:6" x14ac:dyDescent="0.25">
      <c r="F349" s="56"/>
    </row>
    <row r="350" spans="6:6" x14ac:dyDescent="0.25">
      <c r="F350" s="56"/>
    </row>
    <row r="351" spans="6:6" x14ac:dyDescent="0.25">
      <c r="F351" s="56"/>
    </row>
    <row r="352" spans="6:6" x14ac:dyDescent="0.25">
      <c r="F352" s="56"/>
    </row>
    <row r="353" spans="6:6" x14ac:dyDescent="0.25">
      <c r="F353" s="56"/>
    </row>
    <row r="354" spans="6:6" x14ac:dyDescent="0.25">
      <c r="F354" s="56"/>
    </row>
    <row r="355" spans="6:6" x14ac:dyDescent="0.25">
      <c r="F355" s="56"/>
    </row>
    <row r="356" spans="6:6" x14ac:dyDescent="0.25">
      <c r="F356" s="56"/>
    </row>
    <row r="357" spans="6:6" x14ac:dyDescent="0.25">
      <c r="F357" s="56"/>
    </row>
    <row r="358" spans="6:6" x14ac:dyDescent="0.25">
      <c r="F358" s="56"/>
    </row>
    <row r="359" spans="6:6" x14ac:dyDescent="0.25">
      <c r="F359" s="56"/>
    </row>
    <row r="360" spans="6:6" x14ac:dyDescent="0.25">
      <c r="F360" s="56"/>
    </row>
    <row r="361" spans="6:6" x14ac:dyDescent="0.25">
      <c r="F361" s="56"/>
    </row>
    <row r="362" spans="6:6" x14ac:dyDescent="0.25">
      <c r="F362" s="56"/>
    </row>
    <row r="363" spans="6:6" x14ac:dyDescent="0.25">
      <c r="F363" s="56"/>
    </row>
    <row r="364" spans="6:6" x14ac:dyDescent="0.25">
      <c r="F364" s="56"/>
    </row>
    <row r="365" spans="6:6" x14ac:dyDescent="0.25">
      <c r="F365" s="56"/>
    </row>
    <row r="366" spans="6:6" x14ac:dyDescent="0.25">
      <c r="F366" s="56"/>
    </row>
    <row r="367" spans="6:6" x14ac:dyDescent="0.25">
      <c r="F367" s="56"/>
    </row>
    <row r="368" spans="6:6" x14ac:dyDescent="0.25">
      <c r="F368" s="56"/>
    </row>
    <row r="369" spans="6:6" x14ac:dyDescent="0.25">
      <c r="F369" s="56"/>
    </row>
    <row r="370" spans="6:6" x14ac:dyDescent="0.25">
      <c r="F370" s="56"/>
    </row>
    <row r="371" spans="6:6" x14ac:dyDescent="0.25">
      <c r="F371" s="56"/>
    </row>
    <row r="372" spans="6:6" x14ac:dyDescent="0.25">
      <c r="F372" s="56"/>
    </row>
    <row r="373" spans="6:6" x14ac:dyDescent="0.25">
      <c r="F373" s="56"/>
    </row>
    <row r="374" spans="6:6" x14ac:dyDescent="0.25">
      <c r="F374" s="56"/>
    </row>
    <row r="375" spans="6:6" x14ac:dyDescent="0.25">
      <c r="F375" s="56"/>
    </row>
    <row r="376" spans="6:6" x14ac:dyDescent="0.25">
      <c r="F376" s="56"/>
    </row>
    <row r="377" spans="6:6" x14ac:dyDescent="0.25">
      <c r="F377" s="56"/>
    </row>
    <row r="378" spans="6:6" x14ac:dyDescent="0.25">
      <c r="F378" s="56"/>
    </row>
    <row r="379" spans="6:6" x14ac:dyDescent="0.25">
      <c r="F379" s="56"/>
    </row>
    <row r="380" spans="6:6" x14ac:dyDescent="0.25">
      <c r="F380" s="56"/>
    </row>
    <row r="381" spans="6:6" x14ac:dyDescent="0.25">
      <c r="F381" s="56"/>
    </row>
    <row r="382" spans="6:6" x14ac:dyDescent="0.25">
      <c r="F382" s="56"/>
    </row>
    <row r="383" spans="6:6" x14ac:dyDescent="0.25">
      <c r="F383" s="56"/>
    </row>
    <row r="384" spans="6:6" x14ac:dyDescent="0.25">
      <c r="F384" s="56"/>
    </row>
    <row r="385" spans="6:6" x14ac:dyDescent="0.25">
      <c r="F385" s="56"/>
    </row>
    <row r="386" spans="6:6" x14ac:dyDescent="0.25">
      <c r="F386" s="56"/>
    </row>
    <row r="387" spans="6:6" x14ac:dyDescent="0.25">
      <c r="F387" s="56"/>
    </row>
    <row r="388" spans="6:6" x14ac:dyDescent="0.25">
      <c r="F388" s="56"/>
    </row>
    <row r="389" spans="6:6" x14ac:dyDescent="0.25">
      <c r="F389" s="56"/>
    </row>
    <row r="390" spans="6:6" x14ac:dyDescent="0.25">
      <c r="F390" s="56"/>
    </row>
    <row r="391" spans="6:6" x14ac:dyDescent="0.25">
      <c r="F391" s="56"/>
    </row>
    <row r="392" spans="6:6" x14ac:dyDescent="0.25">
      <c r="F392" s="56"/>
    </row>
    <row r="393" spans="6:6" x14ac:dyDescent="0.25">
      <c r="F393" s="56"/>
    </row>
    <row r="394" spans="6:6" x14ac:dyDescent="0.25">
      <c r="F394" s="56"/>
    </row>
    <row r="395" spans="6:6" x14ac:dyDescent="0.25">
      <c r="F395" s="56"/>
    </row>
    <row r="396" spans="6:6" x14ac:dyDescent="0.25">
      <c r="F396" s="56"/>
    </row>
    <row r="397" spans="6:6" x14ac:dyDescent="0.25">
      <c r="F397" s="56"/>
    </row>
    <row r="398" spans="6:6" x14ac:dyDescent="0.25">
      <c r="F398" s="56"/>
    </row>
    <row r="399" spans="6:6" x14ac:dyDescent="0.25">
      <c r="F399" s="56"/>
    </row>
    <row r="400" spans="6:6" x14ac:dyDescent="0.25">
      <c r="F400" s="56"/>
    </row>
    <row r="401" spans="6:6" x14ac:dyDescent="0.25">
      <c r="F401" s="56"/>
    </row>
    <row r="402" spans="6:6" x14ac:dyDescent="0.25">
      <c r="F402" s="56"/>
    </row>
    <row r="403" spans="6:6" x14ac:dyDescent="0.25">
      <c r="F403" s="56"/>
    </row>
    <row r="404" spans="6:6" x14ac:dyDescent="0.25">
      <c r="F404" s="56"/>
    </row>
    <row r="405" spans="6:6" x14ac:dyDescent="0.25">
      <c r="F405" s="56"/>
    </row>
    <row r="406" spans="6:6" x14ac:dyDescent="0.25">
      <c r="F406" s="56"/>
    </row>
    <row r="407" spans="6:6" x14ac:dyDescent="0.25">
      <c r="F407" s="56"/>
    </row>
    <row r="408" spans="6:6" x14ac:dyDescent="0.25">
      <c r="F408" s="56"/>
    </row>
    <row r="409" spans="6:6" x14ac:dyDescent="0.25">
      <c r="F409" s="56"/>
    </row>
    <row r="410" spans="6:6" x14ac:dyDescent="0.25">
      <c r="F410" s="56"/>
    </row>
    <row r="411" spans="6:6" x14ac:dyDescent="0.25">
      <c r="F411" s="56"/>
    </row>
    <row r="412" spans="6:6" x14ac:dyDescent="0.25">
      <c r="F412" s="56"/>
    </row>
    <row r="413" spans="6:6" x14ac:dyDescent="0.25">
      <c r="F413" s="56"/>
    </row>
    <row r="414" spans="6:6" x14ac:dyDescent="0.25">
      <c r="F414" s="56"/>
    </row>
    <row r="415" spans="6:6" x14ac:dyDescent="0.25">
      <c r="F415" s="56"/>
    </row>
    <row r="416" spans="6:6" x14ac:dyDescent="0.25">
      <c r="F416" s="56"/>
    </row>
    <row r="417" spans="6:6" x14ac:dyDescent="0.25">
      <c r="F417" s="56"/>
    </row>
    <row r="418" spans="6:6" x14ac:dyDescent="0.25">
      <c r="F418" s="56"/>
    </row>
    <row r="419" spans="6:6" x14ac:dyDescent="0.25">
      <c r="F419" s="56"/>
    </row>
    <row r="420" spans="6:6" x14ac:dyDescent="0.25">
      <c r="F420" s="56"/>
    </row>
    <row r="421" spans="6:6" x14ac:dyDescent="0.25">
      <c r="F421" s="56"/>
    </row>
    <row r="422" spans="6:6" x14ac:dyDescent="0.25">
      <c r="F422" s="56"/>
    </row>
    <row r="423" spans="6:6" x14ac:dyDescent="0.25">
      <c r="F423" s="56"/>
    </row>
    <row r="424" spans="6:6" x14ac:dyDescent="0.25">
      <c r="F424" s="56"/>
    </row>
    <row r="425" spans="6:6" x14ac:dyDescent="0.25">
      <c r="F425" s="56"/>
    </row>
    <row r="426" spans="6:6" x14ac:dyDescent="0.25">
      <c r="F426" s="56"/>
    </row>
    <row r="427" spans="6:6" x14ac:dyDescent="0.25">
      <c r="F427" s="56"/>
    </row>
    <row r="428" spans="6:6" x14ac:dyDescent="0.25">
      <c r="F428" s="56"/>
    </row>
    <row r="429" spans="6:6" x14ac:dyDescent="0.25">
      <c r="F429" s="56"/>
    </row>
    <row r="430" spans="6:6" x14ac:dyDescent="0.25">
      <c r="F430" s="56"/>
    </row>
    <row r="431" spans="6:6" x14ac:dyDescent="0.25">
      <c r="F431" s="56"/>
    </row>
    <row r="432" spans="6:6" x14ac:dyDescent="0.25">
      <c r="F432" s="56"/>
    </row>
    <row r="433" spans="6:6" x14ac:dyDescent="0.25">
      <c r="F433" s="56"/>
    </row>
    <row r="434" spans="6:6" x14ac:dyDescent="0.25">
      <c r="F434" s="56"/>
    </row>
    <row r="435" spans="6:6" x14ac:dyDescent="0.25">
      <c r="F435" s="56"/>
    </row>
    <row r="436" spans="6:6" x14ac:dyDescent="0.25">
      <c r="F436" s="56"/>
    </row>
    <row r="437" spans="6:6" x14ac:dyDescent="0.25">
      <c r="F437" s="56"/>
    </row>
    <row r="438" spans="6:6" x14ac:dyDescent="0.25">
      <c r="F438" s="56"/>
    </row>
    <row r="439" spans="6:6" x14ac:dyDescent="0.25">
      <c r="F439" s="56"/>
    </row>
    <row r="440" spans="6:6" x14ac:dyDescent="0.25">
      <c r="F440" s="56"/>
    </row>
    <row r="441" spans="6:6" x14ac:dyDescent="0.25">
      <c r="F441" s="56"/>
    </row>
    <row r="442" spans="6:6" x14ac:dyDescent="0.25">
      <c r="F442" s="56"/>
    </row>
    <row r="443" spans="6:6" x14ac:dyDescent="0.25">
      <c r="F443" s="56"/>
    </row>
    <row r="444" spans="6:6" x14ac:dyDescent="0.25">
      <c r="F444" s="56"/>
    </row>
    <row r="445" spans="6:6" x14ac:dyDescent="0.25">
      <c r="F445" s="56"/>
    </row>
    <row r="446" spans="6:6" x14ac:dyDescent="0.25">
      <c r="F446" s="56"/>
    </row>
    <row r="447" spans="6:6" x14ac:dyDescent="0.25">
      <c r="F447" s="56"/>
    </row>
    <row r="448" spans="6:6" x14ac:dyDescent="0.25">
      <c r="F448" s="56"/>
    </row>
    <row r="449" spans="6:6" x14ac:dyDescent="0.25">
      <c r="F449" s="56"/>
    </row>
    <row r="450" spans="6:6" x14ac:dyDescent="0.25">
      <c r="F450" s="56"/>
    </row>
    <row r="451" spans="6:6" x14ac:dyDescent="0.25">
      <c r="F451" s="56"/>
    </row>
    <row r="452" spans="6:6" x14ac:dyDescent="0.25">
      <c r="F452" s="56"/>
    </row>
    <row r="453" spans="6:6" x14ac:dyDescent="0.25">
      <c r="F453" s="56"/>
    </row>
    <row r="454" spans="6:6" x14ac:dyDescent="0.25">
      <c r="F454" s="56"/>
    </row>
    <row r="455" spans="6:6" x14ac:dyDescent="0.25">
      <c r="F455" s="56"/>
    </row>
    <row r="456" spans="6:6" x14ac:dyDescent="0.25">
      <c r="F456" s="56"/>
    </row>
    <row r="457" spans="6:6" x14ac:dyDescent="0.25">
      <c r="F457" s="56"/>
    </row>
    <row r="458" spans="6:6" x14ac:dyDescent="0.25">
      <c r="F458" s="56"/>
    </row>
    <row r="459" spans="6:6" x14ac:dyDescent="0.25">
      <c r="F459" s="56"/>
    </row>
    <row r="460" spans="6:6" x14ac:dyDescent="0.25">
      <c r="F460" s="56"/>
    </row>
    <row r="461" spans="6:6" x14ac:dyDescent="0.25">
      <c r="F461" s="56"/>
    </row>
    <row r="462" spans="6:6" x14ac:dyDescent="0.25">
      <c r="F462" s="56"/>
    </row>
    <row r="463" spans="6:6" x14ac:dyDescent="0.25">
      <c r="F463" s="56"/>
    </row>
    <row r="464" spans="6:6" x14ac:dyDescent="0.25">
      <c r="F464" s="56"/>
    </row>
    <row r="465" spans="6:6" x14ac:dyDescent="0.25">
      <c r="F465" s="56"/>
    </row>
    <row r="466" spans="6:6" x14ac:dyDescent="0.25">
      <c r="F466" s="56"/>
    </row>
    <row r="467" spans="6:6" x14ac:dyDescent="0.25">
      <c r="F467" s="56"/>
    </row>
    <row r="468" spans="6:6" x14ac:dyDescent="0.25">
      <c r="F468" s="56"/>
    </row>
    <row r="469" spans="6:6" x14ac:dyDescent="0.25">
      <c r="F469" s="56"/>
    </row>
    <row r="470" spans="6:6" x14ac:dyDescent="0.25">
      <c r="F470" s="56"/>
    </row>
    <row r="471" spans="6:6" x14ac:dyDescent="0.25">
      <c r="F471" s="56"/>
    </row>
    <row r="472" spans="6:6" x14ac:dyDescent="0.25">
      <c r="F472" s="56"/>
    </row>
    <row r="473" spans="6:6" x14ac:dyDescent="0.25">
      <c r="F473" s="56"/>
    </row>
    <row r="474" spans="6:6" x14ac:dyDescent="0.25">
      <c r="F474" s="56"/>
    </row>
    <row r="475" spans="6:6" x14ac:dyDescent="0.25">
      <c r="F475" s="56"/>
    </row>
    <row r="476" spans="6:6" x14ac:dyDescent="0.25">
      <c r="F476" s="56"/>
    </row>
    <row r="477" spans="6:6" x14ac:dyDescent="0.25">
      <c r="F477" s="56"/>
    </row>
    <row r="478" spans="6:6" x14ac:dyDescent="0.25">
      <c r="F478" s="56"/>
    </row>
    <row r="479" spans="6:6" x14ac:dyDescent="0.25">
      <c r="F479" s="56"/>
    </row>
    <row r="480" spans="6:6" x14ac:dyDescent="0.25">
      <c r="F480" s="56"/>
    </row>
    <row r="481" spans="6:6" x14ac:dyDescent="0.25">
      <c r="F481" s="56"/>
    </row>
    <row r="482" spans="6:6" x14ac:dyDescent="0.25">
      <c r="F482" s="56"/>
    </row>
    <row r="483" spans="6:6" x14ac:dyDescent="0.25">
      <c r="F483" s="56"/>
    </row>
    <row r="484" spans="6:6" x14ac:dyDescent="0.25">
      <c r="F484" s="56"/>
    </row>
    <row r="485" spans="6:6" x14ac:dyDescent="0.25">
      <c r="F485" s="56"/>
    </row>
    <row r="486" spans="6:6" x14ac:dyDescent="0.25">
      <c r="F486" s="56"/>
    </row>
    <row r="487" spans="6:6" x14ac:dyDescent="0.25">
      <c r="F487" s="56"/>
    </row>
    <row r="488" spans="6:6" x14ac:dyDescent="0.25">
      <c r="F488" s="56"/>
    </row>
    <row r="489" spans="6:6" x14ac:dyDescent="0.25">
      <c r="F489" s="56"/>
    </row>
    <row r="490" spans="6:6" x14ac:dyDescent="0.25">
      <c r="F490" s="56"/>
    </row>
    <row r="491" spans="6:6" x14ac:dyDescent="0.25">
      <c r="F491" s="56"/>
    </row>
    <row r="492" spans="6:6" x14ac:dyDescent="0.25">
      <c r="F492" s="56"/>
    </row>
    <row r="493" spans="6:6" x14ac:dyDescent="0.25">
      <c r="F493" s="56"/>
    </row>
    <row r="494" spans="6:6" x14ac:dyDescent="0.25">
      <c r="F494" s="56"/>
    </row>
    <row r="495" spans="6:6" x14ac:dyDescent="0.25">
      <c r="F495" s="56"/>
    </row>
    <row r="496" spans="6:6" x14ac:dyDescent="0.25">
      <c r="F496" s="56"/>
    </row>
    <row r="497" spans="6:6" x14ac:dyDescent="0.25">
      <c r="F497" s="56"/>
    </row>
    <row r="498" spans="6:6" x14ac:dyDescent="0.25">
      <c r="F498" s="56"/>
    </row>
    <row r="499" spans="6:6" x14ac:dyDescent="0.25">
      <c r="F499" s="56"/>
    </row>
    <row r="500" spans="6:6" x14ac:dyDescent="0.25">
      <c r="F500" s="56"/>
    </row>
    <row r="501" spans="6:6" x14ac:dyDescent="0.25">
      <c r="F501" s="56"/>
    </row>
    <row r="502" spans="6:6" x14ac:dyDescent="0.25">
      <c r="F502" s="56"/>
    </row>
    <row r="503" spans="6:6" x14ac:dyDescent="0.25">
      <c r="F503" s="56"/>
    </row>
    <row r="504" spans="6:6" x14ac:dyDescent="0.25">
      <c r="F504" s="56"/>
    </row>
    <row r="505" spans="6:6" x14ac:dyDescent="0.25">
      <c r="F505" s="56"/>
    </row>
    <row r="506" spans="6:6" x14ac:dyDescent="0.25">
      <c r="F506" s="56"/>
    </row>
    <row r="507" spans="6:6" x14ac:dyDescent="0.25">
      <c r="F507" s="56"/>
    </row>
    <row r="508" spans="6:6" x14ac:dyDescent="0.25">
      <c r="F508" s="56"/>
    </row>
    <row r="509" spans="6:6" x14ac:dyDescent="0.25">
      <c r="F509" s="56"/>
    </row>
    <row r="510" spans="6:6" x14ac:dyDescent="0.25">
      <c r="F510" s="56"/>
    </row>
    <row r="511" spans="6:6" x14ac:dyDescent="0.25">
      <c r="F511" s="56"/>
    </row>
    <row r="512" spans="6:6" x14ac:dyDescent="0.25">
      <c r="F512" s="56"/>
    </row>
    <row r="513" spans="6:6" x14ac:dyDescent="0.25">
      <c r="F513" s="56"/>
    </row>
    <row r="514" spans="6:6" x14ac:dyDescent="0.25">
      <c r="F514" s="56"/>
    </row>
    <row r="515" spans="6:6" x14ac:dyDescent="0.25">
      <c r="F515" s="56"/>
    </row>
    <row r="516" spans="6:6" x14ac:dyDescent="0.25">
      <c r="F516" s="56"/>
    </row>
    <row r="517" spans="6:6" x14ac:dyDescent="0.25">
      <c r="F517" s="56"/>
    </row>
    <row r="518" spans="6:6" x14ac:dyDescent="0.25">
      <c r="F518" s="56"/>
    </row>
    <row r="519" spans="6:6" x14ac:dyDescent="0.25">
      <c r="F519" s="56"/>
    </row>
    <row r="520" spans="6:6" x14ac:dyDescent="0.25">
      <c r="F520" s="56"/>
    </row>
    <row r="521" spans="6:6" x14ac:dyDescent="0.25">
      <c r="F521" s="56"/>
    </row>
    <row r="522" spans="6:6" x14ac:dyDescent="0.25">
      <c r="F522" s="56"/>
    </row>
    <row r="523" spans="6:6" x14ac:dyDescent="0.25">
      <c r="F523" s="56"/>
    </row>
    <row r="524" spans="6:6" x14ac:dyDescent="0.25">
      <c r="F524" s="56"/>
    </row>
    <row r="525" spans="6:6" x14ac:dyDescent="0.25">
      <c r="F525" s="56"/>
    </row>
    <row r="526" spans="6:6" x14ac:dyDescent="0.25">
      <c r="F526" s="56"/>
    </row>
    <row r="527" spans="6:6" x14ac:dyDescent="0.25">
      <c r="F527" s="56"/>
    </row>
    <row r="528" spans="6:6" x14ac:dyDescent="0.25">
      <c r="F528" s="56"/>
    </row>
    <row r="529" spans="6:6" x14ac:dyDescent="0.25">
      <c r="F529" s="56"/>
    </row>
    <row r="530" spans="6:6" x14ac:dyDescent="0.25">
      <c r="F530" s="56"/>
    </row>
    <row r="531" spans="6:6" x14ac:dyDescent="0.25">
      <c r="F531" s="56"/>
    </row>
    <row r="532" spans="6:6" x14ac:dyDescent="0.25">
      <c r="F532" s="56"/>
    </row>
    <row r="533" spans="6:6" x14ac:dyDescent="0.25">
      <c r="F533" s="56"/>
    </row>
    <row r="534" spans="6:6" x14ac:dyDescent="0.25">
      <c r="F534" s="56"/>
    </row>
    <row r="535" spans="6:6" x14ac:dyDescent="0.25">
      <c r="F535" s="56"/>
    </row>
    <row r="536" spans="6:6" x14ac:dyDescent="0.25">
      <c r="F536" s="56"/>
    </row>
    <row r="537" spans="6:6" x14ac:dyDescent="0.25">
      <c r="F537" s="56"/>
    </row>
    <row r="538" spans="6:6" x14ac:dyDescent="0.25">
      <c r="F538" s="56"/>
    </row>
    <row r="539" spans="6:6" x14ac:dyDescent="0.25">
      <c r="F539" s="56"/>
    </row>
    <row r="540" spans="6:6" x14ac:dyDescent="0.25">
      <c r="F540" s="56"/>
    </row>
    <row r="541" spans="6:6" x14ac:dyDescent="0.25">
      <c r="F541" s="56"/>
    </row>
    <row r="542" spans="6:6" x14ac:dyDescent="0.25">
      <c r="F542" s="56"/>
    </row>
    <row r="543" spans="6:6" x14ac:dyDescent="0.25">
      <c r="F543" s="56"/>
    </row>
    <row r="544" spans="6:6" x14ac:dyDescent="0.25">
      <c r="F544" s="56"/>
    </row>
    <row r="545" spans="6:6" x14ac:dyDescent="0.25">
      <c r="F545" s="56"/>
    </row>
    <row r="546" spans="6:6" x14ac:dyDescent="0.25">
      <c r="F546" s="56"/>
    </row>
    <row r="547" spans="6:6" x14ac:dyDescent="0.25">
      <c r="F547" s="56"/>
    </row>
    <row r="548" spans="6:6" x14ac:dyDescent="0.25">
      <c r="F548" s="56"/>
    </row>
    <row r="549" spans="6:6" x14ac:dyDescent="0.25">
      <c r="F549" s="56"/>
    </row>
    <row r="550" spans="6:6" x14ac:dyDescent="0.25">
      <c r="F550" s="56"/>
    </row>
    <row r="551" spans="6:6" x14ac:dyDescent="0.25">
      <c r="F551" s="56"/>
    </row>
    <row r="552" spans="6:6" x14ac:dyDescent="0.25">
      <c r="F552" s="56"/>
    </row>
    <row r="553" spans="6:6" x14ac:dyDescent="0.25">
      <c r="F553" s="56"/>
    </row>
    <row r="554" spans="6:6" x14ac:dyDescent="0.25">
      <c r="F554" s="56"/>
    </row>
    <row r="555" spans="6:6" x14ac:dyDescent="0.25">
      <c r="F555" s="56"/>
    </row>
    <row r="556" spans="6:6" x14ac:dyDescent="0.25">
      <c r="F556" s="56"/>
    </row>
    <row r="557" spans="6:6" x14ac:dyDescent="0.25">
      <c r="F557" s="56"/>
    </row>
    <row r="558" spans="6:6" x14ac:dyDescent="0.25">
      <c r="F558" s="56"/>
    </row>
    <row r="559" spans="6:6" x14ac:dyDescent="0.25">
      <c r="F559" s="56"/>
    </row>
    <row r="560" spans="6:6" x14ac:dyDescent="0.25">
      <c r="F560" s="56"/>
    </row>
    <row r="561" spans="6:6" x14ac:dyDescent="0.25">
      <c r="F561" s="56"/>
    </row>
    <row r="562" spans="6:6" x14ac:dyDescent="0.25">
      <c r="F562" s="56"/>
    </row>
    <row r="563" spans="6:6" x14ac:dyDescent="0.25">
      <c r="F563" s="56"/>
    </row>
    <row r="564" spans="6:6" x14ac:dyDescent="0.25">
      <c r="F564" s="56"/>
    </row>
    <row r="565" spans="6:6" x14ac:dyDescent="0.25">
      <c r="F565" s="56"/>
    </row>
    <row r="566" spans="6:6" x14ac:dyDescent="0.25">
      <c r="F566" s="56"/>
    </row>
    <row r="567" spans="6:6" x14ac:dyDescent="0.25">
      <c r="F567" s="56"/>
    </row>
    <row r="568" spans="6:6" x14ac:dyDescent="0.25">
      <c r="F568" s="56"/>
    </row>
    <row r="569" spans="6:6" x14ac:dyDescent="0.25">
      <c r="F569" s="56"/>
    </row>
    <row r="570" spans="6:6" x14ac:dyDescent="0.25">
      <c r="F570" s="56"/>
    </row>
    <row r="571" spans="6:6" x14ac:dyDescent="0.25">
      <c r="F571" s="56"/>
    </row>
    <row r="572" spans="6:6" x14ac:dyDescent="0.25">
      <c r="F572" s="56"/>
    </row>
    <row r="573" spans="6:6" x14ac:dyDescent="0.25">
      <c r="F573" s="56"/>
    </row>
    <row r="574" spans="6:6" x14ac:dyDescent="0.25">
      <c r="F574" s="56"/>
    </row>
    <row r="575" spans="6:6" x14ac:dyDescent="0.25">
      <c r="F575" s="56"/>
    </row>
    <row r="576" spans="6:6" x14ac:dyDescent="0.25">
      <c r="F576" s="56"/>
    </row>
    <row r="577" spans="6:6" x14ac:dyDescent="0.25">
      <c r="F577" s="56"/>
    </row>
    <row r="578" spans="6:6" x14ac:dyDescent="0.25">
      <c r="F578" s="56"/>
    </row>
    <row r="579" spans="6:6" x14ac:dyDescent="0.25">
      <c r="F579" s="56"/>
    </row>
    <row r="580" spans="6:6" x14ac:dyDescent="0.25">
      <c r="F580" s="56"/>
    </row>
    <row r="581" spans="6:6" x14ac:dyDescent="0.25">
      <c r="F581" s="56"/>
    </row>
    <row r="582" spans="6:6" x14ac:dyDescent="0.25">
      <c r="F582" s="56"/>
    </row>
    <row r="583" spans="6:6" x14ac:dyDescent="0.25">
      <c r="F583" s="56"/>
    </row>
    <row r="584" spans="6:6" x14ac:dyDescent="0.25">
      <c r="F584" s="56"/>
    </row>
    <row r="585" spans="6:6" x14ac:dyDescent="0.25">
      <c r="F585" s="56"/>
    </row>
    <row r="586" spans="6:6" x14ac:dyDescent="0.25">
      <c r="F586" s="56"/>
    </row>
    <row r="587" spans="6:6" x14ac:dyDescent="0.25">
      <c r="F587" s="56"/>
    </row>
    <row r="588" spans="6:6" x14ac:dyDescent="0.25">
      <c r="F588" s="56"/>
    </row>
    <row r="589" spans="6:6" x14ac:dyDescent="0.25">
      <c r="F589" s="56"/>
    </row>
    <row r="590" spans="6:6" x14ac:dyDescent="0.25">
      <c r="F590" s="56"/>
    </row>
    <row r="591" spans="6:6" x14ac:dyDescent="0.25">
      <c r="F591" s="56"/>
    </row>
    <row r="592" spans="6:6" x14ac:dyDescent="0.25">
      <c r="F592" s="56"/>
    </row>
    <row r="593" spans="6:6" x14ac:dyDescent="0.25">
      <c r="F593" s="56"/>
    </row>
    <row r="594" spans="6:6" x14ac:dyDescent="0.25">
      <c r="F594" s="56"/>
    </row>
    <row r="595" spans="6:6" x14ac:dyDescent="0.25">
      <c r="F595" s="56"/>
    </row>
    <row r="596" spans="6:6" x14ac:dyDescent="0.25">
      <c r="F596" s="56"/>
    </row>
    <row r="597" spans="6:6" x14ac:dyDescent="0.25">
      <c r="F597" s="56"/>
    </row>
    <row r="598" spans="6:6" x14ac:dyDescent="0.25">
      <c r="F598" s="56"/>
    </row>
    <row r="599" spans="6:6" x14ac:dyDescent="0.25">
      <c r="F599" s="56"/>
    </row>
    <row r="600" spans="6:6" x14ac:dyDescent="0.25">
      <c r="F600" s="56"/>
    </row>
    <row r="601" spans="6:6" x14ac:dyDescent="0.25">
      <c r="F601" s="56"/>
    </row>
    <row r="602" spans="6:6" x14ac:dyDescent="0.25">
      <c r="F602" s="56"/>
    </row>
    <row r="603" spans="6:6" x14ac:dyDescent="0.25">
      <c r="F603" s="56"/>
    </row>
    <row r="604" spans="6:6" x14ac:dyDescent="0.25">
      <c r="F604" s="56"/>
    </row>
    <row r="605" spans="6:6" x14ac:dyDescent="0.25">
      <c r="F605" s="56"/>
    </row>
    <row r="606" spans="6:6" x14ac:dyDescent="0.25">
      <c r="F606" s="56"/>
    </row>
    <row r="607" spans="6:6" x14ac:dyDescent="0.25">
      <c r="F607" s="56"/>
    </row>
    <row r="608" spans="6:6" x14ac:dyDescent="0.25">
      <c r="F608" s="56"/>
    </row>
    <row r="609" spans="6:6" x14ac:dyDescent="0.25">
      <c r="F609" s="56"/>
    </row>
    <row r="610" spans="6:6" x14ac:dyDescent="0.25">
      <c r="F610" s="56"/>
    </row>
    <row r="611" spans="6:6" x14ac:dyDescent="0.25">
      <c r="F611" s="56"/>
    </row>
    <row r="612" spans="6:6" x14ac:dyDescent="0.25">
      <c r="F612" s="56"/>
    </row>
    <row r="613" spans="6:6" x14ac:dyDescent="0.25">
      <c r="F613" s="56"/>
    </row>
    <row r="614" spans="6:6" x14ac:dyDescent="0.25">
      <c r="F614" s="56"/>
    </row>
    <row r="615" spans="6:6" x14ac:dyDescent="0.25">
      <c r="F615" s="56"/>
    </row>
    <row r="616" spans="6:6" x14ac:dyDescent="0.25">
      <c r="F616" s="56"/>
    </row>
    <row r="617" spans="6:6" x14ac:dyDescent="0.25">
      <c r="F617" s="56"/>
    </row>
    <row r="618" spans="6:6" x14ac:dyDescent="0.25">
      <c r="F618" s="56"/>
    </row>
    <row r="619" spans="6:6" x14ac:dyDescent="0.25">
      <c r="F619" s="56"/>
    </row>
    <row r="620" spans="6:6" x14ac:dyDescent="0.25">
      <c r="F620" s="56"/>
    </row>
    <row r="621" spans="6:6" x14ac:dyDescent="0.25">
      <c r="F621" s="56"/>
    </row>
    <row r="622" spans="6:6" x14ac:dyDescent="0.25">
      <c r="F622" s="56"/>
    </row>
    <row r="623" spans="6:6" x14ac:dyDescent="0.25">
      <c r="F623" s="56"/>
    </row>
    <row r="624" spans="6:6" x14ac:dyDescent="0.25">
      <c r="F624" s="56"/>
    </row>
    <row r="625" spans="6:6" x14ac:dyDescent="0.25">
      <c r="F625" s="56"/>
    </row>
    <row r="626" spans="6:6" x14ac:dyDescent="0.25">
      <c r="F626" s="56"/>
    </row>
    <row r="627" spans="6:6" x14ac:dyDescent="0.25">
      <c r="F627" s="56"/>
    </row>
    <row r="628" spans="6:6" x14ac:dyDescent="0.25">
      <c r="F628" s="56"/>
    </row>
    <row r="629" spans="6:6" x14ac:dyDescent="0.25">
      <c r="F629" s="56"/>
    </row>
    <row r="630" spans="6:6" x14ac:dyDescent="0.25">
      <c r="F630" s="56"/>
    </row>
    <row r="631" spans="6:6" x14ac:dyDescent="0.25">
      <c r="F631" s="56"/>
    </row>
    <row r="632" spans="6:6" x14ac:dyDescent="0.25">
      <c r="F632" s="56"/>
    </row>
    <row r="633" spans="6:6" x14ac:dyDescent="0.25">
      <c r="F633" s="56"/>
    </row>
    <row r="634" spans="6:6" x14ac:dyDescent="0.25">
      <c r="F634" s="56"/>
    </row>
    <row r="635" spans="6:6" x14ac:dyDescent="0.25">
      <c r="F635" s="56"/>
    </row>
    <row r="636" spans="6:6" x14ac:dyDescent="0.25">
      <c r="F636" s="56"/>
    </row>
    <row r="637" spans="6:6" x14ac:dyDescent="0.25">
      <c r="F637" s="56"/>
    </row>
    <row r="638" spans="6:6" x14ac:dyDescent="0.25">
      <c r="F638" s="56"/>
    </row>
    <row r="639" spans="6:6" x14ac:dyDescent="0.25">
      <c r="F639" s="56"/>
    </row>
    <row r="640" spans="6:6" x14ac:dyDescent="0.25">
      <c r="F640" s="56"/>
    </row>
    <row r="641" spans="6:6" x14ac:dyDescent="0.25">
      <c r="F641" s="56"/>
    </row>
    <row r="642" spans="6:6" x14ac:dyDescent="0.25">
      <c r="F642" s="56"/>
    </row>
    <row r="643" spans="6:6" x14ac:dyDescent="0.25">
      <c r="F643" s="56"/>
    </row>
    <row r="644" spans="6:6" x14ac:dyDescent="0.25">
      <c r="F644" s="56"/>
    </row>
    <row r="645" spans="6:6" x14ac:dyDescent="0.25">
      <c r="F645" s="56"/>
    </row>
    <row r="646" spans="6:6" x14ac:dyDescent="0.25">
      <c r="F646" s="56"/>
    </row>
    <row r="647" spans="6:6" x14ac:dyDescent="0.25">
      <c r="F647" s="56"/>
    </row>
    <row r="648" spans="6:6" x14ac:dyDescent="0.25">
      <c r="F648" s="56"/>
    </row>
    <row r="649" spans="6:6" x14ac:dyDescent="0.25">
      <c r="F649" s="56"/>
    </row>
    <row r="650" spans="6:6" x14ac:dyDescent="0.25">
      <c r="F650" s="56"/>
    </row>
    <row r="651" spans="6:6" x14ac:dyDescent="0.25">
      <c r="F651" s="56"/>
    </row>
    <row r="652" spans="6:6" x14ac:dyDescent="0.25">
      <c r="F652" s="56"/>
    </row>
    <row r="653" spans="6:6" x14ac:dyDescent="0.25">
      <c r="F653" s="56"/>
    </row>
    <row r="654" spans="6:6" x14ac:dyDescent="0.25">
      <c r="F654" s="56"/>
    </row>
    <row r="655" spans="6:6" x14ac:dyDescent="0.25">
      <c r="F655" s="56"/>
    </row>
    <row r="656" spans="6:6" x14ac:dyDescent="0.25">
      <c r="F656" s="56"/>
    </row>
    <row r="657" spans="6:6" x14ac:dyDescent="0.25">
      <c r="F657" s="56"/>
    </row>
    <row r="658" spans="6:6" x14ac:dyDescent="0.25">
      <c r="F658" s="56"/>
    </row>
    <row r="659" spans="6:6" x14ac:dyDescent="0.25">
      <c r="F659" s="56"/>
    </row>
    <row r="660" spans="6:6" x14ac:dyDescent="0.25">
      <c r="F660" s="56"/>
    </row>
    <row r="661" spans="6:6" x14ac:dyDescent="0.25">
      <c r="F661" s="56"/>
    </row>
    <row r="662" spans="6:6" x14ac:dyDescent="0.25">
      <c r="F662" s="56"/>
    </row>
    <row r="663" spans="6:6" x14ac:dyDescent="0.25">
      <c r="F663" s="56"/>
    </row>
    <row r="664" spans="6:6" x14ac:dyDescent="0.25">
      <c r="F664" s="56"/>
    </row>
    <row r="665" spans="6:6" x14ac:dyDescent="0.25">
      <c r="F665" s="56"/>
    </row>
    <row r="666" spans="6:6" x14ac:dyDescent="0.25">
      <c r="F666" s="56"/>
    </row>
    <row r="667" spans="6:6" x14ac:dyDescent="0.25">
      <c r="F667" s="56"/>
    </row>
    <row r="668" spans="6:6" x14ac:dyDescent="0.25">
      <c r="F668" s="56"/>
    </row>
    <row r="669" spans="6:6" x14ac:dyDescent="0.25">
      <c r="F669" s="56"/>
    </row>
    <row r="670" spans="6:6" x14ac:dyDescent="0.25">
      <c r="F670" s="56"/>
    </row>
    <row r="671" spans="6:6" x14ac:dyDescent="0.25">
      <c r="F671" s="56"/>
    </row>
    <row r="672" spans="6:6" x14ac:dyDescent="0.25">
      <c r="F672" s="56"/>
    </row>
    <row r="673" spans="6:6" x14ac:dyDescent="0.25">
      <c r="F673" s="56"/>
    </row>
    <row r="674" spans="6:6" x14ac:dyDescent="0.25">
      <c r="F674" s="56"/>
    </row>
    <row r="675" spans="6:6" x14ac:dyDescent="0.25">
      <c r="F675" s="56"/>
    </row>
    <row r="676" spans="6:6" x14ac:dyDescent="0.25">
      <c r="F676" s="56"/>
    </row>
    <row r="677" spans="6:6" x14ac:dyDescent="0.25">
      <c r="F677" s="56"/>
    </row>
    <row r="678" spans="6:6" x14ac:dyDescent="0.25">
      <c r="F678" s="56"/>
    </row>
    <row r="679" spans="6:6" x14ac:dyDescent="0.25">
      <c r="F679" s="56"/>
    </row>
    <row r="680" spans="6:6" x14ac:dyDescent="0.25">
      <c r="F680" s="56"/>
    </row>
    <row r="681" spans="6:6" x14ac:dyDescent="0.25">
      <c r="F681" s="56"/>
    </row>
    <row r="682" spans="6:6" x14ac:dyDescent="0.25">
      <c r="F682" s="56"/>
    </row>
    <row r="683" spans="6:6" x14ac:dyDescent="0.25">
      <c r="F683" s="56"/>
    </row>
    <row r="684" spans="6:6" x14ac:dyDescent="0.25">
      <c r="F684" s="56"/>
    </row>
    <row r="685" spans="6:6" x14ac:dyDescent="0.25">
      <c r="F685" s="56"/>
    </row>
    <row r="686" spans="6:6" x14ac:dyDescent="0.25">
      <c r="F686" s="56"/>
    </row>
    <row r="687" spans="6:6" x14ac:dyDescent="0.25">
      <c r="F687" s="56"/>
    </row>
    <row r="688" spans="6:6" x14ac:dyDescent="0.25">
      <c r="F688" s="56"/>
    </row>
    <row r="689" spans="6:6" x14ac:dyDescent="0.25">
      <c r="F689" s="56"/>
    </row>
    <row r="690" spans="6:6" x14ac:dyDescent="0.25">
      <c r="F690" s="56"/>
    </row>
    <row r="691" spans="6:6" x14ac:dyDescent="0.25">
      <c r="F691" s="56"/>
    </row>
    <row r="692" spans="6:6" x14ac:dyDescent="0.25">
      <c r="F692" s="56"/>
    </row>
    <row r="693" spans="6:6" x14ac:dyDescent="0.25">
      <c r="F693" s="56"/>
    </row>
    <row r="694" spans="6:6" x14ac:dyDescent="0.25">
      <c r="F694" s="56"/>
    </row>
    <row r="695" spans="6:6" x14ac:dyDescent="0.25">
      <c r="F695" s="56"/>
    </row>
    <row r="696" spans="6:6" x14ac:dyDescent="0.25">
      <c r="F696" s="56"/>
    </row>
    <row r="697" spans="6:6" x14ac:dyDescent="0.25">
      <c r="F697" s="56"/>
    </row>
    <row r="698" spans="6:6" x14ac:dyDescent="0.25">
      <c r="F698" s="56"/>
    </row>
    <row r="699" spans="6:6" x14ac:dyDescent="0.25">
      <c r="F699" s="56"/>
    </row>
    <row r="700" spans="6:6" x14ac:dyDescent="0.25">
      <c r="F700" s="56"/>
    </row>
    <row r="701" spans="6:6" x14ac:dyDescent="0.25">
      <c r="F701" s="56"/>
    </row>
    <row r="702" spans="6:6" x14ac:dyDescent="0.25">
      <c r="F702" s="56"/>
    </row>
    <row r="703" spans="6:6" x14ac:dyDescent="0.25">
      <c r="F703" s="56"/>
    </row>
    <row r="704" spans="6:6" x14ac:dyDescent="0.25">
      <c r="F704" s="56"/>
    </row>
    <row r="705" spans="6:6" x14ac:dyDescent="0.25">
      <c r="F705" s="56"/>
    </row>
    <row r="706" spans="6:6" x14ac:dyDescent="0.25">
      <c r="F706" s="56"/>
    </row>
    <row r="707" spans="6:6" x14ac:dyDescent="0.25">
      <c r="F707" s="56"/>
    </row>
    <row r="708" spans="6:6" x14ac:dyDescent="0.25">
      <c r="F708" s="56"/>
    </row>
    <row r="709" spans="6:6" x14ac:dyDescent="0.25">
      <c r="F709" s="56"/>
    </row>
    <row r="710" spans="6:6" x14ac:dyDescent="0.25">
      <c r="F710" s="56"/>
    </row>
    <row r="711" spans="6:6" x14ac:dyDescent="0.25">
      <c r="F711" s="56"/>
    </row>
    <row r="712" spans="6:6" x14ac:dyDescent="0.25">
      <c r="F712" s="56"/>
    </row>
    <row r="713" spans="6:6" x14ac:dyDescent="0.25">
      <c r="F713" s="56"/>
    </row>
    <row r="714" spans="6:6" x14ac:dyDescent="0.25">
      <c r="F714" s="56"/>
    </row>
    <row r="715" spans="6:6" x14ac:dyDescent="0.25">
      <c r="F715" s="56"/>
    </row>
    <row r="716" spans="6:6" x14ac:dyDescent="0.25">
      <c r="F716" s="56"/>
    </row>
    <row r="717" spans="6:6" x14ac:dyDescent="0.25">
      <c r="F717" s="56"/>
    </row>
    <row r="718" spans="6:6" x14ac:dyDescent="0.25">
      <c r="F718" s="56"/>
    </row>
    <row r="719" spans="6:6" x14ac:dyDescent="0.25">
      <c r="F719" s="56"/>
    </row>
    <row r="720" spans="6:6" x14ac:dyDescent="0.25">
      <c r="F720" s="56"/>
    </row>
    <row r="721" spans="6:6" x14ac:dyDescent="0.25">
      <c r="F721" s="56"/>
    </row>
    <row r="722" spans="6:6" x14ac:dyDescent="0.25">
      <c r="F722" s="56"/>
    </row>
    <row r="723" spans="6:6" x14ac:dyDescent="0.25">
      <c r="F723" s="56"/>
    </row>
    <row r="724" spans="6:6" x14ac:dyDescent="0.25">
      <c r="F724" s="56"/>
    </row>
    <row r="725" spans="6:6" x14ac:dyDescent="0.25">
      <c r="F725" s="56"/>
    </row>
    <row r="726" spans="6:6" x14ac:dyDescent="0.25">
      <c r="F726" s="56"/>
    </row>
    <row r="727" spans="6:6" x14ac:dyDescent="0.25">
      <c r="F727" s="56"/>
    </row>
    <row r="728" spans="6:6" x14ac:dyDescent="0.25">
      <c r="F728" s="56"/>
    </row>
    <row r="729" spans="6:6" x14ac:dyDescent="0.25">
      <c r="F729" s="56"/>
    </row>
    <row r="730" spans="6:6" x14ac:dyDescent="0.25">
      <c r="F730" s="56"/>
    </row>
    <row r="731" spans="6:6" x14ac:dyDescent="0.25">
      <c r="F731" s="56"/>
    </row>
    <row r="732" spans="6:6" x14ac:dyDescent="0.25">
      <c r="F732" s="56"/>
    </row>
    <row r="733" spans="6:6" x14ac:dyDescent="0.25">
      <c r="F733" s="56"/>
    </row>
    <row r="734" spans="6:6" x14ac:dyDescent="0.25">
      <c r="F734" s="56"/>
    </row>
    <row r="735" spans="6:6" x14ac:dyDescent="0.25">
      <c r="F735" s="56"/>
    </row>
    <row r="736" spans="6:6" x14ac:dyDescent="0.25">
      <c r="F736" s="56"/>
    </row>
    <row r="737" spans="6:6" x14ac:dyDescent="0.25">
      <c r="F737" s="56"/>
    </row>
    <row r="738" spans="6:6" x14ac:dyDescent="0.25">
      <c r="F738" s="56"/>
    </row>
    <row r="739" spans="6:6" x14ac:dyDescent="0.25">
      <c r="F739" s="56"/>
    </row>
    <row r="740" spans="6:6" x14ac:dyDescent="0.25">
      <c r="F740" s="56"/>
    </row>
    <row r="741" spans="6:6" x14ac:dyDescent="0.25">
      <c r="F741" s="56"/>
    </row>
    <row r="742" spans="6:6" x14ac:dyDescent="0.25">
      <c r="F742" s="56"/>
    </row>
    <row r="743" spans="6:6" x14ac:dyDescent="0.25">
      <c r="F743" s="56"/>
    </row>
    <row r="744" spans="6:6" x14ac:dyDescent="0.25">
      <c r="F744" s="56"/>
    </row>
    <row r="745" spans="6:6" x14ac:dyDescent="0.25">
      <c r="F745" s="56"/>
    </row>
    <row r="746" spans="6:6" x14ac:dyDescent="0.25">
      <c r="F746" s="56"/>
    </row>
    <row r="747" spans="6:6" x14ac:dyDescent="0.25">
      <c r="F747" s="56"/>
    </row>
    <row r="748" spans="6:6" x14ac:dyDescent="0.25">
      <c r="F748" s="56"/>
    </row>
    <row r="749" spans="6:6" x14ac:dyDescent="0.25">
      <c r="F749" s="56"/>
    </row>
    <row r="750" spans="6:6" x14ac:dyDescent="0.25">
      <c r="F750" s="56"/>
    </row>
    <row r="751" spans="6:6" x14ac:dyDescent="0.25">
      <c r="F751" s="56"/>
    </row>
    <row r="752" spans="6:6" x14ac:dyDescent="0.25">
      <c r="F752" s="56"/>
    </row>
    <row r="753" spans="6:6" x14ac:dyDescent="0.25">
      <c r="F753" s="56"/>
    </row>
    <row r="754" spans="6:6" x14ac:dyDescent="0.25">
      <c r="F754" s="56"/>
    </row>
    <row r="755" spans="6:6" x14ac:dyDescent="0.25">
      <c r="F755" s="56"/>
    </row>
    <row r="756" spans="6:6" x14ac:dyDescent="0.25">
      <c r="F756" s="56"/>
    </row>
    <row r="757" spans="6:6" x14ac:dyDescent="0.25">
      <c r="F757" s="56"/>
    </row>
    <row r="758" spans="6:6" x14ac:dyDescent="0.25">
      <c r="F758" s="56"/>
    </row>
    <row r="759" spans="6:6" x14ac:dyDescent="0.25">
      <c r="F759" s="56"/>
    </row>
    <row r="760" spans="6:6" x14ac:dyDescent="0.25">
      <c r="F760" s="56"/>
    </row>
    <row r="761" spans="6:6" x14ac:dyDescent="0.25">
      <c r="F761" s="56"/>
    </row>
    <row r="762" spans="6:6" x14ac:dyDescent="0.25">
      <c r="F762" s="56"/>
    </row>
    <row r="763" spans="6:6" x14ac:dyDescent="0.25">
      <c r="F763" s="56"/>
    </row>
    <row r="764" spans="6:6" x14ac:dyDescent="0.25">
      <c r="F764" s="56"/>
    </row>
    <row r="765" spans="6:6" x14ac:dyDescent="0.25">
      <c r="F765" s="56"/>
    </row>
    <row r="766" spans="6:6" x14ac:dyDescent="0.25">
      <c r="F766" s="56"/>
    </row>
    <row r="767" spans="6:6" x14ac:dyDescent="0.25">
      <c r="F767" s="56"/>
    </row>
    <row r="768" spans="6:6" x14ac:dyDescent="0.25">
      <c r="F768" s="56"/>
    </row>
    <row r="769" spans="6:6" x14ac:dyDescent="0.25">
      <c r="F769" s="56"/>
    </row>
    <row r="770" spans="6:6" x14ac:dyDescent="0.25">
      <c r="F770" s="56"/>
    </row>
    <row r="771" spans="6:6" x14ac:dyDescent="0.25">
      <c r="F771" s="56"/>
    </row>
    <row r="772" spans="6:6" x14ac:dyDescent="0.25">
      <c r="F772" s="56"/>
    </row>
    <row r="773" spans="6:6" x14ac:dyDescent="0.25">
      <c r="F773" s="56"/>
    </row>
    <row r="774" spans="6:6" x14ac:dyDescent="0.25">
      <c r="F774" s="56"/>
    </row>
    <row r="775" spans="6:6" x14ac:dyDescent="0.25">
      <c r="F775" s="56"/>
    </row>
    <row r="776" spans="6:6" x14ac:dyDescent="0.25">
      <c r="F776" s="56"/>
    </row>
    <row r="777" spans="6:6" x14ac:dyDescent="0.25">
      <c r="F777" s="56"/>
    </row>
    <row r="778" spans="6:6" x14ac:dyDescent="0.25">
      <c r="F778" s="56"/>
    </row>
    <row r="779" spans="6:6" x14ac:dyDescent="0.25">
      <c r="F779" s="56"/>
    </row>
    <row r="780" spans="6:6" x14ac:dyDescent="0.25">
      <c r="F780" s="56"/>
    </row>
    <row r="781" spans="6:6" x14ac:dyDescent="0.25">
      <c r="F781" s="56"/>
    </row>
    <row r="782" spans="6:6" x14ac:dyDescent="0.25">
      <c r="F782" s="56"/>
    </row>
    <row r="783" spans="6:6" x14ac:dyDescent="0.25">
      <c r="F783" s="56"/>
    </row>
    <row r="784" spans="6:6" x14ac:dyDescent="0.25">
      <c r="F784" s="56"/>
    </row>
    <row r="785" spans="6:6" x14ac:dyDescent="0.25">
      <c r="F785" s="56"/>
    </row>
    <row r="786" spans="6:6" x14ac:dyDescent="0.25">
      <c r="F786" s="56"/>
    </row>
    <row r="787" spans="6:6" x14ac:dyDescent="0.25">
      <c r="F787" s="56"/>
    </row>
    <row r="788" spans="6:6" x14ac:dyDescent="0.25">
      <c r="F788" s="56"/>
    </row>
    <row r="789" spans="6:6" x14ac:dyDescent="0.25">
      <c r="F789" s="56"/>
    </row>
    <row r="790" spans="6:6" x14ac:dyDescent="0.25">
      <c r="F790" s="56"/>
    </row>
    <row r="791" spans="6:6" x14ac:dyDescent="0.25">
      <c r="F791" s="56"/>
    </row>
    <row r="792" spans="6:6" x14ac:dyDescent="0.25">
      <c r="F792" s="56"/>
    </row>
    <row r="793" spans="6:6" x14ac:dyDescent="0.25">
      <c r="F793" s="56"/>
    </row>
    <row r="794" spans="6:6" x14ac:dyDescent="0.25">
      <c r="F794" s="56"/>
    </row>
    <row r="795" spans="6:6" x14ac:dyDescent="0.25">
      <c r="F795" s="56"/>
    </row>
    <row r="796" spans="6:6" x14ac:dyDescent="0.25">
      <c r="F796" s="56"/>
    </row>
    <row r="797" spans="6:6" x14ac:dyDescent="0.25">
      <c r="F797" s="56"/>
    </row>
    <row r="798" spans="6:6" x14ac:dyDescent="0.25">
      <c r="F798" s="56"/>
    </row>
    <row r="799" spans="6:6" x14ac:dyDescent="0.25">
      <c r="F799" s="56"/>
    </row>
    <row r="800" spans="6:6" x14ac:dyDescent="0.25">
      <c r="F800" s="56"/>
    </row>
    <row r="801" spans="6:6" x14ac:dyDescent="0.25">
      <c r="F801" s="56"/>
    </row>
    <row r="802" spans="6:6" x14ac:dyDescent="0.25">
      <c r="F802" s="56"/>
    </row>
    <row r="803" spans="6:6" x14ac:dyDescent="0.25">
      <c r="F803" s="56"/>
    </row>
    <row r="804" spans="6:6" x14ac:dyDescent="0.25">
      <c r="F804" s="56"/>
    </row>
    <row r="805" spans="6:6" x14ac:dyDescent="0.25">
      <c r="F805" s="56"/>
    </row>
    <row r="806" spans="6:6" x14ac:dyDescent="0.25">
      <c r="F806" s="56"/>
    </row>
    <row r="807" spans="6:6" x14ac:dyDescent="0.25">
      <c r="F807" s="56"/>
    </row>
    <row r="808" spans="6:6" x14ac:dyDescent="0.25">
      <c r="F808" s="56"/>
    </row>
    <row r="809" spans="6:6" x14ac:dyDescent="0.25">
      <c r="F809" s="56"/>
    </row>
    <row r="810" spans="6:6" x14ac:dyDescent="0.25">
      <c r="F810" s="56"/>
    </row>
    <row r="811" spans="6:6" x14ac:dyDescent="0.25">
      <c r="F811" s="56"/>
    </row>
    <row r="812" spans="6:6" x14ac:dyDescent="0.25">
      <c r="F812" s="56"/>
    </row>
    <row r="813" spans="6:6" x14ac:dyDescent="0.25">
      <c r="F813" s="56"/>
    </row>
    <row r="814" spans="6:6" x14ac:dyDescent="0.25">
      <c r="F814" s="56"/>
    </row>
    <row r="815" spans="6:6" x14ac:dyDescent="0.25">
      <c r="F815" s="56"/>
    </row>
    <row r="816" spans="6:6" x14ac:dyDescent="0.25">
      <c r="F816" s="56"/>
    </row>
    <row r="817" spans="6:6" x14ac:dyDescent="0.25">
      <c r="F817" s="56"/>
    </row>
    <row r="818" spans="6:6" x14ac:dyDescent="0.25">
      <c r="F818" s="56"/>
    </row>
  </sheetData>
  <mergeCells count="1">
    <mergeCell ref="S4:T4"/>
  </mergeCells>
  <conditionalFormatting sqref="H4:H55 H57:H111 H113:H261">
    <cfRule type="cellIs" dxfId="324" priority="9" operator="equal">
      <formula>"Indéterminé"</formula>
    </cfRule>
    <cfRule type="cellIs" dxfId="323" priority="10" operator="equal">
      <formula>"NA"</formula>
    </cfRule>
    <cfRule type="cellIs" dxfId="322" priority="11" operator="equal">
      <formula>"Invalidé"</formula>
    </cfRule>
    <cfRule type="cellIs" dxfId="321" priority="12" operator="equal">
      <formula>"Validé"</formula>
    </cfRule>
  </conditionalFormatting>
  <conditionalFormatting sqref="H56">
    <cfRule type="cellIs" dxfId="320" priority="5" operator="equal">
      <formula>"Indéterminé"</formula>
    </cfRule>
    <cfRule type="cellIs" dxfId="319" priority="6" operator="equal">
      <formula>"NA"</formula>
    </cfRule>
    <cfRule type="cellIs" dxfId="318" priority="7" operator="equal">
      <formula>"Invalidé"</formula>
    </cfRule>
    <cfRule type="cellIs" dxfId="317" priority="8" operator="equal">
      <formula>"Validé"</formula>
    </cfRule>
  </conditionalFormatting>
  <conditionalFormatting sqref="H112">
    <cfRule type="cellIs" dxfId="316" priority="1" operator="equal">
      <formula>"Indéterminé"</formula>
    </cfRule>
    <cfRule type="cellIs" dxfId="315" priority="2" operator="equal">
      <formula>"NA"</formula>
    </cfRule>
    <cfRule type="cellIs" dxfId="314" priority="3" operator="equal">
      <formula>"Invalidé"</formula>
    </cfRule>
    <cfRule type="cellIs" dxfId="313" priority="4" operator="equal">
      <formula>"Validé"</formula>
    </cfRule>
  </conditionalFormatting>
  <dataValidations count="4">
    <dataValidation type="list" allowBlank="1" showInputMessage="1" showErrorMessage="1" sqref="Q4:Q261" xr:uid="{5FAB2DCD-7A65-46FF-B642-4C185A6D3E9C}">
      <formula1>Priorité</formula1>
    </dataValidation>
    <dataValidation type="list" allowBlank="1" showInputMessage="1" showErrorMessage="1" sqref="P4:P261" xr:uid="{167B2FC7-7177-4FE9-BEA7-1176C37E81CE}">
      <formula1>Difficulte</formula1>
    </dataValidation>
    <dataValidation type="list" allowBlank="1" showInputMessage="1" showErrorMessage="1" sqref="H4:H261" xr:uid="{DDE146C7-1FAD-41B8-8110-C5B2491DA546}">
      <formula1>Etat</formula1>
    </dataValidation>
    <dataValidation type="list" allowBlank="1" showInputMessage="1" showErrorMessage="1" sqref="G4:G261" xr:uid="{2744C1C9-0284-41A5-A51C-82B9145FF07B}">
      <formula1>méthode</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9"/>
  <sheetViews>
    <sheetView showRuler="0" zoomScale="90" zoomScaleNormal="90" zoomScaleSheetLayoutView="100" workbookViewId="0">
      <pane ySplit="10" topLeftCell="A11" activePane="bottomLeft" state="frozenSplit"/>
      <selection activeCell="E2" sqref="E2:K3"/>
      <selection pane="bottomLeft" activeCell="I17" sqref="I17"/>
    </sheetView>
  </sheetViews>
  <sheetFormatPr baseColWidth="10" defaultColWidth="11.42578125" defaultRowHeight="15" outlineLevelRow="1" x14ac:dyDescent="0.25"/>
  <cols>
    <col min="1" max="1" width="12.7109375" style="9" customWidth="1"/>
    <col min="2" max="2" width="21.28515625" style="9" customWidth="1"/>
    <col min="3" max="3" width="6.7109375" style="9" customWidth="1"/>
    <col min="4" max="4" width="8.5703125" style="9" customWidth="1"/>
    <col min="5" max="5" width="60.42578125" style="9" bestFit="1" customWidth="1"/>
    <col min="6" max="6" width="64" style="11" customWidth="1"/>
    <col min="7" max="16" width="12.7109375" style="9" customWidth="1"/>
    <col min="17" max="50" width="11.42578125" style="9"/>
    <col min="51" max="16384" width="11.42578125" style="106"/>
  </cols>
  <sheetData>
    <row r="1" spans="1:192" ht="47.45" customHeight="1" x14ac:dyDescent="0.25">
      <c r="A1" s="33" t="str">
        <f>Projet!A1</f>
        <v>Audit par tests RGAA 4.1 2021</v>
      </c>
      <c r="B1" s="33"/>
      <c r="C1" s="33"/>
      <c r="D1" s="33"/>
      <c r="E1" s="33"/>
      <c r="F1" s="34"/>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row>
    <row r="2" spans="1:192" ht="35.1" customHeight="1" x14ac:dyDescent="0.25">
      <c r="A2" s="336" t="s">
        <v>478</v>
      </c>
      <c r="B2" s="337"/>
      <c r="C2" s="337"/>
      <c r="D2" s="338"/>
      <c r="E2" s="33"/>
      <c r="F2" s="34"/>
      <c r="G2" s="130" t="s">
        <v>1198</v>
      </c>
      <c r="H2" s="130"/>
      <c r="I2" s="130"/>
      <c r="J2" s="49"/>
      <c r="K2" s="49"/>
      <c r="L2" s="49"/>
      <c r="M2" s="49"/>
      <c r="N2" s="49"/>
      <c r="O2" s="49"/>
      <c r="P2" s="49"/>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row>
    <row r="3" spans="1:192" ht="15" customHeight="1" x14ac:dyDescent="0.25">
      <c r="A3" s="49"/>
      <c r="B3" s="50"/>
      <c r="C3" s="50"/>
      <c r="D3" s="51"/>
      <c r="E3" s="33"/>
      <c r="F3" s="34"/>
      <c r="G3" s="52">
        <f>Value!AG364</f>
        <v>0</v>
      </c>
      <c r="H3" s="256"/>
      <c r="I3" s="256"/>
      <c r="J3" s="256"/>
      <c r="K3" s="256"/>
      <c r="L3" s="256"/>
      <c r="M3" s="256"/>
      <c r="N3" s="256"/>
      <c r="O3" s="256"/>
      <c r="P3" s="256"/>
      <c r="Q3" s="256"/>
      <c r="R3" s="25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row>
    <row r="4" spans="1:192" ht="15" customHeight="1" x14ac:dyDescent="0.25">
      <c r="A4" s="49"/>
      <c r="B4" s="129" t="s">
        <v>1199</v>
      </c>
      <c r="C4" s="50"/>
      <c r="D4" s="51"/>
      <c r="E4" s="33"/>
      <c r="F4" s="34"/>
      <c r="G4" s="52">
        <f>Value!AG365</f>
        <v>0</v>
      </c>
      <c r="H4" s="256"/>
      <c r="I4" s="256"/>
      <c r="J4" s="256"/>
      <c r="K4" s="256"/>
      <c r="L4" s="256"/>
      <c r="M4" s="256"/>
      <c r="N4" s="256"/>
      <c r="O4" s="256"/>
      <c r="P4" s="256"/>
      <c r="Q4" s="256"/>
      <c r="R4" s="25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row>
    <row r="5" spans="1:192" ht="15" customHeight="1" x14ac:dyDescent="0.25">
      <c r="A5" s="339" t="str">
        <f ca="1">Value!O143</f>
        <v/>
      </c>
      <c r="B5" s="340"/>
      <c r="C5" s="340"/>
      <c r="D5" s="341"/>
      <c r="E5" s="33"/>
      <c r="F5" s="34"/>
      <c r="G5" s="52">
        <f>Value!AG366</f>
        <v>0</v>
      </c>
      <c r="H5" s="256"/>
      <c r="I5" s="256"/>
      <c r="J5" s="256"/>
      <c r="K5" s="256"/>
      <c r="L5" s="256"/>
      <c r="M5" s="256"/>
      <c r="N5" s="256"/>
      <c r="O5" s="256"/>
      <c r="P5" s="256"/>
      <c r="Q5" s="256"/>
      <c r="R5" s="256"/>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row>
    <row r="6" spans="1:192" ht="31.5" customHeight="1" x14ac:dyDescent="0.25">
      <c r="A6" s="342"/>
      <c r="B6" s="343"/>
      <c r="C6" s="343"/>
      <c r="D6" s="344"/>
      <c r="E6" s="35"/>
      <c r="F6" s="35"/>
      <c r="G6" s="327" t="str">
        <f>IFERROR(Value!AG$361,"")</f>
        <v/>
      </c>
      <c r="H6" s="327">
        <f>IFERROR(Value!AH$361,"")</f>
        <v>0</v>
      </c>
      <c r="I6" s="327">
        <f>IFERROR(Value!AI$361,"")</f>
        <v>0</v>
      </c>
      <c r="J6" s="327">
        <f>IFERROR(Value!AJ$361,"")</f>
        <v>0</v>
      </c>
      <c r="K6" s="327">
        <f>IFERROR(Value!AK$361,"")</f>
        <v>0</v>
      </c>
      <c r="L6" s="327">
        <f>IFERROR(Value!AL$361,"")</f>
        <v>0</v>
      </c>
      <c r="M6" s="327">
        <f>IFERROR(Value!AM$361,"")</f>
        <v>0</v>
      </c>
      <c r="N6" s="327">
        <f>IFERROR(Value!AN$361,"")</f>
        <v>0</v>
      </c>
      <c r="O6" s="327">
        <f>IFERROR(Value!AO$361,"")</f>
        <v>0</v>
      </c>
      <c r="P6" s="327">
        <f>IFERROR(Value!AP$361,"")</f>
        <v>0</v>
      </c>
      <c r="Q6" s="327">
        <f>IFERROR(Value!AQ$361,"")</f>
        <v>0</v>
      </c>
      <c r="R6" s="327">
        <f>IFERROR(Value!AR$361,"")</f>
        <v>0</v>
      </c>
      <c r="S6" s="327">
        <f>IFERROR(Value!AS$361,"")</f>
        <v>0</v>
      </c>
      <c r="T6" s="327">
        <f>IFERROR(Value!AT$361,"")</f>
        <v>0</v>
      </c>
      <c r="U6" s="327">
        <f>IFERROR(Value!AU$361,"")</f>
        <v>0</v>
      </c>
      <c r="V6" s="327">
        <f>IFERROR(Value!AV$361,"")</f>
        <v>0</v>
      </c>
      <c r="W6" s="327">
        <f>IFERROR(Value!AW$361,"")</f>
        <v>0</v>
      </c>
      <c r="X6" s="327">
        <f>IFERROR(Value!AX$361,"")</f>
        <v>0</v>
      </c>
      <c r="Y6" s="327">
        <f>IFERROR(Value!AY$361,"")</f>
        <v>0</v>
      </c>
      <c r="Z6" s="327">
        <f>IFERROR(Value!AZ$361,"")</f>
        <v>0</v>
      </c>
      <c r="AA6" s="327">
        <f>IFERROR(Value!BA$361,"")</f>
        <v>0</v>
      </c>
      <c r="AB6" s="327">
        <f>IFERROR(Value!BB$361,"")</f>
        <v>0</v>
      </c>
      <c r="AC6" s="327">
        <f>IFERROR(Value!BC$361,"")</f>
        <v>0</v>
      </c>
      <c r="AD6" s="327">
        <f>IFERROR(Value!BD$361,"")</f>
        <v>0</v>
      </c>
      <c r="AE6" s="327">
        <f>IFERROR(Value!BE$361,"")</f>
        <v>0</v>
      </c>
      <c r="AF6" s="327">
        <f>IFERROR(Value!BF$361,"")</f>
        <v>0</v>
      </c>
      <c r="AG6" s="327">
        <f>IFERROR(Value!BG$361,"")</f>
        <v>0</v>
      </c>
      <c r="AH6" s="327">
        <f>IFERROR(Value!BH$361,"")</f>
        <v>0</v>
      </c>
      <c r="AI6" s="327">
        <f>IFERROR(Value!BI$361,"")</f>
        <v>0</v>
      </c>
      <c r="AJ6" s="327">
        <f>IFERROR(Value!BJ$361,"")</f>
        <v>0</v>
      </c>
      <c r="AK6" s="327">
        <f>IFERROR(Value!BK$361,"")</f>
        <v>0</v>
      </c>
      <c r="AL6" s="327">
        <f>IFERROR(Value!BL$361,"")</f>
        <v>0</v>
      </c>
      <c r="AM6" s="327">
        <f>IFERROR(Value!BM$361,"")</f>
        <v>0</v>
      </c>
      <c r="AN6" s="327">
        <f>IFERROR(Value!BN$361,"")</f>
        <v>0</v>
      </c>
      <c r="AO6" s="327">
        <f>IFERROR(Value!BO$361,"")</f>
        <v>0</v>
      </c>
      <c r="AP6" s="327">
        <f>IFERROR(Value!BP$361,"")</f>
        <v>0</v>
      </c>
      <c r="AQ6" s="327">
        <f>IFERROR(Value!BQ$361,"")</f>
        <v>0</v>
      </c>
      <c r="AR6" s="327">
        <f>IFERROR(Value!BR$361,"")</f>
        <v>0</v>
      </c>
      <c r="AS6" s="327">
        <f>IFERROR(Value!BS$361,"")</f>
        <v>0</v>
      </c>
      <c r="AT6" s="327">
        <f>IFERROR(Value!BT$361,"")</f>
        <v>0</v>
      </c>
      <c r="AU6" s="327">
        <f>IFERROR(Value!BU$361,"")</f>
        <v>0</v>
      </c>
      <c r="AV6" s="327">
        <f>IFERROR(Value!BV$361,"")</f>
        <v>0</v>
      </c>
      <c r="AW6" s="327">
        <f>IFERROR(Value!BW$361,"")</f>
        <v>0</v>
      </c>
      <c r="AX6" s="327">
        <f>IFERROR(Value!BX$361,"")</f>
        <v>0</v>
      </c>
      <c r="AY6" s="327">
        <f>IFERROR(Value!BY$361,"")</f>
        <v>0</v>
      </c>
      <c r="AZ6" s="327">
        <f>IFERROR(Value!BZ$361,"")</f>
        <v>0</v>
      </c>
      <c r="BA6" s="327">
        <f>IFERROR(Value!CA$361,"")</f>
        <v>0</v>
      </c>
      <c r="BB6" s="327">
        <f>IFERROR(Value!CB$361,"")</f>
        <v>0</v>
      </c>
      <c r="BC6" s="327">
        <f>IFERROR(Value!CC$361,"")</f>
        <v>0</v>
      </c>
      <c r="BD6" s="327">
        <f>IFERROR(Value!CD$361,"")</f>
        <v>0</v>
      </c>
      <c r="BE6" s="327">
        <f>IFERROR(Value!CE$361,"")</f>
        <v>0</v>
      </c>
      <c r="BF6" s="327">
        <f>IFERROR(Value!CF$361,"")</f>
        <v>0</v>
      </c>
      <c r="BG6" s="327">
        <f>IFERROR(Value!CG$361,"")</f>
        <v>0</v>
      </c>
      <c r="BH6" s="327">
        <f>IFERROR(Value!CH$361,"")</f>
        <v>0</v>
      </c>
      <c r="BI6" s="327">
        <f>IFERROR(Value!CI$361,"")</f>
        <v>0</v>
      </c>
      <c r="BJ6" s="327">
        <f>IFERROR(Value!CJ$361,"")</f>
        <v>0</v>
      </c>
      <c r="BK6" s="327">
        <f>IFERROR(Value!CK$361,"")</f>
        <v>0</v>
      </c>
      <c r="BL6" s="327">
        <f>IFERROR(Value!CL$361,"")</f>
        <v>0</v>
      </c>
      <c r="BM6" s="327">
        <f>IFERROR(Value!CM$361,"")</f>
        <v>0</v>
      </c>
      <c r="BN6" s="327">
        <f>IFERROR(Value!CN$361,"")</f>
        <v>0</v>
      </c>
      <c r="BO6" s="327">
        <f>IFERROR(Value!CO$361,"")</f>
        <v>0</v>
      </c>
      <c r="BP6" s="327">
        <f>IFERROR(Value!CP$361,"")</f>
        <v>0</v>
      </c>
      <c r="BQ6" s="327">
        <f>IFERROR(Value!CQ$361,"")</f>
        <v>0</v>
      </c>
      <c r="BR6" s="327">
        <f>IFERROR(Value!CR$361,"")</f>
        <v>0</v>
      </c>
      <c r="BS6" s="327">
        <f>IFERROR(Value!CS$361,"")</f>
        <v>0</v>
      </c>
      <c r="BT6" s="327">
        <f>IFERROR(Value!CT$361,"")</f>
        <v>0</v>
      </c>
      <c r="BU6" s="327">
        <f>IFERROR(Value!CU$361,"")</f>
        <v>0</v>
      </c>
      <c r="BV6" s="327">
        <f>IFERROR(Value!CV$361,"")</f>
        <v>0</v>
      </c>
      <c r="BW6" s="327">
        <f>IFERROR(Value!CW$361,"")</f>
        <v>0</v>
      </c>
      <c r="BX6" s="327">
        <f>IFERROR(Value!CX$361,"")</f>
        <v>0</v>
      </c>
      <c r="BY6" s="327">
        <f>IFERROR(Value!CY$361,"")</f>
        <v>0</v>
      </c>
      <c r="BZ6" s="327">
        <f>IFERROR(Value!CZ$361,"")</f>
        <v>0</v>
      </c>
      <c r="CA6" s="327">
        <f>IFERROR(Value!DA$361,"")</f>
        <v>0</v>
      </c>
      <c r="CB6" s="327">
        <f>IFERROR(Value!DB$361,"")</f>
        <v>0</v>
      </c>
      <c r="CC6" s="327">
        <f>IFERROR(Value!DC$361,"")</f>
        <v>0</v>
      </c>
      <c r="CD6" s="327">
        <f>IFERROR(Value!DD$361,"")</f>
        <v>0</v>
      </c>
      <c r="CE6" s="327">
        <f>IFERROR(Value!DE$361,"")</f>
        <v>0</v>
      </c>
    </row>
    <row r="7" spans="1:192" ht="15" customHeight="1" x14ac:dyDescent="0.25">
      <c r="A7" s="342"/>
      <c r="B7" s="343"/>
      <c r="C7" s="343"/>
      <c r="D7" s="344"/>
      <c r="E7" s="35"/>
      <c r="F7" s="35"/>
      <c r="G7" s="36">
        <f>IFERROR(Value!AG$6,"")</f>
        <v>0</v>
      </c>
      <c r="H7" s="36" t="str">
        <f>IFERROR(Value!#REF!,"")</f>
        <v/>
      </c>
      <c r="I7" s="36" t="str">
        <f>IFERROR(Value!#REF!,"")</f>
        <v/>
      </c>
      <c r="J7" s="36" t="str">
        <f>IFERROR(Value!#REF!,"")</f>
        <v/>
      </c>
      <c r="K7" s="36" t="str">
        <f>IFERROR(Value!#REF!,"")</f>
        <v/>
      </c>
      <c r="L7" s="36" t="str">
        <f>IFERROR(Value!#REF!,"")</f>
        <v/>
      </c>
      <c r="M7" s="36" t="str">
        <f>IFERROR(Value!#REF!,"")</f>
        <v/>
      </c>
      <c r="N7" s="36" t="str">
        <f>IFERROR(Value!#REF!,"")</f>
        <v/>
      </c>
      <c r="O7" s="36" t="str">
        <f>IFERROR(Value!#REF!,"")</f>
        <v/>
      </c>
      <c r="P7" s="36" t="str">
        <f>IFERROR(Value!#REF!,"")</f>
        <v/>
      </c>
      <c r="Q7" s="36" t="str">
        <f>IFERROR(Value!#REF!,"")</f>
        <v/>
      </c>
      <c r="R7" s="36" t="str">
        <f>IFERROR(Value!#REF!,"")</f>
        <v/>
      </c>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row>
    <row r="8" spans="1:192" ht="16.899999999999999" customHeight="1" x14ac:dyDescent="0.25">
      <c r="A8" s="342"/>
      <c r="B8" s="343"/>
      <c r="C8" s="343"/>
      <c r="D8" s="344"/>
      <c r="E8" s="35"/>
      <c r="F8" s="35"/>
      <c r="G8" s="36"/>
      <c r="H8" s="36"/>
      <c r="I8" s="36"/>
      <c r="J8" s="36"/>
      <c r="K8" s="36"/>
      <c r="L8" s="36"/>
      <c r="M8" s="36"/>
      <c r="N8" s="36"/>
      <c r="O8" s="36"/>
      <c r="P8" s="36"/>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row>
    <row r="9" spans="1:192" s="107" customFormat="1" ht="22.5" customHeight="1" x14ac:dyDescent="0.25">
      <c r="A9" s="345"/>
      <c r="B9" s="346"/>
      <c r="C9" s="346"/>
      <c r="D9" s="347"/>
      <c r="E9" s="35"/>
      <c r="F9" s="37"/>
      <c r="G9" s="120"/>
      <c r="H9" s="120"/>
      <c r="I9" s="120"/>
      <c r="J9" s="48"/>
      <c r="K9" s="48"/>
      <c r="L9" s="48"/>
      <c r="M9" s="48"/>
      <c r="N9" s="48"/>
      <c r="O9" s="48"/>
      <c r="P9" s="4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row>
    <row r="10" spans="1:192" x14ac:dyDescent="0.25">
      <c r="A10" s="1" t="s">
        <v>0</v>
      </c>
      <c r="B10" s="1" t="s">
        <v>233</v>
      </c>
      <c r="C10" s="2" t="s">
        <v>1</v>
      </c>
      <c r="D10" s="3" t="s">
        <v>23</v>
      </c>
      <c r="E10" s="2" t="s">
        <v>2</v>
      </c>
      <c r="F10" s="3" t="s">
        <v>10</v>
      </c>
      <c r="G10" s="2" t="s">
        <v>662</v>
      </c>
      <c r="H10" s="2" t="s">
        <v>663</v>
      </c>
      <c r="I10" s="2" t="s">
        <v>664</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33.75" x14ac:dyDescent="0.25">
      <c r="A11" s="278" t="s">
        <v>5</v>
      </c>
      <c r="B11" s="157" t="s">
        <v>832</v>
      </c>
      <c r="C11" s="158" t="s">
        <v>234</v>
      </c>
      <c r="D11" s="159" t="s">
        <v>24</v>
      </c>
      <c r="E11" s="173" t="s">
        <v>833</v>
      </c>
      <c r="F11" s="59"/>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row>
    <row r="12" spans="1:192" ht="22.5" outlineLevel="1" x14ac:dyDescent="0.25">
      <c r="A12" s="278" t="s">
        <v>5</v>
      </c>
      <c r="B12" s="157"/>
      <c r="C12" s="158" t="s">
        <v>235</v>
      </c>
      <c r="D12" s="159" t="s">
        <v>24</v>
      </c>
      <c r="E12" s="173" t="s">
        <v>834</v>
      </c>
      <c r="F12" s="59"/>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row>
    <row r="13" spans="1:192" ht="22.5" x14ac:dyDescent="0.25">
      <c r="A13" s="278" t="s">
        <v>5</v>
      </c>
      <c r="B13" s="157"/>
      <c r="C13" s="158" t="s">
        <v>236</v>
      </c>
      <c r="D13" s="159" t="s">
        <v>24</v>
      </c>
      <c r="E13" s="173" t="s">
        <v>668</v>
      </c>
      <c r="F13" s="59"/>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row>
    <row r="14" spans="1:192" ht="33.75" outlineLevel="1" x14ac:dyDescent="0.25">
      <c r="A14" s="278" t="s">
        <v>5</v>
      </c>
      <c r="B14" s="157"/>
      <c r="C14" s="158" t="s">
        <v>237</v>
      </c>
      <c r="D14" s="159" t="s">
        <v>24</v>
      </c>
      <c r="E14" s="320" t="s">
        <v>1217</v>
      </c>
      <c r="F14" s="59"/>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119"/>
      <c r="AZ14" s="119"/>
      <c r="BA14" s="119"/>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row>
    <row r="15" spans="1:192" ht="45" outlineLevel="1" x14ac:dyDescent="0.25">
      <c r="A15" s="278" t="s">
        <v>5</v>
      </c>
      <c r="B15" s="157"/>
      <c r="C15" s="158" t="s">
        <v>669</v>
      </c>
      <c r="D15" s="159" t="s">
        <v>24</v>
      </c>
      <c r="E15" s="173" t="s">
        <v>835</v>
      </c>
      <c r="F15" s="59"/>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119"/>
      <c r="AZ15" s="119"/>
      <c r="BA15" s="119"/>
      <c r="BB15" s="119"/>
      <c r="BC15" s="119"/>
      <c r="BD15" s="119"/>
      <c r="BE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row>
    <row r="16" spans="1:192" ht="78.75" outlineLevel="1" x14ac:dyDescent="0.25">
      <c r="A16" s="278" t="s">
        <v>5</v>
      </c>
      <c r="B16" s="157"/>
      <c r="C16" s="158" t="s">
        <v>670</v>
      </c>
      <c r="D16" s="159" t="s">
        <v>24</v>
      </c>
      <c r="E16" s="321" t="s">
        <v>1218</v>
      </c>
      <c r="F16" s="59"/>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119"/>
      <c r="AZ16" s="119"/>
      <c r="BA16" s="119"/>
      <c r="BB16" s="119"/>
      <c r="BC16" s="119"/>
      <c r="BD16" s="119"/>
      <c r="BE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row>
    <row r="17" spans="1:192" ht="90" outlineLevel="1" x14ac:dyDescent="0.25">
      <c r="A17" s="278" t="s">
        <v>5</v>
      </c>
      <c r="B17" s="157"/>
      <c r="C17" s="158" t="s">
        <v>671</v>
      </c>
      <c r="D17" s="159" t="s">
        <v>24</v>
      </c>
      <c r="E17" s="321" t="s">
        <v>1219</v>
      </c>
      <c r="F17" s="59"/>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119"/>
      <c r="AZ17" s="119"/>
      <c r="BA17" s="119"/>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c r="CB17" s="119"/>
      <c r="CC17" s="119"/>
      <c r="CD17" s="119"/>
      <c r="CE17" s="119"/>
      <c r="CF17" s="119"/>
      <c r="CG17" s="119"/>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row>
    <row r="18" spans="1:192" ht="90" outlineLevel="1" x14ac:dyDescent="0.25">
      <c r="A18" s="278" t="s">
        <v>5</v>
      </c>
      <c r="B18" s="157"/>
      <c r="C18" s="158" t="s">
        <v>672</v>
      </c>
      <c r="D18" s="159" t="s">
        <v>24</v>
      </c>
      <c r="E18" s="321" t="s">
        <v>1220</v>
      </c>
      <c r="F18" s="59"/>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119"/>
      <c r="AZ18" s="119"/>
      <c r="BA18" s="119"/>
      <c r="BB18" s="119"/>
      <c r="BC18" s="119"/>
      <c r="BD18" s="119"/>
      <c r="BE18" s="119"/>
      <c r="BF18" s="119"/>
      <c r="BG18" s="119"/>
      <c r="BH18" s="119"/>
      <c r="BI18" s="119"/>
      <c r="BJ18" s="119"/>
      <c r="BK18" s="119"/>
      <c r="BL18" s="119"/>
      <c r="BM18" s="119"/>
      <c r="BN18" s="119"/>
      <c r="BO18" s="119"/>
      <c r="BP18" s="119"/>
      <c r="BQ18" s="119"/>
      <c r="BR18" s="119"/>
      <c r="BS18" s="119"/>
      <c r="BT18" s="119"/>
      <c r="BU18" s="119"/>
      <c r="BV18" s="119"/>
      <c r="BW18" s="119"/>
      <c r="BX18" s="119"/>
      <c r="BY18" s="119"/>
      <c r="BZ18" s="119"/>
      <c r="CA18" s="119"/>
      <c r="CB18" s="119"/>
      <c r="CC18" s="119"/>
      <c r="CD18" s="119"/>
      <c r="CE18" s="119"/>
      <c r="CF18" s="119"/>
      <c r="CG18" s="119"/>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row>
    <row r="19" spans="1:192" ht="67.5" outlineLevel="1" x14ac:dyDescent="0.25">
      <c r="A19" s="278" t="s">
        <v>5</v>
      </c>
      <c r="B19" s="160" t="s">
        <v>836</v>
      </c>
      <c r="C19" s="161" t="s">
        <v>238</v>
      </c>
      <c r="D19" s="162" t="s">
        <v>24</v>
      </c>
      <c r="E19" s="172" t="s">
        <v>837</v>
      </c>
      <c r="F19" s="61"/>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119"/>
      <c r="AZ19" s="119"/>
      <c r="BA19" s="119"/>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c r="BY19" s="119"/>
      <c r="BZ19" s="119"/>
      <c r="CA19" s="119"/>
      <c r="CB19" s="119"/>
      <c r="CC19" s="119"/>
      <c r="CD19" s="119"/>
      <c r="CE19" s="119"/>
      <c r="CF19" s="119"/>
      <c r="CG19" s="119"/>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row>
    <row r="20" spans="1:192" ht="67.5" outlineLevel="1" x14ac:dyDescent="0.25">
      <c r="A20" s="278" t="s">
        <v>5</v>
      </c>
      <c r="B20" s="160"/>
      <c r="C20" s="161" t="s">
        <v>239</v>
      </c>
      <c r="D20" s="162" t="s">
        <v>24</v>
      </c>
      <c r="E20" s="172" t="s">
        <v>838</v>
      </c>
      <c r="F20" s="61"/>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119"/>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row>
    <row r="21" spans="1:192" ht="56.25" outlineLevel="1" x14ac:dyDescent="0.25">
      <c r="A21" s="278" t="s">
        <v>5</v>
      </c>
      <c r="B21" s="160"/>
      <c r="C21" s="161" t="s">
        <v>240</v>
      </c>
      <c r="D21" s="162" t="s">
        <v>24</v>
      </c>
      <c r="E21" s="172" t="s">
        <v>839</v>
      </c>
      <c r="F21" s="61"/>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119"/>
      <c r="AZ21" s="119"/>
      <c r="BA21" s="119"/>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row>
    <row r="22" spans="1:192" ht="67.5" outlineLevel="1" x14ac:dyDescent="0.25">
      <c r="A22" s="278" t="s">
        <v>5</v>
      </c>
      <c r="B22" s="160"/>
      <c r="C22" s="161" t="s">
        <v>241</v>
      </c>
      <c r="D22" s="162" t="s">
        <v>24</v>
      </c>
      <c r="E22" s="172" t="s">
        <v>840</v>
      </c>
      <c r="F22" s="61"/>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row>
    <row r="23" spans="1:192" ht="67.5" outlineLevel="1" x14ac:dyDescent="0.25">
      <c r="A23" s="278" t="s">
        <v>5</v>
      </c>
      <c r="B23" s="160"/>
      <c r="C23" s="161" t="s">
        <v>242</v>
      </c>
      <c r="D23" s="162" t="s">
        <v>24</v>
      </c>
      <c r="E23" s="172" t="s">
        <v>841</v>
      </c>
      <c r="F23" s="61"/>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119"/>
      <c r="AZ23" s="119"/>
      <c r="BA23" s="119"/>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c r="CD23" s="119"/>
      <c r="CE23" s="119"/>
      <c r="CF23" s="119"/>
      <c r="CG23" s="119"/>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row>
    <row r="24" spans="1:192" ht="56.25" outlineLevel="1" x14ac:dyDescent="0.25">
      <c r="A24" s="278" t="s">
        <v>5</v>
      </c>
      <c r="B24" s="160"/>
      <c r="C24" s="161" t="s">
        <v>481</v>
      </c>
      <c r="D24" s="162" t="s">
        <v>24</v>
      </c>
      <c r="E24" s="172" t="s">
        <v>842</v>
      </c>
      <c r="F24" s="61"/>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119"/>
      <c r="AZ24" s="119"/>
      <c r="BA24" s="119"/>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row>
    <row r="25" spans="1:192" ht="90" outlineLevel="1" x14ac:dyDescent="0.25">
      <c r="A25" s="278" t="s">
        <v>5</v>
      </c>
      <c r="B25" s="157" t="s">
        <v>843</v>
      </c>
      <c r="C25" s="158" t="s">
        <v>245</v>
      </c>
      <c r="D25" s="159" t="s">
        <v>24</v>
      </c>
      <c r="E25" s="170" t="s">
        <v>844</v>
      </c>
      <c r="F25" s="59"/>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119"/>
      <c r="AZ25" s="119"/>
      <c r="BA25" s="119"/>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row>
    <row r="26" spans="1:192" ht="90" outlineLevel="1" x14ac:dyDescent="0.25">
      <c r="A26" s="278" t="s">
        <v>5</v>
      </c>
      <c r="B26" s="157"/>
      <c r="C26" s="158" t="s">
        <v>246</v>
      </c>
      <c r="D26" s="159" t="s">
        <v>24</v>
      </c>
      <c r="E26" s="173" t="s">
        <v>845</v>
      </c>
      <c r="F26" s="59"/>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row>
    <row r="27" spans="1:192" ht="90" outlineLevel="1" x14ac:dyDescent="0.25">
      <c r="A27" s="278" t="s">
        <v>5</v>
      </c>
      <c r="B27" s="157"/>
      <c r="C27" s="158" t="s">
        <v>247</v>
      </c>
      <c r="D27" s="159" t="s">
        <v>24</v>
      </c>
      <c r="E27" s="170" t="s">
        <v>846</v>
      </c>
      <c r="F27" s="59"/>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119"/>
      <c r="AZ27" s="119"/>
      <c r="BA27" s="119"/>
      <c r="BB27" s="119"/>
      <c r="BC27" s="119"/>
      <c r="BD27" s="119"/>
      <c r="BE27" s="119"/>
      <c r="BF27" s="119"/>
      <c r="BG27" s="119"/>
      <c r="BH27" s="119"/>
      <c r="BI27" s="119"/>
      <c r="BJ27" s="119"/>
      <c r="BK27" s="119"/>
      <c r="BL27" s="119"/>
      <c r="BM27" s="119"/>
      <c r="BN27" s="119"/>
      <c r="BO27" s="119"/>
      <c r="BP27" s="119"/>
      <c r="BQ27" s="119"/>
      <c r="BR27" s="119"/>
      <c r="BS27" s="119"/>
      <c r="BT27" s="119"/>
      <c r="BU27" s="119"/>
      <c r="BV27" s="119"/>
      <c r="BW27" s="119"/>
      <c r="BX27" s="119"/>
      <c r="BY27" s="119"/>
      <c r="BZ27" s="119"/>
      <c r="CA27" s="119"/>
      <c r="CB27" s="119"/>
      <c r="CC27" s="119"/>
      <c r="CD27" s="119"/>
      <c r="CE27" s="119"/>
      <c r="CF27" s="119"/>
      <c r="CG27" s="119"/>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row>
    <row r="28" spans="1:192" ht="90" outlineLevel="1" x14ac:dyDescent="0.25">
      <c r="A28" s="278" t="s">
        <v>5</v>
      </c>
      <c r="B28" s="157"/>
      <c r="C28" s="158" t="s">
        <v>248</v>
      </c>
      <c r="D28" s="159" t="s">
        <v>24</v>
      </c>
      <c r="E28" s="170" t="s">
        <v>847</v>
      </c>
      <c r="F28" s="59"/>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119"/>
      <c r="AZ28" s="119"/>
      <c r="BA28" s="119"/>
      <c r="BB28" s="119"/>
      <c r="BC28" s="119"/>
      <c r="BD28" s="119"/>
      <c r="BE28" s="119"/>
      <c r="BF28" s="119"/>
      <c r="BG28" s="119"/>
      <c r="BH28" s="119"/>
      <c r="BI28" s="119"/>
      <c r="BJ28" s="119"/>
      <c r="BK28" s="119"/>
      <c r="BL28" s="119"/>
      <c r="BM28" s="119"/>
      <c r="BN28" s="119"/>
      <c r="BO28" s="119"/>
      <c r="BP28" s="119"/>
      <c r="BQ28" s="119"/>
      <c r="BR28" s="119"/>
      <c r="BS28" s="119"/>
      <c r="BT28" s="119"/>
      <c r="BU28" s="119"/>
      <c r="BV28" s="119"/>
      <c r="BW28" s="119"/>
      <c r="BX28" s="119"/>
      <c r="BY28" s="119"/>
      <c r="BZ28" s="119"/>
      <c r="CA28" s="119"/>
      <c r="CB28" s="119"/>
      <c r="CC28" s="119"/>
      <c r="CD28" s="119"/>
      <c r="CE28" s="119"/>
      <c r="CF28" s="119"/>
      <c r="CG28" s="119"/>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row>
    <row r="29" spans="1:192" ht="101.25" x14ac:dyDescent="0.25">
      <c r="A29" s="278" t="s">
        <v>5</v>
      </c>
      <c r="B29" s="157"/>
      <c r="C29" s="158" t="s">
        <v>243</v>
      </c>
      <c r="D29" s="159" t="s">
        <v>24</v>
      </c>
      <c r="E29" s="173" t="s">
        <v>848</v>
      </c>
      <c r="F29" s="59"/>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119"/>
      <c r="AZ29" s="119"/>
      <c r="BA29" s="119"/>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c r="CB29" s="119"/>
      <c r="CC29" s="119"/>
      <c r="CD29" s="119"/>
      <c r="CE29" s="119"/>
      <c r="CF29" s="119"/>
      <c r="CG29" s="119"/>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row>
    <row r="30" spans="1:192" ht="78.75" outlineLevel="1" x14ac:dyDescent="0.25">
      <c r="A30" s="278" t="s">
        <v>5</v>
      </c>
      <c r="B30" s="157"/>
      <c r="C30" s="158" t="s">
        <v>249</v>
      </c>
      <c r="D30" s="159" t="s">
        <v>24</v>
      </c>
      <c r="E30" s="322" t="s">
        <v>1241</v>
      </c>
      <c r="F30" s="59"/>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119"/>
      <c r="AZ30" s="119"/>
      <c r="BA30" s="119"/>
      <c r="BB30" s="119"/>
      <c r="BC30" s="119"/>
      <c r="BD30" s="119"/>
      <c r="BE30" s="119"/>
      <c r="BF30" s="119"/>
      <c r="BG30" s="119"/>
      <c r="BH30" s="119"/>
      <c r="BI30" s="119"/>
      <c r="BJ30" s="119"/>
      <c r="BK30" s="119"/>
      <c r="BL30" s="119"/>
      <c r="BM30" s="119"/>
      <c r="BN30" s="119"/>
      <c r="BO30" s="119"/>
      <c r="BP30" s="119"/>
      <c r="BQ30" s="119"/>
      <c r="BR30" s="119"/>
      <c r="BS30" s="119"/>
      <c r="BT30" s="119"/>
      <c r="BU30" s="119"/>
      <c r="BV30" s="119"/>
      <c r="BW30" s="119"/>
      <c r="BX30" s="119"/>
      <c r="BY30" s="119"/>
      <c r="BZ30" s="119"/>
      <c r="CA30" s="119"/>
      <c r="CB30" s="119"/>
      <c r="CC30" s="119"/>
      <c r="CD30" s="119"/>
      <c r="CE30" s="119"/>
      <c r="CF30" s="119"/>
      <c r="CG30" s="119"/>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row>
    <row r="31" spans="1:192" ht="90" outlineLevel="1" x14ac:dyDescent="0.25">
      <c r="A31" s="278" t="s">
        <v>5</v>
      </c>
      <c r="B31" s="157"/>
      <c r="C31" s="158" t="s">
        <v>250</v>
      </c>
      <c r="D31" s="159" t="s">
        <v>24</v>
      </c>
      <c r="E31" s="173" t="s">
        <v>849</v>
      </c>
      <c r="F31" s="59"/>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119"/>
      <c r="AZ31" s="119"/>
      <c r="BA31" s="119"/>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c r="CB31" s="119"/>
      <c r="CC31" s="119"/>
      <c r="CD31" s="119"/>
      <c r="CE31" s="119"/>
      <c r="CF31" s="119"/>
      <c r="CG31" s="119"/>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row>
    <row r="32" spans="1:192" ht="33.75" outlineLevel="1" x14ac:dyDescent="0.25">
      <c r="A32" s="278" t="s">
        <v>5</v>
      </c>
      <c r="B32" s="157"/>
      <c r="C32" s="158" t="s">
        <v>251</v>
      </c>
      <c r="D32" s="159" t="s">
        <v>24</v>
      </c>
      <c r="E32" s="173" t="s">
        <v>850</v>
      </c>
      <c r="F32" s="59"/>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90"/>
      <c r="AU32" s="90"/>
      <c r="AV32" s="90"/>
      <c r="AW32" s="90"/>
      <c r="AX32" s="90"/>
      <c r="AY32" s="119"/>
      <c r="AZ32" s="119"/>
      <c r="BA32" s="119"/>
      <c r="BB32" s="119"/>
      <c r="BC32" s="119"/>
      <c r="BD32" s="119"/>
      <c r="BE32" s="119"/>
      <c r="BF32" s="119"/>
      <c r="BG32" s="119"/>
      <c r="BH32" s="119"/>
      <c r="BI32" s="119"/>
      <c r="BJ32" s="119"/>
      <c r="BK32" s="119"/>
      <c r="BL32" s="119"/>
      <c r="BM32" s="119"/>
      <c r="BN32" s="119"/>
      <c r="BO32" s="119"/>
      <c r="BP32" s="119"/>
      <c r="BQ32" s="119"/>
      <c r="BR32" s="119"/>
      <c r="BS32" s="119"/>
      <c r="BT32" s="119"/>
      <c r="BU32" s="119"/>
      <c r="BV32" s="119"/>
      <c r="BW32" s="119"/>
      <c r="BX32" s="119"/>
      <c r="BY32" s="119"/>
      <c r="BZ32" s="119"/>
      <c r="CA32" s="119"/>
      <c r="CB32" s="119"/>
      <c r="CC32" s="119"/>
      <c r="CD32" s="119"/>
      <c r="CE32" s="119"/>
      <c r="CF32" s="119"/>
      <c r="CG32" s="119"/>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row>
    <row r="33" spans="1:192" ht="33.75" outlineLevel="1" x14ac:dyDescent="0.25">
      <c r="A33" s="278" t="s">
        <v>5</v>
      </c>
      <c r="B33" s="157"/>
      <c r="C33" s="158" t="s">
        <v>252</v>
      </c>
      <c r="D33" s="159" t="s">
        <v>24</v>
      </c>
      <c r="E33" s="173" t="s">
        <v>244</v>
      </c>
      <c r="F33" s="59"/>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119"/>
      <c r="AZ33" s="119"/>
      <c r="BA33" s="119"/>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row>
    <row r="34" spans="1:192" ht="90" outlineLevel="1" x14ac:dyDescent="0.25">
      <c r="A34" s="278" t="s">
        <v>5</v>
      </c>
      <c r="B34" s="160" t="s">
        <v>232</v>
      </c>
      <c r="C34" s="161" t="s">
        <v>253</v>
      </c>
      <c r="D34" s="162" t="s">
        <v>24</v>
      </c>
      <c r="E34" s="164" t="s">
        <v>851</v>
      </c>
      <c r="F34" s="61"/>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119"/>
      <c r="AZ34" s="119"/>
      <c r="BA34" s="119"/>
      <c r="BB34" s="119"/>
      <c r="BC34" s="119"/>
      <c r="BD34" s="119"/>
      <c r="BE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row>
    <row r="35" spans="1:192" ht="90" outlineLevel="1" x14ac:dyDescent="0.25">
      <c r="A35" s="278" t="s">
        <v>5</v>
      </c>
      <c r="B35" s="160"/>
      <c r="C35" s="161" t="s">
        <v>254</v>
      </c>
      <c r="D35" s="162" t="s">
        <v>24</v>
      </c>
      <c r="E35" s="164" t="s">
        <v>852</v>
      </c>
      <c r="F35" s="61"/>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0"/>
      <c r="AQ35" s="90"/>
      <c r="AR35" s="90"/>
      <c r="AS35" s="90"/>
      <c r="AT35" s="90"/>
      <c r="AU35" s="90"/>
      <c r="AV35" s="90"/>
      <c r="AW35" s="90"/>
      <c r="AX35" s="90"/>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row>
    <row r="36" spans="1:192" ht="90" outlineLevel="1" x14ac:dyDescent="0.25">
      <c r="A36" s="278" t="s">
        <v>5</v>
      </c>
      <c r="B36" s="160"/>
      <c r="C36" s="161" t="s">
        <v>255</v>
      </c>
      <c r="D36" s="162" t="s">
        <v>24</v>
      </c>
      <c r="E36" s="164" t="s">
        <v>853</v>
      </c>
      <c r="F36" s="61"/>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0"/>
      <c r="AQ36" s="90"/>
      <c r="AR36" s="90"/>
      <c r="AS36" s="90"/>
      <c r="AT36" s="90"/>
      <c r="AU36" s="90"/>
      <c r="AV36" s="90"/>
      <c r="AW36" s="90"/>
      <c r="AX36" s="90"/>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row>
    <row r="37" spans="1:192" ht="90" outlineLevel="1" x14ac:dyDescent="0.25">
      <c r="A37" s="278" t="s">
        <v>5</v>
      </c>
      <c r="B37" s="160"/>
      <c r="C37" s="161" t="s">
        <v>256</v>
      </c>
      <c r="D37" s="162" t="s">
        <v>24</v>
      </c>
      <c r="E37" s="164" t="s">
        <v>854</v>
      </c>
      <c r="F37" s="61"/>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119"/>
      <c r="AZ37" s="119"/>
      <c r="BA37" s="119"/>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c r="CB37" s="119"/>
      <c r="CC37" s="119"/>
      <c r="CD37" s="119"/>
      <c r="CE37" s="119"/>
      <c r="CF37" s="119"/>
      <c r="CG37" s="119"/>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row>
    <row r="38" spans="1:192" ht="101.25" outlineLevel="1" x14ac:dyDescent="0.25">
      <c r="A38" s="278" t="s">
        <v>5</v>
      </c>
      <c r="B38" s="160"/>
      <c r="C38" s="161" t="s">
        <v>257</v>
      </c>
      <c r="D38" s="162" t="s">
        <v>24</v>
      </c>
      <c r="E38" s="164" t="s">
        <v>855</v>
      </c>
      <c r="F38" s="61"/>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0"/>
      <c r="AQ38" s="90"/>
      <c r="AR38" s="90"/>
      <c r="AS38" s="90"/>
      <c r="AT38" s="90"/>
      <c r="AU38" s="90"/>
      <c r="AV38" s="90"/>
      <c r="AW38" s="90"/>
      <c r="AX38" s="90"/>
      <c r="AY38" s="119"/>
      <c r="AZ38" s="119"/>
      <c r="BA38" s="119"/>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c r="CB38" s="119"/>
      <c r="CC38" s="119"/>
      <c r="CD38" s="119"/>
      <c r="CE38" s="119"/>
      <c r="CF38" s="119"/>
      <c r="CG38" s="119"/>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row>
    <row r="39" spans="1:192" ht="78.75" outlineLevel="1" x14ac:dyDescent="0.25">
      <c r="A39" s="278" t="s">
        <v>5</v>
      </c>
      <c r="B39" s="160"/>
      <c r="C39" s="161" t="s">
        <v>258</v>
      </c>
      <c r="D39" s="162" t="s">
        <v>24</v>
      </c>
      <c r="E39" s="164" t="s">
        <v>856</v>
      </c>
      <c r="F39" s="61"/>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row>
    <row r="40" spans="1:192" ht="90" outlineLevel="1" x14ac:dyDescent="0.25">
      <c r="A40" s="278" t="s">
        <v>5</v>
      </c>
      <c r="B40" s="160"/>
      <c r="C40" s="161" t="s">
        <v>259</v>
      </c>
      <c r="D40" s="162" t="s">
        <v>24</v>
      </c>
      <c r="E40" s="172" t="s">
        <v>857</v>
      </c>
      <c r="F40" s="61"/>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row>
    <row r="41" spans="1:192" ht="67.5" outlineLevel="1" x14ac:dyDescent="0.25">
      <c r="A41" s="278" t="s">
        <v>5</v>
      </c>
      <c r="B41" s="157" t="s">
        <v>858</v>
      </c>
      <c r="C41" s="158" t="s">
        <v>260</v>
      </c>
      <c r="D41" s="159" t="s">
        <v>24</v>
      </c>
      <c r="E41" s="170" t="s">
        <v>859</v>
      </c>
      <c r="F41" s="59"/>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row>
    <row r="42" spans="1:192" ht="67.5" outlineLevel="1" x14ac:dyDescent="0.25">
      <c r="A42" s="278" t="s">
        <v>5</v>
      </c>
      <c r="B42" s="157"/>
      <c r="C42" s="158" t="s">
        <v>261</v>
      </c>
      <c r="D42" s="159" t="s">
        <v>24</v>
      </c>
      <c r="E42" s="170" t="s">
        <v>860</v>
      </c>
      <c r="F42" s="59"/>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row>
    <row r="43" spans="1:192" ht="90" outlineLevel="1" x14ac:dyDescent="0.25">
      <c r="A43" s="278" t="s">
        <v>5</v>
      </c>
      <c r="B43" s="160" t="s">
        <v>861</v>
      </c>
      <c r="C43" s="161" t="s">
        <v>262</v>
      </c>
      <c r="D43" s="162" t="s">
        <v>24</v>
      </c>
      <c r="E43" s="172" t="s">
        <v>862</v>
      </c>
      <c r="F43" s="61"/>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row>
    <row r="44" spans="1:192" ht="78.75" outlineLevel="1" x14ac:dyDescent="0.25">
      <c r="A44" s="278" t="s">
        <v>5</v>
      </c>
      <c r="B44" s="160"/>
      <c r="C44" s="161" t="s">
        <v>263</v>
      </c>
      <c r="D44" s="162" t="s">
        <v>24</v>
      </c>
      <c r="E44" s="172" t="s">
        <v>863</v>
      </c>
      <c r="F44" s="61"/>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row>
    <row r="45" spans="1:192" ht="67.5" x14ac:dyDescent="0.25">
      <c r="A45" s="278" t="s">
        <v>5</v>
      </c>
      <c r="B45" s="160"/>
      <c r="C45" s="161" t="s">
        <v>264</v>
      </c>
      <c r="D45" s="162" t="s">
        <v>24</v>
      </c>
      <c r="E45" s="164" t="s">
        <v>864</v>
      </c>
      <c r="F45" s="61"/>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0"/>
      <c r="AQ45" s="90"/>
      <c r="AR45" s="90"/>
      <c r="AS45" s="90"/>
      <c r="AT45" s="90"/>
      <c r="AU45" s="90"/>
      <c r="AV45" s="90"/>
      <c r="AW45" s="90"/>
      <c r="AX45" s="90"/>
      <c r="AY45" s="119"/>
      <c r="AZ45" s="119"/>
      <c r="BA45" s="119"/>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row>
    <row r="46" spans="1:192" ht="101.25" outlineLevel="1" x14ac:dyDescent="0.25">
      <c r="A46" s="278" t="s">
        <v>5</v>
      </c>
      <c r="B46" s="160"/>
      <c r="C46" s="161" t="s">
        <v>265</v>
      </c>
      <c r="D46" s="162" t="s">
        <v>24</v>
      </c>
      <c r="E46" s="164" t="s">
        <v>865</v>
      </c>
      <c r="F46" s="61"/>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0"/>
      <c r="AQ46" s="90"/>
      <c r="AR46" s="90"/>
      <c r="AS46" s="90"/>
      <c r="AT46" s="90"/>
      <c r="AU46" s="90"/>
      <c r="AV46" s="90"/>
      <c r="AW46" s="90"/>
      <c r="AX46" s="90"/>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row>
    <row r="47" spans="1:192" ht="112.5" outlineLevel="1" x14ac:dyDescent="0.25">
      <c r="A47" s="278" t="s">
        <v>5</v>
      </c>
      <c r="B47" s="160"/>
      <c r="C47" s="161" t="s">
        <v>266</v>
      </c>
      <c r="D47" s="162" t="s">
        <v>24</v>
      </c>
      <c r="E47" s="172" t="s">
        <v>866</v>
      </c>
      <c r="F47" s="61"/>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119"/>
      <c r="AZ47" s="119"/>
      <c r="BA47" s="119"/>
      <c r="BB47" s="119"/>
      <c r="BC47" s="119"/>
      <c r="BD47" s="119"/>
      <c r="BE47" s="119"/>
      <c r="BF47" s="119"/>
      <c r="BG47" s="119"/>
      <c r="BH47" s="119"/>
      <c r="BI47" s="119"/>
      <c r="BJ47" s="119"/>
      <c r="BK47" s="119"/>
      <c r="BL47" s="119"/>
      <c r="BM47" s="119"/>
      <c r="BN47" s="119"/>
      <c r="BO47" s="119"/>
      <c r="BP47" s="119"/>
      <c r="BQ47" s="119"/>
      <c r="BR47" s="119"/>
      <c r="BS47" s="119"/>
      <c r="BT47" s="119"/>
      <c r="BU47" s="119"/>
      <c r="BV47" s="119"/>
      <c r="BW47" s="119"/>
      <c r="BX47" s="119"/>
      <c r="BY47" s="119"/>
      <c r="BZ47" s="119"/>
      <c r="CA47" s="119"/>
      <c r="CB47" s="119"/>
      <c r="CC47" s="119"/>
      <c r="CD47" s="119"/>
      <c r="CE47" s="119"/>
      <c r="CF47" s="119"/>
      <c r="CG47" s="119"/>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row>
    <row r="48" spans="1:192" ht="56.25" outlineLevel="1" x14ac:dyDescent="0.25">
      <c r="A48" s="278" t="s">
        <v>5</v>
      </c>
      <c r="B48" s="160"/>
      <c r="C48" s="161" t="s">
        <v>267</v>
      </c>
      <c r="D48" s="162" t="s">
        <v>24</v>
      </c>
      <c r="E48" s="172" t="s">
        <v>867</v>
      </c>
      <c r="F48" s="61"/>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119"/>
      <c r="AZ48" s="119"/>
      <c r="BA48" s="119"/>
      <c r="BB48" s="119"/>
      <c r="BC48" s="119"/>
      <c r="BD48" s="119"/>
      <c r="BE48" s="119"/>
      <c r="BF48" s="119"/>
      <c r="BG48" s="119"/>
      <c r="BH48" s="119"/>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row>
    <row r="49" spans="1:192" ht="123.75" outlineLevel="1" x14ac:dyDescent="0.25">
      <c r="A49" s="278" t="s">
        <v>5</v>
      </c>
      <c r="B49" s="160"/>
      <c r="C49" s="161" t="s">
        <v>268</v>
      </c>
      <c r="D49" s="162" t="s">
        <v>24</v>
      </c>
      <c r="E49" s="172" t="s">
        <v>868</v>
      </c>
      <c r="F49" s="61"/>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row>
    <row r="50" spans="1:192" ht="45" outlineLevel="1" x14ac:dyDescent="0.25">
      <c r="A50" s="278" t="s">
        <v>5</v>
      </c>
      <c r="B50" s="160"/>
      <c r="C50" s="161" t="s">
        <v>269</v>
      </c>
      <c r="D50" s="162" t="s">
        <v>24</v>
      </c>
      <c r="E50" s="172" t="s">
        <v>673</v>
      </c>
      <c r="F50" s="61"/>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119"/>
      <c r="AZ50" s="119"/>
      <c r="BA50" s="119"/>
      <c r="BB50" s="119"/>
      <c r="BC50" s="119"/>
      <c r="BD50" s="119"/>
      <c r="BE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row>
    <row r="51" spans="1:192" ht="67.5" outlineLevel="1" x14ac:dyDescent="0.25">
      <c r="A51" s="278" t="s">
        <v>5</v>
      </c>
      <c r="B51" s="160"/>
      <c r="C51" s="161" t="s">
        <v>482</v>
      </c>
      <c r="D51" s="162" t="s">
        <v>24</v>
      </c>
      <c r="E51" s="172" t="s">
        <v>869</v>
      </c>
      <c r="F51" s="61"/>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row>
    <row r="52" spans="1:192" ht="112.5" outlineLevel="1" x14ac:dyDescent="0.25">
      <c r="A52" s="278" t="s">
        <v>5</v>
      </c>
      <c r="B52" s="160"/>
      <c r="C52" s="161" t="s">
        <v>483</v>
      </c>
      <c r="D52" s="162" t="s">
        <v>24</v>
      </c>
      <c r="E52" s="172" t="s">
        <v>870</v>
      </c>
      <c r="F52" s="61"/>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119"/>
      <c r="AZ52" s="119"/>
      <c r="BA52" s="119"/>
      <c r="BB52" s="119"/>
      <c r="BC52" s="119"/>
      <c r="BD52" s="119"/>
      <c r="BE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c r="CB52" s="119"/>
      <c r="CC52" s="119"/>
      <c r="CD52" s="119"/>
      <c r="CE52" s="119"/>
      <c r="CF52" s="119"/>
      <c r="CG52" s="119"/>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row>
    <row r="53" spans="1:192" ht="101.25" outlineLevel="1" x14ac:dyDescent="0.25">
      <c r="A53" s="278" t="s">
        <v>5</v>
      </c>
      <c r="B53" s="157" t="s">
        <v>871</v>
      </c>
      <c r="C53" s="158" t="s">
        <v>270</v>
      </c>
      <c r="D53" s="159" t="s">
        <v>24</v>
      </c>
      <c r="E53" s="170" t="s">
        <v>872</v>
      </c>
      <c r="F53" s="59"/>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119"/>
      <c r="AZ53" s="119"/>
      <c r="BA53" s="119"/>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row>
    <row r="54" spans="1:192" ht="90" outlineLevel="1" x14ac:dyDescent="0.25">
      <c r="A54" s="278" t="s">
        <v>5</v>
      </c>
      <c r="B54" s="157"/>
      <c r="C54" s="158" t="s">
        <v>271</v>
      </c>
      <c r="D54" s="159" t="s">
        <v>24</v>
      </c>
      <c r="E54" s="173" t="s">
        <v>873</v>
      </c>
      <c r="F54" s="59"/>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119"/>
      <c r="AZ54" s="119"/>
      <c r="BA54" s="119"/>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row>
    <row r="55" spans="1:192" ht="101.25" outlineLevel="1" x14ac:dyDescent="0.25">
      <c r="A55" s="278" t="s">
        <v>5</v>
      </c>
      <c r="B55" s="157"/>
      <c r="C55" s="158" t="s">
        <v>272</v>
      </c>
      <c r="D55" s="159" t="s">
        <v>24</v>
      </c>
      <c r="E55" s="170" t="s">
        <v>874</v>
      </c>
      <c r="F55" s="59"/>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row>
    <row r="56" spans="1:192" ht="101.25" x14ac:dyDescent="0.25">
      <c r="A56" s="278" t="s">
        <v>5</v>
      </c>
      <c r="B56" s="157"/>
      <c r="C56" s="158" t="s">
        <v>273</v>
      </c>
      <c r="D56" s="159" t="s">
        <v>24</v>
      </c>
      <c r="E56" s="173" t="s">
        <v>875</v>
      </c>
      <c r="F56" s="59"/>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0"/>
      <c r="AQ56" s="90"/>
      <c r="AR56" s="90"/>
      <c r="AS56" s="90"/>
      <c r="AT56" s="90"/>
      <c r="AU56" s="90"/>
      <c r="AV56" s="90"/>
      <c r="AW56" s="90"/>
      <c r="AX56" s="90"/>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row>
    <row r="57" spans="1:192" ht="112.5" outlineLevel="1" x14ac:dyDescent="0.25">
      <c r="A57" s="278" t="s">
        <v>5</v>
      </c>
      <c r="B57" s="157"/>
      <c r="C57" s="158" t="s">
        <v>274</v>
      </c>
      <c r="D57" s="159" t="s">
        <v>24</v>
      </c>
      <c r="E57" s="170" t="s">
        <v>876</v>
      </c>
      <c r="F57" s="59"/>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0"/>
      <c r="AQ57" s="90"/>
      <c r="AR57" s="90"/>
      <c r="AS57" s="90"/>
      <c r="AT57" s="90"/>
      <c r="AU57" s="90"/>
      <c r="AV57" s="90"/>
      <c r="AW57" s="90"/>
      <c r="AX57" s="90"/>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row>
    <row r="58" spans="1:192" ht="123.75" outlineLevel="1" x14ac:dyDescent="0.25">
      <c r="A58" s="278" t="s">
        <v>5</v>
      </c>
      <c r="B58" s="157"/>
      <c r="C58" s="158" t="s">
        <v>275</v>
      </c>
      <c r="D58" s="159" t="s">
        <v>24</v>
      </c>
      <c r="E58" s="173" t="s">
        <v>877</v>
      </c>
      <c r="F58" s="59"/>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0"/>
      <c r="AQ58" s="90"/>
      <c r="AR58" s="90"/>
      <c r="AS58" s="90"/>
      <c r="AT58" s="90"/>
      <c r="AU58" s="90"/>
      <c r="AV58" s="90"/>
      <c r="AW58" s="90"/>
      <c r="AX58" s="90"/>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row>
    <row r="59" spans="1:192" ht="90" outlineLevel="1" x14ac:dyDescent="0.25">
      <c r="A59" s="278" t="s">
        <v>5</v>
      </c>
      <c r="B59" s="160" t="s">
        <v>878</v>
      </c>
      <c r="C59" s="161" t="s">
        <v>276</v>
      </c>
      <c r="D59" s="162" t="s">
        <v>25</v>
      </c>
      <c r="E59" s="172" t="s">
        <v>674</v>
      </c>
      <c r="F59" s="61"/>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row>
    <row r="60" spans="1:192" ht="45" outlineLevel="1" x14ac:dyDescent="0.25">
      <c r="A60" s="278" t="s">
        <v>5</v>
      </c>
      <c r="B60" s="160"/>
      <c r="C60" s="161" t="s">
        <v>277</v>
      </c>
      <c r="D60" s="162" t="s">
        <v>25</v>
      </c>
      <c r="E60" s="172" t="s">
        <v>879</v>
      </c>
      <c r="F60" s="61"/>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0"/>
      <c r="AQ60" s="90"/>
      <c r="AR60" s="90"/>
      <c r="AS60" s="90"/>
      <c r="AT60" s="90"/>
      <c r="AU60" s="90"/>
      <c r="AV60" s="90"/>
      <c r="AW60" s="90"/>
      <c r="AX60" s="90"/>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row>
    <row r="61" spans="1:192" ht="45" outlineLevel="1" x14ac:dyDescent="0.25">
      <c r="A61" s="278" t="s">
        <v>5</v>
      </c>
      <c r="B61" s="160"/>
      <c r="C61" s="161" t="s">
        <v>278</v>
      </c>
      <c r="D61" s="162" t="s">
        <v>25</v>
      </c>
      <c r="E61" s="172" t="s">
        <v>675</v>
      </c>
      <c r="F61" s="61"/>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90"/>
      <c r="AN61" s="90"/>
      <c r="AO61" s="90"/>
      <c r="AP61" s="90"/>
      <c r="AQ61" s="90"/>
      <c r="AR61" s="90"/>
      <c r="AS61" s="90"/>
      <c r="AT61" s="90"/>
      <c r="AU61" s="90"/>
      <c r="AV61" s="90"/>
      <c r="AW61" s="90"/>
      <c r="AX61" s="90"/>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row>
    <row r="62" spans="1:192" ht="45" outlineLevel="1" x14ac:dyDescent="0.25">
      <c r="A62" s="278" t="s">
        <v>5</v>
      </c>
      <c r="B62" s="160"/>
      <c r="C62" s="161" t="s">
        <v>279</v>
      </c>
      <c r="D62" s="162" t="s">
        <v>25</v>
      </c>
      <c r="E62" s="172" t="s">
        <v>676</v>
      </c>
      <c r="F62" s="61"/>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0"/>
      <c r="AK62" s="90"/>
      <c r="AL62" s="90"/>
      <c r="AM62" s="90"/>
      <c r="AN62" s="90"/>
      <c r="AO62" s="90"/>
      <c r="AP62" s="90"/>
      <c r="AQ62" s="90"/>
      <c r="AR62" s="90"/>
      <c r="AS62" s="90"/>
      <c r="AT62" s="90"/>
      <c r="AU62" s="90"/>
      <c r="AV62" s="90"/>
      <c r="AW62" s="90"/>
      <c r="AX62" s="90"/>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row>
    <row r="63" spans="1:192" ht="45" outlineLevel="1" x14ac:dyDescent="0.25">
      <c r="A63" s="278" t="s">
        <v>5</v>
      </c>
      <c r="B63" s="160"/>
      <c r="C63" s="161" t="s">
        <v>280</v>
      </c>
      <c r="D63" s="162" t="s">
        <v>25</v>
      </c>
      <c r="E63" s="172" t="s">
        <v>677</v>
      </c>
      <c r="F63" s="61"/>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0"/>
      <c r="AK63" s="90"/>
      <c r="AL63" s="90"/>
      <c r="AM63" s="90"/>
      <c r="AN63" s="90"/>
      <c r="AO63" s="90"/>
      <c r="AP63" s="90"/>
      <c r="AQ63" s="90"/>
      <c r="AR63" s="90"/>
      <c r="AS63" s="90"/>
      <c r="AT63" s="90"/>
      <c r="AU63" s="90"/>
      <c r="AV63" s="90"/>
      <c r="AW63" s="90"/>
      <c r="AX63" s="90"/>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row>
    <row r="64" spans="1:192" ht="56.25" outlineLevel="1" x14ac:dyDescent="0.25">
      <c r="A64" s="278" t="s">
        <v>5</v>
      </c>
      <c r="B64" s="160"/>
      <c r="C64" s="161" t="s">
        <v>1221</v>
      </c>
      <c r="D64" s="162" t="s">
        <v>25</v>
      </c>
      <c r="E64" s="321" t="s">
        <v>1222</v>
      </c>
      <c r="F64" s="59"/>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0"/>
      <c r="AK64" s="90"/>
      <c r="AL64" s="90"/>
      <c r="AM64" s="90"/>
      <c r="AN64" s="90"/>
      <c r="AO64" s="90"/>
      <c r="AP64" s="90"/>
      <c r="AQ64" s="90"/>
      <c r="AR64" s="90"/>
      <c r="AS64" s="90"/>
      <c r="AT64" s="90"/>
      <c r="AU64" s="90"/>
      <c r="AV64" s="90"/>
      <c r="AW64" s="90"/>
      <c r="AX64" s="90"/>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row>
    <row r="65" spans="1:192" ht="123.75" outlineLevel="1" x14ac:dyDescent="0.25">
      <c r="A65" s="278" t="s">
        <v>5</v>
      </c>
      <c r="B65" s="157" t="s">
        <v>880</v>
      </c>
      <c r="C65" s="158" t="s">
        <v>281</v>
      </c>
      <c r="D65" s="159" t="s">
        <v>24</v>
      </c>
      <c r="E65" s="173" t="s">
        <v>881</v>
      </c>
      <c r="F65" s="59"/>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0"/>
      <c r="AK65" s="90"/>
      <c r="AL65" s="90"/>
      <c r="AM65" s="90"/>
      <c r="AN65" s="90"/>
      <c r="AO65" s="90"/>
      <c r="AP65" s="90"/>
      <c r="AQ65" s="90"/>
      <c r="AR65" s="90"/>
      <c r="AS65" s="90"/>
      <c r="AT65" s="90"/>
      <c r="AU65" s="90"/>
      <c r="AV65" s="90"/>
      <c r="AW65" s="90"/>
      <c r="AX65" s="90"/>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row>
    <row r="66" spans="1:192" ht="101.25" outlineLevel="1" x14ac:dyDescent="0.25">
      <c r="A66" s="278" t="s">
        <v>5</v>
      </c>
      <c r="B66" s="157"/>
      <c r="C66" s="158" t="s">
        <v>282</v>
      </c>
      <c r="D66" s="159" t="s">
        <v>24</v>
      </c>
      <c r="E66" s="173" t="s">
        <v>882</v>
      </c>
      <c r="F66" s="59"/>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0"/>
      <c r="AK66" s="90"/>
      <c r="AL66" s="90"/>
      <c r="AM66" s="90"/>
      <c r="AN66" s="90"/>
      <c r="AO66" s="90"/>
      <c r="AP66" s="90"/>
      <c r="AQ66" s="90"/>
      <c r="AR66" s="90"/>
      <c r="AS66" s="90"/>
      <c r="AT66" s="90"/>
      <c r="AU66" s="90"/>
      <c r="AV66" s="90"/>
      <c r="AW66" s="90"/>
      <c r="AX66" s="90"/>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row>
    <row r="67" spans="1:192" ht="101.25" outlineLevel="1" x14ac:dyDescent="0.25">
      <c r="A67" s="278" t="s">
        <v>5</v>
      </c>
      <c r="B67" s="157"/>
      <c r="C67" s="158" t="s">
        <v>283</v>
      </c>
      <c r="D67" s="159" t="s">
        <v>24</v>
      </c>
      <c r="E67" s="289" t="s">
        <v>883</v>
      </c>
      <c r="F67" s="59"/>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90"/>
      <c r="AN67" s="90"/>
      <c r="AO67" s="90"/>
      <c r="AP67" s="90"/>
      <c r="AQ67" s="90"/>
      <c r="AR67" s="90"/>
      <c r="AS67" s="90"/>
      <c r="AT67" s="90"/>
      <c r="AU67" s="90"/>
      <c r="AV67" s="90"/>
      <c r="AW67" s="90"/>
      <c r="AX67" s="90"/>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row>
    <row r="68" spans="1:192" ht="90" outlineLevel="1" x14ac:dyDescent="0.25">
      <c r="A68" s="278" t="s">
        <v>5</v>
      </c>
      <c r="B68" s="157"/>
      <c r="C68" s="158" t="s">
        <v>284</v>
      </c>
      <c r="D68" s="159" t="s">
        <v>24</v>
      </c>
      <c r="E68" s="170" t="s">
        <v>884</v>
      </c>
      <c r="F68" s="59"/>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0"/>
      <c r="AK68" s="90"/>
      <c r="AL68" s="90"/>
      <c r="AM68" s="90"/>
      <c r="AN68" s="90"/>
      <c r="AO68" s="90"/>
      <c r="AP68" s="90"/>
      <c r="AQ68" s="90"/>
      <c r="AR68" s="90"/>
      <c r="AS68" s="90"/>
      <c r="AT68" s="90"/>
      <c r="AU68" s="90"/>
      <c r="AV68" s="90"/>
      <c r="AW68" s="90"/>
      <c r="AX68" s="90"/>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row>
    <row r="69" spans="1:192" ht="90" outlineLevel="1" x14ac:dyDescent="0.25">
      <c r="A69" s="278" t="s">
        <v>5</v>
      </c>
      <c r="B69" s="157"/>
      <c r="C69" s="158" t="s">
        <v>285</v>
      </c>
      <c r="D69" s="159" t="s">
        <v>24</v>
      </c>
      <c r="E69" s="170" t="s">
        <v>885</v>
      </c>
      <c r="F69" s="61"/>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0"/>
      <c r="AK69" s="90"/>
      <c r="AL69" s="90"/>
      <c r="AM69" s="90"/>
      <c r="AN69" s="90"/>
      <c r="AO69" s="90"/>
      <c r="AP69" s="90"/>
      <c r="AQ69" s="90"/>
      <c r="AR69" s="90"/>
      <c r="AS69" s="90"/>
      <c r="AT69" s="90"/>
      <c r="AU69" s="90"/>
      <c r="AV69" s="90"/>
      <c r="AW69" s="90"/>
      <c r="AX69" s="90"/>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row>
    <row r="70" spans="1:192" ht="22.5" outlineLevel="1" x14ac:dyDescent="0.25">
      <c r="A70" s="290" t="s">
        <v>38</v>
      </c>
      <c r="B70" s="160" t="s">
        <v>678</v>
      </c>
      <c r="C70" s="161" t="s">
        <v>286</v>
      </c>
      <c r="D70" s="162" t="s">
        <v>24</v>
      </c>
      <c r="E70" s="172" t="s">
        <v>679</v>
      </c>
      <c r="F70" s="59"/>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c r="AR70" s="90"/>
      <c r="AS70" s="90"/>
      <c r="AT70" s="90"/>
      <c r="AU70" s="90"/>
      <c r="AV70" s="90"/>
      <c r="AW70" s="90"/>
      <c r="AX70" s="90"/>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row>
    <row r="71" spans="1:192" ht="33.75" outlineLevel="1" x14ac:dyDescent="0.25">
      <c r="A71" s="290" t="s">
        <v>38</v>
      </c>
      <c r="B71" s="157" t="s">
        <v>680</v>
      </c>
      <c r="C71" s="158" t="s">
        <v>287</v>
      </c>
      <c r="D71" s="159" t="s">
        <v>24</v>
      </c>
      <c r="E71" s="173" t="s">
        <v>681</v>
      </c>
      <c r="F71" s="61"/>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0"/>
      <c r="AK71" s="90"/>
      <c r="AL71" s="90"/>
      <c r="AM71" s="90"/>
      <c r="AN71" s="90"/>
      <c r="AO71" s="90"/>
      <c r="AP71" s="90"/>
      <c r="AQ71" s="90"/>
      <c r="AR71" s="90"/>
      <c r="AS71" s="90"/>
      <c r="AT71" s="90"/>
      <c r="AU71" s="90"/>
      <c r="AV71" s="90"/>
      <c r="AW71" s="90"/>
      <c r="AX71" s="90"/>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row>
    <row r="72" spans="1:192" ht="56.25" outlineLevel="1" x14ac:dyDescent="0.25">
      <c r="A72" s="278" t="s">
        <v>3</v>
      </c>
      <c r="B72" s="160" t="s">
        <v>886</v>
      </c>
      <c r="C72" s="161" t="s">
        <v>288</v>
      </c>
      <c r="D72" s="162" t="s">
        <v>24</v>
      </c>
      <c r="E72" s="172" t="s">
        <v>289</v>
      </c>
      <c r="F72" s="61"/>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0"/>
      <c r="AK72" s="90"/>
      <c r="AL72" s="90"/>
      <c r="AM72" s="90"/>
      <c r="AN72" s="90"/>
      <c r="AO72" s="90"/>
      <c r="AP72" s="90"/>
      <c r="AQ72" s="90"/>
      <c r="AR72" s="90"/>
      <c r="AS72" s="90"/>
      <c r="AT72" s="90"/>
      <c r="AU72" s="90"/>
      <c r="AV72" s="90"/>
      <c r="AW72" s="90"/>
      <c r="AX72" s="90"/>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row>
    <row r="73" spans="1:192" ht="33.75" outlineLevel="1" x14ac:dyDescent="0.25">
      <c r="A73" s="278" t="s">
        <v>3</v>
      </c>
      <c r="B73" s="160"/>
      <c r="C73" s="161" t="s">
        <v>294</v>
      </c>
      <c r="D73" s="162" t="s">
        <v>24</v>
      </c>
      <c r="E73" s="172" t="s">
        <v>290</v>
      </c>
      <c r="F73" s="61"/>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row>
    <row r="74" spans="1:192" ht="22.5" outlineLevel="1" x14ac:dyDescent="0.25">
      <c r="A74" s="278" t="s">
        <v>3</v>
      </c>
      <c r="B74" s="160"/>
      <c r="C74" s="161" t="s">
        <v>295</v>
      </c>
      <c r="D74" s="162" t="s">
        <v>24</v>
      </c>
      <c r="E74" s="172" t="s">
        <v>887</v>
      </c>
      <c r="F74" s="61"/>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row>
    <row r="75" spans="1:192" ht="33.75" outlineLevel="1" x14ac:dyDescent="0.25">
      <c r="A75" s="278" t="s">
        <v>3</v>
      </c>
      <c r="B75" s="160"/>
      <c r="C75" s="161" t="s">
        <v>296</v>
      </c>
      <c r="D75" s="162" t="s">
        <v>24</v>
      </c>
      <c r="E75" s="172" t="s">
        <v>291</v>
      </c>
      <c r="F75" s="61"/>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row>
    <row r="76" spans="1:192" ht="33.75" outlineLevel="1" x14ac:dyDescent="0.25">
      <c r="A76" s="278" t="s">
        <v>3</v>
      </c>
      <c r="B76" s="160"/>
      <c r="C76" s="161" t="s">
        <v>297</v>
      </c>
      <c r="D76" s="162" t="s">
        <v>24</v>
      </c>
      <c r="E76" s="172" t="s">
        <v>292</v>
      </c>
      <c r="F76" s="61"/>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row>
    <row r="77" spans="1:192" ht="33.75" outlineLevel="1" x14ac:dyDescent="0.25">
      <c r="A77" s="278" t="s">
        <v>3</v>
      </c>
      <c r="B77" s="160"/>
      <c r="C77" s="161" t="s">
        <v>298</v>
      </c>
      <c r="D77" s="162" t="s">
        <v>24</v>
      </c>
      <c r="E77" s="172" t="s">
        <v>293</v>
      </c>
      <c r="F77" s="59"/>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row>
    <row r="78" spans="1:192" ht="67.5" outlineLevel="1" x14ac:dyDescent="0.25">
      <c r="A78" s="278" t="s">
        <v>3</v>
      </c>
      <c r="B78" s="157" t="s">
        <v>888</v>
      </c>
      <c r="C78" s="158" t="s">
        <v>299</v>
      </c>
      <c r="D78" s="159" t="s">
        <v>25</v>
      </c>
      <c r="E78" s="170" t="s">
        <v>889</v>
      </c>
      <c r="F78" s="59"/>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row>
    <row r="79" spans="1:192" ht="67.5" outlineLevel="1" x14ac:dyDescent="0.25">
      <c r="A79" s="278" t="s">
        <v>3</v>
      </c>
      <c r="B79" s="157"/>
      <c r="C79" s="158" t="s">
        <v>300</v>
      </c>
      <c r="D79" s="159" t="s">
        <v>25</v>
      </c>
      <c r="E79" s="170" t="s">
        <v>890</v>
      </c>
      <c r="F79" s="59"/>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row>
    <row r="80" spans="1:192" ht="67.5" outlineLevel="1" x14ac:dyDescent="0.25">
      <c r="A80" s="278" t="s">
        <v>3</v>
      </c>
      <c r="B80" s="157"/>
      <c r="C80" s="158" t="s">
        <v>301</v>
      </c>
      <c r="D80" s="159" t="s">
        <v>25</v>
      </c>
      <c r="E80" s="170" t="s">
        <v>891</v>
      </c>
      <c r="F80" s="59"/>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row>
    <row r="81" spans="1:192" ht="67.5" outlineLevel="1" x14ac:dyDescent="0.25">
      <c r="A81" s="278" t="s">
        <v>3</v>
      </c>
      <c r="B81" s="157"/>
      <c r="C81" s="158" t="s">
        <v>302</v>
      </c>
      <c r="D81" s="159" t="s">
        <v>25</v>
      </c>
      <c r="E81" s="170" t="s">
        <v>892</v>
      </c>
      <c r="F81" s="59"/>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row>
    <row r="82" spans="1:192" ht="33.75" outlineLevel="1" x14ac:dyDescent="0.25">
      <c r="A82" s="278" t="s">
        <v>3</v>
      </c>
      <c r="B82" s="157"/>
      <c r="C82" s="158" t="s">
        <v>303</v>
      </c>
      <c r="D82" s="159" t="s">
        <v>25</v>
      </c>
      <c r="E82" s="173" t="s">
        <v>682</v>
      </c>
      <c r="F82" s="61"/>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row>
    <row r="83" spans="1:192" ht="90" outlineLevel="1" x14ac:dyDescent="0.25">
      <c r="A83" s="278" t="s">
        <v>3</v>
      </c>
      <c r="B83" s="160" t="s">
        <v>893</v>
      </c>
      <c r="C83" s="161" t="s">
        <v>304</v>
      </c>
      <c r="D83" s="162" t="s">
        <v>25</v>
      </c>
      <c r="E83" s="172" t="s">
        <v>894</v>
      </c>
      <c r="F83" s="61"/>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row>
    <row r="84" spans="1:192" ht="67.5" outlineLevel="1" x14ac:dyDescent="0.25">
      <c r="A84" s="278" t="s">
        <v>3</v>
      </c>
      <c r="B84" s="164"/>
      <c r="C84" s="161" t="s">
        <v>305</v>
      </c>
      <c r="D84" s="162" t="s">
        <v>25</v>
      </c>
      <c r="E84" s="172" t="s">
        <v>895</v>
      </c>
      <c r="F84" s="61"/>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row>
    <row r="85" spans="1:192" ht="67.5" outlineLevel="1" x14ac:dyDescent="0.25">
      <c r="A85" s="278" t="s">
        <v>3</v>
      </c>
      <c r="B85" s="164"/>
      <c r="C85" s="161" t="s">
        <v>306</v>
      </c>
      <c r="D85" s="162" t="s">
        <v>25</v>
      </c>
      <c r="E85" s="172" t="s">
        <v>896</v>
      </c>
      <c r="F85" s="61"/>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row>
    <row r="86" spans="1:192" ht="45" outlineLevel="1" x14ac:dyDescent="0.25">
      <c r="A86" s="278" t="s">
        <v>3</v>
      </c>
      <c r="B86" s="164"/>
      <c r="C86" s="161" t="s">
        <v>307</v>
      </c>
      <c r="D86" s="162" t="s">
        <v>25</v>
      </c>
      <c r="E86" s="172" t="s">
        <v>683</v>
      </c>
      <c r="F86" s="59"/>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row>
    <row r="87" spans="1:192" ht="67.5" outlineLevel="1" x14ac:dyDescent="0.25">
      <c r="A87" s="290" t="s">
        <v>6</v>
      </c>
      <c r="B87" s="157" t="s">
        <v>897</v>
      </c>
      <c r="C87" s="158" t="s">
        <v>308</v>
      </c>
      <c r="D87" s="159" t="s">
        <v>24</v>
      </c>
      <c r="E87" s="170" t="s">
        <v>898</v>
      </c>
      <c r="F87" s="59"/>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row>
    <row r="88" spans="1:192" ht="123.75" outlineLevel="1" x14ac:dyDescent="0.25">
      <c r="A88" s="290" t="s">
        <v>6</v>
      </c>
      <c r="B88" s="157"/>
      <c r="C88" s="158" t="s">
        <v>309</v>
      </c>
      <c r="D88" s="159" t="s">
        <v>24</v>
      </c>
      <c r="E88" s="170" t="s">
        <v>899</v>
      </c>
      <c r="F88" s="59"/>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row>
    <row r="89" spans="1:192" ht="78.75" outlineLevel="1" x14ac:dyDescent="0.25">
      <c r="A89" s="290" t="s">
        <v>6</v>
      </c>
      <c r="B89" s="157"/>
      <c r="C89" s="158" t="s">
        <v>310</v>
      </c>
      <c r="D89" s="159" t="s">
        <v>24</v>
      </c>
      <c r="E89" s="170" t="s">
        <v>900</v>
      </c>
      <c r="F89" s="61"/>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row>
    <row r="90" spans="1:192" ht="78.75" x14ac:dyDescent="0.25">
      <c r="A90" s="290" t="s">
        <v>6</v>
      </c>
      <c r="B90" s="160" t="s">
        <v>901</v>
      </c>
      <c r="C90" s="161" t="s">
        <v>311</v>
      </c>
      <c r="D90" s="162" t="s">
        <v>24</v>
      </c>
      <c r="E90" s="172" t="s">
        <v>902</v>
      </c>
      <c r="F90" s="61"/>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row>
    <row r="91" spans="1:192" ht="67.5" outlineLevel="1" x14ac:dyDescent="0.25">
      <c r="A91" s="290" t="s">
        <v>6</v>
      </c>
      <c r="B91" s="160"/>
      <c r="C91" s="161" t="s">
        <v>312</v>
      </c>
      <c r="D91" s="162" t="s">
        <v>24</v>
      </c>
      <c r="E91" s="164" t="s">
        <v>903</v>
      </c>
      <c r="F91" s="61"/>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row>
    <row r="92" spans="1:192" ht="56.25" outlineLevel="1" x14ac:dyDescent="0.25">
      <c r="A92" s="290" t="s">
        <v>6</v>
      </c>
      <c r="B92" s="160"/>
      <c r="C92" s="161" t="s">
        <v>313</v>
      </c>
      <c r="D92" s="162" t="s">
        <v>24</v>
      </c>
      <c r="E92" s="164" t="s">
        <v>904</v>
      </c>
      <c r="F92" s="59"/>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row>
    <row r="93" spans="1:192" ht="56.25" outlineLevel="1" x14ac:dyDescent="0.25">
      <c r="A93" s="290" t="s">
        <v>6</v>
      </c>
      <c r="B93" s="157" t="s">
        <v>905</v>
      </c>
      <c r="C93" s="158" t="s">
        <v>314</v>
      </c>
      <c r="D93" s="159" t="s">
        <v>24</v>
      </c>
      <c r="E93" s="170" t="s">
        <v>906</v>
      </c>
      <c r="F93" s="59"/>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row>
    <row r="94" spans="1:192" ht="33.75" outlineLevel="1" x14ac:dyDescent="0.25">
      <c r="A94" s="290" t="s">
        <v>6</v>
      </c>
      <c r="B94" s="157"/>
      <c r="C94" s="158" t="s">
        <v>315</v>
      </c>
      <c r="D94" s="159" t="s">
        <v>24</v>
      </c>
      <c r="E94" s="173" t="s">
        <v>684</v>
      </c>
      <c r="F94" s="61"/>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row>
    <row r="95" spans="1:192" ht="56.25" outlineLevel="1" x14ac:dyDescent="0.25">
      <c r="A95" s="290" t="s">
        <v>6</v>
      </c>
      <c r="B95" s="160" t="s">
        <v>907</v>
      </c>
      <c r="C95" s="161" t="s">
        <v>316</v>
      </c>
      <c r="D95" s="162" t="s">
        <v>24</v>
      </c>
      <c r="E95" s="172" t="s">
        <v>907</v>
      </c>
      <c r="F95" s="59"/>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row>
    <row r="96" spans="1:192" ht="67.5" outlineLevel="1" x14ac:dyDescent="0.25">
      <c r="A96" s="290" t="s">
        <v>6</v>
      </c>
      <c r="B96" s="157" t="s">
        <v>908</v>
      </c>
      <c r="C96" s="158" t="s">
        <v>317</v>
      </c>
      <c r="D96" s="159" t="s">
        <v>25</v>
      </c>
      <c r="E96" s="170" t="s">
        <v>909</v>
      </c>
      <c r="F96" s="59"/>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row>
    <row r="97" spans="1:192" ht="45" outlineLevel="1" x14ac:dyDescent="0.25">
      <c r="A97" s="290" t="s">
        <v>6</v>
      </c>
      <c r="B97" s="157"/>
      <c r="C97" s="158" t="s">
        <v>318</v>
      </c>
      <c r="D97" s="159" t="s">
        <v>25</v>
      </c>
      <c r="E97" s="170" t="s">
        <v>910</v>
      </c>
      <c r="F97" s="61"/>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row>
    <row r="98" spans="1:192" ht="56.25" outlineLevel="1" x14ac:dyDescent="0.25">
      <c r="A98" s="290" t="s">
        <v>6</v>
      </c>
      <c r="B98" s="160" t="s">
        <v>911</v>
      </c>
      <c r="C98" s="161" t="s">
        <v>319</v>
      </c>
      <c r="D98" s="162" t="s">
        <v>25</v>
      </c>
      <c r="E98" s="172" t="s">
        <v>912</v>
      </c>
      <c r="F98" s="61"/>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row>
    <row r="99" spans="1:192" ht="22.5" outlineLevel="1" x14ac:dyDescent="0.25">
      <c r="A99" s="290" t="s">
        <v>6</v>
      </c>
      <c r="B99" s="160"/>
      <c r="C99" s="161" t="s">
        <v>320</v>
      </c>
      <c r="D99" s="162" t="s">
        <v>25</v>
      </c>
      <c r="E99" s="172" t="s">
        <v>913</v>
      </c>
      <c r="F99" s="59"/>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row>
    <row r="100" spans="1:192" ht="33.75" outlineLevel="1" x14ac:dyDescent="0.25">
      <c r="A100" s="290" t="s">
        <v>6</v>
      </c>
      <c r="B100" s="165" t="s">
        <v>914</v>
      </c>
      <c r="C100" s="166" t="s">
        <v>321</v>
      </c>
      <c r="D100" s="167" t="s">
        <v>24</v>
      </c>
      <c r="E100" s="291" t="s">
        <v>332</v>
      </c>
      <c r="F100" s="61"/>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row>
    <row r="101" spans="1:192" ht="67.5" outlineLevel="1" x14ac:dyDescent="0.25">
      <c r="A101" s="290" t="s">
        <v>6</v>
      </c>
      <c r="B101" s="160" t="s">
        <v>915</v>
      </c>
      <c r="C101" s="161" t="s">
        <v>322</v>
      </c>
      <c r="D101" s="162" t="s">
        <v>24</v>
      </c>
      <c r="E101" s="322" t="s">
        <v>1242</v>
      </c>
      <c r="F101" s="61"/>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row>
    <row r="102" spans="1:192" ht="56.25" outlineLevel="1" x14ac:dyDescent="0.25">
      <c r="A102" s="290" t="s">
        <v>6</v>
      </c>
      <c r="B102" s="160"/>
      <c r="C102" s="161" t="s">
        <v>323</v>
      </c>
      <c r="D102" s="162" t="s">
        <v>24</v>
      </c>
      <c r="E102" s="164" t="s">
        <v>916</v>
      </c>
      <c r="F102" s="59"/>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row>
    <row r="103" spans="1:192" ht="45" outlineLevel="1" x14ac:dyDescent="0.25">
      <c r="A103" s="290" t="s">
        <v>6</v>
      </c>
      <c r="B103" s="157" t="s">
        <v>917</v>
      </c>
      <c r="C103" s="158" t="s">
        <v>324</v>
      </c>
      <c r="D103" s="159" t="s">
        <v>24</v>
      </c>
      <c r="E103" s="173" t="s">
        <v>333</v>
      </c>
      <c r="F103" s="61"/>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row>
    <row r="104" spans="1:192" ht="78.75" outlineLevel="1" x14ac:dyDescent="0.25">
      <c r="A104" s="290" t="s">
        <v>6</v>
      </c>
      <c r="B104" s="160" t="s">
        <v>918</v>
      </c>
      <c r="C104" s="161" t="s">
        <v>325</v>
      </c>
      <c r="D104" s="162" t="s">
        <v>24</v>
      </c>
      <c r="E104" s="164" t="s">
        <v>919</v>
      </c>
      <c r="F104" s="59"/>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row>
    <row r="105" spans="1:192" ht="56.25" outlineLevel="1" x14ac:dyDescent="0.25">
      <c r="A105" s="290" t="s">
        <v>6</v>
      </c>
      <c r="B105" s="157" t="s">
        <v>920</v>
      </c>
      <c r="C105" s="158" t="s">
        <v>326</v>
      </c>
      <c r="D105" s="159" t="s">
        <v>24</v>
      </c>
      <c r="E105" s="173" t="s">
        <v>334</v>
      </c>
      <c r="F105" s="59"/>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row>
    <row r="106" spans="1:192" ht="56.25" outlineLevel="1" x14ac:dyDescent="0.25">
      <c r="A106" s="290" t="s">
        <v>6</v>
      </c>
      <c r="B106" s="157"/>
      <c r="C106" s="158" t="s">
        <v>327</v>
      </c>
      <c r="D106" s="159" t="s">
        <v>24</v>
      </c>
      <c r="E106" s="173" t="s">
        <v>921</v>
      </c>
      <c r="F106" s="59"/>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row>
    <row r="107" spans="1:192" ht="56.25" outlineLevel="1" x14ac:dyDescent="0.25">
      <c r="A107" s="290" t="s">
        <v>6</v>
      </c>
      <c r="B107" s="157"/>
      <c r="C107" s="158" t="s">
        <v>685</v>
      </c>
      <c r="D107" s="159" t="s">
        <v>24</v>
      </c>
      <c r="E107" s="173" t="s">
        <v>922</v>
      </c>
      <c r="F107" s="61"/>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row>
    <row r="108" spans="1:192" ht="56.25" outlineLevel="1" x14ac:dyDescent="0.25">
      <c r="A108" s="290" t="s">
        <v>6</v>
      </c>
      <c r="B108" s="160" t="s">
        <v>923</v>
      </c>
      <c r="C108" s="161" t="s">
        <v>328</v>
      </c>
      <c r="D108" s="162" t="s">
        <v>24</v>
      </c>
      <c r="E108" s="172" t="s">
        <v>924</v>
      </c>
      <c r="F108" s="61"/>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row>
    <row r="109" spans="1:192" ht="56.25" outlineLevel="1" x14ac:dyDescent="0.25">
      <c r="A109" s="290" t="s">
        <v>6</v>
      </c>
      <c r="B109" s="160"/>
      <c r="C109" s="161" t="s">
        <v>329</v>
      </c>
      <c r="D109" s="162" t="s">
        <v>24</v>
      </c>
      <c r="E109" s="172" t="s">
        <v>925</v>
      </c>
      <c r="F109" s="59"/>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row>
    <row r="110" spans="1:192" ht="78.75" outlineLevel="1" x14ac:dyDescent="0.25">
      <c r="A110" s="290" t="s">
        <v>6</v>
      </c>
      <c r="B110" s="157" t="s">
        <v>926</v>
      </c>
      <c r="C110" s="158" t="s">
        <v>330</v>
      </c>
      <c r="D110" s="159" t="s">
        <v>24</v>
      </c>
      <c r="E110" s="170" t="s">
        <v>927</v>
      </c>
      <c r="F110" s="59"/>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row>
    <row r="111" spans="1:192" ht="78.75" outlineLevel="1" x14ac:dyDescent="0.25">
      <c r="A111" s="290" t="s">
        <v>6</v>
      </c>
      <c r="B111" s="157"/>
      <c r="C111" s="158" t="s">
        <v>331</v>
      </c>
      <c r="D111" s="159" t="s">
        <v>24</v>
      </c>
      <c r="E111" s="170" t="s">
        <v>928</v>
      </c>
      <c r="F111" s="61"/>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row>
    <row r="112" spans="1:192" ht="22.5" outlineLevel="1" x14ac:dyDescent="0.25">
      <c r="A112" s="278" t="s">
        <v>9</v>
      </c>
      <c r="B112" s="160" t="s">
        <v>929</v>
      </c>
      <c r="C112" s="161" t="s">
        <v>335</v>
      </c>
      <c r="D112" s="162" t="s">
        <v>24</v>
      </c>
      <c r="E112" s="172" t="s">
        <v>686</v>
      </c>
      <c r="F112" s="59"/>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row>
    <row r="113" spans="1:192" ht="45" outlineLevel="1" x14ac:dyDescent="0.25">
      <c r="A113" s="278" t="s">
        <v>9</v>
      </c>
      <c r="B113" s="157" t="s">
        <v>930</v>
      </c>
      <c r="C113" s="158" t="s">
        <v>336</v>
      </c>
      <c r="D113" s="159" t="s">
        <v>24</v>
      </c>
      <c r="E113" s="173" t="s">
        <v>930</v>
      </c>
      <c r="F113" s="61"/>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row>
    <row r="114" spans="1:192" ht="45" outlineLevel="1" x14ac:dyDescent="0.25">
      <c r="A114" s="278" t="s">
        <v>9</v>
      </c>
      <c r="B114" s="328" t="s">
        <v>1243</v>
      </c>
      <c r="C114" s="161" t="s">
        <v>337</v>
      </c>
      <c r="D114" s="162" t="s">
        <v>24</v>
      </c>
      <c r="E114" s="322" t="s">
        <v>1223</v>
      </c>
      <c r="F114" s="59"/>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row>
    <row r="115" spans="1:192" ht="56.25" outlineLevel="1" x14ac:dyDescent="0.25">
      <c r="A115" s="278" t="s">
        <v>9</v>
      </c>
      <c r="B115" s="157" t="s">
        <v>931</v>
      </c>
      <c r="C115" s="158" t="s">
        <v>338</v>
      </c>
      <c r="D115" s="159" t="s">
        <v>24</v>
      </c>
      <c r="E115" s="173" t="s">
        <v>931</v>
      </c>
      <c r="F115" s="61"/>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row>
    <row r="116" spans="1:192" ht="33.75" outlineLevel="1" x14ac:dyDescent="0.25">
      <c r="A116" s="278" t="s">
        <v>9</v>
      </c>
      <c r="B116" s="160" t="s">
        <v>932</v>
      </c>
      <c r="C116" s="161" t="s">
        <v>339</v>
      </c>
      <c r="D116" s="162" t="s">
        <v>24</v>
      </c>
      <c r="E116" s="172" t="s">
        <v>933</v>
      </c>
      <c r="F116" s="59"/>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row>
    <row r="117" spans="1:192" ht="56.25" outlineLevel="1" x14ac:dyDescent="0.25">
      <c r="A117" s="278" t="s">
        <v>9</v>
      </c>
      <c r="B117" s="157" t="s">
        <v>340</v>
      </c>
      <c r="C117" s="158" t="s">
        <v>341</v>
      </c>
      <c r="D117" s="159" t="s">
        <v>24</v>
      </c>
      <c r="E117" s="173" t="s">
        <v>934</v>
      </c>
      <c r="F117" s="59"/>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row>
    <row r="118" spans="1:192" ht="56.25" outlineLevel="1" x14ac:dyDescent="0.25">
      <c r="A118" s="278" t="s">
        <v>9</v>
      </c>
      <c r="B118" s="157"/>
      <c r="C118" s="158" t="s">
        <v>342</v>
      </c>
      <c r="D118" s="159" t="s">
        <v>24</v>
      </c>
      <c r="E118" s="173" t="s">
        <v>935</v>
      </c>
      <c r="F118" s="59"/>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row>
    <row r="119" spans="1:192" ht="33.75" outlineLevel="1" x14ac:dyDescent="0.25">
      <c r="A119" s="278" t="s">
        <v>9</v>
      </c>
      <c r="B119" s="157"/>
      <c r="C119" s="158" t="s">
        <v>687</v>
      </c>
      <c r="D119" s="159" t="s">
        <v>24</v>
      </c>
      <c r="E119" s="173" t="s">
        <v>936</v>
      </c>
      <c r="F119" s="61"/>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row>
    <row r="120" spans="1:192" ht="22.5" outlineLevel="1" x14ac:dyDescent="0.25">
      <c r="A120" s="278" t="s">
        <v>9</v>
      </c>
      <c r="B120" s="157"/>
      <c r="C120" s="158" t="s">
        <v>1224</v>
      </c>
      <c r="D120" s="159" t="s">
        <v>24</v>
      </c>
      <c r="E120" s="321" t="s">
        <v>1225</v>
      </c>
      <c r="F120" s="61"/>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row>
    <row r="121" spans="1:192" ht="78.75" outlineLevel="1" x14ac:dyDescent="0.25">
      <c r="A121" s="278" t="s">
        <v>9</v>
      </c>
      <c r="B121" s="160" t="s">
        <v>937</v>
      </c>
      <c r="C121" s="161" t="s">
        <v>343</v>
      </c>
      <c r="D121" s="162" t="s">
        <v>24</v>
      </c>
      <c r="E121" s="172" t="s">
        <v>938</v>
      </c>
      <c r="F121" s="61"/>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row>
    <row r="122" spans="1:192" ht="78.75" outlineLevel="1" x14ac:dyDescent="0.25">
      <c r="A122" s="278" t="s">
        <v>9</v>
      </c>
      <c r="B122" s="160"/>
      <c r="C122" s="161" t="s">
        <v>344</v>
      </c>
      <c r="D122" s="162" t="s">
        <v>24</v>
      </c>
      <c r="E122" s="172" t="s">
        <v>939</v>
      </c>
      <c r="F122" s="61"/>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row>
    <row r="123" spans="1:192" ht="67.5" outlineLevel="1" x14ac:dyDescent="0.25">
      <c r="A123" s="278" t="s">
        <v>9</v>
      </c>
      <c r="B123" s="160"/>
      <c r="C123" s="161" t="s">
        <v>345</v>
      </c>
      <c r="D123" s="162" t="s">
        <v>24</v>
      </c>
      <c r="E123" s="172" t="s">
        <v>940</v>
      </c>
      <c r="F123" s="61"/>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row>
    <row r="124" spans="1:192" ht="45" outlineLevel="1" x14ac:dyDescent="0.25">
      <c r="A124" s="278" t="s">
        <v>9</v>
      </c>
      <c r="B124" s="160"/>
      <c r="C124" s="161" t="s">
        <v>346</v>
      </c>
      <c r="D124" s="162" t="s">
        <v>24</v>
      </c>
      <c r="E124" s="172" t="s">
        <v>941</v>
      </c>
      <c r="F124" s="59"/>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row>
    <row r="125" spans="1:192" ht="78.75" outlineLevel="1" x14ac:dyDescent="0.25">
      <c r="A125" s="278" t="s">
        <v>9</v>
      </c>
      <c r="B125" s="160"/>
      <c r="C125" s="161" t="s">
        <v>688</v>
      </c>
      <c r="D125" s="162" t="s">
        <v>24</v>
      </c>
      <c r="E125" s="172" t="s">
        <v>942</v>
      </c>
      <c r="F125" s="61"/>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row>
    <row r="126" spans="1:192" ht="78.75" x14ac:dyDescent="0.25">
      <c r="A126" s="278" t="s">
        <v>9</v>
      </c>
      <c r="B126" s="157" t="s">
        <v>943</v>
      </c>
      <c r="C126" s="158" t="s">
        <v>347</v>
      </c>
      <c r="D126" s="159" t="s">
        <v>24</v>
      </c>
      <c r="E126" s="322" t="s">
        <v>1226</v>
      </c>
      <c r="F126" s="61"/>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row>
    <row r="127" spans="1:192" ht="56.25" outlineLevel="1" x14ac:dyDescent="0.25">
      <c r="A127" s="290" t="s">
        <v>348</v>
      </c>
      <c r="B127" s="160" t="s">
        <v>944</v>
      </c>
      <c r="C127" s="161" t="s">
        <v>349</v>
      </c>
      <c r="D127" s="162" t="s">
        <v>24</v>
      </c>
      <c r="E127" s="172" t="s">
        <v>945</v>
      </c>
      <c r="F127" s="61"/>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row>
    <row r="128" spans="1:192" ht="56.25" outlineLevel="1" x14ac:dyDescent="0.25">
      <c r="A128" s="290" t="s">
        <v>348</v>
      </c>
      <c r="B128" s="160"/>
      <c r="C128" s="161" t="s">
        <v>350</v>
      </c>
      <c r="D128" s="162" t="s">
        <v>24</v>
      </c>
      <c r="E128" s="172" t="s">
        <v>946</v>
      </c>
      <c r="F128" s="61"/>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row>
    <row r="129" spans="1:192" ht="56.25" outlineLevel="1" x14ac:dyDescent="0.25">
      <c r="A129" s="290" t="s">
        <v>348</v>
      </c>
      <c r="B129" s="160"/>
      <c r="C129" s="161" t="s">
        <v>351</v>
      </c>
      <c r="D129" s="162" t="s">
        <v>24</v>
      </c>
      <c r="E129" s="172" t="s">
        <v>947</v>
      </c>
      <c r="F129" s="61"/>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row>
    <row r="130" spans="1:192" ht="45" outlineLevel="1" x14ac:dyDescent="0.25">
      <c r="A130" s="290" t="s">
        <v>348</v>
      </c>
      <c r="B130" s="160"/>
      <c r="C130" s="161" t="s">
        <v>689</v>
      </c>
      <c r="D130" s="162" t="s">
        <v>24</v>
      </c>
      <c r="E130" s="172" t="s">
        <v>948</v>
      </c>
      <c r="F130" s="59"/>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row>
    <row r="131" spans="1:192" ht="22.5" outlineLevel="1" x14ac:dyDescent="0.25">
      <c r="A131" s="290" t="s">
        <v>348</v>
      </c>
      <c r="B131" s="160"/>
      <c r="C131" s="161" t="s">
        <v>690</v>
      </c>
      <c r="D131" s="162" t="s">
        <v>24</v>
      </c>
      <c r="E131" s="172" t="s">
        <v>949</v>
      </c>
      <c r="F131" s="61"/>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row>
    <row r="132" spans="1:192" ht="22.5" outlineLevel="1" x14ac:dyDescent="0.25">
      <c r="A132" s="290" t="s">
        <v>348</v>
      </c>
      <c r="B132" s="328" t="s">
        <v>1244</v>
      </c>
      <c r="C132" s="158" t="s">
        <v>352</v>
      </c>
      <c r="D132" s="159" t="s">
        <v>24</v>
      </c>
      <c r="E132" s="321" t="s">
        <v>1227</v>
      </c>
      <c r="F132" s="61"/>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row>
    <row r="133" spans="1:192" ht="78.75" outlineLevel="1" x14ac:dyDescent="0.25">
      <c r="A133" s="278" t="s">
        <v>8</v>
      </c>
      <c r="B133" s="160" t="s">
        <v>950</v>
      </c>
      <c r="C133" s="161" t="s">
        <v>353</v>
      </c>
      <c r="D133" s="162" t="s">
        <v>24</v>
      </c>
      <c r="E133" s="164" t="s">
        <v>951</v>
      </c>
      <c r="F133" s="61"/>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row>
    <row r="134" spans="1:192" ht="56.25" outlineLevel="1" x14ac:dyDescent="0.25">
      <c r="A134" s="278" t="s">
        <v>8</v>
      </c>
      <c r="B134" s="160"/>
      <c r="C134" s="161" t="s">
        <v>354</v>
      </c>
      <c r="D134" s="162" t="s">
        <v>24</v>
      </c>
      <c r="E134" s="172" t="s">
        <v>952</v>
      </c>
      <c r="F134" s="59"/>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row>
    <row r="135" spans="1:192" ht="56.25" outlineLevel="1" x14ac:dyDescent="0.25">
      <c r="A135" s="278" t="s">
        <v>8</v>
      </c>
      <c r="B135" s="160"/>
      <c r="C135" s="161" t="s">
        <v>355</v>
      </c>
      <c r="D135" s="162" t="s">
        <v>24</v>
      </c>
      <c r="E135" s="164" t="s">
        <v>953</v>
      </c>
      <c r="F135" s="59"/>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row>
    <row r="136" spans="1:192" ht="135" outlineLevel="1" x14ac:dyDescent="0.25">
      <c r="A136" s="278" t="s">
        <v>8</v>
      </c>
      <c r="B136" s="157" t="s">
        <v>954</v>
      </c>
      <c r="C136" s="158" t="s">
        <v>356</v>
      </c>
      <c r="D136" s="159" t="s">
        <v>24</v>
      </c>
      <c r="E136" s="170" t="s">
        <v>955</v>
      </c>
      <c r="F136" s="61"/>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row>
    <row r="137" spans="1:192" ht="45" outlineLevel="1" x14ac:dyDescent="0.25">
      <c r="A137" s="278" t="s">
        <v>8</v>
      </c>
      <c r="B137" s="157"/>
      <c r="C137" s="158" t="s">
        <v>357</v>
      </c>
      <c r="D137" s="159" t="s">
        <v>24</v>
      </c>
      <c r="E137" s="163" t="s">
        <v>956</v>
      </c>
      <c r="F137" s="61"/>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row>
    <row r="138" spans="1:192" ht="56.25" outlineLevel="1" x14ac:dyDescent="0.25">
      <c r="A138" s="278" t="s">
        <v>8</v>
      </c>
      <c r="B138" s="160" t="s">
        <v>957</v>
      </c>
      <c r="C138" s="161" t="s">
        <v>358</v>
      </c>
      <c r="D138" s="162" t="s">
        <v>24</v>
      </c>
      <c r="E138" s="164" t="s">
        <v>958</v>
      </c>
      <c r="F138" s="59"/>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row>
    <row r="139" spans="1:192" ht="22.5" outlineLevel="1" x14ac:dyDescent="0.25">
      <c r="A139" s="278" t="s">
        <v>8</v>
      </c>
      <c r="B139" s="160"/>
      <c r="C139" s="161" t="s">
        <v>360</v>
      </c>
      <c r="D139" s="162" t="s">
        <v>24</v>
      </c>
      <c r="E139" s="172" t="s">
        <v>359</v>
      </c>
      <c r="F139" s="61"/>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row>
    <row r="140" spans="1:192" ht="78.75" outlineLevel="1" x14ac:dyDescent="0.25">
      <c r="A140" s="278" t="s">
        <v>8</v>
      </c>
      <c r="B140" s="157" t="s">
        <v>959</v>
      </c>
      <c r="C140" s="158" t="s">
        <v>361</v>
      </c>
      <c r="D140" s="159" t="s">
        <v>24</v>
      </c>
      <c r="E140" s="170" t="s">
        <v>960</v>
      </c>
      <c r="F140" s="61"/>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row>
    <row r="141" spans="1:192" ht="56.25" outlineLevel="1" x14ac:dyDescent="0.25">
      <c r="A141" s="278" t="s">
        <v>8</v>
      </c>
      <c r="B141" s="160" t="s">
        <v>961</v>
      </c>
      <c r="C141" s="161" t="s">
        <v>362</v>
      </c>
      <c r="D141" s="162" t="s">
        <v>25</v>
      </c>
      <c r="E141" s="172" t="s">
        <v>962</v>
      </c>
      <c r="F141" s="61"/>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row>
    <row r="142" spans="1:192" ht="22.5" outlineLevel="1" x14ac:dyDescent="0.25">
      <c r="A142" s="278" t="s">
        <v>8</v>
      </c>
      <c r="B142" s="164"/>
      <c r="C142" s="161" t="s">
        <v>691</v>
      </c>
      <c r="D142" s="162" t="s">
        <v>25</v>
      </c>
      <c r="E142" s="172" t="s">
        <v>963</v>
      </c>
      <c r="F142" s="59"/>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row>
    <row r="143" spans="1:192" ht="33.75" outlineLevel="1" x14ac:dyDescent="0.25">
      <c r="A143" s="278" t="s">
        <v>8</v>
      </c>
      <c r="B143" s="164"/>
      <c r="C143" s="161" t="s">
        <v>692</v>
      </c>
      <c r="D143" s="168" t="s">
        <v>25</v>
      </c>
      <c r="E143" s="172" t="s">
        <v>964</v>
      </c>
      <c r="F143" s="59"/>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row>
    <row r="144" spans="1:192" ht="33.75" outlineLevel="1" x14ac:dyDescent="0.25">
      <c r="A144" s="290" t="s">
        <v>363</v>
      </c>
      <c r="B144" s="157" t="s">
        <v>965</v>
      </c>
      <c r="C144" s="157" t="s">
        <v>364</v>
      </c>
      <c r="D144" s="169" t="s">
        <v>24</v>
      </c>
      <c r="E144" s="173" t="s">
        <v>966</v>
      </c>
      <c r="F144" s="59"/>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row>
    <row r="145" spans="1:192" ht="22.5" x14ac:dyDescent="0.25">
      <c r="A145" s="290" t="s">
        <v>363</v>
      </c>
      <c r="B145" s="157"/>
      <c r="C145" s="157" t="s">
        <v>365</v>
      </c>
      <c r="D145" s="169" t="s">
        <v>24</v>
      </c>
      <c r="E145" s="173" t="s">
        <v>967</v>
      </c>
      <c r="F145" s="61"/>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row>
    <row r="146" spans="1:192" ht="22.5" outlineLevel="1" x14ac:dyDescent="0.25">
      <c r="A146" s="290" t="s">
        <v>363</v>
      </c>
      <c r="B146" s="157"/>
      <c r="C146" s="157" t="s">
        <v>366</v>
      </c>
      <c r="D146" s="169" t="s">
        <v>24</v>
      </c>
      <c r="E146" s="173" t="s">
        <v>968</v>
      </c>
      <c r="F146" s="59"/>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row>
    <row r="147" spans="1:192" ht="78.75" outlineLevel="1" x14ac:dyDescent="0.25">
      <c r="A147" s="290" t="s">
        <v>363</v>
      </c>
      <c r="B147" s="328" t="s">
        <v>1245</v>
      </c>
      <c r="C147" s="160" t="s">
        <v>367</v>
      </c>
      <c r="D147" s="168" t="s">
        <v>24</v>
      </c>
      <c r="E147" s="321" t="s">
        <v>1228</v>
      </c>
      <c r="F147" s="61"/>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row>
    <row r="148" spans="1:192" ht="67.5" outlineLevel="1" x14ac:dyDescent="0.25">
      <c r="A148" s="290" t="s">
        <v>363</v>
      </c>
      <c r="B148" s="157" t="s">
        <v>969</v>
      </c>
      <c r="C148" s="157" t="s">
        <v>368</v>
      </c>
      <c r="D148" s="169" t="s">
        <v>24</v>
      </c>
      <c r="E148" s="170" t="s">
        <v>970</v>
      </c>
      <c r="F148" s="59"/>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row>
    <row r="149" spans="1:192" ht="45" outlineLevel="1" x14ac:dyDescent="0.25">
      <c r="A149" s="290" t="s">
        <v>363</v>
      </c>
      <c r="B149" s="160" t="s">
        <v>971</v>
      </c>
      <c r="C149" s="160" t="s">
        <v>369</v>
      </c>
      <c r="D149" s="168" t="s">
        <v>24</v>
      </c>
      <c r="E149" s="164" t="s">
        <v>972</v>
      </c>
      <c r="F149" s="61"/>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row>
    <row r="150" spans="1:192" ht="22.5" outlineLevel="1" x14ac:dyDescent="0.25">
      <c r="A150" s="290" t="s">
        <v>363</v>
      </c>
      <c r="B150" s="157" t="s">
        <v>973</v>
      </c>
      <c r="C150" s="157" t="s">
        <v>370</v>
      </c>
      <c r="D150" s="169" t="s">
        <v>24</v>
      </c>
      <c r="E150" s="173" t="s">
        <v>974</v>
      </c>
      <c r="F150" s="59"/>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row>
    <row r="151" spans="1:192" ht="33.75" outlineLevel="1" x14ac:dyDescent="0.25">
      <c r="A151" s="290" t="s">
        <v>363</v>
      </c>
      <c r="B151" s="160" t="s">
        <v>975</v>
      </c>
      <c r="C151" s="160" t="s">
        <v>371</v>
      </c>
      <c r="D151" s="168" t="s">
        <v>24</v>
      </c>
      <c r="E151" s="172" t="s">
        <v>976</v>
      </c>
      <c r="F151" s="61"/>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row>
    <row r="152" spans="1:192" ht="78.75" outlineLevel="1" x14ac:dyDescent="0.25">
      <c r="A152" s="290" t="s">
        <v>363</v>
      </c>
      <c r="B152" s="170" t="s">
        <v>977</v>
      </c>
      <c r="C152" s="170" t="s">
        <v>372</v>
      </c>
      <c r="D152" s="169" t="s">
        <v>25</v>
      </c>
      <c r="E152" s="170" t="s">
        <v>978</v>
      </c>
      <c r="F152" s="59"/>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row>
    <row r="153" spans="1:192" ht="45" outlineLevel="1" x14ac:dyDescent="0.25">
      <c r="A153" s="290" t="s">
        <v>363</v>
      </c>
      <c r="B153" s="164" t="s">
        <v>693</v>
      </c>
      <c r="C153" s="164" t="s">
        <v>373</v>
      </c>
      <c r="D153" s="168" t="s">
        <v>25</v>
      </c>
      <c r="E153" s="172" t="s">
        <v>979</v>
      </c>
      <c r="F153" s="61"/>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row>
    <row r="154" spans="1:192" ht="56.25" outlineLevel="1" x14ac:dyDescent="0.25">
      <c r="A154" s="290" t="s">
        <v>363</v>
      </c>
      <c r="B154" s="170" t="s">
        <v>980</v>
      </c>
      <c r="C154" s="170" t="s">
        <v>374</v>
      </c>
      <c r="D154" s="169" t="s">
        <v>24</v>
      </c>
      <c r="E154" s="173" t="s">
        <v>981</v>
      </c>
      <c r="F154" s="61"/>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row>
    <row r="155" spans="1:192" ht="33.75" outlineLevel="1" x14ac:dyDescent="0.25">
      <c r="A155" s="290" t="s">
        <v>363</v>
      </c>
      <c r="B155" s="164" t="s">
        <v>982</v>
      </c>
      <c r="C155" s="164" t="s">
        <v>375</v>
      </c>
      <c r="D155" s="168" t="s">
        <v>24</v>
      </c>
      <c r="E155" s="172" t="s">
        <v>649</v>
      </c>
      <c r="F155" s="59"/>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row>
    <row r="156" spans="1:192" ht="45" outlineLevel="1" x14ac:dyDescent="0.25">
      <c r="A156" s="290" t="s">
        <v>363</v>
      </c>
      <c r="B156" s="164"/>
      <c r="C156" s="164" t="s">
        <v>486</v>
      </c>
      <c r="D156" s="168" t="s">
        <v>24</v>
      </c>
      <c r="E156" s="172" t="s">
        <v>983</v>
      </c>
      <c r="F156" s="59"/>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row>
    <row r="157" spans="1:192" ht="45" outlineLevel="1" x14ac:dyDescent="0.25">
      <c r="A157" s="278" t="s">
        <v>376</v>
      </c>
      <c r="B157" s="170" t="s">
        <v>984</v>
      </c>
      <c r="C157" s="170" t="s">
        <v>377</v>
      </c>
      <c r="D157" s="169" t="s">
        <v>24</v>
      </c>
      <c r="E157" s="173" t="s">
        <v>694</v>
      </c>
      <c r="F157" s="59"/>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row>
    <row r="158" spans="1:192" ht="33.75" x14ac:dyDescent="0.25">
      <c r="A158" s="278" t="s">
        <v>376</v>
      </c>
      <c r="B158" s="170"/>
      <c r="C158" s="170" t="s">
        <v>378</v>
      </c>
      <c r="D158" s="169" t="s">
        <v>24</v>
      </c>
      <c r="E158" s="173" t="s">
        <v>985</v>
      </c>
      <c r="F158" s="61"/>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row>
    <row r="159" spans="1:192" ht="45" outlineLevel="1" x14ac:dyDescent="0.25">
      <c r="A159" s="278" t="s">
        <v>376</v>
      </c>
      <c r="B159" s="170"/>
      <c r="C159" s="170" t="s">
        <v>379</v>
      </c>
      <c r="D159" s="169" t="s">
        <v>24</v>
      </c>
      <c r="E159" s="173" t="s">
        <v>695</v>
      </c>
      <c r="F159" s="59"/>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row>
    <row r="160" spans="1:192" ht="112.5" outlineLevel="1" x14ac:dyDescent="0.25">
      <c r="A160" s="278" t="s">
        <v>376</v>
      </c>
      <c r="B160" s="164" t="s">
        <v>986</v>
      </c>
      <c r="C160" s="164" t="s">
        <v>380</v>
      </c>
      <c r="D160" s="168" t="s">
        <v>24</v>
      </c>
      <c r="E160" s="172" t="s">
        <v>987</v>
      </c>
      <c r="F160" s="59"/>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row>
    <row r="161" spans="1:192" ht="45" outlineLevel="1" x14ac:dyDescent="0.25">
      <c r="A161" s="278" t="s">
        <v>376</v>
      </c>
      <c r="B161" s="170" t="s">
        <v>988</v>
      </c>
      <c r="C161" s="170" t="s">
        <v>381</v>
      </c>
      <c r="D161" s="169" t="s">
        <v>24</v>
      </c>
      <c r="E161" s="173" t="s">
        <v>989</v>
      </c>
      <c r="F161" s="59"/>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row>
    <row r="162" spans="1:192" ht="45" outlineLevel="1" x14ac:dyDescent="0.25">
      <c r="A162" s="278" t="s">
        <v>376</v>
      </c>
      <c r="B162" s="170"/>
      <c r="C162" s="170" t="s">
        <v>382</v>
      </c>
      <c r="D162" s="169" t="s">
        <v>24</v>
      </c>
      <c r="E162" s="173" t="s">
        <v>990</v>
      </c>
      <c r="F162" s="61"/>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row>
    <row r="163" spans="1:192" ht="33.75" outlineLevel="1" x14ac:dyDescent="0.25">
      <c r="A163" s="278" t="s">
        <v>376</v>
      </c>
      <c r="B163" s="170"/>
      <c r="C163" s="170" t="s">
        <v>383</v>
      </c>
      <c r="D163" s="169" t="s">
        <v>24</v>
      </c>
      <c r="E163" s="173" t="s">
        <v>991</v>
      </c>
      <c r="F163" s="61"/>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row>
    <row r="164" spans="1:192" ht="33.75" outlineLevel="1" x14ac:dyDescent="0.25">
      <c r="A164" s="278" t="s">
        <v>376</v>
      </c>
      <c r="B164" s="164" t="s">
        <v>992</v>
      </c>
      <c r="C164" s="164" t="s">
        <v>384</v>
      </c>
      <c r="D164" s="168" t="s">
        <v>24</v>
      </c>
      <c r="E164" s="172" t="s">
        <v>993</v>
      </c>
      <c r="F164" s="59"/>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row>
    <row r="165" spans="1:192" ht="33.75" outlineLevel="1" x14ac:dyDescent="0.25">
      <c r="A165" s="278" t="s">
        <v>376</v>
      </c>
      <c r="B165" s="164"/>
      <c r="C165" s="164" t="s">
        <v>696</v>
      </c>
      <c r="D165" s="168" t="s">
        <v>24</v>
      </c>
      <c r="E165" s="172" t="s">
        <v>994</v>
      </c>
      <c r="F165" s="59"/>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row>
    <row r="166" spans="1:192" ht="56.25" x14ac:dyDescent="0.25">
      <c r="A166" s="290" t="s">
        <v>385</v>
      </c>
      <c r="B166" s="170" t="s">
        <v>995</v>
      </c>
      <c r="C166" s="170" t="s">
        <v>386</v>
      </c>
      <c r="D166" s="169" t="s">
        <v>24</v>
      </c>
      <c r="E166" s="173" t="s">
        <v>996</v>
      </c>
      <c r="F166" s="59"/>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row>
    <row r="167" spans="1:192" ht="33.75" outlineLevel="1" x14ac:dyDescent="0.25">
      <c r="A167" s="290" t="s">
        <v>385</v>
      </c>
      <c r="B167" s="170"/>
      <c r="C167" s="170" t="s">
        <v>387</v>
      </c>
      <c r="D167" s="169" t="s">
        <v>24</v>
      </c>
      <c r="E167" s="173" t="s">
        <v>997</v>
      </c>
      <c r="F167" s="61"/>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row>
    <row r="168" spans="1:192" ht="56.25" outlineLevel="1" x14ac:dyDescent="0.25">
      <c r="A168" s="290" t="s">
        <v>385</v>
      </c>
      <c r="B168" s="170"/>
      <c r="C168" s="170" t="s">
        <v>388</v>
      </c>
      <c r="D168" s="169" t="s">
        <v>24</v>
      </c>
      <c r="E168" s="170" t="s">
        <v>998</v>
      </c>
      <c r="F168" s="59"/>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row>
    <row r="169" spans="1:192" ht="56.25" outlineLevel="1" x14ac:dyDescent="0.25">
      <c r="A169" s="290" t="s">
        <v>385</v>
      </c>
      <c r="B169" s="322" t="s">
        <v>1229</v>
      </c>
      <c r="C169" s="164" t="s">
        <v>389</v>
      </c>
      <c r="D169" s="168" t="s">
        <v>24</v>
      </c>
      <c r="E169" s="172" t="s">
        <v>999</v>
      </c>
      <c r="F169" s="61"/>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row>
    <row r="170" spans="1:192" ht="56.25" outlineLevel="1" x14ac:dyDescent="0.25">
      <c r="A170" s="290" t="s">
        <v>385</v>
      </c>
      <c r="B170" s="170" t="s">
        <v>1000</v>
      </c>
      <c r="C170" s="170" t="s">
        <v>390</v>
      </c>
      <c r="D170" s="169" t="s">
        <v>24</v>
      </c>
      <c r="E170" s="173" t="s">
        <v>1000</v>
      </c>
      <c r="F170" s="61"/>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row>
    <row r="171" spans="1:192" ht="90" outlineLevel="1" x14ac:dyDescent="0.25">
      <c r="A171" s="290" t="s">
        <v>385</v>
      </c>
      <c r="B171" s="164" t="s">
        <v>1001</v>
      </c>
      <c r="C171" s="164" t="s">
        <v>391</v>
      </c>
      <c r="D171" s="168" t="s">
        <v>25</v>
      </c>
      <c r="E171" s="172" t="s">
        <v>1002</v>
      </c>
      <c r="F171" s="61"/>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row>
    <row r="172" spans="1:192" ht="90" outlineLevel="1" x14ac:dyDescent="0.25">
      <c r="A172" s="290" t="s">
        <v>385</v>
      </c>
      <c r="B172" s="164"/>
      <c r="C172" s="164" t="s">
        <v>393</v>
      </c>
      <c r="D172" s="168" t="s">
        <v>25</v>
      </c>
      <c r="E172" s="172" t="s">
        <v>1003</v>
      </c>
      <c r="F172" s="59"/>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row>
    <row r="173" spans="1:192" ht="56.25" outlineLevel="1" x14ac:dyDescent="0.25">
      <c r="A173" s="290" t="s">
        <v>385</v>
      </c>
      <c r="B173" s="170" t="s">
        <v>1004</v>
      </c>
      <c r="C173" s="170" t="s">
        <v>392</v>
      </c>
      <c r="D173" s="169" t="s">
        <v>25</v>
      </c>
      <c r="E173" s="173" t="s">
        <v>1005</v>
      </c>
      <c r="F173" s="59"/>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row>
    <row r="174" spans="1:192" ht="45" outlineLevel="1" x14ac:dyDescent="0.25">
      <c r="A174" s="290" t="s">
        <v>385</v>
      </c>
      <c r="B174" s="170"/>
      <c r="C174" s="170" t="s">
        <v>394</v>
      </c>
      <c r="D174" s="169" t="s">
        <v>25</v>
      </c>
      <c r="E174" s="173" t="s">
        <v>1006</v>
      </c>
      <c r="F174" s="59"/>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row>
    <row r="175" spans="1:192" ht="56.25" outlineLevel="1" x14ac:dyDescent="0.25">
      <c r="A175" s="290" t="s">
        <v>385</v>
      </c>
      <c r="B175" s="170"/>
      <c r="C175" s="170" t="s">
        <v>395</v>
      </c>
      <c r="D175" s="169" t="s">
        <v>25</v>
      </c>
      <c r="E175" s="173" t="s">
        <v>1007</v>
      </c>
      <c r="F175" s="61"/>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row>
    <row r="176" spans="1:192" ht="90" outlineLevel="1" x14ac:dyDescent="0.25">
      <c r="A176" s="290" t="s">
        <v>385</v>
      </c>
      <c r="B176" s="164" t="s">
        <v>1008</v>
      </c>
      <c r="C176" s="164" t="s">
        <v>396</v>
      </c>
      <c r="D176" s="168" t="s">
        <v>24</v>
      </c>
      <c r="E176" s="172" t="s">
        <v>1009</v>
      </c>
      <c r="F176" s="59"/>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row>
    <row r="177" spans="1:192" ht="45" outlineLevel="1" x14ac:dyDescent="0.25">
      <c r="A177" s="290" t="s">
        <v>385</v>
      </c>
      <c r="B177" s="170" t="s">
        <v>1010</v>
      </c>
      <c r="C177" s="170" t="s">
        <v>397</v>
      </c>
      <c r="D177" s="169" t="s">
        <v>24</v>
      </c>
      <c r="E177" s="173" t="s">
        <v>1011</v>
      </c>
      <c r="F177" s="61"/>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row>
    <row r="178" spans="1:192" ht="90" outlineLevel="1" x14ac:dyDescent="0.25">
      <c r="A178" s="290" t="s">
        <v>385</v>
      </c>
      <c r="B178" s="164" t="s">
        <v>697</v>
      </c>
      <c r="C178" s="164" t="s">
        <v>398</v>
      </c>
      <c r="D178" s="168" t="s">
        <v>24</v>
      </c>
      <c r="E178" s="164" t="s">
        <v>1012</v>
      </c>
      <c r="F178" s="59"/>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row>
    <row r="179" spans="1:192" ht="67.5" x14ac:dyDescent="0.25">
      <c r="A179" s="290" t="s">
        <v>385</v>
      </c>
      <c r="B179" s="170" t="s">
        <v>1013</v>
      </c>
      <c r="C179" s="170" t="s">
        <v>399</v>
      </c>
      <c r="D179" s="169" t="s">
        <v>24</v>
      </c>
      <c r="E179" s="173" t="s">
        <v>1015</v>
      </c>
      <c r="F179" s="59"/>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row>
    <row r="180" spans="1:192" ht="33.75" outlineLevel="1" x14ac:dyDescent="0.25">
      <c r="A180" s="290" t="s">
        <v>385</v>
      </c>
      <c r="B180" s="170"/>
      <c r="C180" s="170" t="s">
        <v>698</v>
      </c>
      <c r="D180" s="169" t="s">
        <v>24</v>
      </c>
      <c r="E180" s="173" t="s">
        <v>1016</v>
      </c>
      <c r="F180" s="59"/>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row>
    <row r="181" spans="1:192" ht="33.75" outlineLevel="1" x14ac:dyDescent="0.25">
      <c r="A181" s="290" t="s">
        <v>385</v>
      </c>
      <c r="B181" s="170"/>
      <c r="C181" s="170" t="s">
        <v>699</v>
      </c>
      <c r="D181" s="169" t="s">
        <v>24</v>
      </c>
      <c r="E181" s="173" t="s">
        <v>1017</v>
      </c>
      <c r="F181" s="59"/>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row>
    <row r="182" spans="1:192" ht="33.75" outlineLevel="1" x14ac:dyDescent="0.25">
      <c r="A182" s="290" t="s">
        <v>385</v>
      </c>
      <c r="B182" s="170"/>
      <c r="C182" s="170" t="s">
        <v>700</v>
      </c>
      <c r="D182" s="169" t="s">
        <v>24</v>
      </c>
      <c r="E182" s="173" t="s">
        <v>1018</v>
      </c>
      <c r="F182" s="61"/>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row>
    <row r="183" spans="1:192" ht="78.75" outlineLevel="1" x14ac:dyDescent="0.25">
      <c r="A183" s="290" t="s">
        <v>385</v>
      </c>
      <c r="B183" s="164" t="s">
        <v>1014</v>
      </c>
      <c r="C183" s="164" t="s">
        <v>400</v>
      </c>
      <c r="D183" s="168" t="s">
        <v>24</v>
      </c>
      <c r="E183" s="172" t="s">
        <v>1019</v>
      </c>
      <c r="F183" s="61"/>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row>
    <row r="184" spans="1:192" ht="33.75" outlineLevel="1" x14ac:dyDescent="0.25">
      <c r="A184" s="290" t="s">
        <v>385</v>
      </c>
      <c r="B184" s="164"/>
      <c r="C184" s="164" t="s">
        <v>701</v>
      </c>
      <c r="D184" s="168" t="s">
        <v>24</v>
      </c>
      <c r="E184" s="172" t="s">
        <v>1020</v>
      </c>
      <c r="F184" s="61"/>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row>
    <row r="185" spans="1:192" ht="33.75" outlineLevel="1" x14ac:dyDescent="0.25">
      <c r="A185" s="290" t="s">
        <v>385</v>
      </c>
      <c r="B185" s="164"/>
      <c r="C185" s="164" t="s">
        <v>702</v>
      </c>
      <c r="D185" s="168" t="s">
        <v>24</v>
      </c>
      <c r="E185" s="172" t="s">
        <v>1021</v>
      </c>
      <c r="F185" s="61"/>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row>
    <row r="186" spans="1:192" ht="33.75" outlineLevel="1" x14ac:dyDescent="0.25">
      <c r="A186" s="290" t="s">
        <v>385</v>
      </c>
      <c r="B186" s="164"/>
      <c r="C186" s="164" t="s">
        <v>703</v>
      </c>
      <c r="D186" s="168" t="s">
        <v>24</v>
      </c>
      <c r="E186" s="172" t="s">
        <v>1022</v>
      </c>
      <c r="F186" s="59"/>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row>
    <row r="187" spans="1:192" ht="112.5" outlineLevel="1" x14ac:dyDescent="0.25">
      <c r="A187" s="290" t="s">
        <v>385</v>
      </c>
      <c r="B187" s="322" t="s">
        <v>1230</v>
      </c>
      <c r="C187" s="170" t="s">
        <v>401</v>
      </c>
      <c r="D187" s="169" t="s">
        <v>25</v>
      </c>
      <c r="E187" s="173" t="s">
        <v>1023</v>
      </c>
      <c r="F187" s="58"/>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row>
    <row r="188" spans="1:192" ht="45" outlineLevel="1" x14ac:dyDescent="0.25">
      <c r="A188" s="290" t="s">
        <v>385</v>
      </c>
      <c r="B188" s="170"/>
      <c r="C188" s="170" t="s">
        <v>704</v>
      </c>
      <c r="D188" s="169" t="s">
        <v>25</v>
      </c>
      <c r="E188" s="173" t="s">
        <v>1024</v>
      </c>
      <c r="F188" s="6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row>
    <row r="189" spans="1:192" ht="112.5" x14ac:dyDescent="0.25">
      <c r="A189" s="290" t="s">
        <v>385</v>
      </c>
      <c r="B189" s="164" t="s">
        <v>1025</v>
      </c>
      <c r="C189" s="164" t="s">
        <v>402</v>
      </c>
      <c r="D189" s="168" t="s">
        <v>25</v>
      </c>
      <c r="E189" s="172" t="s">
        <v>1026</v>
      </c>
      <c r="F189" s="58"/>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row>
    <row r="190" spans="1:192" ht="90" outlineLevel="1" x14ac:dyDescent="0.25">
      <c r="A190" s="290" t="s">
        <v>385</v>
      </c>
      <c r="B190" s="170" t="s">
        <v>1027</v>
      </c>
      <c r="C190" s="170" t="s">
        <v>403</v>
      </c>
      <c r="D190" s="169" t="s">
        <v>25</v>
      </c>
      <c r="E190" s="173" t="s">
        <v>1028</v>
      </c>
      <c r="F190" s="58"/>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row>
    <row r="191" spans="1:192" ht="33.75" outlineLevel="1" x14ac:dyDescent="0.25">
      <c r="A191" s="290" t="s">
        <v>385</v>
      </c>
      <c r="B191" s="170"/>
      <c r="C191" s="170" t="s">
        <v>705</v>
      </c>
      <c r="D191" s="169" t="s">
        <v>25</v>
      </c>
      <c r="E191" s="173" t="s">
        <v>1029</v>
      </c>
      <c r="F191" s="58"/>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row>
    <row r="192" spans="1:192" ht="112.5" outlineLevel="1" x14ac:dyDescent="0.25">
      <c r="A192" s="290" t="s">
        <v>385</v>
      </c>
      <c r="B192" s="170"/>
      <c r="C192" s="170" t="s">
        <v>706</v>
      </c>
      <c r="D192" s="169" t="s">
        <v>25</v>
      </c>
      <c r="E192" s="173" t="s">
        <v>1030</v>
      </c>
      <c r="F192" s="6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row>
    <row r="193" spans="1:192" ht="101.25" outlineLevel="1" x14ac:dyDescent="0.25">
      <c r="A193" s="290" t="s">
        <v>385</v>
      </c>
      <c r="B193" s="164" t="s">
        <v>707</v>
      </c>
      <c r="C193" s="164" t="s">
        <v>404</v>
      </c>
      <c r="D193" s="168" t="s">
        <v>24</v>
      </c>
      <c r="E193" s="172" t="s">
        <v>1031</v>
      </c>
      <c r="F193" s="6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row>
    <row r="194" spans="1:192" ht="90" outlineLevel="1" x14ac:dyDescent="0.25">
      <c r="A194" s="290" t="s">
        <v>385</v>
      </c>
      <c r="B194" s="164"/>
      <c r="C194" s="164" t="s">
        <v>405</v>
      </c>
      <c r="D194" s="168" t="s">
        <v>24</v>
      </c>
      <c r="E194" s="172" t="s">
        <v>1032</v>
      </c>
      <c r="F194" s="58"/>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row>
    <row r="195" spans="1:192" ht="101.25" outlineLevel="1" x14ac:dyDescent="0.25">
      <c r="A195" s="278" t="s">
        <v>4</v>
      </c>
      <c r="B195" s="170" t="s">
        <v>1033</v>
      </c>
      <c r="C195" s="170" t="s">
        <v>406</v>
      </c>
      <c r="D195" s="169" t="s">
        <v>24</v>
      </c>
      <c r="E195" s="322" t="s">
        <v>1231</v>
      </c>
      <c r="F195" s="58"/>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119"/>
      <c r="AZ195" s="119"/>
      <c r="BA195" s="119"/>
      <c r="BB195" s="119"/>
      <c r="BC195" s="119"/>
      <c r="BD195" s="119"/>
      <c r="BE195" s="119"/>
      <c r="BF195" s="119"/>
      <c r="BG195" s="119"/>
      <c r="BH195" s="119"/>
      <c r="BI195" s="119"/>
      <c r="BJ195" s="119"/>
      <c r="BK195" s="119"/>
      <c r="BL195" s="119"/>
      <c r="BM195" s="119"/>
      <c r="BN195" s="119"/>
      <c r="BO195" s="119"/>
      <c r="BP195" s="119"/>
      <c r="BQ195" s="119"/>
      <c r="BR195" s="119"/>
      <c r="BS195" s="119"/>
      <c r="BT195" s="119"/>
      <c r="BU195" s="119"/>
      <c r="BV195" s="119"/>
      <c r="BW195" s="119"/>
      <c r="BX195" s="119"/>
      <c r="BY195" s="119"/>
      <c r="BZ195" s="119"/>
      <c r="CA195" s="119"/>
      <c r="CB195" s="119"/>
      <c r="CC195" s="119"/>
      <c r="CD195" s="119"/>
      <c r="CE195" s="119"/>
      <c r="CF195" s="119"/>
      <c r="CG195" s="119"/>
      <c r="CH195" s="119"/>
      <c r="CI195" s="119"/>
      <c r="CJ195" s="119"/>
      <c r="CK195" s="119"/>
      <c r="CL195" s="119"/>
      <c r="CM195" s="119"/>
      <c r="CN195" s="119"/>
      <c r="CO195" s="119"/>
      <c r="CP195" s="119"/>
      <c r="CQ195" s="119"/>
      <c r="CR195" s="119"/>
      <c r="CS195" s="119"/>
      <c r="CT195" s="119"/>
      <c r="CU195" s="119"/>
      <c r="CV195" s="119"/>
      <c r="CW195" s="119"/>
      <c r="CX195" s="119"/>
      <c r="CY195" s="119"/>
      <c r="CZ195" s="119"/>
      <c r="DA195" s="119"/>
      <c r="DB195" s="119"/>
      <c r="DC195" s="119"/>
      <c r="DD195" s="119"/>
      <c r="DE195" s="119"/>
      <c r="DF195" s="119"/>
      <c r="DG195" s="119"/>
      <c r="DH195" s="119"/>
      <c r="DI195" s="119"/>
      <c r="DJ195" s="119"/>
      <c r="DK195" s="119"/>
      <c r="DL195" s="119"/>
      <c r="DM195" s="119"/>
      <c r="DN195" s="119"/>
      <c r="DO195" s="119"/>
      <c r="DP195" s="119"/>
      <c r="DQ195" s="119"/>
      <c r="DR195" s="119"/>
      <c r="DS195" s="119"/>
      <c r="DT195" s="119"/>
      <c r="DU195" s="119"/>
      <c r="DV195" s="119"/>
      <c r="DW195" s="119"/>
      <c r="DX195" s="119"/>
      <c r="DY195" s="119"/>
      <c r="DZ195" s="119"/>
      <c r="EA195" s="119"/>
      <c r="EB195" s="119"/>
      <c r="EC195" s="119"/>
      <c r="ED195" s="119"/>
      <c r="EE195" s="119"/>
      <c r="EF195" s="119"/>
      <c r="EG195" s="119"/>
      <c r="EH195" s="119"/>
      <c r="EI195" s="119"/>
      <c r="EJ195" s="119"/>
      <c r="EK195" s="119"/>
      <c r="EL195" s="119"/>
      <c r="EM195" s="119"/>
      <c r="EN195" s="119"/>
      <c r="EO195" s="119"/>
      <c r="EP195" s="119"/>
      <c r="EQ195" s="119"/>
      <c r="ER195" s="119"/>
      <c r="ES195" s="119"/>
      <c r="ET195" s="119"/>
      <c r="EU195" s="119"/>
      <c r="EV195" s="119"/>
      <c r="EW195" s="119"/>
      <c r="EX195" s="119"/>
      <c r="EY195" s="119"/>
      <c r="EZ195" s="119"/>
      <c r="FA195" s="119"/>
      <c r="FB195" s="119"/>
      <c r="FC195" s="119"/>
      <c r="FD195" s="119"/>
      <c r="FE195" s="119"/>
      <c r="FF195" s="119"/>
      <c r="FG195" s="119"/>
      <c r="FH195" s="119"/>
      <c r="FI195" s="119"/>
      <c r="FJ195" s="119"/>
      <c r="FK195" s="119"/>
      <c r="FL195" s="119"/>
      <c r="FM195" s="119"/>
      <c r="FN195" s="119"/>
      <c r="FO195" s="119"/>
      <c r="FP195" s="119"/>
      <c r="FQ195" s="119"/>
      <c r="FR195" s="119"/>
      <c r="FS195" s="119"/>
      <c r="FT195" s="119"/>
      <c r="FU195" s="119"/>
      <c r="FV195" s="119"/>
      <c r="FW195" s="119"/>
      <c r="FX195" s="119"/>
      <c r="FY195" s="119"/>
      <c r="FZ195" s="119"/>
      <c r="GA195" s="119"/>
      <c r="GB195" s="119"/>
      <c r="GC195" s="119"/>
      <c r="GD195" s="119"/>
      <c r="GE195" s="119"/>
      <c r="GF195" s="119"/>
      <c r="GG195" s="119"/>
      <c r="GH195" s="119"/>
      <c r="GI195" s="119"/>
      <c r="GJ195" s="119"/>
    </row>
    <row r="196" spans="1:192" ht="56.25" outlineLevel="1" x14ac:dyDescent="0.25">
      <c r="A196" s="278" t="s">
        <v>4</v>
      </c>
      <c r="B196" s="170"/>
      <c r="C196" s="170" t="s">
        <v>407</v>
      </c>
      <c r="D196" s="169" t="s">
        <v>24</v>
      </c>
      <c r="E196" s="170" t="s">
        <v>1034</v>
      </c>
      <c r="F196" s="62"/>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119"/>
      <c r="AZ196" s="119"/>
      <c r="BA196" s="119"/>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c r="CB196" s="119"/>
      <c r="CC196" s="119"/>
      <c r="CD196" s="119"/>
      <c r="CE196" s="119"/>
      <c r="CF196" s="119"/>
      <c r="CG196" s="119"/>
      <c r="CH196" s="119"/>
      <c r="CI196" s="119"/>
      <c r="CJ196" s="119"/>
      <c r="CK196" s="119"/>
      <c r="CL196" s="119"/>
      <c r="CM196" s="119"/>
      <c r="CN196" s="119"/>
      <c r="CO196" s="119"/>
      <c r="CP196" s="119"/>
      <c r="CQ196" s="119"/>
      <c r="CR196" s="119"/>
      <c r="CS196" s="119"/>
      <c r="CT196" s="119"/>
      <c r="CU196" s="119"/>
      <c r="CV196" s="119"/>
      <c r="CW196" s="119"/>
      <c r="CX196" s="119"/>
      <c r="CY196" s="119"/>
      <c r="CZ196" s="119"/>
      <c r="DA196" s="119"/>
      <c r="DB196" s="119"/>
      <c r="DC196" s="119"/>
      <c r="DD196" s="119"/>
      <c r="DE196" s="119"/>
      <c r="DF196" s="119"/>
      <c r="DG196" s="119"/>
      <c r="DH196" s="119"/>
      <c r="DI196" s="119"/>
      <c r="DJ196" s="119"/>
      <c r="DK196" s="119"/>
      <c r="DL196" s="119"/>
      <c r="DM196" s="119"/>
      <c r="DN196" s="119"/>
      <c r="DO196" s="119"/>
      <c r="DP196" s="119"/>
      <c r="DQ196" s="119"/>
      <c r="DR196" s="119"/>
      <c r="DS196" s="119"/>
      <c r="DT196" s="119"/>
      <c r="DU196" s="119"/>
      <c r="DV196" s="119"/>
      <c r="DW196" s="119"/>
      <c r="DX196" s="119"/>
      <c r="DY196" s="119"/>
      <c r="DZ196" s="119"/>
      <c r="EA196" s="119"/>
      <c r="EB196" s="119"/>
      <c r="EC196" s="119"/>
      <c r="ED196" s="119"/>
      <c r="EE196" s="119"/>
      <c r="EF196" s="119"/>
      <c r="EG196" s="119"/>
      <c r="EH196" s="119"/>
      <c r="EI196" s="119"/>
      <c r="EJ196" s="119"/>
      <c r="EK196" s="119"/>
      <c r="EL196" s="119"/>
      <c r="EM196" s="119"/>
      <c r="EN196" s="119"/>
      <c r="EO196" s="119"/>
      <c r="EP196" s="119"/>
      <c r="EQ196" s="119"/>
      <c r="ER196" s="119"/>
      <c r="ES196" s="119"/>
      <c r="ET196" s="119"/>
      <c r="EU196" s="119"/>
      <c r="EV196" s="119"/>
      <c r="EW196" s="119"/>
      <c r="EX196" s="119"/>
      <c r="EY196" s="119"/>
      <c r="EZ196" s="119"/>
      <c r="FA196" s="119"/>
      <c r="FB196" s="119"/>
      <c r="FC196" s="119"/>
      <c r="FD196" s="119"/>
      <c r="FE196" s="119"/>
      <c r="FF196" s="119"/>
      <c r="FG196" s="119"/>
      <c r="FH196" s="119"/>
      <c r="FI196" s="119"/>
      <c r="FJ196" s="119"/>
      <c r="FK196" s="119"/>
      <c r="FL196" s="119"/>
      <c r="FM196" s="119"/>
      <c r="FN196" s="119"/>
      <c r="FO196" s="119"/>
      <c r="FP196" s="119"/>
      <c r="FQ196" s="119"/>
      <c r="FR196" s="119"/>
      <c r="FS196" s="119"/>
      <c r="FT196" s="119"/>
      <c r="FU196" s="119"/>
      <c r="FV196" s="119"/>
      <c r="FW196" s="119"/>
      <c r="FX196" s="119"/>
      <c r="FY196" s="119"/>
      <c r="FZ196" s="119"/>
      <c r="GA196" s="119"/>
      <c r="GB196" s="119"/>
      <c r="GC196" s="119"/>
      <c r="GD196" s="119"/>
      <c r="GE196" s="119"/>
      <c r="GF196" s="119"/>
      <c r="GG196" s="119"/>
      <c r="GH196" s="119"/>
      <c r="GI196" s="119"/>
      <c r="GJ196" s="119"/>
    </row>
    <row r="197" spans="1:192" ht="112.5" outlineLevel="1" x14ac:dyDescent="0.25">
      <c r="A197" s="278" t="s">
        <v>4</v>
      </c>
      <c r="B197" s="170"/>
      <c r="C197" s="170" t="s">
        <v>408</v>
      </c>
      <c r="D197" s="169" t="s">
        <v>24</v>
      </c>
      <c r="E197" s="170" t="s">
        <v>1035</v>
      </c>
      <c r="F197" s="63"/>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119"/>
      <c r="AZ197" s="119"/>
      <c r="BA197" s="119"/>
      <c r="BB197" s="119"/>
      <c r="BC197" s="119"/>
      <c r="BD197" s="119"/>
      <c r="BE197" s="119"/>
      <c r="BF197" s="119"/>
      <c r="BG197" s="119"/>
      <c r="BH197" s="119"/>
      <c r="BI197" s="119"/>
      <c r="BJ197" s="119"/>
      <c r="BK197" s="119"/>
      <c r="BL197" s="119"/>
      <c r="BM197" s="119"/>
      <c r="BN197" s="119"/>
      <c r="BO197" s="119"/>
      <c r="BP197" s="119"/>
      <c r="BQ197" s="119"/>
      <c r="BR197" s="119"/>
      <c r="BS197" s="119"/>
      <c r="BT197" s="119"/>
      <c r="BU197" s="119"/>
      <c r="BV197" s="119"/>
      <c r="BW197" s="119"/>
      <c r="BX197" s="119"/>
      <c r="BY197" s="119"/>
      <c r="BZ197" s="119"/>
      <c r="CA197" s="119"/>
      <c r="CB197" s="119"/>
      <c r="CC197" s="119"/>
      <c r="CD197" s="119"/>
      <c r="CE197" s="119"/>
      <c r="CF197" s="119"/>
      <c r="CG197" s="119"/>
      <c r="CH197" s="119"/>
      <c r="CI197" s="119"/>
      <c r="CJ197" s="119"/>
      <c r="CK197" s="119"/>
      <c r="CL197" s="119"/>
      <c r="CM197" s="119"/>
      <c r="CN197" s="119"/>
      <c r="CO197" s="119"/>
      <c r="CP197" s="119"/>
      <c r="CQ197" s="119"/>
      <c r="CR197" s="119"/>
      <c r="CS197" s="119"/>
      <c r="CT197" s="119"/>
      <c r="CU197" s="119"/>
      <c r="CV197" s="119"/>
      <c r="CW197" s="119"/>
      <c r="CX197" s="119"/>
      <c r="CY197" s="119"/>
      <c r="CZ197" s="119"/>
      <c r="DA197" s="119"/>
      <c r="DB197" s="119"/>
      <c r="DC197" s="119"/>
      <c r="DD197" s="119"/>
      <c r="DE197" s="119"/>
      <c r="DF197" s="119"/>
      <c r="DG197" s="119"/>
      <c r="DH197" s="119"/>
      <c r="DI197" s="119"/>
      <c r="DJ197" s="119"/>
      <c r="DK197" s="119"/>
      <c r="DL197" s="119"/>
      <c r="DM197" s="119"/>
      <c r="DN197" s="119"/>
      <c r="DO197" s="119"/>
      <c r="DP197" s="119"/>
      <c r="DQ197" s="119"/>
      <c r="DR197" s="119"/>
      <c r="DS197" s="119"/>
      <c r="DT197" s="119"/>
      <c r="DU197" s="119"/>
      <c r="DV197" s="119"/>
      <c r="DW197" s="119"/>
      <c r="DX197" s="119"/>
      <c r="DY197" s="119"/>
      <c r="DZ197" s="119"/>
      <c r="EA197" s="119"/>
      <c r="EB197" s="119"/>
      <c r="EC197" s="119"/>
      <c r="ED197" s="119"/>
      <c r="EE197" s="119"/>
      <c r="EF197" s="119"/>
      <c r="EG197" s="119"/>
      <c r="EH197" s="119"/>
      <c r="EI197" s="119"/>
      <c r="EJ197" s="119"/>
      <c r="EK197" s="119"/>
      <c r="EL197" s="119"/>
      <c r="EM197" s="119"/>
      <c r="EN197" s="119"/>
      <c r="EO197" s="119"/>
      <c r="EP197" s="119"/>
      <c r="EQ197" s="119"/>
      <c r="ER197" s="119"/>
      <c r="ES197" s="119"/>
      <c r="ET197" s="119"/>
      <c r="EU197" s="119"/>
      <c r="EV197" s="119"/>
      <c r="EW197" s="119"/>
      <c r="EX197" s="119"/>
      <c r="EY197" s="119"/>
      <c r="EZ197" s="119"/>
      <c r="FA197" s="119"/>
      <c r="FB197" s="119"/>
      <c r="FC197" s="119"/>
      <c r="FD197" s="119"/>
      <c r="FE197" s="119"/>
      <c r="FF197" s="119"/>
      <c r="FG197" s="119"/>
      <c r="FH197" s="119"/>
      <c r="FI197" s="119"/>
      <c r="FJ197" s="119"/>
      <c r="FK197" s="119"/>
      <c r="FL197" s="119"/>
      <c r="FM197" s="119"/>
      <c r="FN197" s="119"/>
      <c r="FO197" s="119"/>
      <c r="FP197" s="119"/>
      <c r="FQ197" s="119"/>
      <c r="FR197" s="119"/>
      <c r="FS197" s="119"/>
      <c r="FT197" s="119"/>
      <c r="FU197" s="119"/>
      <c r="FV197" s="119"/>
      <c r="FW197" s="119"/>
      <c r="FX197" s="119"/>
      <c r="FY197" s="119"/>
      <c r="FZ197" s="119"/>
      <c r="GA197" s="119"/>
      <c r="GB197" s="119"/>
      <c r="GC197" s="119"/>
      <c r="GD197" s="119"/>
      <c r="GE197" s="119"/>
      <c r="GF197" s="119"/>
      <c r="GG197" s="119"/>
      <c r="GH197" s="119"/>
      <c r="GI197" s="119"/>
      <c r="GJ197" s="119"/>
    </row>
    <row r="198" spans="1:192" ht="45" outlineLevel="1" x14ac:dyDescent="0.25">
      <c r="A198" s="278" t="s">
        <v>4</v>
      </c>
      <c r="B198" s="164" t="s">
        <v>1036</v>
      </c>
      <c r="C198" s="164" t="s">
        <v>409</v>
      </c>
      <c r="D198" s="168" t="s">
        <v>24</v>
      </c>
      <c r="E198" s="172" t="s">
        <v>708</v>
      </c>
      <c r="F198" s="63"/>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119"/>
      <c r="AZ198" s="119"/>
      <c r="BA198" s="119"/>
      <c r="BB198" s="119"/>
      <c r="BC198" s="119"/>
      <c r="BD198" s="119"/>
      <c r="BE198" s="119"/>
      <c r="BF198" s="119"/>
      <c r="BG198" s="119"/>
      <c r="BH198" s="119"/>
      <c r="BI198" s="119"/>
      <c r="BJ198" s="119"/>
      <c r="BK198" s="119"/>
      <c r="BL198" s="119"/>
      <c r="BM198" s="119"/>
      <c r="BN198" s="119"/>
      <c r="BO198" s="119"/>
      <c r="BP198" s="119"/>
      <c r="BQ198" s="119"/>
      <c r="BR198" s="119"/>
      <c r="BS198" s="119"/>
      <c r="BT198" s="119"/>
      <c r="BU198" s="119"/>
      <c r="BV198" s="119"/>
      <c r="BW198" s="119"/>
      <c r="BX198" s="119"/>
      <c r="BY198" s="119"/>
      <c r="BZ198" s="119"/>
      <c r="CA198" s="119"/>
      <c r="CB198" s="119"/>
      <c r="CC198" s="119"/>
      <c r="CD198" s="119"/>
      <c r="CE198" s="119"/>
      <c r="CF198" s="119"/>
      <c r="CG198" s="119"/>
      <c r="CH198" s="119"/>
      <c r="CI198" s="119"/>
      <c r="CJ198" s="119"/>
      <c r="CK198" s="119"/>
      <c r="CL198" s="119"/>
      <c r="CM198" s="119"/>
      <c r="CN198" s="119"/>
      <c r="CO198" s="119"/>
      <c r="CP198" s="119"/>
      <c r="CQ198" s="119"/>
      <c r="CR198" s="119"/>
      <c r="CS198" s="119"/>
      <c r="CT198" s="119"/>
      <c r="CU198" s="119"/>
      <c r="CV198" s="119"/>
      <c r="CW198" s="119"/>
      <c r="CX198" s="119"/>
      <c r="CY198" s="119"/>
      <c r="CZ198" s="119"/>
      <c r="DA198" s="119"/>
      <c r="DB198" s="119"/>
      <c r="DC198" s="119"/>
      <c r="DD198" s="119"/>
      <c r="DE198" s="119"/>
      <c r="DF198" s="119"/>
      <c r="DG198" s="119"/>
      <c r="DH198" s="119"/>
      <c r="DI198" s="119"/>
      <c r="DJ198" s="119"/>
      <c r="DK198" s="119"/>
      <c r="DL198" s="119"/>
      <c r="DM198" s="119"/>
      <c r="DN198" s="119"/>
      <c r="DO198" s="119"/>
      <c r="DP198" s="119"/>
      <c r="DQ198" s="119"/>
      <c r="DR198" s="119"/>
      <c r="DS198" s="119"/>
      <c r="DT198" s="119"/>
      <c r="DU198" s="119"/>
      <c r="DV198" s="119"/>
      <c r="DW198" s="119"/>
      <c r="DX198" s="119"/>
      <c r="DY198" s="119"/>
      <c r="DZ198" s="119"/>
      <c r="EA198" s="119"/>
      <c r="EB198" s="119"/>
      <c r="EC198" s="119"/>
      <c r="ED198" s="119"/>
      <c r="EE198" s="119"/>
      <c r="EF198" s="119"/>
      <c r="EG198" s="119"/>
      <c r="EH198" s="119"/>
      <c r="EI198" s="119"/>
      <c r="EJ198" s="119"/>
      <c r="EK198" s="119"/>
      <c r="EL198" s="119"/>
      <c r="EM198" s="119"/>
      <c r="EN198" s="119"/>
      <c r="EO198" s="119"/>
      <c r="EP198" s="119"/>
      <c r="EQ198" s="119"/>
      <c r="ER198" s="119"/>
      <c r="ES198" s="119"/>
      <c r="ET198" s="119"/>
      <c r="EU198" s="119"/>
      <c r="EV198" s="119"/>
      <c r="EW198" s="119"/>
      <c r="EX198" s="119"/>
      <c r="EY198" s="119"/>
      <c r="EZ198" s="119"/>
      <c r="FA198" s="119"/>
      <c r="FB198" s="119"/>
      <c r="FC198" s="119"/>
      <c r="FD198" s="119"/>
      <c r="FE198" s="119"/>
      <c r="FF198" s="119"/>
      <c r="FG198" s="119"/>
      <c r="FH198" s="119"/>
      <c r="FI198" s="119"/>
      <c r="FJ198" s="119"/>
      <c r="FK198" s="119"/>
      <c r="FL198" s="119"/>
      <c r="FM198" s="119"/>
      <c r="FN198" s="119"/>
      <c r="FO198" s="119"/>
      <c r="FP198" s="119"/>
      <c r="FQ198" s="119"/>
      <c r="FR198" s="119"/>
      <c r="FS198" s="119"/>
      <c r="FT198" s="119"/>
      <c r="FU198" s="119"/>
      <c r="FV198" s="119"/>
      <c r="FW198" s="119"/>
      <c r="FX198" s="119"/>
      <c r="FY198" s="119"/>
      <c r="FZ198" s="119"/>
      <c r="GA198" s="119"/>
      <c r="GB198" s="119"/>
      <c r="GC198" s="119"/>
      <c r="GD198" s="119"/>
      <c r="GE198" s="119"/>
      <c r="GF198" s="119"/>
      <c r="GG198" s="119"/>
      <c r="GH198" s="119"/>
      <c r="GI198" s="119"/>
      <c r="GJ198" s="119"/>
    </row>
    <row r="199" spans="1:192" ht="22.5" x14ac:dyDescent="0.25">
      <c r="A199" s="278" t="s">
        <v>4</v>
      </c>
      <c r="B199" s="164"/>
      <c r="C199" s="164" t="s">
        <v>411</v>
      </c>
      <c r="D199" s="168" t="s">
        <v>24</v>
      </c>
      <c r="E199" s="172" t="s">
        <v>415</v>
      </c>
      <c r="F199" s="63"/>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119"/>
      <c r="AZ199" s="119"/>
      <c r="BA199" s="119"/>
      <c r="BB199" s="119"/>
      <c r="BC199" s="119"/>
      <c r="BD199" s="119"/>
      <c r="BE199" s="119"/>
      <c r="BF199" s="119"/>
      <c r="BG199" s="119"/>
      <c r="BH199" s="119"/>
      <c r="BI199" s="119"/>
      <c r="BJ199" s="119"/>
      <c r="BK199" s="119"/>
      <c r="BL199" s="119"/>
      <c r="BM199" s="119"/>
      <c r="BN199" s="119"/>
      <c r="BO199" s="119"/>
      <c r="BP199" s="119"/>
      <c r="BQ199" s="119"/>
      <c r="BR199" s="119"/>
      <c r="BS199" s="119"/>
      <c r="BT199" s="119"/>
      <c r="BU199" s="119"/>
      <c r="BV199" s="119"/>
      <c r="BW199" s="119"/>
      <c r="BX199" s="119"/>
      <c r="BY199" s="119"/>
      <c r="BZ199" s="119"/>
      <c r="CA199" s="119"/>
      <c r="CB199" s="119"/>
      <c r="CC199" s="119"/>
      <c r="CD199" s="119"/>
      <c r="CE199" s="119"/>
      <c r="CF199" s="119"/>
      <c r="CG199" s="119"/>
      <c r="CH199" s="119"/>
      <c r="CI199" s="119"/>
      <c r="CJ199" s="119"/>
      <c r="CK199" s="119"/>
      <c r="CL199" s="119"/>
      <c r="CM199" s="119"/>
      <c r="CN199" s="119"/>
      <c r="CO199" s="119"/>
      <c r="CP199" s="119"/>
      <c r="CQ199" s="119"/>
      <c r="CR199" s="119"/>
      <c r="CS199" s="119"/>
      <c r="CT199" s="119"/>
      <c r="CU199" s="119"/>
      <c r="CV199" s="119"/>
      <c r="CW199" s="119"/>
      <c r="CX199" s="119"/>
      <c r="CY199" s="119"/>
      <c r="CZ199" s="119"/>
      <c r="DA199" s="119"/>
      <c r="DB199" s="119"/>
      <c r="DC199" s="119"/>
      <c r="DD199" s="119"/>
      <c r="DE199" s="119"/>
      <c r="DF199" s="119"/>
      <c r="DG199" s="119"/>
      <c r="DH199" s="119"/>
      <c r="DI199" s="119"/>
      <c r="DJ199" s="119"/>
      <c r="DK199" s="119"/>
      <c r="DL199" s="119"/>
      <c r="DM199" s="119"/>
      <c r="DN199" s="119"/>
      <c r="DO199" s="119"/>
      <c r="DP199" s="119"/>
      <c r="DQ199" s="119"/>
      <c r="DR199" s="119"/>
      <c r="DS199" s="119"/>
      <c r="DT199" s="119"/>
      <c r="DU199" s="119"/>
      <c r="DV199" s="119"/>
      <c r="DW199" s="119"/>
      <c r="DX199" s="119"/>
      <c r="DY199" s="119"/>
      <c r="DZ199" s="119"/>
      <c r="EA199" s="119"/>
      <c r="EB199" s="119"/>
      <c r="EC199" s="119"/>
      <c r="ED199" s="119"/>
      <c r="EE199" s="119"/>
      <c r="EF199" s="119"/>
      <c r="EG199" s="119"/>
      <c r="EH199" s="119"/>
      <c r="EI199" s="119"/>
      <c r="EJ199" s="119"/>
      <c r="EK199" s="119"/>
      <c r="EL199" s="119"/>
      <c r="EM199" s="119"/>
      <c r="EN199" s="119"/>
      <c r="EO199" s="119"/>
      <c r="EP199" s="119"/>
      <c r="EQ199" s="119"/>
      <c r="ER199" s="119"/>
      <c r="ES199" s="119"/>
      <c r="ET199" s="119"/>
      <c r="EU199" s="119"/>
      <c r="EV199" s="119"/>
      <c r="EW199" s="119"/>
      <c r="EX199" s="119"/>
      <c r="EY199" s="119"/>
      <c r="EZ199" s="119"/>
      <c r="FA199" s="119"/>
      <c r="FB199" s="119"/>
      <c r="FC199" s="119"/>
      <c r="FD199" s="119"/>
      <c r="FE199" s="119"/>
      <c r="FF199" s="119"/>
      <c r="FG199" s="119"/>
      <c r="FH199" s="119"/>
      <c r="FI199" s="119"/>
      <c r="FJ199" s="119"/>
      <c r="FK199" s="119"/>
      <c r="FL199" s="119"/>
      <c r="FM199" s="119"/>
      <c r="FN199" s="119"/>
      <c r="FO199" s="119"/>
      <c r="FP199" s="119"/>
      <c r="FQ199" s="119"/>
      <c r="FR199" s="119"/>
      <c r="FS199" s="119"/>
      <c r="FT199" s="119"/>
      <c r="FU199" s="119"/>
      <c r="FV199" s="119"/>
      <c r="FW199" s="119"/>
      <c r="FX199" s="119"/>
      <c r="FY199" s="119"/>
      <c r="FZ199" s="119"/>
      <c r="GA199" s="119"/>
      <c r="GB199" s="119"/>
      <c r="GC199" s="119"/>
      <c r="GD199" s="119"/>
      <c r="GE199" s="119"/>
      <c r="GF199" s="119"/>
      <c r="GG199" s="119"/>
      <c r="GH199" s="119"/>
      <c r="GI199" s="119"/>
      <c r="GJ199" s="119"/>
    </row>
    <row r="200" spans="1:192" ht="33.75" x14ac:dyDescent="0.25">
      <c r="A200" s="278" t="s">
        <v>4</v>
      </c>
      <c r="B200" s="164"/>
      <c r="C200" s="164" t="s">
        <v>412</v>
      </c>
      <c r="D200" s="168" t="s">
        <v>24</v>
      </c>
      <c r="E200" s="172" t="s">
        <v>1037</v>
      </c>
      <c r="F200" s="63"/>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119"/>
      <c r="AZ200" s="119"/>
      <c r="BA200" s="119"/>
      <c r="BB200" s="119"/>
      <c r="BC200" s="119"/>
      <c r="BD200" s="119"/>
      <c r="BE200" s="119"/>
      <c r="BF200" s="119"/>
      <c r="BG200" s="119"/>
      <c r="BH200" s="119"/>
      <c r="BI200" s="119"/>
      <c r="BJ200" s="119"/>
      <c r="BK200" s="119"/>
      <c r="BL200" s="119"/>
      <c r="BM200" s="119"/>
      <c r="BN200" s="119"/>
      <c r="BO200" s="119"/>
      <c r="BP200" s="119"/>
      <c r="BQ200" s="119"/>
      <c r="BR200" s="119"/>
      <c r="BS200" s="119"/>
      <c r="BT200" s="119"/>
      <c r="BU200" s="119"/>
      <c r="BV200" s="119"/>
      <c r="BW200" s="119"/>
      <c r="BX200" s="119"/>
      <c r="BY200" s="119"/>
      <c r="BZ200" s="119"/>
      <c r="CA200" s="119"/>
      <c r="CB200" s="119"/>
      <c r="CC200" s="119"/>
      <c r="CD200" s="119"/>
      <c r="CE200" s="119"/>
      <c r="CF200" s="119"/>
      <c r="CG200" s="119"/>
      <c r="CH200" s="119"/>
      <c r="CI200" s="119"/>
      <c r="CJ200" s="119"/>
      <c r="CK200" s="119"/>
      <c r="CL200" s="119"/>
      <c r="CM200" s="119"/>
      <c r="CN200" s="119"/>
      <c r="CO200" s="119"/>
      <c r="CP200" s="119"/>
      <c r="CQ200" s="119"/>
      <c r="CR200" s="119"/>
      <c r="CS200" s="119"/>
      <c r="CT200" s="119"/>
      <c r="CU200" s="119"/>
      <c r="CV200" s="119"/>
      <c r="CW200" s="119"/>
      <c r="CX200" s="119"/>
      <c r="CY200" s="119"/>
      <c r="CZ200" s="119"/>
      <c r="DA200" s="119"/>
      <c r="DB200" s="119"/>
      <c r="DC200" s="119"/>
      <c r="DD200" s="119"/>
      <c r="DE200" s="119"/>
      <c r="DF200" s="119"/>
      <c r="DG200" s="119"/>
      <c r="DH200" s="119"/>
      <c r="DI200" s="119"/>
      <c r="DJ200" s="119"/>
      <c r="DK200" s="119"/>
      <c r="DL200" s="119"/>
      <c r="DM200" s="119"/>
      <c r="DN200" s="119"/>
      <c r="DO200" s="119"/>
      <c r="DP200" s="119"/>
      <c r="DQ200" s="119"/>
      <c r="DR200" s="119"/>
      <c r="DS200" s="119"/>
      <c r="DT200" s="119"/>
      <c r="DU200" s="119"/>
      <c r="DV200" s="119"/>
      <c r="DW200" s="119"/>
      <c r="DX200" s="119"/>
      <c r="DY200" s="119"/>
      <c r="DZ200" s="119"/>
      <c r="EA200" s="119"/>
      <c r="EB200" s="119"/>
      <c r="EC200" s="119"/>
      <c r="ED200" s="119"/>
      <c r="EE200" s="119"/>
      <c r="EF200" s="119"/>
      <c r="EG200" s="119"/>
      <c r="EH200" s="119"/>
      <c r="EI200" s="119"/>
      <c r="EJ200" s="119"/>
      <c r="EK200" s="119"/>
      <c r="EL200" s="119"/>
      <c r="EM200" s="119"/>
      <c r="EN200" s="119"/>
      <c r="EO200" s="119"/>
      <c r="EP200" s="119"/>
      <c r="EQ200" s="119"/>
      <c r="ER200" s="119"/>
      <c r="ES200" s="119"/>
      <c r="ET200" s="119"/>
      <c r="EU200" s="119"/>
      <c r="EV200" s="119"/>
      <c r="EW200" s="119"/>
      <c r="EX200" s="119"/>
      <c r="EY200" s="119"/>
      <c r="EZ200" s="119"/>
      <c r="FA200" s="119"/>
      <c r="FB200" s="119"/>
      <c r="FC200" s="119"/>
      <c r="FD200" s="119"/>
      <c r="FE200" s="119"/>
      <c r="FF200" s="119"/>
      <c r="FG200" s="119"/>
      <c r="FH200" s="119"/>
      <c r="FI200" s="119"/>
      <c r="FJ200" s="119"/>
      <c r="FK200" s="119"/>
      <c r="FL200" s="119"/>
      <c r="FM200" s="119"/>
      <c r="FN200" s="119"/>
      <c r="FO200" s="119"/>
      <c r="FP200" s="119"/>
      <c r="FQ200" s="119"/>
      <c r="FR200" s="119"/>
      <c r="FS200" s="119"/>
      <c r="FT200" s="119"/>
      <c r="FU200" s="119"/>
      <c r="FV200" s="119"/>
      <c r="FW200" s="119"/>
      <c r="FX200" s="119"/>
      <c r="FY200" s="119"/>
      <c r="FZ200" s="119"/>
      <c r="GA200" s="119"/>
      <c r="GB200" s="119"/>
      <c r="GC200" s="119"/>
      <c r="GD200" s="119"/>
      <c r="GE200" s="119"/>
      <c r="GF200" s="119"/>
      <c r="GG200" s="119"/>
      <c r="GH200" s="119"/>
      <c r="GI200" s="119"/>
      <c r="GJ200" s="119"/>
    </row>
    <row r="201" spans="1:192" ht="33.75" x14ac:dyDescent="0.25">
      <c r="A201" s="278" t="s">
        <v>4</v>
      </c>
      <c r="B201" s="164"/>
      <c r="C201" s="164" t="s">
        <v>413</v>
      </c>
      <c r="D201" s="168" t="s">
        <v>24</v>
      </c>
      <c r="E201" s="172" t="s">
        <v>1038</v>
      </c>
      <c r="F201" s="63"/>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119"/>
      <c r="AZ201" s="119"/>
      <c r="BA201" s="119"/>
      <c r="BB201" s="119"/>
      <c r="BC201" s="119"/>
      <c r="BD201" s="119"/>
      <c r="BE201" s="119"/>
      <c r="BF201" s="119"/>
      <c r="BG201" s="119"/>
      <c r="BH201" s="119"/>
      <c r="BI201" s="119"/>
      <c r="BJ201" s="119"/>
      <c r="BK201" s="119"/>
      <c r="BL201" s="119"/>
      <c r="BM201" s="119"/>
      <c r="BN201" s="119"/>
      <c r="BO201" s="119"/>
      <c r="BP201" s="119"/>
      <c r="BQ201" s="119"/>
      <c r="BR201" s="119"/>
      <c r="BS201" s="119"/>
      <c r="BT201" s="119"/>
      <c r="BU201" s="119"/>
      <c r="BV201" s="119"/>
      <c r="BW201" s="119"/>
      <c r="BX201" s="119"/>
      <c r="BY201" s="119"/>
      <c r="BZ201" s="119"/>
      <c r="CA201" s="119"/>
      <c r="CB201" s="119"/>
      <c r="CC201" s="119"/>
      <c r="CD201" s="119"/>
      <c r="CE201" s="119"/>
      <c r="CF201" s="119"/>
      <c r="CG201" s="119"/>
      <c r="CH201" s="119"/>
      <c r="CI201" s="119"/>
      <c r="CJ201" s="119"/>
      <c r="CK201" s="119"/>
      <c r="CL201" s="119"/>
      <c r="CM201" s="119"/>
      <c r="CN201" s="119"/>
      <c r="CO201" s="119"/>
      <c r="CP201" s="119"/>
      <c r="CQ201" s="119"/>
      <c r="CR201" s="119"/>
      <c r="CS201" s="119"/>
      <c r="CT201" s="119"/>
      <c r="CU201" s="119"/>
      <c r="CV201" s="119"/>
      <c r="CW201" s="119"/>
      <c r="CX201" s="119"/>
      <c r="CY201" s="119"/>
      <c r="CZ201" s="119"/>
      <c r="DA201" s="119"/>
      <c r="DB201" s="119"/>
      <c r="DC201" s="119"/>
      <c r="DD201" s="119"/>
      <c r="DE201" s="119"/>
      <c r="DF201" s="119"/>
      <c r="DG201" s="119"/>
      <c r="DH201" s="119"/>
      <c r="DI201" s="119"/>
      <c r="DJ201" s="119"/>
      <c r="DK201" s="119"/>
      <c r="DL201" s="119"/>
      <c r="DM201" s="119"/>
      <c r="DN201" s="119"/>
      <c r="DO201" s="119"/>
      <c r="DP201" s="119"/>
      <c r="DQ201" s="119"/>
      <c r="DR201" s="119"/>
      <c r="DS201" s="119"/>
      <c r="DT201" s="119"/>
      <c r="DU201" s="119"/>
      <c r="DV201" s="119"/>
      <c r="DW201" s="119"/>
      <c r="DX201" s="119"/>
      <c r="DY201" s="119"/>
      <c r="DZ201" s="119"/>
      <c r="EA201" s="119"/>
      <c r="EB201" s="119"/>
      <c r="EC201" s="119"/>
      <c r="ED201" s="119"/>
      <c r="EE201" s="119"/>
      <c r="EF201" s="119"/>
      <c r="EG201" s="119"/>
      <c r="EH201" s="119"/>
      <c r="EI201" s="119"/>
      <c r="EJ201" s="119"/>
      <c r="EK201" s="119"/>
      <c r="EL201" s="119"/>
      <c r="EM201" s="119"/>
      <c r="EN201" s="119"/>
      <c r="EO201" s="119"/>
      <c r="EP201" s="119"/>
      <c r="EQ201" s="119"/>
      <c r="ER201" s="119"/>
      <c r="ES201" s="119"/>
      <c r="ET201" s="119"/>
      <c r="EU201" s="119"/>
      <c r="EV201" s="119"/>
      <c r="EW201" s="119"/>
      <c r="EX201" s="119"/>
      <c r="EY201" s="119"/>
      <c r="EZ201" s="119"/>
      <c r="FA201" s="119"/>
      <c r="FB201" s="119"/>
      <c r="FC201" s="119"/>
      <c r="FD201" s="119"/>
      <c r="FE201" s="119"/>
      <c r="FF201" s="119"/>
      <c r="FG201" s="119"/>
      <c r="FH201" s="119"/>
      <c r="FI201" s="119"/>
      <c r="FJ201" s="119"/>
      <c r="FK201" s="119"/>
      <c r="FL201" s="119"/>
      <c r="FM201" s="119"/>
      <c r="FN201" s="119"/>
      <c r="FO201" s="119"/>
      <c r="FP201" s="119"/>
      <c r="FQ201" s="119"/>
      <c r="FR201" s="119"/>
      <c r="FS201" s="119"/>
      <c r="FT201" s="119"/>
      <c r="FU201" s="119"/>
      <c r="FV201" s="119"/>
      <c r="FW201" s="119"/>
      <c r="FX201" s="119"/>
      <c r="FY201" s="119"/>
      <c r="FZ201" s="119"/>
      <c r="GA201" s="119"/>
      <c r="GB201" s="119"/>
      <c r="GC201" s="119"/>
      <c r="GD201" s="119"/>
      <c r="GE201" s="119"/>
      <c r="GF201" s="119"/>
      <c r="GG201" s="119"/>
      <c r="GH201" s="119"/>
      <c r="GI201" s="119"/>
      <c r="GJ201" s="119"/>
    </row>
    <row r="202" spans="1:192" ht="112.5" x14ac:dyDescent="0.25">
      <c r="A202" s="278" t="s">
        <v>4</v>
      </c>
      <c r="B202" s="164"/>
      <c r="C202" s="164" t="s">
        <v>709</v>
      </c>
      <c r="D202" s="168" t="s">
        <v>24</v>
      </c>
      <c r="E202" s="172" t="s">
        <v>1039</v>
      </c>
      <c r="F202" s="63"/>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119"/>
      <c r="AZ202" s="119"/>
      <c r="BA202" s="119"/>
      <c r="BB202" s="119"/>
      <c r="BC202" s="119"/>
      <c r="BD202" s="119"/>
      <c r="BE202" s="119"/>
      <c r="BF202" s="119"/>
      <c r="BG202" s="119"/>
      <c r="BH202" s="119"/>
      <c r="BI202" s="119"/>
      <c r="BJ202" s="119"/>
      <c r="BK202" s="119"/>
      <c r="BL202" s="119"/>
      <c r="BM202" s="119"/>
      <c r="BN202" s="119"/>
      <c r="BO202" s="119"/>
      <c r="BP202" s="119"/>
      <c r="BQ202" s="119"/>
      <c r="BR202" s="119"/>
      <c r="BS202" s="119"/>
      <c r="BT202" s="119"/>
      <c r="BU202" s="119"/>
      <c r="BV202" s="119"/>
      <c r="BW202" s="119"/>
      <c r="BX202" s="119"/>
      <c r="BY202" s="119"/>
      <c r="BZ202" s="119"/>
      <c r="CA202" s="119"/>
      <c r="CB202" s="119"/>
      <c r="CC202" s="119"/>
      <c r="CD202" s="119"/>
      <c r="CE202" s="119"/>
      <c r="CF202" s="119"/>
      <c r="CG202" s="119"/>
      <c r="CH202" s="119"/>
      <c r="CI202" s="119"/>
      <c r="CJ202" s="119"/>
      <c r="CK202" s="119"/>
      <c r="CL202" s="119"/>
      <c r="CM202" s="119"/>
      <c r="CN202" s="119"/>
      <c r="CO202" s="119"/>
      <c r="CP202" s="119"/>
      <c r="CQ202" s="119"/>
      <c r="CR202" s="119"/>
      <c r="CS202" s="119"/>
      <c r="CT202" s="119"/>
      <c r="CU202" s="119"/>
      <c r="CV202" s="119"/>
      <c r="CW202" s="119"/>
      <c r="CX202" s="119"/>
      <c r="CY202" s="119"/>
      <c r="CZ202" s="119"/>
      <c r="DA202" s="119"/>
      <c r="DB202" s="119"/>
      <c r="DC202" s="119"/>
      <c r="DD202" s="119"/>
      <c r="DE202" s="119"/>
      <c r="DF202" s="119"/>
      <c r="DG202" s="119"/>
      <c r="DH202" s="119"/>
      <c r="DI202" s="119"/>
      <c r="DJ202" s="119"/>
      <c r="DK202" s="119"/>
      <c r="DL202" s="119"/>
      <c r="DM202" s="119"/>
      <c r="DN202" s="119"/>
      <c r="DO202" s="119"/>
      <c r="DP202" s="119"/>
      <c r="DQ202" s="119"/>
      <c r="DR202" s="119"/>
      <c r="DS202" s="119"/>
      <c r="DT202" s="119"/>
      <c r="DU202" s="119"/>
      <c r="DV202" s="119"/>
      <c r="DW202" s="119"/>
      <c r="DX202" s="119"/>
      <c r="DY202" s="119"/>
      <c r="DZ202" s="119"/>
      <c r="EA202" s="119"/>
      <c r="EB202" s="119"/>
      <c r="EC202" s="119"/>
      <c r="ED202" s="119"/>
      <c r="EE202" s="119"/>
      <c r="EF202" s="119"/>
      <c r="EG202" s="119"/>
      <c r="EH202" s="119"/>
      <c r="EI202" s="119"/>
      <c r="EJ202" s="119"/>
      <c r="EK202" s="119"/>
      <c r="EL202" s="119"/>
      <c r="EM202" s="119"/>
      <c r="EN202" s="119"/>
      <c r="EO202" s="119"/>
      <c r="EP202" s="119"/>
      <c r="EQ202" s="119"/>
      <c r="ER202" s="119"/>
      <c r="ES202" s="119"/>
      <c r="ET202" s="119"/>
      <c r="EU202" s="119"/>
      <c r="EV202" s="119"/>
      <c r="EW202" s="119"/>
      <c r="EX202" s="119"/>
      <c r="EY202" s="119"/>
      <c r="EZ202" s="119"/>
      <c r="FA202" s="119"/>
      <c r="FB202" s="119"/>
      <c r="FC202" s="119"/>
      <c r="FD202" s="119"/>
      <c r="FE202" s="119"/>
      <c r="FF202" s="119"/>
      <c r="FG202" s="119"/>
      <c r="FH202" s="119"/>
      <c r="FI202" s="119"/>
      <c r="FJ202" s="119"/>
      <c r="FK202" s="119"/>
      <c r="FL202" s="119"/>
      <c r="FM202" s="119"/>
      <c r="FN202" s="119"/>
      <c r="FO202" s="119"/>
      <c r="FP202" s="119"/>
      <c r="FQ202" s="119"/>
      <c r="FR202" s="119"/>
      <c r="FS202" s="119"/>
      <c r="FT202" s="119"/>
      <c r="FU202" s="119"/>
      <c r="FV202" s="119"/>
      <c r="FW202" s="119"/>
      <c r="FX202" s="119"/>
      <c r="FY202" s="119"/>
      <c r="FZ202" s="119"/>
      <c r="GA202" s="119"/>
      <c r="GB202" s="119"/>
      <c r="GC202" s="119"/>
      <c r="GD202" s="119"/>
      <c r="GE202" s="119"/>
      <c r="GF202" s="119"/>
      <c r="GG202" s="119"/>
      <c r="GH202" s="119"/>
      <c r="GI202" s="119"/>
      <c r="GJ202" s="119"/>
    </row>
    <row r="203" spans="1:192" ht="33.75" x14ac:dyDescent="0.25">
      <c r="A203" s="278" t="s">
        <v>4</v>
      </c>
      <c r="B203" s="164"/>
      <c r="C203" s="164" t="s">
        <v>710</v>
      </c>
      <c r="D203" s="168" t="s">
        <v>24</v>
      </c>
      <c r="E203" s="172" t="s">
        <v>711</v>
      </c>
      <c r="F203" s="62"/>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119"/>
      <c r="AZ203" s="119"/>
      <c r="BA203" s="119"/>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c r="CB203" s="119"/>
      <c r="CC203" s="119"/>
      <c r="CD203" s="119"/>
      <c r="CE203" s="119"/>
      <c r="CF203" s="119"/>
      <c r="CG203" s="119"/>
      <c r="CH203" s="119"/>
      <c r="CI203" s="119"/>
      <c r="CJ203" s="119"/>
      <c r="CK203" s="119"/>
      <c r="CL203" s="119"/>
      <c r="CM203" s="119"/>
      <c r="CN203" s="119"/>
      <c r="CO203" s="119"/>
      <c r="CP203" s="119"/>
      <c r="CQ203" s="119"/>
      <c r="CR203" s="119"/>
      <c r="CS203" s="119"/>
      <c r="CT203" s="119"/>
      <c r="CU203" s="119"/>
      <c r="CV203" s="119"/>
      <c r="CW203" s="119"/>
      <c r="CX203" s="119"/>
      <c r="CY203" s="119"/>
      <c r="CZ203" s="119"/>
      <c r="DA203" s="119"/>
      <c r="DB203" s="119"/>
      <c r="DC203" s="119"/>
      <c r="DD203" s="119"/>
      <c r="DE203" s="119"/>
      <c r="DF203" s="119"/>
      <c r="DG203" s="119"/>
      <c r="DH203" s="119"/>
      <c r="DI203" s="119"/>
      <c r="DJ203" s="119"/>
      <c r="DK203" s="119"/>
      <c r="DL203" s="119"/>
      <c r="DM203" s="119"/>
      <c r="DN203" s="119"/>
      <c r="DO203" s="119"/>
      <c r="DP203" s="119"/>
      <c r="DQ203" s="119"/>
      <c r="DR203" s="119"/>
      <c r="DS203" s="119"/>
      <c r="DT203" s="119"/>
      <c r="DU203" s="119"/>
      <c r="DV203" s="119"/>
      <c r="DW203" s="119"/>
      <c r="DX203" s="119"/>
      <c r="DY203" s="119"/>
      <c r="DZ203" s="119"/>
      <c r="EA203" s="119"/>
      <c r="EB203" s="119"/>
      <c r="EC203" s="119"/>
      <c r="ED203" s="119"/>
      <c r="EE203" s="119"/>
      <c r="EF203" s="119"/>
      <c r="EG203" s="119"/>
      <c r="EH203" s="119"/>
      <c r="EI203" s="119"/>
      <c r="EJ203" s="119"/>
      <c r="EK203" s="119"/>
      <c r="EL203" s="119"/>
      <c r="EM203" s="119"/>
      <c r="EN203" s="119"/>
      <c r="EO203" s="119"/>
      <c r="EP203" s="119"/>
      <c r="EQ203" s="119"/>
      <c r="ER203" s="119"/>
      <c r="ES203" s="119"/>
      <c r="ET203" s="119"/>
      <c r="EU203" s="119"/>
      <c r="EV203" s="119"/>
      <c r="EW203" s="119"/>
      <c r="EX203" s="119"/>
      <c r="EY203" s="119"/>
      <c r="EZ203" s="119"/>
      <c r="FA203" s="119"/>
      <c r="FB203" s="119"/>
      <c r="FC203" s="119"/>
      <c r="FD203" s="119"/>
      <c r="FE203" s="119"/>
      <c r="FF203" s="119"/>
      <c r="FG203" s="119"/>
      <c r="FH203" s="119"/>
      <c r="FI203" s="119"/>
      <c r="FJ203" s="119"/>
      <c r="FK203" s="119"/>
      <c r="FL203" s="119"/>
      <c r="FM203" s="119"/>
      <c r="FN203" s="119"/>
      <c r="FO203" s="119"/>
      <c r="FP203" s="119"/>
      <c r="FQ203" s="119"/>
      <c r="FR203" s="119"/>
      <c r="FS203" s="119"/>
      <c r="FT203" s="119"/>
      <c r="FU203" s="119"/>
      <c r="FV203" s="119"/>
      <c r="FW203" s="119"/>
      <c r="FX203" s="119"/>
      <c r="FY203" s="119"/>
      <c r="FZ203" s="119"/>
      <c r="GA203" s="119"/>
      <c r="GB203" s="119"/>
      <c r="GC203" s="119"/>
      <c r="GD203" s="119"/>
      <c r="GE203" s="119"/>
      <c r="GF203" s="119"/>
      <c r="GG203" s="119"/>
      <c r="GH203" s="119"/>
      <c r="GI203" s="119"/>
      <c r="GJ203" s="119"/>
    </row>
    <row r="204" spans="1:192" ht="90" x14ac:dyDescent="0.25">
      <c r="A204" s="278" t="s">
        <v>4</v>
      </c>
      <c r="B204" s="170" t="s">
        <v>1116</v>
      </c>
      <c r="C204" s="170" t="s">
        <v>410</v>
      </c>
      <c r="D204" s="169" t="s">
        <v>25</v>
      </c>
      <c r="E204" s="173" t="s">
        <v>416</v>
      </c>
      <c r="F204" s="62"/>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119"/>
      <c r="AZ204" s="119"/>
      <c r="BA204" s="119"/>
      <c r="BB204" s="119"/>
      <c r="BC204" s="119"/>
      <c r="BD204" s="119"/>
      <c r="BE204" s="119"/>
      <c r="BF204" s="119"/>
      <c r="BG204" s="119"/>
      <c r="BH204" s="119"/>
      <c r="BI204" s="119"/>
      <c r="BJ204" s="119"/>
      <c r="BK204" s="119"/>
      <c r="BL204" s="119"/>
      <c r="BM204" s="119"/>
      <c r="BN204" s="119"/>
      <c r="BO204" s="119"/>
      <c r="BP204" s="119"/>
      <c r="BQ204" s="119"/>
      <c r="BR204" s="119"/>
      <c r="BS204" s="119"/>
      <c r="BT204" s="119"/>
      <c r="BU204" s="119"/>
      <c r="BV204" s="119"/>
      <c r="BW204" s="119"/>
      <c r="BX204" s="119"/>
      <c r="BY204" s="119"/>
      <c r="BZ204" s="119"/>
      <c r="CA204" s="119"/>
      <c r="CB204" s="119"/>
      <c r="CC204" s="119"/>
      <c r="CD204" s="119"/>
      <c r="CE204" s="119"/>
      <c r="CF204" s="119"/>
      <c r="CG204" s="119"/>
      <c r="CH204" s="119"/>
      <c r="CI204" s="119"/>
      <c r="CJ204" s="119"/>
      <c r="CK204" s="119"/>
      <c r="CL204" s="119"/>
      <c r="CM204" s="119"/>
      <c r="CN204" s="119"/>
      <c r="CO204" s="119"/>
      <c r="CP204" s="119"/>
      <c r="CQ204" s="119"/>
      <c r="CR204" s="119"/>
      <c r="CS204" s="119"/>
      <c r="CT204" s="119"/>
      <c r="CU204" s="119"/>
      <c r="CV204" s="119"/>
      <c r="CW204" s="119"/>
      <c r="CX204" s="119"/>
      <c r="CY204" s="119"/>
      <c r="CZ204" s="119"/>
      <c r="DA204" s="119"/>
      <c r="DB204" s="119"/>
      <c r="DC204" s="119"/>
      <c r="DD204" s="119"/>
      <c r="DE204" s="119"/>
      <c r="DF204" s="119"/>
      <c r="DG204" s="119"/>
      <c r="DH204" s="119"/>
      <c r="DI204" s="119"/>
      <c r="DJ204" s="119"/>
      <c r="DK204" s="119"/>
      <c r="DL204" s="119"/>
      <c r="DM204" s="119"/>
      <c r="DN204" s="119"/>
      <c r="DO204" s="119"/>
      <c r="DP204" s="119"/>
      <c r="DQ204" s="119"/>
      <c r="DR204" s="119"/>
      <c r="DS204" s="119"/>
      <c r="DT204" s="119"/>
      <c r="DU204" s="119"/>
      <c r="DV204" s="119"/>
      <c r="DW204" s="119"/>
      <c r="DX204" s="119"/>
      <c r="DY204" s="119"/>
      <c r="DZ204" s="119"/>
      <c r="EA204" s="119"/>
      <c r="EB204" s="119"/>
      <c r="EC204" s="119"/>
      <c r="ED204" s="119"/>
      <c r="EE204" s="119"/>
      <c r="EF204" s="119"/>
      <c r="EG204" s="119"/>
      <c r="EH204" s="119"/>
      <c r="EI204" s="119"/>
      <c r="EJ204" s="119"/>
      <c r="EK204" s="119"/>
      <c r="EL204" s="119"/>
      <c r="EM204" s="119"/>
      <c r="EN204" s="119"/>
      <c r="EO204" s="119"/>
      <c r="EP204" s="119"/>
      <c r="EQ204" s="119"/>
      <c r="ER204" s="119"/>
      <c r="ES204" s="119"/>
      <c r="ET204" s="119"/>
      <c r="EU204" s="119"/>
      <c r="EV204" s="119"/>
      <c r="EW204" s="119"/>
      <c r="EX204" s="119"/>
      <c r="EY204" s="119"/>
      <c r="EZ204" s="119"/>
      <c r="FA204" s="119"/>
      <c r="FB204" s="119"/>
      <c r="FC204" s="119"/>
      <c r="FD204" s="119"/>
      <c r="FE204" s="119"/>
      <c r="FF204" s="119"/>
      <c r="FG204" s="119"/>
      <c r="FH204" s="119"/>
      <c r="FI204" s="119"/>
      <c r="FJ204" s="119"/>
      <c r="FK204" s="119"/>
      <c r="FL204" s="119"/>
      <c r="FM204" s="119"/>
      <c r="FN204" s="119"/>
      <c r="FO204" s="119"/>
      <c r="FP204" s="119"/>
      <c r="FQ204" s="119"/>
      <c r="FR204" s="119"/>
      <c r="FS204" s="119"/>
      <c r="FT204" s="119"/>
      <c r="FU204" s="119"/>
      <c r="FV204" s="119"/>
      <c r="FW204" s="119"/>
      <c r="FX204" s="119"/>
      <c r="FY204" s="119"/>
      <c r="FZ204" s="119"/>
      <c r="GA204" s="119"/>
      <c r="GB204" s="119"/>
      <c r="GC204" s="119"/>
      <c r="GD204" s="119"/>
      <c r="GE204" s="119"/>
      <c r="GF204" s="119"/>
      <c r="GG204" s="119"/>
      <c r="GH204" s="119"/>
      <c r="GI204" s="119"/>
      <c r="GJ204" s="119"/>
    </row>
    <row r="205" spans="1:192" ht="22.5" x14ac:dyDescent="0.25">
      <c r="A205" s="278" t="s">
        <v>4</v>
      </c>
      <c r="B205" s="170"/>
      <c r="C205" s="170" t="s">
        <v>414</v>
      </c>
      <c r="D205" s="169" t="s">
        <v>25</v>
      </c>
      <c r="E205" s="173" t="s">
        <v>417</v>
      </c>
      <c r="F205" s="63"/>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119"/>
      <c r="AZ205" s="119"/>
      <c r="BA205" s="119"/>
      <c r="BB205" s="119"/>
      <c r="BC205" s="119"/>
      <c r="BD205" s="119"/>
      <c r="BE205" s="119"/>
      <c r="BF205" s="119"/>
      <c r="BG205" s="119"/>
      <c r="BH205" s="119"/>
      <c r="BI205" s="119"/>
      <c r="BJ205" s="119"/>
      <c r="BK205" s="119"/>
      <c r="BL205" s="119"/>
      <c r="BM205" s="119"/>
      <c r="BN205" s="119"/>
      <c r="BO205" s="119"/>
      <c r="BP205" s="119"/>
      <c r="BQ205" s="119"/>
      <c r="BR205" s="119"/>
      <c r="BS205" s="119"/>
      <c r="BT205" s="119"/>
      <c r="BU205" s="119"/>
      <c r="BV205" s="119"/>
      <c r="BW205" s="119"/>
      <c r="BX205" s="119"/>
      <c r="BY205" s="119"/>
      <c r="BZ205" s="119"/>
      <c r="CA205" s="119"/>
      <c r="CB205" s="119"/>
      <c r="CC205" s="119"/>
      <c r="CD205" s="119"/>
      <c r="CE205" s="119"/>
      <c r="CF205" s="119"/>
      <c r="CG205" s="119"/>
      <c r="CH205" s="119"/>
      <c r="CI205" s="119"/>
      <c r="CJ205" s="119"/>
      <c r="CK205" s="119"/>
      <c r="CL205" s="119"/>
      <c r="CM205" s="119"/>
      <c r="CN205" s="119"/>
      <c r="CO205" s="119"/>
      <c r="CP205" s="119"/>
      <c r="CQ205" s="119"/>
      <c r="CR205" s="119"/>
      <c r="CS205" s="119"/>
      <c r="CT205" s="119"/>
      <c r="CU205" s="119"/>
      <c r="CV205" s="119"/>
      <c r="CW205" s="119"/>
      <c r="CX205" s="119"/>
      <c r="CY205" s="119"/>
      <c r="CZ205" s="119"/>
      <c r="DA205" s="119"/>
      <c r="DB205" s="119"/>
      <c r="DC205" s="119"/>
      <c r="DD205" s="119"/>
      <c r="DE205" s="119"/>
      <c r="DF205" s="119"/>
      <c r="DG205" s="119"/>
      <c r="DH205" s="119"/>
      <c r="DI205" s="119"/>
      <c r="DJ205" s="119"/>
      <c r="DK205" s="119"/>
      <c r="DL205" s="119"/>
      <c r="DM205" s="119"/>
      <c r="DN205" s="119"/>
      <c r="DO205" s="119"/>
      <c r="DP205" s="119"/>
      <c r="DQ205" s="119"/>
      <c r="DR205" s="119"/>
      <c r="DS205" s="119"/>
      <c r="DT205" s="119"/>
      <c r="DU205" s="119"/>
      <c r="DV205" s="119"/>
      <c r="DW205" s="119"/>
      <c r="DX205" s="119"/>
      <c r="DY205" s="119"/>
      <c r="DZ205" s="119"/>
      <c r="EA205" s="119"/>
      <c r="EB205" s="119"/>
      <c r="EC205" s="119"/>
      <c r="ED205" s="119"/>
      <c r="EE205" s="119"/>
      <c r="EF205" s="119"/>
      <c r="EG205" s="119"/>
      <c r="EH205" s="119"/>
      <c r="EI205" s="119"/>
      <c r="EJ205" s="119"/>
      <c r="EK205" s="119"/>
      <c r="EL205" s="119"/>
      <c r="EM205" s="119"/>
      <c r="EN205" s="119"/>
      <c r="EO205" s="119"/>
      <c r="EP205" s="119"/>
      <c r="EQ205" s="119"/>
      <c r="ER205" s="119"/>
      <c r="ES205" s="119"/>
      <c r="ET205" s="119"/>
      <c r="EU205" s="119"/>
      <c r="EV205" s="119"/>
      <c r="EW205" s="119"/>
      <c r="EX205" s="119"/>
      <c r="EY205" s="119"/>
      <c r="EZ205" s="119"/>
      <c r="FA205" s="119"/>
      <c r="FB205" s="119"/>
      <c r="FC205" s="119"/>
      <c r="FD205" s="119"/>
      <c r="FE205" s="119"/>
      <c r="FF205" s="119"/>
      <c r="FG205" s="119"/>
      <c r="FH205" s="119"/>
      <c r="FI205" s="119"/>
      <c r="FJ205" s="119"/>
      <c r="FK205" s="119"/>
      <c r="FL205" s="119"/>
      <c r="FM205" s="119"/>
      <c r="FN205" s="119"/>
      <c r="FO205" s="119"/>
      <c r="FP205" s="119"/>
      <c r="FQ205" s="119"/>
      <c r="FR205" s="119"/>
      <c r="FS205" s="119"/>
      <c r="FT205" s="119"/>
      <c r="FU205" s="119"/>
      <c r="FV205" s="119"/>
      <c r="FW205" s="119"/>
      <c r="FX205" s="119"/>
      <c r="FY205" s="119"/>
      <c r="FZ205" s="119"/>
      <c r="GA205" s="119"/>
      <c r="GB205" s="119"/>
      <c r="GC205" s="119"/>
      <c r="GD205" s="119"/>
      <c r="GE205" s="119"/>
      <c r="GF205" s="119"/>
      <c r="GG205" s="119"/>
      <c r="GH205" s="119"/>
      <c r="GI205" s="119"/>
      <c r="GJ205" s="119"/>
    </row>
    <row r="206" spans="1:192" ht="56.25" x14ac:dyDescent="0.25">
      <c r="A206" s="278" t="s">
        <v>4</v>
      </c>
      <c r="B206" s="164" t="s">
        <v>712</v>
      </c>
      <c r="C206" s="164" t="s">
        <v>418</v>
      </c>
      <c r="D206" s="168" t="s">
        <v>25</v>
      </c>
      <c r="E206" s="172" t="s">
        <v>1040</v>
      </c>
      <c r="F206" s="63"/>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119"/>
      <c r="AZ206" s="119"/>
      <c r="BA206" s="119"/>
      <c r="BB206" s="119"/>
      <c r="BC206" s="119"/>
      <c r="BD206" s="119"/>
      <c r="BE206" s="119"/>
      <c r="BF206" s="119"/>
      <c r="BG206" s="119"/>
      <c r="BH206" s="119"/>
      <c r="BI206" s="119"/>
      <c r="BJ206" s="119"/>
      <c r="BK206" s="119"/>
      <c r="BL206" s="119"/>
      <c r="BM206" s="119"/>
      <c r="BN206" s="119"/>
      <c r="BO206" s="119"/>
      <c r="BP206" s="119"/>
      <c r="BQ206" s="119"/>
      <c r="BR206" s="119"/>
      <c r="BS206" s="119"/>
      <c r="BT206" s="119"/>
      <c r="BU206" s="119"/>
      <c r="BV206" s="119"/>
      <c r="BW206" s="119"/>
      <c r="BX206" s="119"/>
      <c r="BY206" s="119"/>
      <c r="BZ206" s="119"/>
      <c r="CA206" s="119"/>
      <c r="CB206" s="119"/>
      <c r="CC206" s="119"/>
      <c r="CD206" s="119"/>
      <c r="CE206" s="119"/>
      <c r="CF206" s="119"/>
      <c r="CG206" s="119"/>
      <c r="CH206" s="119"/>
      <c r="CI206" s="119"/>
      <c r="CJ206" s="119"/>
      <c r="CK206" s="119"/>
      <c r="CL206" s="119"/>
      <c r="CM206" s="119"/>
      <c r="CN206" s="119"/>
      <c r="CO206" s="119"/>
      <c r="CP206" s="119"/>
      <c r="CQ206" s="119"/>
      <c r="CR206" s="119"/>
      <c r="CS206" s="119"/>
      <c r="CT206" s="119"/>
      <c r="CU206" s="119"/>
      <c r="CV206" s="119"/>
      <c r="CW206" s="119"/>
      <c r="CX206" s="119"/>
      <c r="CY206" s="119"/>
      <c r="CZ206" s="119"/>
      <c r="DA206" s="119"/>
      <c r="DB206" s="119"/>
      <c r="DC206" s="119"/>
      <c r="DD206" s="119"/>
      <c r="DE206" s="119"/>
      <c r="DF206" s="119"/>
      <c r="DG206" s="119"/>
      <c r="DH206" s="119"/>
      <c r="DI206" s="119"/>
      <c r="DJ206" s="119"/>
      <c r="DK206" s="119"/>
      <c r="DL206" s="119"/>
      <c r="DM206" s="119"/>
      <c r="DN206" s="119"/>
      <c r="DO206" s="119"/>
      <c r="DP206" s="119"/>
      <c r="DQ206" s="119"/>
      <c r="DR206" s="119"/>
      <c r="DS206" s="119"/>
      <c r="DT206" s="119"/>
      <c r="DU206" s="119"/>
      <c r="DV206" s="119"/>
      <c r="DW206" s="119"/>
      <c r="DX206" s="119"/>
      <c r="DY206" s="119"/>
      <c r="DZ206" s="119"/>
      <c r="EA206" s="119"/>
      <c r="EB206" s="119"/>
      <c r="EC206" s="119"/>
      <c r="ED206" s="119"/>
      <c r="EE206" s="119"/>
      <c r="EF206" s="119"/>
      <c r="EG206" s="119"/>
      <c r="EH206" s="119"/>
      <c r="EI206" s="119"/>
      <c r="EJ206" s="119"/>
      <c r="EK206" s="119"/>
      <c r="EL206" s="119"/>
      <c r="EM206" s="119"/>
      <c r="EN206" s="119"/>
      <c r="EO206" s="119"/>
      <c r="EP206" s="119"/>
      <c r="EQ206" s="119"/>
      <c r="ER206" s="119"/>
      <c r="ES206" s="119"/>
      <c r="ET206" s="119"/>
      <c r="EU206" s="119"/>
      <c r="EV206" s="119"/>
      <c r="EW206" s="119"/>
      <c r="EX206" s="119"/>
      <c r="EY206" s="119"/>
      <c r="EZ206" s="119"/>
      <c r="FA206" s="119"/>
      <c r="FB206" s="119"/>
      <c r="FC206" s="119"/>
      <c r="FD206" s="119"/>
      <c r="FE206" s="119"/>
      <c r="FF206" s="119"/>
      <c r="FG206" s="119"/>
      <c r="FH206" s="119"/>
      <c r="FI206" s="119"/>
      <c r="FJ206" s="119"/>
      <c r="FK206" s="119"/>
      <c r="FL206" s="119"/>
      <c r="FM206" s="119"/>
      <c r="FN206" s="119"/>
      <c r="FO206" s="119"/>
      <c r="FP206" s="119"/>
      <c r="FQ206" s="119"/>
      <c r="FR206" s="119"/>
      <c r="FS206" s="119"/>
      <c r="FT206" s="119"/>
      <c r="FU206" s="119"/>
      <c r="FV206" s="119"/>
      <c r="FW206" s="119"/>
      <c r="FX206" s="119"/>
      <c r="FY206" s="119"/>
      <c r="FZ206" s="119"/>
      <c r="GA206" s="119"/>
      <c r="GB206" s="119"/>
      <c r="GC206" s="119"/>
      <c r="GD206" s="119"/>
      <c r="GE206" s="119"/>
      <c r="GF206" s="119"/>
      <c r="GG206" s="119"/>
      <c r="GH206" s="119"/>
      <c r="GI206" s="119"/>
      <c r="GJ206" s="119"/>
    </row>
    <row r="207" spans="1:192" ht="112.5" x14ac:dyDescent="0.25">
      <c r="A207" s="278" t="s">
        <v>4</v>
      </c>
      <c r="B207" s="164"/>
      <c r="C207" s="164" t="s">
        <v>713</v>
      </c>
      <c r="D207" s="168" t="s">
        <v>25</v>
      </c>
      <c r="E207" s="172" t="s">
        <v>1041</v>
      </c>
      <c r="F207" s="63"/>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119"/>
      <c r="AZ207" s="119"/>
      <c r="BA207" s="119"/>
      <c r="BB207" s="119"/>
      <c r="BC207" s="119"/>
      <c r="BD207" s="119"/>
      <c r="BE207" s="119"/>
      <c r="BF207" s="119"/>
      <c r="BG207" s="119"/>
      <c r="BH207" s="119"/>
      <c r="BI207" s="119"/>
      <c r="BJ207" s="119"/>
      <c r="BK207" s="119"/>
      <c r="BL207" s="119"/>
      <c r="BM207" s="119"/>
      <c r="BN207" s="119"/>
      <c r="BO207" s="119"/>
      <c r="BP207" s="119"/>
      <c r="BQ207" s="119"/>
      <c r="BR207" s="119"/>
      <c r="BS207" s="119"/>
      <c r="BT207" s="119"/>
      <c r="BU207" s="119"/>
      <c r="BV207" s="119"/>
      <c r="BW207" s="119"/>
      <c r="BX207" s="119"/>
      <c r="BY207" s="119"/>
      <c r="BZ207" s="119"/>
      <c r="CA207" s="119"/>
      <c r="CB207" s="119"/>
      <c r="CC207" s="119"/>
      <c r="CD207" s="119"/>
      <c r="CE207" s="119"/>
      <c r="CF207" s="119"/>
      <c r="CG207" s="119"/>
      <c r="CH207" s="119"/>
      <c r="CI207" s="119"/>
      <c r="CJ207" s="119"/>
      <c r="CK207" s="119"/>
      <c r="CL207" s="119"/>
      <c r="CM207" s="119"/>
      <c r="CN207" s="119"/>
      <c r="CO207" s="119"/>
      <c r="CP207" s="119"/>
      <c r="CQ207" s="119"/>
      <c r="CR207" s="119"/>
      <c r="CS207" s="119"/>
      <c r="CT207" s="119"/>
      <c r="CU207" s="119"/>
      <c r="CV207" s="119"/>
      <c r="CW207" s="119"/>
      <c r="CX207" s="119"/>
      <c r="CY207" s="119"/>
      <c r="CZ207" s="119"/>
      <c r="DA207" s="119"/>
      <c r="DB207" s="119"/>
      <c r="DC207" s="119"/>
      <c r="DD207" s="119"/>
      <c r="DE207" s="119"/>
      <c r="DF207" s="119"/>
      <c r="DG207" s="119"/>
      <c r="DH207" s="119"/>
      <c r="DI207" s="119"/>
      <c r="DJ207" s="119"/>
      <c r="DK207" s="119"/>
      <c r="DL207" s="119"/>
      <c r="DM207" s="119"/>
      <c r="DN207" s="119"/>
      <c r="DO207" s="119"/>
      <c r="DP207" s="119"/>
      <c r="DQ207" s="119"/>
      <c r="DR207" s="119"/>
      <c r="DS207" s="119"/>
      <c r="DT207" s="119"/>
      <c r="DU207" s="119"/>
      <c r="DV207" s="119"/>
      <c r="DW207" s="119"/>
      <c r="DX207" s="119"/>
      <c r="DY207" s="119"/>
      <c r="DZ207" s="119"/>
      <c r="EA207" s="119"/>
      <c r="EB207" s="119"/>
      <c r="EC207" s="119"/>
      <c r="ED207" s="119"/>
      <c r="EE207" s="119"/>
      <c r="EF207" s="119"/>
      <c r="EG207" s="119"/>
      <c r="EH207" s="119"/>
      <c r="EI207" s="119"/>
      <c r="EJ207" s="119"/>
      <c r="EK207" s="119"/>
      <c r="EL207" s="119"/>
      <c r="EM207" s="119"/>
      <c r="EN207" s="119"/>
      <c r="EO207" s="119"/>
      <c r="EP207" s="119"/>
      <c r="EQ207" s="119"/>
      <c r="ER207" s="119"/>
      <c r="ES207" s="119"/>
      <c r="ET207" s="119"/>
      <c r="EU207" s="119"/>
      <c r="EV207" s="119"/>
      <c r="EW207" s="119"/>
      <c r="EX207" s="119"/>
      <c r="EY207" s="119"/>
      <c r="EZ207" s="119"/>
      <c r="FA207" s="119"/>
      <c r="FB207" s="119"/>
      <c r="FC207" s="119"/>
      <c r="FD207" s="119"/>
      <c r="FE207" s="119"/>
      <c r="FF207" s="119"/>
      <c r="FG207" s="119"/>
      <c r="FH207" s="119"/>
      <c r="FI207" s="119"/>
      <c r="FJ207" s="119"/>
      <c r="FK207" s="119"/>
      <c r="FL207" s="119"/>
      <c r="FM207" s="119"/>
      <c r="FN207" s="119"/>
      <c r="FO207" s="119"/>
      <c r="FP207" s="119"/>
      <c r="FQ207" s="119"/>
      <c r="FR207" s="119"/>
      <c r="FS207" s="119"/>
      <c r="FT207" s="119"/>
      <c r="FU207" s="119"/>
      <c r="FV207" s="119"/>
      <c r="FW207" s="119"/>
      <c r="FX207" s="119"/>
      <c r="FY207" s="119"/>
      <c r="FZ207" s="119"/>
      <c r="GA207" s="119"/>
      <c r="GB207" s="119"/>
      <c r="GC207" s="119"/>
      <c r="GD207" s="119"/>
      <c r="GE207" s="119"/>
      <c r="GF207" s="119"/>
      <c r="GG207" s="119"/>
      <c r="GH207" s="119"/>
      <c r="GI207" s="119"/>
      <c r="GJ207" s="119"/>
    </row>
    <row r="208" spans="1:192" ht="101.25" x14ac:dyDescent="0.25">
      <c r="A208" s="278" t="s">
        <v>4</v>
      </c>
      <c r="B208" s="164"/>
      <c r="C208" s="164" t="s">
        <v>714</v>
      </c>
      <c r="D208" s="168" t="s">
        <v>25</v>
      </c>
      <c r="E208" s="321" t="s">
        <v>1232</v>
      </c>
      <c r="F208" s="62"/>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119"/>
      <c r="AZ208" s="119"/>
      <c r="BA208" s="119"/>
      <c r="BB208" s="119"/>
      <c r="BC208" s="119"/>
      <c r="BD208" s="119"/>
      <c r="BE208" s="119"/>
      <c r="BF208" s="119"/>
      <c r="BG208" s="119"/>
      <c r="BH208" s="119"/>
      <c r="BI208" s="119"/>
      <c r="BJ208" s="119"/>
      <c r="BK208" s="119"/>
      <c r="BL208" s="119"/>
      <c r="BM208" s="119"/>
      <c r="BN208" s="119"/>
      <c r="BO208" s="119"/>
      <c r="BP208" s="119"/>
      <c r="BQ208" s="119"/>
      <c r="BR208" s="119"/>
      <c r="BS208" s="119"/>
      <c r="BT208" s="119"/>
      <c r="BU208" s="119"/>
      <c r="BV208" s="119"/>
      <c r="BW208" s="119"/>
      <c r="BX208" s="119"/>
      <c r="BY208" s="119"/>
      <c r="BZ208" s="119"/>
      <c r="CA208" s="119"/>
      <c r="CB208" s="119"/>
      <c r="CC208" s="119"/>
      <c r="CD208" s="119"/>
      <c r="CE208" s="119"/>
      <c r="CF208" s="119"/>
      <c r="CG208" s="119"/>
      <c r="CH208" s="119"/>
      <c r="CI208" s="119"/>
      <c r="CJ208" s="119"/>
      <c r="CK208" s="119"/>
      <c r="CL208" s="119"/>
      <c r="CM208" s="119"/>
      <c r="CN208" s="119"/>
      <c r="CO208" s="119"/>
      <c r="CP208" s="119"/>
      <c r="CQ208" s="119"/>
      <c r="CR208" s="119"/>
      <c r="CS208" s="119"/>
      <c r="CT208" s="119"/>
      <c r="CU208" s="119"/>
      <c r="CV208" s="119"/>
      <c r="CW208" s="119"/>
      <c r="CX208" s="119"/>
      <c r="CY208" s="119"/>
      <c r="CZ208" s="119"/>
      <c r="DA208" s="119"/>
      <c r="DB208" s="119"/>
      <c r="DC208" s="119"/>
      <c r="DD208" s="119"/>
      <c r="DE208" s="119"/>
      <c r="DF208" s="119"/>
      <c r="DG208" s="119"/>
      <c r="DH208" s="119"/>
      <c r="DI208" s="119"/>
      <c r="DJ208" s="119"/>
      <c r="DK208" s="119"/>
      <c r="DL208" s="119"/>
      <c r="DM208" s="119"/>
      <c r="DN208" s="119"/>
      <c r="DO208" s="119"/>
      <c r="DP208" s="119"/>
      <c r="DQ208" s="119"/>
      <c r="DR208" s="119"/>
      <c r="DS208" s="119"/>
      <c r="DT208" s="119"/>
      <c r="DU208" s="119"/>
      <c r="DV208" s="119"/>
      <c r="DW208" s="119"/>
      <c r="DX208" s="119"/>
      <c r="DY208" s="119"/>
      <c r="DZ208" s="119"/>
      <c r="EA208" s="119"/>
      <c r="EB208" s="119"/>
      <c r="EC208" s="119"/>
      <c r="ED208" s="119"/>
      <c r="EE208" s="119"/>
      <c r="EF208" s="119"/>
      <c r="EG208" s="119"/>
      <c r="EH208" s="119"/>
      <c r="EI208" s="119"/>
      <c r="EJ208" s="119"/>
      <c r="EK208" s="119"/>
      <c r="EL208" s="119"/>
      <c r="EM208" s="119"/>
      <c r="EN208" s="119"/>
      <c r="EO208" s="119"/>
      <c r="EP208" s="119"/>
      <c r="EQ208" s="119"/>
      <c r="ER208" s="119"/>
      <c r="ES208" s="119"/>
      <c r="ET208" s="119"/>
      <c r="EU208" s="119"/>
      <c r="EV208" s="119"/>
      <c r="EW208" s="119"/>
      <c r="EX208" s="119"/>
      <c r="EY208" s="119"/>
      <c r="EZ208" s="119"/>
      <c r="FA208" s="119"/>
      <c r="FB208" s="119"/>
      <c r="FC208" s="119"/>
      <c r="FD208" s="119"/>
      <c r="FE208" s="119"/>
      <c r="FF208" s="119"/>
      <c r="FG208" s="119"/>
      <c r="FH208" s="119"/>
      <c r="FI208" s="119"/>
      <c r="FJ208" s="119"/>
      <c r="FK208" s="119"/>
      <c r="FL208" s="119"/>
      <c r="FM208" s="119"/>
      <c r="FN208" s="119"/>
      <c r="FO208" s="119"/>
      <c r="FP208" s="119"/>
      <c r="FQ208" s="119"/>
      <c r="FR208" s="119"/>
      <c r="FS208" s="119"/>
      <c r="FT208" s="119"/>
      <c r="FU208" s="119"/>
      <c r="FV208" s="119"/>
      <c r="FW208" s="119"/>
      <c r="FX208" s="119"/>
      <c r="FY208" s="119"/>
      <c r="FZ208" s="119"/>
      <c r="GA208" s="119"/>
      <c r="GB208" s="119"/>
      <c r="GC208" s="119"/>
      <c r="GD208" s="119"/>
      <c r="GE208" s="119"/>
      <c r="GF208" s="119"/>
      <c r="GG208" s="119"/>
      <c r="GH208" s="119"/>
      <c r="GI208" s="119"/>
      <c r="GJ208" s="119"/>
    </row>
    <row r="209" spans="1:192" ht="90" x14ac:dyDescent="0.25">
      <c r="A209" s="278" t="s">
        <v>4</v>
      </c>
      <c r="B209" s="170" t="s">
        <v>1042</v>
      </c>
      <c r="C209" s="170" t="s">
        <v>419</v>
      </c>
      <c r="D209" s="169" t="s">
        <v>24</v>
      </c>
      <c r="E209" s="173" t="s">
        <v>1043</v>
      </c>
      <c r="F209" s="63"/>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119"/>
      <c r="AZ209" s="119"/>
      <c r="BA209" s="119"/>
      <c r="BB209" s="119"/>
      <c r="BC209" s="119"/>
      <c r="BD209" s="119"/>
      <c r="BE209" s="119"/>
      <c r="BF209" s="119"/>
      <c r="BG209" s="119"/>
      <c r="BH209" s="119"/>
      <c r="BI209" s="119"/>
      <c r="BJ209" s="119"/>
      <c r="BK209" s="119"/>
      <c r="BL209" s="119"/>
      <c r="BM209" s="119"/>
      <c r="BN209" s="119"/>
      <c r="BO209" s="119"/>
      <c r="BP209" s="119"/>
      <c r="BQ209" s="119"/>
      <c r="BR209" s="119"/>
      <c r="BS209" s="119"/>
      <c r="BT209" s="119"/>
      <c r="BU209" s="119"/>
      <c r="BV209" s="119"/>
      <c r="BW209" s="119"/>
      <c r="BX209" s="119"/>
      <c r="BY209" s="119"/>
      <c r="BZ209" s="119"/>
      <c r="CA209" s="119"/>
      <c r="CB209" s="119"/>
      <c r="CC209" s="119"/>
      <c r="CD209" s="119"/>
      <c r="CE209" s="119"/>
      <c r="CF209" s="119"/>
      <c r="CG209" s="119"/>
      <c r="CH209" s="119"/>
      <c r="CI209" s="119"/>
      <c r="CJ209" s="119"/>
      <c r="CK209" s="119"/>
      <c r="CL209" s="119"/>
      <c r="CM209" s="119"/>
      <c r="CN209" s="119"/>
      <c r="CO209" s="119"/>
      <c r="CP209" s="119"/>
      <c r="CQ209" s="119"/>
      <c r="CR209" s="119"/>
      <c r="CS209" s="119"/>
      <c r="CT209" s="119"/>
      <c r="CU209" s="119"/>
      <c r="CV209" s="119"/>
      <c r="CW209" s="119"/>
      <c r="CX209" s="119"/>
      <c r="CY209" s="119"/>
      <c r="CZ209" s="119"/>
      <c r="DA209" s="119"/>
      <c r="DB209" s="119"/>
      <c r="DC209" s="119"/>
      <c r="DD209" s="119"/>
      <c r="DE209" s="119"/>
      <c r="DF209" s="119"/>
      <c r="DG209" s="119"/>
      <c r="DH209" s="119"/>
      <c r="DI209" s="119"/>
      <c r="DJ209" s="119"/>
      <c r="DK209" s="119"/>
      <c r="DL209" s="119"/>
      <c r="DM209" s="119"/>
      <c r="DN209" s="119"/>
      <c r="DO209" s="119"/>
      <c r="DP209" s="119"/>
      <c r="DQ209" s="119"/>
      <c r="DR209" s="119"/>
      <c r="DS209" s="119"/>
      <c r="DT209" s="119"/>
      <c r="DU209" s="119"/>
      <c r="DV209" s="119"/>
      <c r="DW209" s="119"/>
      <c r="DX209" s="119"/>
      <c r="DY209" s="119"/>
      <c r="DZ209" s="119"/>
      <c r="EA209" s="119"/>
      <c r="EB209" s="119"/>
      <c r="EC209" s="119"/>
      <c r="ED209" s="119"/>
      <c r="EE209" s="119"/>
      <c r="EF209" s="119"/>
      <c r="EG209" s="119"/>
      <c r="EH209" s="119"/>
      <c r="EI209" s="119"/>
      <c r="EJ209" s="119"/>
      <c r="EK209" s="119"/>
      <c r="EL209" s="119"/>
      <c r="EM209" s="119"/>
      <c r="EN209" s="119"/>
      <c r="EO209" s="119"/>
      <c r="EP209" s="119"/>
      <c r="EQ209" s="119"/>
      <c r="ER209" s="119"/>
      <c r="ES209" s="119"/>
      <c r="ET209" s="119"/>
      <c r="EU209" s="119"/>
      <c r="EV209" s="119"/>
      <c r="EW209" s="119"/>
      <c r="EX209" s="119"/>
      <c r="EY209" s="119"/>
      <c r="EZ209" s="119"/>
      <c r="FA209" s="119"/>
      <c r="FB209" s="119"/>
      <c r="FC209" s="119"/>
      <c r="FD209" s="119"/>
      <c r="FE209" s="119"/>
      <c r="FF209" s="119"/>
      <c r="FG209" s="119"/>
      <c r="FH209" s="119"/>
      <c r="FI209" s="119"/>
      <c r="FJ209" s="119"/>
      <c r="FK209" s="119"/>
      <c r="FL209" s="119"/>
      <c r="FM209" s="119"/>
      <c r="FN209" s="119"/>
      <c r="FO209" s="119"/>
      <c r="FP209" s="119"/>
      <c r="FQ209" s="119"/>
      <c r="FR209" s="119"/>
      <c r="FS209" s="119"/>
      <c r="FT209" s="119"/>
      <c r="FU209" s="119"/>
      <c r="FV209" s="119"/>
      <c r="FW209" s="119"/>
      <c r="FX209" s="119"/>
      <c r="FY209" s="119"/>
      <c r="FZ209" s="119"/>
      <c r="GA209" s="119"/>
      <c r="GB209" s="119"/>
      <c r="GC209" s="119"/>
      <c r="GD209" s="119"/>
      <c r="GE209" s="119"/>
      <c r="GF209" s="119"/>
      <c r="GG209" s="119"/>
      <c r="GH209" s="119"/>
      <c r="GI209" s="119"/>
      <c r="GJ209" s="119"/>
    </row>
    <row r="210" spans="1:192" ht="45" x14ac:dyDescent="0.25">
      <c r="A210" s="278" t="s">
        <v>4</v>
      </c>
      <c r="B210" s="322" t="s">
        <v>1233</v>
      </c>
      <c r="C210" s="164" t="s">
        <v>420</v>
      </c>
      <c r="D210" s="168" t="s">
        <v>24</v>
      </c>
      <c r="E210" s="172" t="s">
        <v>715</v>
      </c>
      <c r="F210" s="62"/>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119"/>
      <c r="AZ210" s="119"/>
      <c r="BA210" s="119"/>
      <c r="BB210" s="119"/>
      <c r="BC210" s="119"/>
      <c r="BD210" s="119"/>
      <c r="BE210" s="119"/>
      <c r="BF210" s="119"/>
      <c r="BG210" s="119"/>
      <c r="BH210" s="119"/>
      <c r="BI210" s="119"/>
      <c r="BJ210" s="119"/>
      <c r="BK210" s="119"/>
      <c r="BL210" s="119"/>
      <c r="BM210" s="119"/>
      <c r="BN210" s="119"/>
      <c r="BO210" s="119"/>
      <c r="BP210" s="119"/>
      <c r="BQ210" s="119"/>
      <c r="BR210" s="119"/>
      <c r="BS210" s="119"/>
      <c r="BT210" s="119"/>
      <c r="BU210" s="119"/>
      <c r="BV210" s="119"/>
      <c r="BW210" s="119"/>
      <c r="BX210" s="119"/>
      <c r="BY210" s="119"/>
      <c r="BZ210" s="119"/>
      <c r="CA210" s="119"/>
      <c r="CB210" s="119"/>
      <c r="CC210" s="119"/>
      <c r="CD210" s="119"/>
      <c r="CE210" s="119"/>
      <c r="CF210" s="119"/>
      <c r="CG210" s="119"/>
      <c r="CH210" s="119"/>
      <c r="CI210" s="119"/>
      <c r="CJ210" s="119"/>
      <c r="CK210" s="119"/>
      <c r="CL210" s="119"/>
      <c r="CM210" s="119"/>
      <c r="CN210" s="119"/>
      <c r="CO210" s="119"/>
      <c r="CP210" s="119"/>
      <c r="CQ210" s="119"/>
      <c r="CR210" s="119"/>
      <c r="CS210" s="119"/>
      <c r="CT210" s="119"/>
      <c r="CU210" s="119"/>
      <c r="CV210" s="119"/>
      <c r="CW210" s="119"/>
      <c r="CX210" s="119"/>
      <c r="CY210" s="119"/>
      <c r="CZ210" s="119"/>
      <c r="DA210" s="119"/>
      <c r="DB210" s="119"/>
      <c r="DC210" s="119"/>
      <c r="DD210" s="119"/>
      <c r="DE210" s="119"/>
      <c r="DF210" s="119"/>
      <c r="DG210" s="119"/>
      <c r="DH210" s="119"/>
      <c r="DI210" s="119"/>
      <c r="DJ210" s="119"/>
      <c r="DK210" s="119"/>
      <c r="DL210" s="119"/>
      <c r="DM210" s="119"/>
      <c r="DN210" s="119"/>
      <c r="DO210" s="119"/>
      <c r="DP210" s="119"/>
      <c r="DQ210" s="119"/>
      <c r="DR210" s="119"/>
      <c r="DS210" s="119"/>
      <c r="DT210" s="119"/>
      <c r="DU210" s="119"/>
      <c r="DV210" s="119"/>
      <c r="DW210" s="119"/>
      <c r="DX210" s="119"/>
      <c r="DY210" s="119"/>
      <c r="DZ210" s="119"/>
      <c r="EA210" s="119"/>
      <c r="EB210" s="119"/>
      <c r="EC210" s="119"/>
      <c r="ED210" s="119"/>
      <c r="EE210" s="119"/>
      <c r="EF210" s="119"/>
      <c r="EG210" s="119"/>
      <c r="EH210" s="119"/>
      <c r="EI210" s="119"/>
      <c r="EJ210" s="119"/>
      <c r="EK210" s="119"/>
      <c r="EL210" s="119"/>
      <c r="EM210" s="119"/>
      <c r="EN210" s="119"/>
      <c r="EO210" s="119"/>
      <c r="EP210" s="119"/>
      <c r="EQ210" s="119"/>
      <c r="ER210" s="119"/>
      <c r="ES210" s="119"/>
      <c r="ET210" s="119"/>
      <c r="EU210" s="119"/>
      <c r="EV210" s="119"/>
      <c r="EW210" s="119"/>
      <c r="EX210" s="119"/>
      <c r="EY210" s="119"/>
      <c r="EZ210" s="119"/>
      <c r="FA210" s="119"/>
      <c r="FB210" s="119"/>
      <c r="FC210" s="119"/>
      <c r="FD210" s="119"/>
      <c r="FE210" s="119"/>
      <c r="FF210" s="119"/>
      <c r="FG210" s="119"/>
      <c r="FH210" s="119"/>
      <c r="FI210" s="119"/>
      <c r="FJ210" s="119"/>
      <c r="FK210" s="119"/>
      <c r="FL210" s="119"/>
      <c r="FM210" s="119"/>
      <c r="FN210" s="119"/>
      <c r="FO210" s="119"/>
      <c r="FP210" s="119"/>
      <c r="FQ210" s="119"/>
      <c r="FR210" s="119"/>
      <c r="FS210" s="119"/>
      <c r="FT210" s="119"/>
      <c r="FU210" s="119"/>
      <c r="FV210" s="119"/>
      <c r="FW210" s="119"/>
      <c r="FX210" s="119"/>
      <c r="FY210" s="119"/>
      <c r="FZ210" s="119"/>
      <c r="GA210" s="119"/>
      <c r="GB210" s="119"/>
      <c r="GC210" s="119"/>
      <c r="GD210" s="119"/>
      <c r="GE210" s="119"/>
      <c r="GF210" s="119"/>
      <c r="GG210" s="119"/>
      <c r="GH210" s="119"/>
      <c r="GI210" s="119"/>
      <c r="GJ210" s="119"/>
    </row>
    <row r="211" spans="1:192" ht="56.25" x14ac:dyDescent="0.25">
      <c r="A211" s="278" t="s">
        <v>4</v>
      </c>
      <c r="B211" s="170" t="s">
        <v>716</v>
      </c>
      <c r="C211" s="170" t="s">
        <v>421</v>
      </c>
      <c r="D211" s="169" t="s">
        <v>24</v>
      </c>
      <c r="E211" s="173" t="s">
        <v>1044</v>
      </c>
      <c r="F211" s="63"/>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119"/>
      <c r="AZ211" s="119"/>
      <c r="BA211" s="119"/>
      <c r="BB211" s="119"/>
      <c r="BC211" s="119"/>
      <c r="BD211" s="119"/>
      <c r="BE211" s="119"/>
      <c r="BF211" s="119"/>
      <c r="BG211" s="119"/>
      <c r="BH211" s="119"/>
      <c r="BI211" s="119"/>
      <c r="BJ211" s="119"/>
      <c r="BK211" s="119"/>
      <c r="BL211" s="119"/>
      <c r="BM211" s="119"/>
      <c r="BN211" s="119"/>
      <c r="BO211" s="119"/>
      <c r="BP211" s="119"/>
      <c r="BQ211" s="119"/>
      <c r="BR211" s="119"/>
      <c r="BS211" s="119"/>
      <c r="BT211" s="119"/>
      <c r="BU211" s="119"/>
      <c r="BV211" s="119"/>
      <c r="BW211" s="119"/>
      <c r="BX211" s="119"/>
      <c r="BY211" s="119"/>
      <c r="BZ211" s="119"/>
      <c r="CA211" s="119"/>
      <c r="CB211" s="119"/>
      <c r="CC211" s="119"/>
      <c r="CD211" s="119"/>
      <c r="CE211" s="119"/>
      <c r="CF211" s="119"/>
      <c r="CG211" s="119"/>
      <c r="CH211" s="119"/>
      <c r="CI211" s="119"/>
      <c r="CJ211" s="119"/>
      <c r="CK211" s="119"/>
      <c r="CL211" s="119"/>
      <c r="CM211" s="119"/>
      <c r="CN211" s="119"/>
      <c r="CO211" s="119"/>
      <c r="CP211" s="119"/>
      <c r="CQ211" s="119"/>
      <c r="CR211" s="119"/>
      <c r="CS211" s="119"/>
      <c r="CT211" s="119"/>
      <c r="CU211" s="119"/>
      <c r="CV211" s="119"/>
      <c r="CW211" s="119"/>
      <c r="CX211" s="119"/>
      <c r="CY211" s="119"/>
      <c r="CZ211" s="119"/>
      <c r="DA211" s="119"/>
      <c r="DB211" s="119"/>
      <c r="DC211" s="119"/>
      <c r="DD211" s="119"/>
      <c r="DE211" s="119"/>
      <c r="DF211" s="119"/>
      <c r="DG211" s="119"/>
      <c r="DH211" s="119"/>
      <c r="DI211" s="119"/>
      <c r="DJ211" s="119"/>
      <c r="DK211" s="119"/>
      <c r="DL211" s="119"/>
      <c r="DM211" s="119"/>
      <c r="DN211" s="119"/>
      <c r="DO211" s="119"/>
      <c r="DP211" s="119"/>
      <c r="DQ211" s="119"/>
      <c r="DR211" s="119"/>
      <c r="DS211" s="119"/>
      <c r="DT211" s="119"/>
      <c r="DU211" s="119"/>
      <c r="DV211" s="119"/>
      <c r="DW211" s="119"/>
      <c r="DX211" s="119"/>
      <c r="DY211" s="119"/>
      <c r="DZ211" s="119"/>
      <c r="EA211" s="119"/>
      <c r="EB211" s="119"/>
      <c r="EC211" s="119"/>
      <c r="ED211" s="119"/>
      <c r="EE211" s="119"/>
      <c r="EF211" s="119"/>
      <c r="EG211" s="119"/>
      <c r="EH211" s="119"/>
      <c r="EI211" s="119"/>
      <c r="EJ211" s="119"/>
      <c r="EK211" s="119"/>
      <c r="EL211" s="119"/>
      <c r="EM211" s="119"/>
      <c r="EN211" s="119"/>
      <c r="EO211" s="119"/>
      <c r="EP211" s="119"/>
      <c r="EQ211" s="119"/>
      <c r="ER211" s="119"/>
      <c r="ES211" s="119"/>
      <c r="ET211" s="119"/>
      <c r="EU211" s="119"/>
      <c r="EV211" s="119"/>
      <c r="EW211" s="119"/>
      <c r="EX211" s="119"/>
      <c r="EY211" s="119"/>
      <c r="EZ211" s="119"/>
      <c r="FA211" s="119"/>
      <c r="FB211" s="119"/>
      <c r="FC211" s="119"/>
      <c r="FD211" s="119"/>
      <c r="FE211" s="119"/>
      <c r="FF211" s="119"/>
      <c r="FG211" s="119"/>
      <c r="FH211" s="119"/>
      <c r="FI211" s="119"/>
      <c r="FJ211" s="119"/>
      <c r="FK211" s="119"/>
      <c r="FL211" s="119"/>
      <c r="FM211" s="119"/>
      <c r="FN211" s="119"/>
      <c r="FO211" s="119"/>
      <c r="FP211" s="119"/>
      <c r="FQ211" s="119"/>
      <c r="FR211" s="119"/>
      <c r="FS211" s="119"/>
      <c r="FT211" s="119"/>
      <c r="FU211" s="119"/>
      <c r="FV211" s="119"/>
      <c r="FW211" s="119"/>
      <c r="FX211" s="119"/>
      <c r="FY211" s="119"/>
      <c r="FZ211" s="119"/>
      <c r="GA211" s="119"/>
      <c r="GB211" s="119"/>
      <c r="GC211" s="119"/>
      <c r="GD211" s="119"/>
      <c r="GE211" s="119"/>
      <c r="GF211" s="119"/>
      <c r="GG211" s="119"/>
      <c r="GH211" s="119"/>
      <c r="GI211" s="119"/>
      <c r="GJ211" s="119"/>
    </row>
    <row r="212" spans="1:192" ht="56.25" x14ac:dyDescent="0.25">
      <c r="A212" s="278" t="s">
        <v>4</v>
      </c>
      <c r="B212" s="164" t="s">
        <v>1045</v>
      </c>
      <c r="C212" s="164" t="s">
        <v>422</v>
      </c>
      <c r="D212" s="168" t="s">
        <v>24</v>
      </c>
      <c r="E212" s="172" t="s">
        <v>1046</v>
      </c>
      <c r="F212" s="63"/>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119"/>
      <c r="AZ212" s="119"/>
      <c r="BA212" s="119"/>
      <c r="BB212" s="119"/>
      <c r="BC212" s="119"/>
      <c r="BD212" s="119"/>
      <c r="BE212" s="119"/>
      <c r="BF212" s="119"/>
      <c r="BG212" s="119"/>
      <c r="BH212" s="119"/>
      <c r="BI212" s="119"/>
      <c r="BJ212" s="119"/>
      <c r="BK212" s="119"/>
      <c r="BL212" s="119"/>
      <c r="BM212" s="119"/>
      <c r="BN212" s="119"/>
      <c r="BO212" s="119"/>
      <c r="BP212" s="119"/>
      <c r="BQ212" s="119"/>
      <c r="BR212" s="119"/>
      <c r="BS212" s="119"/>
      <c r="BT212" s="119"/>
      <c r="BU212" s="119"/>
      <c r="BV212" s="119"/>
      <c r="BW212" s="119"/>
      <c r="BX212" s="119"/>
      <c r="BY212" s="119"/>
      <c r="BZ212" s="119"/>
      <c r="CA212" s="119"/>
      <c r="CB212" s="119"/>
      <c r="CC212" s="119"/>
      <c r="CD212" s="119"/>
      <c r="CE212" s="119"/>
      <c r="CF212" s="119"/>
      <c r="CG212" s="119"/>
      <c r="CH212" s="119"/>
      <c r="CI212" s="119"/>
      <c r="CJ212" s="119"/>
      <c r="CK212" s="119"/>
      <c r="CL212" s="119"/>
      <c r="CM212" s="119"/>
      <c r="CN212" s="119"/>
      <c r="CO212" s="119"/>
      <c r="CP212" s="119"/>
      <c r="CQ212" s="119"/>
      <c r="CR212" s="119"/>
      <c r="CS212" s="119"/>
      <c r="CT212" s="119"/>
      <c r="CU212" s="119"/>
      <c r="CV212" s="119"/>
      <c r="CW212" s="119"/>
      <c r="CX212" s="119"/>
      <c r="CY212" s="119"/>
      <c r="CZ212" s="119"/>
      <c r="DA212" s="119"/>
      <c r="DB212" s="119"/>
      <c r="DC212" s="119"/>
      <c r="DD212" s="119"/>
      <c r="DE212" s="119"/>
      <c r="DF212" s="119"/>
      <c r="DG212" s="119"/>
      <c r="DH212" s="119"/>
      <c r="DI212" s="119"/>
      <c r="DJ212" s="119"/>
      <c r="DK212" s="119"/>
      <c r="DL212" s="119"/>
      <c r="DM212" s="119"/>
      <c r="DN212" s="119"/>
      <c r="DO212" s="119"/>
      <c r="DP212" s="119"/>
      <c r="DQ212" s="119"/>
      <c r="DR212" s="119"/>
      <c r="DS212" s="119"/>
      <c r="DT212" s="119"/>
      <c r="DU212" s="119"/>
      <c r="DV212" s="119"/>
      <c r="DW212" s="119"/>
      <c r="DX212" s="119"/>
      <c r="DY212" s="119"/>
      <c r="DZ212" s="119"/>
      <c r="EA212" s="119"/>
      <c r="EB212" s="119"/>
      <c r="EC212" s="119"/>
      <c r="ED212" s="119"/>
      <c r="EE212" s="119"/>
      <c r="EF212" s="119"/>
      <c r="EG212" s="119"/>
      <c r="EH212" s="119"/>
      <c r="EI212" s="119"/>
      <c r="EJ212" s="119"/>
      <c r="EK212" s="119"/>
      <c r="EL212" s="119"/>
      <c r="EM212" s="119"/>
      <c r="EN212" s="119"/>
      <c r="EO212" s="119"/>
      <c r="EP212" s="119"/>
      <c r="EQ212" s="119"/>
      <c r="ER212" s="119"/>
      <c r="ES212" s="119"/>
      <c r="ET212" s="119"/>
      <c r="EU212" s="119"/>
      <c r="EV212" s="119"/>
      <c r="EW212" s="119"/>
      <c r="EX212" s="119"/>
      <c r="EY212" s="119"/>
      <c r="EZ212" s="119"/>
      <c r="FA212" s="119"/>
      <c r="FB212" s="119"/>
      <c r="FC212" s="119"/>
      <c r="FD212" s="119"/>
      <c r="FE212" s="119"/>
      <c r="FF212" s="119"/>
      <c r="FG212" s="119"/>
      <c r="FH212" s="119"/>
      <c r="FI212" s="119"/>
      <c r="FJ212" s="119"/>
      <c r="FK212" s="119"/>
      <c r="FL212" s="119"/>
      <c r="FM212" s="119"/>
      <c r="FN212" s="119"/>
      <c r="FO212" s="119"/>
      <c r="FP212" s="119"/>
      <c r="FQ212" s="119"/>
      <c r="FR212" s="119"/>
      <c r="FS212" s="119"/>
      <c r="FT212" s="119"/>
      <c r="FU212" s="119"/>
      <c r="FV212" s="119"/>
      <c r="FW212" s="119"/>
      <c r="FX212" s="119"/>
      <c r="FY212" s="119"/>
      <c r="FZ212" s="119"/>
      <c r="GA212" s="119"/>
      <c r="GB212" s="119"/>
      <c r="GC212" s="119"/>
      <c r="GD212" s="119"/>
      <c r="GE212" s="119"/>
      <c r="GF212" s="119"/>
      <c r="GG212" s="119"/>
      <c r="GH212" s="119"/>
      <c r="GI212" s="119"/>
      <c r="GJ212" s="119"/>
    </row>
    <row r="213" spans="1:192" ht="22.5" x14ac:dyDescent="0.25">
      <c r="A213" s="278" t="s">
        <v>4</v>
      </c>
      <c r="B213" s="164"/>
      <c r="C213" s="164" t="s">
        <v>423</v>
      </c>
      <c r="D213" s="168" t="s">
        <v>24</v>
      </c>
      <c r="E213" s="172" t="s">
        <v>717</v>
      </c>
      <c r="F213" s="63"/>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119"/>
      <c r="AZ213" s="119"/>
      <c r="BA213" s="119"/>
      <c r="BB213" s="119"/>
      <c r="BC213" s="119"/>
      <c r="BD213" s="119"/>
      <c r="BE213" s="119"/>
      <c r="BF213" s="119"/>
      <c r="BG213" s="119"/>
      <c r="BH213" s="119"/>
      <c r="BI213" s="119"/>
      <c r="BJ213" s="119"/>
      <c r="BK213" s="119"/>
      <c r="BL213" s="119"/>
      <c r="BM213" s="119"/>
      <c r="BN213" s="119"/>
      <c r="BO213" s="119"/>
      <c r="BP213" s="119"/>
      <c r="BQ213" s="119"/>
      <c r="BR213" s="119"/>
      <c r="BS213" s="119"/>
      <c r="BT213" s="119"/>
      <c r="BU213" s="119"/>
      <c r="BV213" s="119"/>
      <c r="BW213" s="119"/>
      <c r="BX213" s="119"/>
      <c r="BY213" s="119"/>
      <c r="BZ213" s="119"/>
      <c r="CA213" s="119"/>
      <c r="CB213" s="119"/>
      <c r="CC213" s="119"/>
      <c r="CD213" s="119"/>
      <c r="CE213" s="119"/>
      <c r="CF213" s="119"/>
      <c r="CG213" s="119"/>
      <c r="CH213" s="119"/>
      <c r="CI213" s="119"/>
      <c r="CJ213" s="119"/>
      <c r="CK213" s="119"/>
      <c r="CL213" s="119"/>
      <c r="CM213" s="119"/>
      <c r="CN213" s="119"/>
      <c r="CO213" s="119"/>
      <c r="CP213" s="119"/>
      <c r="CQ213" s="119"/>
      <c r="CR213" s="119"/>
      <c r="CS213" s="119"/>
      <c r="CT213" s="119"/>
      <c r="CU213" s="119"/>
      <c r="CV213" s="119"/>
      <c r="CW213" s="119"/>
      <c r="CX213" s="119"/>
      <c r="CY213" s="119"/>
      <c r="CZ213" s="119"/>
      <c r="DA213" s="119"/>
      <c r="DB213" s="119"/>
      <c r="DC213" s="119"/>
      <c r="DD213" s="119"/>
      <c r="DE213" s="119"/>
      <c r="DF213" s="119"/>
      <c r="DG213" s="119"/>
      <c r="DH213" s="119"/>
      <c r="DI213" s="119"/>
      <c r="DJ213" s="119"/>
      <c r="DK213" s="119"/>
      <c r="DL213" s="119"/>
      <c r="DM213" s="119"/>
      <c r="DN213" s="119"/>
      <c r="DO213" s="119"/>
      <c r="DP213" s="119"/>
      <c r="DQ213" s="119"/>
      <c r="DR213" s="119"/>
      <c r="DS213" s="119"/>
      <c r="DT213" s="119"/>
      <c r="DU213" s="119"/>
      <c r="DV213" s="119"/>
      <c r="DW213" s="119"/>
      <c r="DX213" s="119"/>
      <c r="DY213" s="119"/>
      <c r="DZ213" s="119"/>
      <c r="EA213" s="119"/>
      <c r="EB213" s="119"/>
      <c r="EC213" s="119"/>
      <c r="ED213" s="119"/>
      <c r="EE213" s="119"/>
      <c r="EF213" s="119"/>
      <c r="EG213" s="119"/>
      <c r="EH213" s="119"/>
      <c r="EI213" s="119"/>
      <c r="EJ213" s="119"/>
      <c r="EK213" s="119"/>
      <c r="EL213" s="119"/>
      <c r="EM213" s="119"/>
      <c r="EN213" s="119"/>
      <c r="EO213" s="119"/>
      <c r="EP213" s="119"/>
      <c r="EQ213" s="119"/>
      <c r="ER213" s="119"/>
      <c r="ES213" s="119"/>
      <c r="ET213" s="119"/>
      <c r="EU213" s="119"/>
      <c r="EV213" s="119"/>
      <c r="EW213" s="119"/>
      <c r="EX213" s="119"/>
      <c r="EY213" s="119"/>
      <c r="EZ213" s="119"/>
      <c r="FA213" s="119"/>
      <c r="FB213" s="119"/>
      <c r="FC213" s="119"/>
      <c r="FD213" s="119"/>
      <c r="FE213" s="119"/>
      <c r="FF213" s="119"/>
      <c r="FG213" s="119"/>
      <c r="FH213" s="119"/>
      <c r="FI213" s="119"/>
      <c r="FJ213" s="119"/>
      <c r="FK213" s="119"/>
      <c r="FL213" s="119"/>
      <c r="FM213" s="119"/>
      <c r="FN213" s="119"/>
      <c r="FO213" s="119"/>
      <c r="FP213" s="119"/>
      <c r="FQ213" s="119"/>
      <c r="FR213" s="119"/>
      <c r="FS213" s="119"/>
      <c r="FT213" s="119"/>
      <c r="FU213" s="119"/>
      <c r="FV213" s="119"/>
      <c r="FW213" s="119"/>
      <c r="FX213" s="119"/>
      <c r="FY213" s="119"/>
      <c r="FZ213" s="119"/>
      <c r="GA213" s="119"/>
      <c r="GB213" s="119"/>
      <c r="GC213" s="119"/>
      <c r="GD213" s="119"/>
      <c r="GE213" s="119"/>
      <c r="GF213" s="119"/>
      <c r="GG213" s="119"/>
      <c r="GH213" s="119"/>
      <c r="GI213" s="119"/>
      <c r="GJ213" s="119"/>
    </row>
    <row r="214" spans="1:192" ht="22.5" x14ac:dyDescent="0.25">
      <c r="A214" s="278" t="s">
        <v>4</v>
      </c>
      <c r="B214" s="164"/>
      <c r="C214" s="164" t="s">
        <v>424</v>
      </c>
      <c r="D214" s="168" t="s">
        <v>24</v>
      </c>
      <c r="E214" s="172" t="s">
        <v>1047</v>
      </c>
      <c r="F214" s="62"/>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119"/>
      <c r="AZ214" s="119"/>
      <c r="BA214" s="119"/>
      <c r="BB214" s="119"/>
      <c r="BC214" s="119"/>
      <c r="BD214" s="119"/>
      <c r="BE214" s="119"/>
      <c r="BF214" s="119"/>
      <c r="BG214" s="119"/>
      <c r="BH214" s="119"/>
      <c r="BI214" s="119"/>
      <c r="BJ214" s="119"/>
      <c r="BK214" s="119"/>
      <c r="BL214" s="119"/>
      <c r="BM214" s="119"/>
      <c r="BN214" s="119"/>
      <c r="BO214" s="119"/>
      <c r="BP214" s="119"/>
      <c r="BQ214" s="119"/>
      <c r="BR214" s="119"/>
      <c r="BS214" s="119"/>
      <c r="BT214" s="119"/>
      <c r="BU214" s="119"/>
      <c r="BV214" s="119"/>
      <c r="BW214" s="119"/>
      <c r="BX214" s="119"/>
      <c r="BY214" s="119"/>
      <c r="BZ214" s="119"/>
      <c r="CA214" s="119"/>
      <c r="CB214" s="119"/>
      <c r="CC214" s="119"/>
      <c r="CD214" s="119"/>
      <c r="CE214" s="119"/>
      <c r="CF214" s="119"/>
      <c r="CG214" s="119"/>
      <c r="CH214" s="119"/>
      <c r="CI214" s="119"/>
      <c r="CJ214" s="119"/>
      <c r="CK214" s="119"/>
      <c r="CL214" s="119"/>
      <c r="CM214" s="119"/>
      <c r="CN214" s="119"/>
      <c r="CO214" s="119"/>
      <c r="CP214" s="119"/>
      <c r="CQ214" s="119"/>
      <c r="CR214" s="119"/>
      <c r="CS214" s="119"/>
      <c r="CT214" s="119"/>
      <c r="CU214" s="119"/>
      <c r="CV214" s="119"/>
      <c r="CW214" s="119"/>
      <c r="CX214" s="119"/>
      <c r="CY214" s="119"/>
      <c r="CZ214" s="119"/>
      <c r="DA214" s="119"/>
      <c r="DB214" s="119"/>
      <c r="DC214" s="119"/>
      <c r="DD214" s="119"/>
      <c r="DE214" s="119"/>
      <c r="DF214" s="119"/>
      <c r="DG214" s="119"/>
      <c r="DH214" s="119"/>
      <c r="DI214" s="119"/>
      <c r="DJ214" s="119"/>
      <c r="DK214" s="119"/>
      <c r="DL214" s="119"/>
      <c r="DM214" s="119"/>
      <c r="DN214" s="119"/>
      <c r="DO214" s="119"/>
      <c r="DP214" s="119"/>
      <c r="DQ214" s="119"/>
      <c r="DR214" s="119"/>
      <c r="DS214" s="119"/>
      <c r="DT214" s="119"/>
      <c r="DU214" s="119"/>
      <c r="DV214" s="119"/>
      <c r="DW214" s="119"/>
      <c r="DX214" s="119"/>
      <c r="DY214" s="119"/>
      <c r="DZ214" s="119"/>
      <c r="EA214" s="119"/>
      <c r="EB214" s="119"/>
      <c r="EC214" s="119"/>
      <c r="ED214" s="119"/>
      <c r="EE214" s="119"/>
      <c r="EF214" s="119"/>
      <c r="EG214" s="119"/>
      <c r="EH214" s="119"/>
      <c r="EI214" s="119"/>
      <c r="EJ214" s="119"/>
      <c r="EK214" s="119"/>
      <c r="EL214" s="119"/>
      <c r="EM214" s="119"/>
      <c r="EN214" s="119"/>
      <c r="EO214" s="119"/>
      <c r="EP214" s="119"/>
      <c r="EQ214" s="119"/>
      <c r="ER214" s="119"/>
      <c r="ES214" s="119"/>
      <c r="ET214" s="119"/>
      <c r="EU214" s="119"/>
      <c r="EV214" s="119"/>
      <c r="EW214" s="119"/>
      <c r="EX214" s="119"/>
      <c r="EY214" s="119"/>
      <c r="EZ214" s="119"/>
      <c r="FA214" s="119"/>
      <c r="FB214" s="119"/>
      <c r="FC214" s="119"/>
      <c r="FD214" s="119"/>
      <c r="FE214" s="119"/>
      <c r="FF214" s="119"/>
      <c r="FG214" s="119"/>
      <c r="FH214" s="119"/>
      <c r="FI214" s="119"/>
      <c r="FJ214" s="119"/>
      <c r="FK214" s="119"/>
      <c r="FL214" s="119"/>
      <c r="FM214" s="119"/>
      <c r="FN214" s="119"/>
      <c r="FO214" s="119"/>
      <c r="FP214" s="119"/>
      <c r="FQ214" s="119"/>
      <c r="FR214" s="119"/>
      <c r="FS214" s="119"/>
      <c r="FT214" s="119"/>
      <c r="FU214" s="119"/>
      <c r="FV214" s="119"/>
      <c r="FW214" s="119"/>
      <c r="FX214" s="119"/>
      <c r="FY214" s="119"/>
      <c r="FZ214" s="119"/>
      <c r="GA214" s="119"/>
      <c r="GB214" s="119"/>
      <c r="GC214" s="119"/>
      <c r="GD214" s="119"/>
      <c r="GE214" s="119"/>
      <c r="GF214" s="119"/>
      <c r="GG214" s="119"/>
      <c r="GH214" s="119"/>
      <c r="GI214" s="119"/>
      <c r="GJ214" s="119"/>
    </row>
    <row r="215" spans="1:192" ht="112.5" x14ac:dyDescent="0.25">
      <c r="A215" s="278" t="s">
        <v>4</v>
      </c>
      <c r="B215" s="170" t="s">
        <v>1048</v>
      </c>
      <c r="C215" s="170" t="s">
        <v>425</v>
      </c>
      <c r="D215" s="169" t="s">
        <v>24</v>
      </c>
      <c r="E215" s="170" t="s">
        <v>1049</v>
      </c>
      <c r="F215" s="62"/>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119"/>
      <c r="AZ215" s="119"/>
      <c r="BA215" s="119"/>
      <c r="BB215" s="119"/>
      <c r="BC215" s="119"/>
      <c r="BD215" s="119"/>
      <c r="BE215" s="119"/>
      <c r="BF215" s="119"/>
      <c r="BG215" s="119"/>
      <c r="BH215" s="119"/>
      <c r="BI215" s="119"/>
      <c r="BJ215" s="119"/>
      <c r="BK215" s="119"/>
      <c r="BL215" s="119"/>
      <c r="BM215" s="119"/>
      <c r="BN215" s="119"/>
      <c r="BO215" s="119"/>
      <c r="BP215" s="119"/>
      <c r="BQ215" s="119"/>
      <c r="BR215" s="119"/>
      <c r="BS215" s="119"/>
      <c r="BT215" s="119"/>
      <c r="BU215" s="119"/>
      <c r="BV215" s="119"/>
      <c r="BW215" s="119"/>
      <c r="BX215" s="119"/>
      <c r="BY215" s="119"/>
      <c r="BZ215" s="119"/>
      <c r="CA215" s="119"/>
      <c r="CB215" s="119"/>
      <c r="CC215" s="119"/>
      <c r="CD215" s="119"/>
      <c r="CE215" s="119"/>
      <c r="CF215" s="119"/>
      <c r="CG215" s="119"/>
      <c r="CH215" s="119"/>
      <c r="CI215" s="119"/>
      <c r="CJ215" s="119"/>
      <c r="CK215" s="119"/>
      <c r="CL215" s="119"/>
      <c r="CM215" s="119"/>
      <c r="CN215" s="119"/>
      <c r="CO215" s="119"/>
      <c r="CP215" s="119"/>
      <c r="CQ215" s="119"/>
      <c r="CR215" s="119"/>
      <c r="CS215" s="119"/>
      <c r="CT215" s="119"/>
      <c r="CU215" s="119"/>
      <c r="CV215" s="119"/>
      <c r="CW215" s="119"/>
      <c r="CX215" s="119"/>
      <c r="CY215" s="119"/>
      <c r="CZ215" s="119"/>
      <c r="DA215" s="119"/>
      <c r="DB215" s="119"/>
      <c r="DC215" s="119"/>
      <c r="DD215" s="119"/>
      <c r="DE215" s="119"/>
      <c r="DF215" s="119"/>
      <c r="DG215" s="119"/>
      <c r="DH215" s="119"/>
      <c r="DI215" s="119"/>
      <c r="DJ215" s="119"/>
      <c r="DK215" s="119"/>
      <c r="DL215" s="119"/>
      <c r="DM215" s="119"/>
      <c r="DN215" s="119"/>
      <c r="DO215" s="119"/>
      <c r="DP215" s="119"/>
      <c r="DQ215" s="119"/>
      <c r="DR215" s="119"/>
      <c r="DS215" s="119"/>
      <c r="DT215" s="119"/>
      <c r="DU215" s="119"/>
      <c r="DV215" s="119"/>
      <c r="DW215" s="119"/>
      <c r="DX215" s="119"/>
      <c r="DY215" s="119"/>
      <c r="DZ215" s="119"/>
      <c r="EA215" s="119"/>
      <c r="EB215" s="119"/>
      <c r="EC215" s="119"/>
      <c r="ED215" s="119"/>
      <c r="EE215" s="119"/>
      <c r="EF215" s="119"/>
      <c r="EG215" s="119"/>
      <c r="EH215" s="119"/>
      <c r="EI215" s="119"/>
      <c r="EJ215" s="119"/>
      <c r="EK215" s="119"/>
      <c r="EL215" s="119"/>
      <c r="EM215" s="119"/>
      <c r="EN215" s="119"/>
      <c r="EO215" s="119"/>
      <c r="EP215" s="119"/>
      <c r="EQ215" s="119"/>
      <c r="ER215" s="119"/>
      <c r="ES215" s="119"/>
      <c r="ET215" s="119"/>
      <c r="EU215" s="119"/>
      <c r="EV215" s="119"/>
      <c r="EW215" s="119"/>
      <c r="EX215" s="119"/>
      <c r="EY215" s="119"/>
      <c r="EZ215" s="119"/>
      <c r="FA215" s="119"/>
      <c r="FB215" s="119"/>
      <c r="FC215" s="119"/>
      <c r="FD215" s="119"/>
      <c r="FE215" s="119"/>
      <c r="FF215" s="119"/>
      <c r="FG215" s="119"/>
      <c r="FH215" s="119"/>
      <c r="FI215" s="119"/>
      <c r="FJ215" s="119"/>
      <c r="FK215" s="119"/>
      <c r="FL215" s="119"/>
      <c r="FM215" s="119"/>
      <c r="FN215" s="119"/>
      <c r="FO215" s="119"/>
      <c r="FP215" s="119"/>
      <c r="FQ215" s="119"/>
      <c r="FR215" s="119"/>
      <c r="FS215" s="119"/>
      <c r="FT215" s="119"/>
      <c r="FU215" s="119"/>
      <c r="FV215" s="119"/>
      <c r="FW215" s="119"/>
      <c r="FX215" s="119"/>
      <c r="FY215" s="119"/>
      <c r="FZ215" s="119"/>
      <c r="GA215" s="119"/>
      <c r="GB215" s="119"/>
      <c r="GC215" s="119"/>
      <c r="GD215" s="119"/>
      <c r="GE215" s="119"/>
      <c r="GF215" s="119"/>
      <c r="GG215" s="119"/>
      <c r="GH215" s="119"/>
      <c r="GI215" s="119"/>
      <c r="GJ215" s="119"/>
    </row>
    <row r="216" spans="1:192" ht="135" x14ac:dyDescent="0.25">
      <c r="A216" s="278" t="s">
        <v>4</v>
      </c>
      <c r="B216" s="170"/>
      <c r="C216" s="170" t="s">
        <v>426</v>
      </c>
      <c r="D216" s="169" t="s">
        <v>24</v>
      </c>
      <c r="E216" s="170" t="s">
        <v>1050</v>
      </c>
      <c r="F216" s="63"/>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119"/>
      <c r="AZ216" s="119"/>
      <c r="BA216" s="119"/>
      <c r="BB216" s="119"/>
      <c r="BC216" s="119"/>
      <c r="BD216" s="119"/>
      <c r="BE216" s="119"/>
      <c r="BF216" s="119"/>
      <c r="BG216" s="119"/>
      <c r="BH216" s="119"/>
      <c r="BI216" s="119"/>
      <c r="BJ216" s="119"/>
      <c r="BK216" s="119"/>
      <c r="BL216" s="119"/>
      <c r="BM216" s="119"/>
      <c r="BN216" s="119"/>
      <c r="BO216" s="119"/>
      <c r="BP216" s="119"/>
      <c r="BQ216" s="119"/>
      <c r="BR216" s="119"/>
      <c r="BS216" s="119"/>
      <c r="BT216" s="119"/>
      <c r="BU216" s="119"/>
      <c r="BV216" s="119"/>
      <c r="BW216" s="119"/>
      <c r="BX216" s="119"/>
      <c r="BY216" s="119"/>
      <c r="BZ216" s="119"/>
      <c r="CA216" s="119"/>
      <c r="CB216" s="119"/>
      <c r="CC216" s="119"/>
      <c r="CD216" s="119"/>
      <c r="CE216" s="119"/>
      <c r="CF216" s="119"/>
      <c r="CG216" s="119"/>
      <c r="CH216" s="119"/>
      <c r="CI216" s="119"/>
      <c r="CJ216" s="119"/>
      <c r="CK216" s="119"/>
      <c r="CL216" s="119"/>
      <c r="CM216" s="119"/>
      <c r="CN216" s="119"/>
      <c r="CO216" s="119"/>
      <c r="CP216" s="119"/>
      <c r="CQ216" s="119"/>
      <c r="CR216" s="119"/>
      <c r="CS216" s="119"/>
      <c r="CT216" s="119"/>
      <c r="CU216" s="119"/>
      <c r="CV216" s="119"/>
      <c r="CW216" s="119"/>
      <c r="CX216" s="119"/>
      <c r="CY216" s="119"/>
      <c r="CZ216" s="119"/>
      <c r="DA216" s="119"/>
      <c r="DB216" s="119"/>
      <c r="DC216" s="119"/>
      <c r="DD216" s="119"/>
      <c r="DE216" s="119"/>
      <c r="DF216" s="119"/>
      <c r="DG216" s="119"/>
      <c r="DH216" s="119"/>
      <c r="DI216" s="119"/>
      <c r="DJ216" s="119"/>
      <c r="DK216" s="119"/>
      <c r="DL216" s="119"/>
      <c r="DM216" s="119"/>
      <c r="DN216" s="119"/>
      <c r="DO216" s="119"/>
      <c r="DP216" s="119"/>
      <c r="DQ216" s="119"/>
      <c r="DR216" s="119"/>
      <c r="DS216" s="119"/>
      <c r="DT216" s="119"/>
      <c r="DU216" s="119"/>
      <c r="DV216" s="119"/>
      <c r="DW216" s="119"/>
      <c r="DX216" s="119"/>
      <c r="DY216" s="119"/>
      <c r="DZ216" s="119"/>
      <c r="EA216" s="119"/>
      <c r="EB216" s="119"/>
      <c r="EC216" s="119"/>
      <c r="ED216" s="119"/>
      <c r="EE216" s="119"/>
      <c r="EF216" s="119"/>
      <c r="EG216" s="119"/>
      <c r="EH216" s="119"/>
      <c r="EI216" s="119"/>
      <c r="EJ216" s="119"/>
      <c r="EK216" s="119"/>
      <c r="EL216" s="119"/>
      <c r="EM216" s="119"/>
      <c r="EN216" s="119"/>
      <c r="EO216" s="119"/>
      <c r="EP216" s="119"/>
      <c r="EQ216" s="119"/>
      <c r="ER216" s="119"/>
      <c r="ES216" s="119"/>
      <c r="ET216" s="119"/>
      <c r="EU216" s="119"/>
      <c r="EV216" s="119"/>
      <c r="EW216" s="119"/>
      <c r="EX216" s="119"/>
      <c r="EY216" s="119"/>
      <c r="EZ216" s="119"/>
      <c r="FA216" s="119"/>
      <c r="FB216" s="119"/>
      <c r="FC216" s="119"/>
      <c r="FD216" s="119"/>
      <c r="FE216" s="119"/>
      <c r="FF216" s="119"/>
      <c r="FG216" s="119"/>
      <c r="FH216" s="119"/>
      <c r="FI216" s="119"/>
      <c r="FJ216" s="119"/>
      <c r="FK216" s="119"/>
      <c r="FL216" s="119"/>
      <c r="FM216" s="119"/>
      <c r="FN216" s="119"/>
      <c r="FO216" s="119"/>
      <c r="FP216" s="119"/>
      <c r="FQ216" s="119"/>
      <c r="FR216" s="119"/>
      <c r="FS216" s="119"/>
      <c r="FT216" s="119"/>
      <c r="FU216" s="119"/>
      <c r="FV216" s="119"/>
      <c r="FW216" s="119"/>
      <c r="FX216" s="119"/>
      <c r="FY216" s="119"/>
      <c r="FZ216" s="119"/>
      <c r="GA216" s="119"/>
      <c r="GB216" s="119"/>
      <c r="GC216" s="119"/>
      <c r="GD216" s="119"/>
      <c r="GE216" s="119"/>
      <c r="GF216" s="119"/>
      <c r="GG216" s="119"/>
      <c r="GH216" s="119"/>
      <c r="GI216" s="119"/>
      <c r="GJ216" s="119"/>
    </row>
    <row r="217" spans="1:192" ht="67.5" x14ac:dyDescent="0.25">
      <c r="A217" s="278" t="s">
        <v>4</v>
      </c>
      <c r="B217" s="164" t="s">
        <v>1051</v>
      </c>
      <c r="C217" s="164" t="s">
        <v>427</v>
      </c>
      <c r="D217" s="168" t="s">
        <v>24</v>
      </c>
      <c r="E217" s="164" t="s">
        <v>1052</v>
      </c>
      <c r="F217" s="63"/>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c r="CB217" s="119"/>
      <c r="CC217" s="119"/>
      <c r="CD217" s="119"/>
      <c r="CE217" s="119"/>
      <c r="CF217" s="119"/>
      <c r="CG217" s="119"/>
      <c r="CH217" s="119"/>
      <c r="CI217" s="119"/>
      <c r="CJ217" s="119"/>
      <c r="CK217" s="119"/>
      <c r="CL217" s="119"/>
      <c r="CM217" s="119"/>
      <c r="CN217" s="119"/>
      <c r="CO217" s="119"/>
      <c r="CP217" s="119"/>
      <c r="CQ217" s="119"/>
      <c r="CR217" s="119"/>
      <c r="CS217" s="119"/>
      <c r="CT217" s="119"/>
      <c r="CU217" s="119"/>
      <c r="CV217" s="119"/>
      <c r="CW217" s="119"/>
      <c r="CX217" s="119"/>
      <c r="CY217" s="119"/>
      <c r="CZ217" s="119"/>
      <c r="DA217" s="119"/>
      <c r="DB217" s="119"/>
      <c r="DC217" s="119"/>
      <c r="DD217" s="119"/>
      <c r="DE217" s="119"/>
      <c r="DF217" s="119"/>
      <c r="DG217" s="119"/>
      <c r="DH217" s="119"/>
      <c r="DI217" s="119"/>
      <c r="DJ217" s="119"/>
      <c r="DK217" s="119"/>
      <c r="DL217" s="119"/>
      <c r="DM217" s="119"/>
      <c r="DN217" s="119"/>
      <c r="DO217" s="119"/>
      <c r="DP217" s="119"/>
      <c r="DQ217" s="119"/>
      <c r="DR217" s="119"/>
      <c r="DS217" s="119"/>
      <c r="DT217" s="119"/>
      <c r="DU217" s="119"/>
      <c r="DV217" s="119"/>
      <c r="DW217" s="119"/>
      <c r="DX217" s="119"/>
      <c r="DY217" s="119"/>
      <c r="DZ217" s="119"/>
      <c r="EA217" s="119"/>
      <c r="EB217" s="119"/>
      <c r="EC217" s="119"/>
      <c r="ED217" s="119"/>
      <c r="EE217" s="119"/>
      <c r="EF217" s="119"/>
      <c r="EG217" s="119"/>
      <c r="EH217" s="119"/>
      <c r="EI217" s="119"/>
      <c r="EJ217" s="119"/>
      <c r="EK217" s="119"/>
      <c r="EL217" s="119"/>
      <c r="EM217" s="119"/>
      <c r="EN217" s="119"/>
      <c r="EO217" s="119"/>
      <c r="EP217" s="119"/>
      <c r="EQ217" s="119"/>
      <c r="ER217" s="119"/>
      <c r="ES217" s="119"/>
      <c r="ET217" s="119"/>
      <c r="EU217" s="119"/>
      <c r="EV217" s="119"/>
      <c r="EW217" s="119"/>
      <c r="EX217" s="119"/>
      <c r="EY217" s="119"/>
      <c r="EZ217" s="119"/>
      <c r="FA217" s="119"/>
      <c r="FB217" s="119"/>
      <c r="FC217" s="119"/>
      <c r="FD217" s="119"/>
      <c r="FE217" s="119"/>
      <c r="FF217" s="119"/>
      <c r="FG217" s="119"/>
      <c r="FH217" s="119"/>
      <c r="FI217" s="119"/>
      <c r="FJ217" s="119"/>
      <c r="FK217" s="119"/>
      <c r="FL217" s="119"/>
      <c r="FM217" s="119"/>
      <c r="FN217" s="119"/>
      <c r="FO217" s="119"/>
      <c r="FP217" s="119"/>
      <c r="FQ217" s="119"/>
      <c r="FR217" s="119"/>
      <c r="FS217" s="119"/>
      <c r="FT217" s="119"/>
      <c r="FU217" s="119"/>
      <c r="FV217" s="119"/>
      <c r="FW217" s="119"/>
      <c r="FX217" s="119"/>
      <c r="FY217" s="119"/>
      <c r="FZ217" s="119"/>
      <c r="GA217" s="119"/>
      <c r="GB217" s="119"/>
      <c r="GC217" s="119"/>
      <c r="GD217" s="119"/>
      <c r="GE217" s="119"/>
      <c r="GF217" s="119"/>
      <c r="GG217" s="119"/>
      <c r="GH217" s="119"/>
      <c r="GI217" s="119"/>
      <c r="GJ217" s="119"/>
    </row>
    <row r="218" spans="1:192" ht="67.5" x14ac:dyDescent="0.25">
      <c r="A218" s="278" t="s">
        <v>4</v>
      </c>
      <c r="B218" s="164"/>
      <c r="C218" s="164" t="s">
        <v>428</v>
      </c>
      <c r="D218" s="168" t="s">
        <v>24</v>
      </c>
      <c r="E218" s="172" t="s">
        <v>1053</v>
      </c>
      <c r="F218" s="63"/>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119"/>
      <c r="AZ218" s="119"/>
      <c r="BA218" s="119"/>
      <c r="BB218" s="119"/>
      <c r="BC218" s="119"/>
      <c r="BD218" s="119"/>
      <c r="BE218" s="119"/>
      <c r="BF218" s="119"/>
      <c r="BG218" s="119"/>
      <c r="BH218" s="119"/>
      <c r="BI218" s="119"/>
      <c r="BJ218" s="119"/>
      <c r="BK218" s="119"/>
      <c r="BL218" s="119"/>
      <c r="BM218" s="119"/>
      <c r="BN218" s="119"/>
      <c r="BO218" s="119"/>
      <c r="BP218" s="119"/>
      <c r="BQ218" s="119"/>
      <c r="BR218" s="119"/>
      <c r="BS218" s="119"/>
      <c r="BT218" s="119"/>
      <c r="BU218" s="119"/>
      <c r="BV218" s="119"/>
      <c r="BW218" s="119"/>
      <c r="BX218" s="119"/>
      <c r="BY218" s="119"/>
      <c r="BZ218" s="119"/>
      <c r="CA218" s="119"/>
      <c r="CB218" s="119"/>
      <c r="CC218" s="119"/>
      <c r="CD218" s="119"/>
      <c r="CE218" s="119"/>
      <c r="CF218" s="119"/>
      <c r="CG218" s="119"/>
      <c r="CH218" s="119"/>
      <c r="CI218" s="119"/>
      <c r="CJ218" s="119"/>
      <c r="CK218" s="119"/>
      <c r="CL218" s="119"/>
      <c r="CM218" s="119"/>
      <c r="CN218" s="119"/>
      <c r="CO218" s="119"/>
      <c r="CP218" s="119"/>
      <c r="CQ218" s="119"/>
      <c r="CR218" s="119"/>
      <c r="CS218" s="119"/>
      <c r="CT218" s="119"/>
      <c r="CU218" s="119"/>
      <c r="CV218" s="119"/>
      <c r="CW218" s="119"/>
      <c r="CX218" s="119"/>
      <c r="CY218" s="119"/>
      <c r="CZ218" s="119"/>
      <c r="DA218" s="119"/>
      <c r="DB218" s="119"/>
      <c r="DC218" s="119"/>
      <c r="DD218" s="119"/>
      <c r="DE218" s="119"/>
      <c r="DF218" s="119"/>
      <c r="DG218" s="119"/>
      <c r="DH218" s="119"/>
      <c r="DI218" s="119"/>
      <c r="DJ218" s="119"/>
      <c r="DK218" s="119"/>
      <c r="DL218" s="119"/>
      <c r="DM218" s="119"/>
      <c r="DN218" s="119"/>
      <c r="DO218" s="119"/>
      <c r="DP218" s="119"/>
      <c r="DQ218" s="119"/>
      <c r="DR218" s="119"/>
      <c r="DS218" s="119"/>
      <c r="DT218" s="119"/>
      <c r="DU218" s="119"/>
      <c r="DV218" s="119"/>
      <c r="DW218" s="119"/>
      <c r="DX218" s="119"/>
      <c r="DY218" s="119"/>
      <c r="DZ218" s="119"/>
      <c r="EA218" s="119"/>
      <c r="EB218" s="119"/>
      <c r="EC218" s="119"/>
      <c r="ED218" s="119"/>
      <c r="EE218" s="119"/>
      <c r="EF218" s="119"/>
      <c r="EG218" s="119"/>
      <c r="EH218" s="119"/>
      <c r="EI218" s="119"/>
      <c r="EJ218" s="119"/>
      <c r="EK218" s="119"/>
      <c r="EL218" s="119"/>
      <c r="EM218" s="119"/>
      <c r="EN218" s="119"/>
      <c r="EO218" s="119"/>
      <c r="EP218" s="119"/>
      <c r="EQ218" s="119"/>
      <c r="ER218" s="119"/>
      <c r="ES218" s="119"/>
      <c r="ET218" s="119"/>
      <c r="EU218" s="119"/>
      <c r="EV218" s="119"/>
      <c r="EW218" s="119"/>
      <c r="EX218" s="119"/>
      <c r="EY218" s="119"/>
      <c r="EZ218" s="119"/>
      <c r="FA218" s="119"/>
      <c r="FB218" s="119"/>
      <c r="FC218" s="119"/>
      <c r="FD218" s="119"/>
      <c r="FE218" s="119"/>
      <c r="FF218" s="119"/>
      <c r="FG218" s="119"/>
      <c r="FH218" s="119"/>
      <c r="FI218" s="119"/>
      <c r="FJ218" s="119"/>
      <c r="FK218" s="119"/>
      <c r="FL218" s="119"/>
      <c r="FM218" s="119"/>
      <c r="FN218" s="119"/>
      <c r="FO218" s="119"/>
      <c r="FP218" s="119"/>
      <c r="FQ218" s="119"/>
      <c r="FR218" s="119"/>
      <c r="FS218" s="119"/>
      <c r="FT218" s="119"/>
      <c r="FU218" s="119"/>
      <c r="FV218" s="119"/>
      <c r="FW218" s="119"/>
      <c r="FX218" s="119"/>
      <c r="FY218" s="119"/>
      <c r="FZ218" s="119"/>
      <c r="GA218" s="119"/>
      <c r="GB218" s="119"/>
      <c r="GC218" s="119"/>
      <c r="GD218" s="119"/>
      <c r="GE218" s="119"/>
      <c r="GF218" s="119"/>
      <c r="GG218" s="119"/>
      <c r="GH218" s="119"/>
      <c r="GI218" s="119"/>
      <c r="GJ218" s="119"/>
    </row>
    <row r="219" spans="1:192" ht="56.25" x14ac:dyDescent="0.25">
      <c r="A219" s="278" t="s">
        <v>4</v>
      </c>
      <c r="B219" s="164"/>
      <c r="C219" s="164" t="s">
        <v>429</v>
      </c>
      <c r="D219" s="168" t="s">
        <v>24</v>
      </c>
      <c r="E219" s="164" t="s">
        <v>1054</v>
      </c>
      <c r="F219" s="63"/>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119"/>
      <c r="AZ219" s="119"/>
      <c r="BA219" s="119"/>
      <c r="BB219" s="119"/>
      <c r="BC219" s="119"/>
      <c r="BD219" s="119"/>
      <c r="BE219" s="119"/>
      <c r="BF219" s="119"/>
      <c r="BG219" s="119"/>
      <c r="BH219" s="119"/>
      <c r="BI219" s="119"/>
      <c r="BJ219" s="119"/>
      <c r="BK219" s="119"/>
      <c r="BL219" s="119"/>
      <c r="BM219" s="119"/>
      <c r="BN219" s="119"/>
      <c r="BO219" s="119"/>
      <c r="BP219" s="119"/>
      <c r="BQ219" s="119"/>
      <c r="BR219" s="119"/>
      <c r="BS219" s="119"/>
      <c r="BT219" s="119"/>
      <c r="BU219" s="119"/>
      <c r="BV219" s="119"/>
      <c r="BW219" s="119"/>
      <c r="BX219" s="119"/>
      <c r="BY219" s="119"/>
      <c r="BZ219" s="119"/>
      <c r="CA219" s="119"/>
      <c r="CB219" s="119"/>
      <c r="CC219" s="119"/>
      <c r="CD219" s="119"/>
      <c r="CE219" s="119"/>
      <c r="CF219" s="119"/>
      <c r="CG219" s="119"/>
      <c r="CH219" s="119"/>
      <c r="CI219" s="119"/>
      <c r="CJ219" s="119"/>
      <c r="CK219" s="119"/>
      <c r="CL219" s="119"/>
      <c r="CM219" s="119"/>
      <c r="CN219" s="119"/>
      <c r="CO219" s="119"/>
      <c r="CP219" s="119"/>
      <c r="CQ219" s="119"/>
      <c r="CR219" s="119"/>
      <c r="CS219" s="119"/>
      <c r="CT219" s="119"/>
      <c r="CU219" s="119"/>
      <c r="CV219" s="119"/>
      <c r="CW219" s="119"/>
      <c r="CX219" s="119"/>
      <c r="CY219" s="119"/>
      <c r="CZ219" s="119"/>
      <c r="DA219" s="119"/>
      <c r="DB219" s="119"/>
      <c r="DC219" s="119"/>
      <c r="DD219" s="119"/>
      <c r="DE219" s="119"/>
      <c r="DF219" s="119"/>
      <c r="DG219" s="119"/>
      <c r="DH219" s="119"/>
      <c r="DI219" s="119"/>
      <c r="DJ219" s="119"/>
      <c r="DK219" s="119"/>
      <c r="DL219" s="119"/>
      <c r="DM219" s="119"/>
      <c r="DN219" s="119"/>
      <c r="DO219" s="119"/>
      <c r="DP219" s="119"/>
      <c r="DQ219" s="119"/>
      <c r="DR219" s="119"/>
      <c r="DS219" s="119"/>
      <c r="DT219" s="119"/>
      <c r="DU219" s="119"/>
      <c r="DV219" s="119"/>
      <c r="DW219" s="119"/>
      <c r="DX219" s="119"/>
      <c r="DY219" s="119"/>
      <c r="DZ219" s="119"/>
      <c r="EA219" s="119"/>
      <c r="EB219" s="119"/>
      <c r="EC219" s="119"/>
      <c r="ED219" s="119"/>
      <c r="EE219" s="119"/>
      <c r="EF219" s="119"/>
      <c r="EG219" s="119"/>
      <c r="EH219" s="119"/>
      <c r="EI219" s="119"/>
      <c r="EJ219" s="119"/>
      <c r="EK219" s="119"/>
      <c r="EL219" s="119"/>
      <c r="EM219" s="119"/>
      <c r="EN219" s="119"/>
      <c r="EO219" s="119"/>
      <c r="EP219" s="119"/>
      <c r="EQ219" s="119"/>
      <c r="ER219" s="119"/>
      <c r="ES219" s="119"/>
      <c r="ET219" s="119"/>
      <c r="EU219" s="119"/>
      <c r="EV219" s="119"/>
      <c r="EW219" s="119"/>
      <c r="EX219" s="119"/>
      <c r="EY219" s="119"/>
      <c r="EZ219" s="119"/>
      <c r="FA219" s="119"/>
      <c r="FB219" s="119"/>
      <c r="FC219" s="119"/>
      <c r="FD219" s="119"/>
      <c r="FE219" s="119"/>
      <c r="FF219" s="119"/>
      <c r="FG219" s="119"/>
      <c r="FH219" s="119"/>
      <c r="FI219" s="119"/>
      <c r="FJ219" s="119"/>
      <c r="FK219" s="119"/>
      <c r="FL219" s="119"/>
      <c r="FM219" s="119"/>
      <c r="FN219" s="119"/>
      <c r="FO219" s="119"/>
      <c r="FP219" s="119"/>
      <c r="FQ219" s="119"/>
      <c r="FR219" s="119"/>
      <c r="FS219" s="119"/>
      <c r="FT219" s="119"/>
      <c r="FU219" s="119"/>
      <c r="FV219" s="119"/>
      <c r="FW219" s="119"/>
      <c r="FX219" s="119"/>
      <c r="FY219" s="119"/>
      <c r="FZ219" s="119"/>
      <c r="GA219" s="119"/>
      <c r="GB219" s="119"/>
      <c r="GC219" s="119"/>
      <c r="GD219" s="119"/>
      <c r="GE219" s="119"/>
      <c r="GF219" s="119"/>
      <c r="GG219" s="119"/>
      <c r="GH219" s="119"/>
      <c r="GI219" s="119"/>
      <c r="GJ219" s="119"/>
    </row>
    <row r="220" spans="1:192" ht="67.5" x14ac:dyDescent="0.25">
      <c r="A220" s="278" t="s">
        <v>4</v>
      </c>
      <c r="B220" s="164"/>
      <c r="C220" s="164" t="s">
        <v>430</v>
      </c>
      <c r="D220" s="168" t="s">
        <v>24</v>
      </c>
      <c r="E220" s="322" t="s">
        <v>1234</v>
      </c>
      <c r="F220" s="63"/>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119"/>
      <c r="AZ220" s="119"/>
      <c r="BA220" s="119"/>
      <c r="BB220" s="119"/>
      <c r="BC220" s="119"/>
      <c r="BD220" s="119"/>
      <c r="BE220" s="119"/>
      <c r="BF220" s="119"/>
      <c r="BG220" s="119"/>
      <c r="BH220" s="119"/>
      <c r="BI220" s="119"/>
      <c r="BJ220" s="119"/>
      <c r="BK220" s="119"/>
      <c r="BL220" s="119"/>
      <c r="BM220" s="119"/>
      <c r="BN220" s="119"/>
      <c r="BO220" s="119"/>
      <c r="BP220" s="119"/>
      <c r="BQ220" s="119"/>
      <c r="BR220" s="119"/>
      <c r="BS220" s="119"/>
      <c r="BT220" s="119"/>
      <c r="BU220" s="119"/>
      <c r="BV220" s="119"/>
      <c r="BW220" s="119"/>
      <c r="BX220" s="119"/>
      <c r="BY220" s="119"/>
      <c r="BZ220" s="119"/>
      <c r="CA220" s="119"/>
      <c r="CB220" s="119"/>
      <c r="CC220" s="119"/>
      <c r="CD220" s="119"/>
      <c r="CE220" s="119"/>
      <c r="CF220" s="119"/>
      <c r="CG220" s="119"/>
      <c r="CH220" s="119"/>
      <c r="CI220" s="119"/>
      <c r="CJ220" s="119"/>
      <c r="CK220" s="119"/>
      <c r="CL220" s="119"/>
      <c r="CM220" s="119"/>
      <c r="CN220" s="119"/>
      <c r="CO220" s="119"/>
      <c r="CP220" s="119"/>
      <c r="CQ220" s="119"/>
      <c r="CR220" s="119"/>
      <c r="CS220" s="119"/>
      <c r="CT220" s="119"/>
      <c r="CU220" s="119"/>
      <c r="CV220" s="119"/>
      <c r="CW220" s="119"/>
      <c r="CX220" s="119"/>
      <c r="CY220" s="119"/>
      <c r="CZ220" s="119"/>
      <c r="DA220" s="119"/>
      <c r="DB220" s="119"/>
      <c r="DC220" s="119"/>
      <c r="DD220" s="119"/>
      <c r="DE220" s="119"/>
      <c r="DF220" s="119"/>
      <c r="DG220" s="119"/>
      <c r="DH220" s="119"/>
      <c r="DI220" s="119"/>
      <c r="DJ220" s="119"/>
      <c r="DK220" s="119"/>
      <c r="DL220" s="119"/>
      <c r="DM220" s="119"/>
      <c r="DN220" s="119"/>
      <c r="DO220" s="119"/>
      <c r="DP220" s="119"/>
      <c r="DQ220" s="119"/>
      <c r="DR220" s="119"/>
      <c r="DS220" s="119"/>
      <c r="DT220" s="119"/>
      <c r="DU220" s="119"/>
      <c r="DV220" s="119"/>
      <c r="DW220" s="119"/>
      <c r="DX220" s="119"/>
      <c r="DY220" s="119"/>
      <c r="DZ220" s="119"/>
      <c r="EA220" s="119"/>
      <c r="EB220" s="119"/>
      <c r="EC220" s="119"/>
      <c r="ED220" s="119"/>
      <c r="EE220" s="119"/>
      <c r="EF220" s="119"/>
      <c r="EG220" s="119"/>
      <c r="EH220" s="119"/>
      <c r="EI220" s="119"/>
      <c r="EJ220" s="119"/>
      <c r="EK220" s="119"/>
      <c r="EL220" s="119"/>
      <c r="EM220" s="119"/>
      <c r="EN220" s="119"/>
      <c r="EO220" s="119"/>
      <c r="EP220" s="119"/>
      <c r="EQ220" s="119"/>
      <c r="ER220" s="119"/>
      <c r="ES220" s="119"/>
      <c r="ET220" s="119"/>
      <c r="EU220" s="119"/>
      <c r="EV220" s="119"/>
      <c r="EW220" s="119"/>
      <c r="EX220" s="119"/>
      <c r="EY220" s="119"/>
      <c r="EZ220" s="119"/>
      <c r="FA220" s="119"/>
      <c r="FB220" s="119"/>
      <c r="FC220" s="119"/>
      <c r="FD220" s="119"/>
      <c r="FE220" s="119"/>
      <c r="FF220" s="119"/>
      <c r="FG220" s="119"/>
      <c r="FH220" s="119"/>
      <c r="FI220" s="119"/>
      <c r="FJ220" s="119"/>
      <c r="FK220" s="119"/>
      <c r="FL220" s="119"/>
      <c r="FM220" s="119"/>
      <c r="FN220" s="119"/>
      <c r="FO220" s="119"/>
      <c r="FP220" s="119"/>
      <c r="FQ220" s="119"/>
      <c r="FR220" s="119"/>
      <c r="FS220" s="119"/>
      <c r="FT220" s="119"/>
      <c r="FU220" s="119"/>
      <c r="FV220" s="119"/>
      <c r="FW220" s="119"/>
      <c r="FX220" s="119"/>
      <c r="FY220" s="119"/>
      <c r="FZ220" s="119"/>
      <c r="GA220" s="119"/>
      <c r="GB220" s="119"/>
      <c r="GC220" s="119"/>
      <c r="GD220" s="119"/>
      <c r="GE220" s="119"/>
      <c r="GF220" s="119"/>
      <c r="GG220" s="119"/>
      <c r="GH220" s="119"/>
      <c r="GI220" s="119"/>
      <c r="GJ220" s="119"/>
    </row>
    <row r="221" spans="1:192" ht="90" x14ac:dyDescent="0.25">
      <c r="A221" s="278" t="s">
        <v>4</v>
      </c>
      <c r="B221" s="164"/>
      <c r="C221" s="164" t="s">
        <v>431</v>
      </c>
      <c r="D221" s="168" t="s">
        <v>24</v>
      </c>
      <c r="E221" s="172" t="s">
        <v>1055</v>
      </c>
      <c r="F221" s="63"/>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119"/>
      <c r="AZ221" s="119"/>
      <c r="BA221" s="119"/>
      <c r="BB221" s="119"/>
      <c r="BC221" s="119"/>
      <c r="BD221" s="119"/>
      <c r="BE221" s="119"/>
      <c r="BF221" s="119"/>
      <c r="BG221" s="119"/>
      <c r="BH221" s="119"/>
      <c r="BI221" s="119"/>
      <c r="BJ221" s="119"/>
      <c r="BK221" s="119"/>
      <c r="BL221" s="119"/>
      <c r="BM221" s="119"/>
      <c r="BN221" s="119"/>
      <c r="BO221" s="119"/>
      <c r="BP221" s="119"/>
      <c r="BQ221" s="119"/>
      <c r="BR221" s="119"/>
      <c r="BS221" s="119"/>
      <c r="BT221" s="119"/>
      <c r="BU221" s="119"/>
      <c r="BV221" s="119"/>
      <c r="BW221" s="119"/>
      <c r="BX221" s="119"/>
      <c r="BY221" s="119"/>
      <c r="BZ221" s="119"/>
      <c r="CA221" s="119"/>
      <c r="CB221" s="119"/>
      <c r="CC221" s="119"/>
      <c r="CD221" s="119"/>
      <c r="CE221" s="119"/>
      <c r="CF221" s="119"/>
      <c r="CG221" s="119"/>
      <c r="CH221" s="119"/>
      <c r="CI221" s="119"/>
      <c r="CJ221" s="119"/>
      <c r="CK221" s="119"/>
      <c r="CL221" s="119"/>
      <c r="CM221" s="119"/>
      <c r="CN221" s="119"/>
      <c r="CO221" s="119"/>
      <c r="CP221" s="119"/>
      <c r="CQ221" s="119"/>
      <c r="CR221" s="119"/>
      <c r="CS221" s="119"/>
      <c r="CT221" s="119"/>
      <c r="CU221" s="119"/>
      <c r="CV221" s="119"/>
      <c r="CW221" s="119"/>
      <c r="CX221" s="119"/>
      <c r="CY221" s="119"/>
      <c r="CZ221" s="119"/>
      <c r="DA221" s="119"/>
      <c r="DB221" s="119"/>
      <c r="DC221" s="119"/>
      <c r="DD221" s="119"/>
      <c r="DE221" s="119"/>
      <c r="DF221" s="119"/>
      <c r="DG221" s="119"/>
      <c r="DH221" s="119"/>
      <c r="DI221" s="119"/>
      <c r="DJ221" s="119"/>
      <c r="DK221" s="119"/>
      <c r="DL221" s="119"/>
      <c r="DM221" s="119"/>
      <c r="DN221" s="119"/>
      <c r="DO221" s="119"/>
      <c r="DP221" s="119"/>
      <c r="DQ221" s="119"/>
      <c r="DR221" s="119"/>
      <c r="DS221" s="119"/>
      <c r="DT221" s="119"/>
      <c r="DU221" s="119"/>
      <c r="DV221" s="119"/>
      <c r="DW221" s="119"/>
      <c r="DX221" s="119"/>
      <c r="DY221" s="119"/>
      <c r="DZ221" s="119"/>
      <c r="EA221" s="119"/>
      <c r="EB221" s="119"/>
      <c r="EC221" s="119"/>
      <c r="ED221" s="119"/>
      <c r="EE221" s="119"/>
      <c r="EF221" s="119"/>
      <c r="EG221" s="119"/>
      <c r="EH221" s="119"/>
      <c r="EI221" s="119"/>
      <c r="EJ221" s="119"/>
      <c r="EK221" s="119"/>
      <c r="EL221" s="119"/>
      <c r="EM221" s="119"/>
      <c r="EN221" s="119"/>
      <c r="EO221" s="119"/>
      <c r="EP221" s="119"/>
      <c r="EQ221" s="119"/>
      <c r="ER221" s="119"/>
      <c r="ES221" s="119"/>
      <c r="ET221" s="119"/>
      <c r="EU221" s="119"/>
      <c r="EV221" s="119"/>
      <c r="EW221" s="119"/>
      <c r="EX221" s="119"/>
      <c r="EY221" s="119"/>
      <c r="EZ221" s="119"/>
      <c r="FA221" s="119"/>
      <c r="FB221" s="119"/>
      <c r="FC221" s="119"/>
      <c r="FD221" s="119"/>
      <c r="FE221" s="119"/>
      <c r="FF221" s="119"/>
      <c r="FG221" s="119"/>
      <c r="FH221" s="119"/>
      <c r="FI221" s="119"/>
      <c r="FJ221" s="119"/>
      <c r="FK221" s="119"/>
      <c r="FL221" s="119"/>
      <c r="FM221" s="119"/>
      <c r="FN221" s="119"/>
      <c r="FO221" s="119"/>
      <c r="FP221" s="119"/>
      <c r="FQ221" s="119"/>
      <c r="FR221" s="119"/>
      <c r="FS221" s="119"/>
      <c r="FT221" s="119"/>
      <c r="FU221" s="119"/>
      <c r="FV221" s="119"/>
      <c r="FW221" s="119"/>
      <c r="FX221" s="119"/>
      <c r="FY221" s="119"/>
      <c r="FZ221" s="119"/>
      <c r="GA221" s="119"/>
      <c r="GB221" s="119"/>
      <c r="GC221" s="119"/>
      <c r="GD221" s="119"/>
      <c r="GE221" s="119"/>
      <c r="GF221" s="119"/>
      <c r="GG221" s="119"/>
      <c r="GH221" s="119"/>
      <c r="GI221" s="119"/>
      <c r="GJ221" s="119"/>
    </row>
    <row r="222" spans="1:192" ht="67.5" x14ac:dyDescent="0.25">
      <c r="A222" s="278" t="s">
        <v>4</v>
      </c>
      <c r="B222" s="164"/>
      <c r="C222" s="164" t="s">
        <v>432</v>
      </c>
      <c r="D222" s="168" t="s">
        <v>24</v>
      </c>
      <c r="E222" s="164" t="s">
        <v>1056</v>
      </c>
      <c r="F222" s="63"/>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119"/>
      <c r="AZ222" s="119"/>
      <c r="BA222" s="119"/>
      <c r="BB222" s="119"/>
      <c r="BC222" s="119"/>
      <c r="BD222" s="119"/>
      <c r="BE222" s="119"/>
      <c r="BF222" s="119"/>
      <c r="BG222" s="119"/>
      <c r="BH222" s="119"/>
      <c r="BI222" s="119"/>
      <c r="BJ222" s="119"/>
      <c r="BK222" s="119"/>
      <c r="BL222" s="119"/>
      <c r="BM222" s="119"/>
      <c r="BN222" s="119"/>
      <c r="BO222" s="119"/>
      <c r="BP222" s="119"/>
      <c r="BQ222" s="119"/>
      <c r="BR222" s="119"/>
      <c r="BS222" s="119"/>
      <c r="BT222" s="119"/>
      <c r="BU222" s="119"/>
      <c r="BV222" s="119"/>
      <c r="BW222" s="119"/>
      <c r="BX222" s="119"/>
      <c r="BY222" s="119"/>
      <c r="BZ222" s="119"/>
      <c r="CA222" s="119"/>
      <c r="CB222" s="119"/>
      <c r="CC222" s="119"/>
      <c r="CD222" s="119"/>
      <c r="CE222" s="119"/>
      <c r="CF222" s="119"/>
      <c r="CG222" s="119"/>
      <c r="CH222" s="119"/>
      <c r="CI222" s="119"/>
      <c r="CJ222" s="119"/>
      <c r="CK222" s="119"/>
      <c r="CL222" s="119"/>
      <c r="CM222" s="119"/>
      <c r="CN222" s="119"/>
      <c r="CO222" s="119"/>
      <c r="CP222" s="119"/>
      <c r="CQ222" s="119"/>
      <c r="CR222" s="119"/>
      <c r="CS222" s="119"/>
      <c r="CT222" s="119"/>
      <c r="CU222" s="119"/>
      <c r="CV222" s="119"/>
      <c r="CW222" s="119"/>
      <c r="CX222" s="119"/>
      <c r="CY222" s="119"/>
      <c r="CZ222" s="119"/>
      <c r="DA222" s="119"/>
      <c r="DB222" s="119"/>
      <c r="DC222" s="119"/>
      <c r="DD222" s="119"/>
      <c r="DE222" s="119"/>
      <c r="DF222" s="119"/>
      <c r="DG222" s="119"/>
      <c r="DH222" s="119"/>
      <c r="DI222" s="119"/>
      <c r="DJ222" s="119"/>
      <c r="DK222" s="119"/>
      <c r="DL222" s="119"/>
      <c r="DM222" s="119"/>
      <c r="DN222" s="119"/>
      <c r="DO222" s="119"/>
      <c r="DP222" s="119"/>
      <c r="DQ222" s="119"/>
      <c r="DR222" s="119"/>
      <c r="DS222" s="119"/>
      <c r="DT222" s="119"/>
      <c r="DU222" s="119"/>
      <c r="DV222" s="119"/>
      <c r="DW222" s="119"/>
      <c r="DX222" s="119"/>
      <c r="DY222" s="119"/>
      <c r="DZ222" s="119"/>
      <c r="EA222" s="119"/>
      <c r="EB222" s="119"/>
      <c r="EC222" s="119"/>
      <c r="ED222" s="119"/>
      <c r="EE222" s="119"/>
      <c r="EF222" s="119"/>
      <c r="EG222" s="119"/>
      <c r="EH222" s="119"/>
      <c r="EI222" s="119"/>
      <c r="EJ222" s="119"/>
      <c r="EK222" s="119"/>
      <c r="EL222" s="119"/>
      <c r="EM222" s="119"/>
      <c r="EN222" s="119"/>
      <c r="EO222" s="119"/>
      <c r="EP222" s="119"/>
      <c r="EQ222" s="119"/>
      <c r="ER222" s="119"/>
      <c r="ES222" s="119"/>
      <c r="ET222" s="119"/>
      <c r="EU222" s="119"/>
      <c r="EV222" s="119"/>
      <c r="EW222" s="119"/>
      <c r="EX222" s="119"/>
      <c r="EY222" s="119"/>
      <c r="EZ222" s="119"/>
      <c r="FA222" s="119"/>
      <c r="FB222" s="119"/>
      <c r="FC222" s="119"/>
      <c r="FD222" s="119"/>
      <c r="FE222" s="119"/>
      <c r="FF222" s="119"/>
      <c r="FG222" s="119"/>
      <c r="FH222" s="119"/>
      <c r="FI222" s="119"/>
      <c r="FJ222" s="119"/>
      <c r="FK222" s="119"/>
      <c r="FL222" s="119"/>
      <c r="FM222" s="119"/>
      <c r="FN222" s="119"/>
      <c r="FO222" s="119"/>
      <c r="FP222" s="119"/>
      <c r="FQ222" s="119"/>
      <c r="FR222" s="119"/>
      <c r="FS222" s="119"/>
      <c r="FT222" s="119"/>
      <c r="FU222" s="119"/>
      <c r="FV222" s="119"/>
      <c r="FW222" s="119"/>
      <c r="FX222" s="119"/>
      <c r="FY222" s="119"/>
      <c r="FZ222" s="119"/>
      <c r="GA222" s="119"/>
      <c r="GB222" s="119"/>
      <c r="GC222" s="119"/>
      <c r="GD222" s="119"/>
      <c r="GE222" s="119"/>
      <c r="GF222" s="119"/>
      <c r="GG222" s="119"/>
      <c r="GH222" s="119"/>
      <c r="GI222" s="119"/>
      <c r="GJ222" s="119"/>
    </row>
    <row r="223" spans="1:192" ht="78.75" x14ac:dyDescent="0.25">
      <c r="A223" s="278" t="s">
        <v>4</v>
      </c>
      <c r="B223" s="164"/>
      <c r="C223" s="164" t="s">
        <v>433</v>
      </c>
      <c r="D223" s="168" t="s">
        <v>24</v>
      </c>
      <c r="E223" s="164" t="s">
        <v>1057</v>
      </c>
      <c r="F223" s="62"/>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119"/>
      <c r="AZ223" s="119"/>
      <c r="BA223" s="119"/>
      <c r="BB223" s="119"/>
      <c r="BC223" s="119"/>
      <c r="BD223" s="119"/>
      <c r="BE223" s="119"/>
      <c r="BF223" s="119"/>
      <c r="BG223" s="119"/>
      <c r="BH223" s="119"/>
      <c r="BI223" s="119"/>
      <c r="BJ223" s="119"/>
      <c r="BK223" s="119"/>
      <c r="BL223" s="119"/>
      <c r="BM223" s="119"/>
      <c r="BN223" s="119"/>
      <c r="BO223" s="119"/>
      <c r="BP223" s="119"/>
      <c r="BQ223" s="119"/>
      <c r="BR223" s="119"/>
      <c r="BS223" s="119"/>
      <c r="BT223" s="119"/>
      <c r="BU223" s="119"/>
      <c r="BV223" s="119"/>
      <c r="BW223" s="119"/>
      <c r="BX223" s="119"/>
      <c r="BY223" s="119"/>
      <c r="BZ223" s="119"/>
      <c r="CA223" s="119"/>
      <c r="CB223" s="119"/>
      <c r="CC223" s="119"/>
      <c r="CD223" s="119"/>
      <c r="CE223" s="119"/>
      <c r="CF223" s="119"/>
      <c r="CG223" s="119"/>
      <c r="CH223" s="119"/>
      <c r="CI223" s="119"/>
      <c r="CJ223" s="119"/>
      <c r="CK223" s="119"/>
      <c r="CL223" s="119"/>
      <c r="CM223" s="119"/>
      <c r="CN223" s="119"/>
      <c r="CO223" s="119"/>
      <c r="CP223" s="119"/>
      <c r="CQ223" s="119"/>
      <c r="CR223" s="119"/>
      <c r="CS223" s="119"/>
      <c r="CT223" s="119"/>
      <c r="CU223" s="119"/>
      <c r="CV223" s="119"/>
      <c r="CW223" s="119"/>
      <c r="CX223" s="119"/>
      <c r="CY223" s="119"/>
      <c r="CZ223" s="119"/>
      <c r="DA223" s="119"/>
      <c r="DB223" s="119"/>
      <c r="DC223" s="119"/>
      <c r="DD223" s="119"/>
      <c r="DE223" s="119"/>
      <c r="DF223" s="119"/>
      <c r="DG223" s="119"/>
      <c r="DH223" s="119"/>
      <c r="DI223" s="119"/>
      <c r="DJ223" s="119"/>
      <c r="DK223" s="119"/>
      <c r="DL223" s="119"/>
      <c r="DM223" s="119"/>
      <c r="DN223" s="119"/>
      <c r="DO223" s="119"/>
      <c r="DP223" s="119"/>
      <c r="DQ223" s="119"/>
      <c r="DR223" s="119"/>
      <c r="DS223" s="119"/>
      <c r="DT223" s="119"/>
      <c r="DU223" s="119"/>
      <c r="DV223" s="119"/>
      <c r="DW223" s="119"/>
      <c r="DX223" s="119"/>
      <c r="DY223" s="119"/>
      <c r="DZ223" s="119"/>
      <c r="EA223" s="119"/>
      <c r="EB223" s="119"/>
      <c r="EC223" s="119"/>
      <c r="ED223" s="119"/>
      <c r="EE223" s="119"/>
      <c r="EF223" s="119"/>
      <c r="EG223" s="119"/>
      <c r="EH223" s="119"/>
      <c r="EI223" s="119"/>
      <c r="EJ223" s="119"/>
      <c r="EK223" s="119"/>
      <c r="EL223" s="119"/>
      <c r="EM223" s="119"/>
      <c r="EN223" s="119"/>
      <c r="EO223" s="119"/>
      <c r="EP223" s="119"/>
      <c r="EQ223" s="119"/>
      <c r="ER223" s="119"/>
      <c r="ES223" s="119"/>
      <c r="ET223" s="119"/>
      <c r="EU223" s="119"/>
      <c r="EV223" s="119"/>
      <c r="EW223" s="119"/>
      <c r="EX223" s="119"/>
      <c r="EY223" s="119"/>
      <c r="EZ223" s="119"/>
      <c r="FA223" s="119"/>
      <c r="FB223" s="119"/>
      <c r="FC223" s="119"/>
      <c r="FD223" s="119"/>
      <c r="FE223" s="119"/>
      <c r="FF223" s="119"/>
      <c r="FG223" s="119"/>
      <c r="FH223" s="119"/>
      <c r="FI223" s="119"/>
      <c r="FJ223" s="119"/>
      <c r="FK223" s="119"/>
      <c r="FL223" s="119"/>
      <c r="FM223" s="119"/>
      <c r="FN223" s="119"/>
      <c r="FO223" s="119"/>
      <c r="FP223" s="119"/>
      <c r="FQ223" s="119"/>
      <c r="FR223" s="119"/>
      <c r="FS223" s="119"/>
      <c r="FT223" s="119"/>
      <c r="FU223" s="119"/>
      <c r="FV223" s="119"/>
      <c r="FW223" s="119"/>
      <c r="FX223" s="119"/>
      <c r="FY223" s="119"/>
      <c r="FZ223" s="119"/>
      <c r="GA223" s="119"/>
      <c r="GB223" s="119"/>
      <c r="GC223" s="119"/>
      <c r="GD223" s="119"/>
      <c r="GE223" s="119"/>
      <c r="GF223" s="119"/>
      <c r="GG223" s="119"/>
      <c r="GH223" s="119"/>
      <c r="GI223" s="119"/>
      <c r="GJ223" s="119"/>
    </row>
    <row r="224" spans="1:192" ht="67.5" x14ac:dyDescent="0.25">
      <c r="A224" s="278" t="s">
        <v>4</v>
      </c>
      <c r="B224" s="170" t="s">
        <v>1058</v>
      </c>
      <c r="C224" s="170" t="s">
        <v>434</v>
      </c>
      <c r="D224" s="169" t="s">
        <v>25</v>
      </c>
      <c r="E224" s="173" t="s">
        <v>1059</v>
      </c>
      <c r="F224" s="62"/>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c r="CB224" s="119"/>
      <c r="CC224" s="119"/>
      <c r="CD224" s="119"/>
      <c r="CE224" s="119"/>
      <c r="CF224" s="119"/>
      <c r="CG224" s="119"/>
      <c r="CH224" s="119"/>
      <c r="CI224" s="119"/>
      <c r="CJ224" s="119"/>
      <c r="CK224" s="119"/>
      <c r="CL224" s="119"/>
      <c r="CM224" s="119"/>
      <c r="CN224" s="119"/>
      <c r="CO224" s="119"/>
      <c r="CP224" s="119"/>
      <c r="CQ224" s="119"/>
      <c r="CR224" s="119"/>
      <c r="CS224" s="119"/>
      <c r="CT224" s="119"/>
      <c r="CU224" s="119"/>
      <c r="CV224" s="119"/>
      <c r="CW224" s="119"/>
      <c r="CX224" s="119"/>
      <c r="CY224" s="119"/>
      <c r="CZ224" s="119"/>
      <c r="DA224" s="119"/>
      <c r="DB224" s="119"/>
      <c r="DC224" s="119"/>
      <c r="DD224" s="119"/>
      <c r="DE224" s="119"/>
      <c r="DF224" s="119"/>
      <c r="DG224" s="119"/>
      <c r="DH224" s="119"/>
      <c r="DI224" s="119"/>
      <c r="DJ224" s="119"/>
      <c r="DK224" s="119"/>
      <c r="DL224" s="119"/>
      <c r="DM224" s="119"/>
      <c r="DN224" s="119"/>
      <c r="DO224" s="119"/>
      <c r="DP224" s="119"/>
      <c r="DQ224" s="119"/>
      <c r="DR224" s="119"/>
      <c r="DS224" s="119"/>
      <c r="DT224" s="119"/>
      <c r="DU224" s="119"/>
      <c r="DV224" s="119"/>
      <c r="DW224" s="119"/>
      <c r="DX224" s="119"/>
      <c r="DY224" s="119"/>
      <c r="DZ224" s="119"/>
      <c r="EA224" s="119"/>
      <c r="EB224" s="119"/>
      <c r="EC224" s="119"/>
      <c r="ED224" s="119"/>
      <c r="EE224" s="119"/>
      <c r="EF224" s="119"/>
      <c r="EG224" s="119"/>
      <c r="EH224" s="119"/>
      <c r="EI224" s="119"/>
      <c r="EJ224" s="119"/>
      <c r="EK224" s="119"/>
      <c r="EL224" s="119"/>
      <c r="EM224" s="119"/>
      <c r="EN224" s="119"/>
      <c r="EO224" s="119"/>
      <c r="EP224" s="119"/>
      <c r="EQ224" s="119"/>
      <c r="ER224" s="119"/>
      <c r="ES224" s="119"/>
      <c r="ET224" s="119"/>
      <c r="EU224" s="119"/>
      <c r="EV224" s="119"/>
      <c r="EW224" s="119"/>
      <c r="EX224" s="119"/>
      <c r="EY224" s="119"/>
      <c r="EZ224" s="119"/>
      <c r="FA224" s="119"/>
      <c r="FB224" s="119"/>
      <c r="FC224" s="119"/>
      <c r="FD224" s="119"/>
      <c r="FE224" s="119"/>
      <c r="FF224" s="119"/>
      <c r="FG224" s="119"/>
      <c r="FH224" s="119"/>
      <c r="FI224" s="119"/>
      <c r="FJ224" s="119"/>
      <c r="FK224" s="119"/>
      <c r="FL224" s="119"/>
      <c r="FM224" s="119"/>
      <c r="FN224" s="119"/>
      <c r="FO224" s="119"/>
      <c r="FP224" s="119"/>
      <c r="FQ224" s="119"/>
      <c r="FR224" s="119"/>
      <c r="FS224" s="119"/>
      <c r="FT224" s="119"/>
      <c r="FU224" s="119"/>
      <c r="FV224" s="119"/>
      <c r="FW224" s="119"/>
      <c r="FX224" s="119"/>
      <c r="FY224" s="119"/>
      <c r="FZ224" s="119"/>
      <c r="GA224" s="119"/>
      <c r="GB224" s="119"/>
      <c r="GC224" s="119"/>
      <c r="GD224" s="119"/>
      <c r="GE224" s="119"/>
      <c r="GF224" s="119"/>
      <c r="GG224" s="119"/>
      <c r="GH224" s="119"/>
      <c r="GI224" s="119"/>
      <c r="GJ224" s="119"/>
    </row>
    <row r="225" spans="1:192" ht="22.5" x14ac:dyDescent="0.25">
      <c r="A225" s="278" t="s">
        <v>4</v>
      </c>
      <c r="B225" s="170"/>
      <c r="C225" s="170" t="s">
        <v>436</v>
      </c>
      <c r="D225" s="169" t="s">
        <v>25</v>
      </c>
      <c r="E225" s="173" t="s">
        <v>1060</v>
      </c>
      <c r="F225" s="63"/>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119"/>
      <c r="AZ225" s="119"/>
      <c r="BA225" s="119"/>
      <c r="BB225" s="119"/>
      <c r="BC225" s="119"/>
      <c r="BD225" s="119"/>
      <c r="BE225" s="119"/>
      <c r="BF225" s="119"/>
      <c r="BG225" s="119"/>
      <c r="BH225" s="119"/>
      <c r="BI225" s="119"/>
      <c r="BJ225" s="119"/>
      <c r="BK225" s="119"/>
      <c r="BL225" s="119"/>
      <c r="BM225" s="119"/>
      <c r="BN225" s="119"/>
      <c r="BO225" s="119"/>
      <c r="BP225" s="119"/>
      <c r="BQ225" s="119"/>
      <c r="BR225" s="119"/>
      <c r="BS225" s="119"/>
      <c r="BT225" s="119"/>
      <c r="BU225" s="119"/>
      <c r="BV225" s="119"/>
      <c r="BW225" s="119"/>
      <c r="BX225" s="119"/>
      <c r="BY225" s="119"/>
      <c r="BZ225" s="119"/>
      <c r="CA225" s="119"/>
      <c r="CB225" s="119"/>
      <c r="CC225" s="119"/>
      <c r="CD225" s="119"/>
      <c r="CE225" s="119"/>
      <c r="CF225" s="119"/>
      <c r="CG225" s="119"/>
      <c r="CH225" s="119"/>
      <c r="CI225" s="119"/>
      <c r="CJ225" s="119"/>
      <c r="CK225" s="119"/>
      <c r="CL225" s="119"/>
      <c r="CM225" s="119"/>
      <c r="CN225" s="119"/>
      <c r="CO225" s="119"/>
      <c r="CP225" s="119"/>
      <c r="CQ225" s="119"/>
      <c r="CR225" s="119"/>
      <c r="CS225" s="119"/>
      <c r="CT225" s="119"/>
      <c r="CU225" s="119"/>
      <c r="CV225" s="119"/>
      <c r="CW225" s="119"/>
      <c r="CX225" s="119"/>
      <c r="CY225" s="119"/>
      <c r="CZ225" s="119"/>
      <c r="DA225" s="119"/>
      <c r="DB225" s="119"/>
      <c r="DC225" s="119"/>
      <c r="DD225" s="119"/>
      <c r="DE225" s="119"/>
      <c r="DF225" s="119"/>
      <c r="DG225" s="119"/>
      <c r="DH225" s="119"/>
      <c r="DI225" s="119"/>
      <c r="DJ225" s="119"/>
      <c r="DK225" s="119"/>
      <c r="DL225" s="119"/>
      <c r="DM225" s="119"/>
      <c r="DN225" s="119"/>
      <c r="DO225" s="119"/>
      <c r="DP225" s="119"/>
      <c r="DQ225" s="119"/>
      <c r="DR225" s="119"/>
      <c r="DS225" s="119"/>
      <c r="DT225" s="119"/>
      <c r="DU225" s="119"/>
      <c r="DV225" s="119"/>
      <c r="DW225" s="119"/>
      <c r="DX225" s="119"/>
      <c r="DY225" s="119"/>
      <c r="DZ225" s="119"/>
      <c r="EA225" s="119"/>
      <c r="EB225" s="119"/>
      <c r="EC225" s="119"/>
      <c r="ED225" s="119"/>
      <c r="EE225" s="119"/>
      <c r="EF225" s="119"/>
      <c r="EG225" s="119"/>
      <c r="EH225" s="119"/>
      <c r="EI225" s="119"/>
      <c r="EJ225" s="119"/>
      <c r="EK225" s="119"/>
      <c r="EL225" s="119"/>
      <c r="EM225" s="119"/>
      <c r="EN225" s="119"/>
      <c r="EO225" s="119"/>
      <c r="EP225" s="119"/>
      <c r="EQ225" s="119"/>
      <c r="ER225" s="119"/>
      <c r="ES225" s="119"/>
      <c r="ET225" s="119"/>
      <c r="EU225" s="119"/>
      <c r="EV225" s="119"/>
      <c r="EW225" s="119"/>
      <c r="EX225" s="119"/>
      <c r="EY225" s="119"/>
      <c r="EZ225" s="119"/>
      <c r="FA225" s="119"/>
      <c r="FB225" s="119"/>
      <c r="FC225" s="119"/>
      <c r="FD225" s="119"/>
      <c r="FE225" s="119"/>
      <c r="FF225" s="119"/>
      <c r="FG225" s="119"/>
      <c r="FH225" s="119"/>
      <c r="FI225" s="119"/>
      <c r="FJ225" s="119"/>
      <c r="FK225" s="119"/>
      <c r="FL225" s="119"/>
      <c r="FM225" s="119"/>
      <c r="FN225" s="119"/>
      <c r="FO225" s="119"/>
      <c r="FP225" s="119"/>
      <c r="FQ225" s="119"/>
      <c r="FR225" s="119"/>
      <c r="FS225" s="119"/>
      <c r="FT225" s="119"/>
      <c r="FU225" s="119"/>
      <c r="FV225" s="119"/>
      <c r="FW225" s="119"/>
      <c r="FX225" s="119"/>
      <c r="FY225" s="119"/>
      <c r="FZ225" s="119"/>
      <c r="GA225" s="119"/>
      <c r="GB225" s="119"/>
      <c r="GC225" s="119"/>
      <c r="GD225" s="119"/>
      <c r="GE225" s="119"/>
      <c r="GF225" s="119"/>
      <c r="GG225" s="119"/>
      <c r="GH225" s="119"/>
      <c r="GI225" s="119"/>
      <c r="GJ225" s="119"/>
    </row>
    <row r="226" spans="1:192" ht="123.75" x14ac:dyDescent="0.25">
      <c r="A226" s="278" t="s">
        <v>4</v>
      </c>
      <c r="B226" s="322" t="s">
        <v>1235</v>
      </c>
      <c r="C226" s="164" t="s">
        <v>435</v>
      </c>
      <c r="D226" s="168" t="s">
        <v>25</v>
      </c>
      <c r="E226" s="164" t="s">
        <v>1061</v>
      </c>
      <c r="F226" s="63"/>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119"/>
      <c r="AZ226" s="119"/>
      <c r="BA226" s="119"/>
      <c r="BB226" s="119"/>
      <c r="BC226" s="119"/>
      <c r="BD226" s="119"/>
      <c r="BE226" s="119"/>
      <c r="BF226" s="119"/>
      <c r="BG226" s="119"/>
      <c r="BH226" s="119"/>
      <c r="BI226" s="119"/>
      <c r="BJ226" s="119"/>
      <c r="BK226" s="119"/>
      <c r="BL226" s="119"/>
      <c r="BM226" s="119"/>
      <c r="BN226" s="119"/>
      <c r="BO226" s="119"/>
      <c r="BP226" s="119"/>
      <c r="BQ226" s="119"/>
      <c r="BR226" s="119"/>
      <c r="BS226" s="119"/>
      <c r="BT226" s="119"/>
      <c r="BU226" s="119"/>
      <c r="BV226" s="119"/>
      <c r="BW226" s="119"/>
      <c r="BX226" s="119"/>
      <c r="BY226" s="119"/>
      <c r="BZ226" s="119"/>
      <c r="CA226" s="119"/>
      <c r="CB226" s="119"/>
      <c r="CC226" s="119"/>
      <c r="CD226" s="119"/>
      <c r="CE226" s="119"/>
      <c r="CF226" s="119"/>
      <c r="CG226" s="119"/>
      <c r="CH226" s="119"/>
      <c r="CI226" s="119"/>
      <c r="CJ226" s="119"/>
      <c r="CK226" s="119"/>
      <c r="CL226" s="119"/>
      <c r="CM226" s="119"/>
      <c r="CN226" s="119"/>
      <c r="CO226" s="119"/>
      <c r="CP226" s="119"/>
      <c r="CQ226" s="119"/>
      <c r="CR226" s="119"/>
      <c r="CS226" s="119"/>
      <c r="CT226" s="119"/>
      <c r="CU226" s="119"/>
      <c r="CV226" s="119"/>
      <c r="CW226" s="119"/>
      <c r="CX226" s="119"/>
      <c r="CY226" s="119"/>
      <c r="CZ226" s="119"/>
      <c r="DA226" s="119"/>
      <c r="DB226" s="119"/>
      <c r="DC226" s="119"/>
      <c r="DD226" s="119"/>
      <c r="DE226" s="119"/>
      <c r="DF226" s="119"/>
      <c r="DG226" s="119"/>
      <c r="DH226" s="119"/>
      <c r="DI226" s="119"/>
      <c r="DJ226" s="119"/>
      <c r="DK226" s="119"/>
      <c r="DL226" s="119"/>
      <c r="DM226" s="119"/>
      <c r="DN226" s="119"/>
      <c r="DO226" s="119"/>
      <c r="DP226" s="119"/>
      <c r="DQ226" s="119"/>
      <c r="DR226" s="119"/>
      <c r="DS226" s="119"/>
      <c r="DT226" s="119"/>
      <c r="DU226" s="119"/>
      <c r="DV226" s="119"/>
      <c r="DW226" s="119"/>
      <c r="DX226" s="119"/>
      <c r="DY226" s="119"/>
      <c r="DZ226" s="119"/>
      <c r="EA226" s="119"/>
      <c r="EB226" s="119"/>
      <c r="EC226" s="119"/>
      <c r="ED226" s="119"/>
      <c r="EE226" s="119"/>
      <c r="EF226" s="119"/>
      <c r="EG226" s="119"/>
      <c r="EH226" s="119"/>
      <c r="EI226" s="119"/>
      <c r="EJ226" s="119"/>
      <c r="EK226" s="119"/>
      <c r="EL226" s="119"/>
      <c r="EM226" s="119"/>
      <c r="EN226" s="119"/>
      <c r="EO226" s="119"/>
      <c r="EP226" s="119"/>
      <c r="EQ226" s="119"/>
      <c r="ER226" s="119"/>
      <c r="ES226" s="119"/>
      <c r="ET226" s="119"/>
      <c r="EU226" s="119"/>
      <c r="EV226" s="119"/>
      <c r="EW226" s="119"/>
      <c r="EX226" s="119"/>
      <c r="EY226" s="119"/>
      <c r="EZ226" s="119"/>
      <c r="FA226" s="119"/>
      <c r="FB226" s="119"/>
      <c r="FC226" s="119"/>
      <c r="FD226" s="119"/>
      <c r="FE226" s="119"/>
      <c r="FF226" s="119"/>
      <c r="FG226" s="119"/>
      <c r="FH226" s="119"/>
      <c r="FI226" s="119"/>
      <c r="FJ226" s="119"/>
      <c r="FK226" s="119"/>
      <c r="FL226" s="119"/>
      <c r="FM226" s="119"/>
      <c r="FN226" s="119"/>
      <c r="FO226" s="119"/>
      <c r="FP226" s="119"/>
      <c r="FQ226" s="119"/>
      <c r="FR226" s="119"/>
      <c r="FS226" s="119"/>
      <c r="FT226" s="119"/>
      <c r="FU226" s="119"/>
      <c r="FV226" s="119"/>
      <c r="FW226" s="119"/>
      <c r="FX226" s="119"/>
      <c r="FY226" s="119"/>
      <c r="FZ226" s="119"/>
      <c r="GA226" s="119"/>
      <c r="GB226" s="119"/>
      <c r="GC226" s="119"/>
      <c r="GD226" s="119"/>
      <c r="GE226" s="119"/>
      <c r="GF226" s="119"/>
      <c r="GG226" s="119"/>
      <c r="GH226" s="119"/>
      <c r="GI226" s="119"/>
      <c r="GJ226" s="119"/>
    </row>
    <row r="227" spans="1:192" ht="78.75" x14ac:dyDescent="0.25">
      <c r="A227" s="278" t="s">
        <v>4</v>
      </c>
      <c r="B227" s="164"/>
      <c r="C227" s="164" t="s">
        <v>437</v>
      </c>
      <c r="D227" s="168" t="s">
        <v>25</v>
      </c>
      <c r="E227" s="164" t="s">
        <v>1062</v>
      </c>
      <c r="F227" s="62"/>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119"/>
      <c r="AZ227" s="119"/>
      <c r="BA227" s="119"/>
      <c r="BB227" s="119"/>
      <c r="BC227" s="119"/>
      <c r="BD227" s="119"/>
      <c r="BE227" s="119"/>
      <c r="BF227" s="119"/>
      <c r="BG227" s="119"/>
      <c r="BH227" s="119"/>
      <c r="BI227" s="119"/>
      <c r="BJ227" s="119"/>
      <c r="BK227" s="119"/>
      <c r="BL227" s="119"/>
      <c r="BM227" s="119"/>
      <c r="BN227" s="119"/>
      <c r="BO227" s="119"/>
      <c r="BP227" s="119"/>
      <c r="BQ227" s="119"/>
      <c r="BR227" s="119"/>
      <c r="BS227" s="119"/>
      <c r="BT227" s="119"/>
      <c r="BU227" s="119"/>
      <c r="BV227" s="119"/>
      <c r="BW227" s="119"/>
      <c r="BX227" s="119"/>
      <c r="BY227" s="119"/>
      <c r="BZ227" s="119"/>
      <c r="CA227" s="119"/>
      <c r="CB227" s="119"/>
      <c r="CC227" s="119"/>
      <c r="CD227" s="119"/>
      <c r="CE227" s="119"/>
      <c r="CF227" s="119"/>
      <c r="CG227" s="119"/>
      <c r="CH227" s="119"/>
      <c r="CI227" s="119"/>
      <c r="CJ227" s="119"/>
      <c r="CK227" s="119"/>
      <c r="CL227" s="119"/>
      <c r="CM227" s="119"/>
      <c r="CN227" s="119"/>
      <c r="CO227" s="119"/>
      <c r="CP227" s="119"/>
      <c r="CQ227" s="119"/>
      <c r="CR227" s="119"/>
      <c r="CS227" s="119"/>
      <c r="CT227" s="119"/>
      <c r="CU227" s="119"/>
      <c r="CV227" s="119"/>
      <c r="CW227" s="119"/>
      <c r="CX227" s="119"/>
      <c r="CY227" s="119"/>
      <c r="CZ227" s="119"/>
      <c r="DA227" s="119"/>
      <c r="DB227" s="119"/>
      <c r="DC227" s="119"/>
      <c r="DD227" s="119"/>
      <c r="DE227" s="119"/>
      <c r="DF227" s="119"/>
      <c r="DG227" s="119"/>
      <c r="DH227" s="119"/>
      <c r="DI227" s="119"/>
      <c r="DJ227" s="119"/>
      <c r="DK227" s="119"/>
      <c r="DL227" s="119"/>
      <c r="DM227" s="119"/>
      <c r="DN227" s="119"/>
      <c r="DO227" s="119"/>
      <c r="DP227" s="119"/>
      <c r="DQ227" s="119"/>
      <c r="DR227" s="119"/>
      <c r="DS227" s="119"/>
      <c r="DT227" s="119"/>
      <c r="DU227" s="119"/>
      <c r="DV227" s="119"/>
      <c r="DW227" s="119"/>
      <c r="DX227" s="119"/>
      <c r="DY227" s="119"/>
      <c r="DZ227" s="119"/>
      <c r="EA227" s="119"/>
      <c r="EB227" s="119"/>
      <c r="EC227" s="119"/>
      <c r="ED227" s="119"/>
      <c r="EE227" s="119"/>
      <c r="EF227" s="119"/>
      <c r="EG227" s="119"/>
      <c r="EH227" s="119"/>
      <c r="EI227" s="119"/>
      <c r="EJ227" s="119"/>
      <c r="EK227" s="119"/>
      <c r="EL227" s="119"/>
      <c r="EM227" s="119"/>
      <c r="EN227" s="119"/>
      <c r="EO227" s="119"/>
      <c r="EP227" s="119"/>
      <c r="EQ227" s="119"/>
      <c r="ER227" s="119"/>
      <c r="ES227" s="119"/>
      <c r="ET227" s="119"/>
      <c r="EU227" s="119"/>
      <c r="EV227" s="119"/>
      <c r="EW227" s="119"/>
      <c r="EX227" s="119"/>
      <c r="EY227" s="119"/>
      <c r="EZ227" s="119"/>
      <c r="FA227" s="119"/>
      <c r="FB227" s="119"/>
      <c r="FC227" s="119"/>
      <c r="FD227" s="119"/>
      <c r="FE227" s="119"/>
      <c r="FF227" s="119"/>
      <c r="FG227" s="119"/>
      <c r="FH227" s="119"/>
      <c r="FI227" s="119"/>
      <c r="FJ227" s="119"/>
      <c r="FK227" s="119"/>
      <c r="FL227" s="119"/>
      <c r="FM227" s="119"/>
      <c r="FN227" s="119"/>
      <c r="FO227" s="119"/>
      <c r="FP227" s="119"/>
      <c r="FQ227" s="119"/>
      <c r="FR227" s="119"/>
      <c r="FS227" s="119"/>
      <c r="FT227" s="119"/>
      <c r="FU227" s="119"/>
      <c r="FV227" s="119"/>
      <c r="FW227" s="119"/>
      <c r="FX227" s="119"/>
      <c r="FY227" s="119"/>
      <c r="FZ227" s="119"/>
      <c r="GA227" s="119"/>
      <c r="GB227" s="119"/>
      <c r="GC227" s="119"/>
      <c r="GD227" s="119"/>
      <c r="GE227" s="119"/>
      <c r="GF227" s="119"/>
      <c r="GG227" s="119"/>
      <c r="GH227" s="119"/>
      <c r="GI227" s="119"/>
      <c r="GJ227" s="119"/>
    </row>
    <row r="228" spans="1:192" ht="78.75" x14ac:dyDescent="0.25">
      <c r="A228" s="278" t="s">
        <v>4</v>
      </c>
      <c r="B228" s="170" t="s">
        <v>1063</v>
      </c>
      <c r="C228" s="170" t="s">
        <v>438</v>
      </c>
      <c r="D228" s="169" t="s">
        <v>25</v>
      </c>
      <c r="E228" s="173" t="s">
        <v>1064</v>
      </c>
      <c r="F228" s="63"/>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119"/>
      <c r="AZ228" s="119"/>
      <c r="BA228" s="119"/>
      <c r="BB228" s="119"/>
      <c r="BC228" s="119"/>
      <c r="BD228" s="119"/>
      <c r="BE228" s="119"/>
      <c r="BF228" s="119"/>
      <c r="BG228" s="119"/>
      <c r="BH228" s="119"/>
      <c r="BI228" s="119"/>
      <c r="BJ228" s="119"/>
      <c r="BK228" s="119"/>
      <c r="BL228" s="119"/>
      <c r="BM228" s="119"/>
      <c r="BN228" s="119"/>
      <c r="BO228" s="119"/>
      <c r="BP228" s="119"/>
      <c r="BQ228" s="119"/>
      <c r="BR228" s="119"/>
      <c r="BS228" s="119"/>
      <c r="BT228" s="119"/>
      <c r="BU228" s="119"/>
      <c r="BV228" s="119"/>
      <c r="BW228" s="119"/>
      <c r="BX228" s="119"/>
      <c r="BY228" s="119"/>
      <c r="BZ228" s="119"/>
      <c r="CA228" s="119"/>
      <c r="CB228" s="119"/>
      <c r="CC228" s="119"/>
      <c r="CD228" s="119"/>
      <c r="CE228" s="119"/>
      <c r="CF228" s="119"/>
      <c r="CG228" s="119"/>
      <c r="CH228" s="119"/>
      <c r="CI228" s="119"/>
      <c r="CJ228" s="119"/>
      <c r="CK228" s="119"/>
      <c r="CL228" s="119"/>
      <c r="CM228" s="119"/>
      <c r="CN228" s="119"/>
      <c r="CO228" s="119"/>
      <c r="CP228" s="119"/>
      <c r="CQ228" s="119"/>
      <c r="CR228" s="119"/>
      <c r="CS228" s="119"/>
      <c r="CT228" s="119"/>
      <c r="CU228" s="119"/>
      <c r="CV228" s="119"/>
      <c r="CW228" s="119"/>
      <c r="CX228" s="119"/>
      <c r="CY228" s="119"/>
      <c r="CZ228" s="119"/>
      <c r="DA228" s="119"/>
      <c r="DB228" s="119"/>
      <c r="DC228" s="119"/>
      <c r="DD228" s="119"/>
      <c r="DE228" s="119"/>
      <c r="DF228" s="119"/>
      <c r="DG228" s="119"/>
      <c r="DH228" s="119"/>
      <c r="DI228" s="119"/>
      <c r="DJ228" s="119"/>
      <c r="DK228" s="119"/>
      <c r="DL228" s="119"/>
      <c r="DM228" s="119"/>
      <c r="DN228" s="119"/>
      <c r="DO228" s="119"/>
      <c r="DP228" s="119"/>
      <c r="DQ228" s="119"/>
      <c r="DR228" s="119"/>
      <c r="DS228" s="119"/>
      <c r="DT228" s="119"/>
      <c r="DU228" s="119"/>
      <c r="DV228" s="119"/>
      <c r="DW228" s="119"/>
      <c r="DX228" s="119"/>
      <c r="DY228" s="119"/>
      <c r="DZ228" s="119"/>
      <c r="EA228" s="119"/>
      <c r="EB228" s="119"/>
      <c r="EC228" s="119"/>
      <c r="ED228" s="119"/>
      <c r="EE228" s="119"/>
      <c r="EF228" s="119"/>
      <c r="EG228" s="119"/>
      <c r="EH228" s="119"/>
      <c r="EI228" s="119"/>
      <c r="EJ228" s="119"/>
      <c r="EK228" s="119"/>
      <c r="EL228" s="119"/>
      <c r="EM228" s="119"/>
      <c r="EN228" s="119"/>
      <c r="EO228" s="119"/>
      <c r="EP228" s="119"/>
      <c r="EQ228" s="119"/>
      <c r="ER228" s="119"/>
      <c r="ES228" s="119"/>
      <c r="ET228" s="119"/>
      <c r="EU228" s="119"/>
      <c r="EV228" s="119"/>
      <c r="EW228" s="119"/>
      <c r="EX228" s="119"/>
      <c r="EY228" s="119"/>
      <c r="EZ228" s="119"/>
      <c r="FA228" s="119"/>
      <c r="FB228" s="119"/>
      <c r="FC228" s="119"/>
      <c r="FD228" s="119"/>
      <c r="FE228" s="119"/>
      <c r="FF228" s="119"/>
      <c r="FG228" s="119"/>
      <c r="FH228" s="119"/>
      <c r="FI228" s="119"/>
      <c r="FJ228" s="119"/>
      <c r="FK228" s="119"/>
      <c r="FL228" s="119"/>
      <c r="FM228" s="119"/>
      <c r="FN228" s="119"/>
      <c r="FO228" s="119"/>
      <c r="FP228" s="119"/>
      <c r="FQ228" s="119"/>
      <c r="FR228" s="119"/>
      <c r="FS228" s="119"/>
      <c r="FT228" s="119"/>
      <c r="FU228" s="119"/>
      <c r="FV228" s="119"/>
      <c r="FW228" s="119"/>
      <c r="FX228" s="119"/>
      <c r="FY228" s="119"/>
      <c r="FZ228" s="119"/>
      <c r="GA228" s="119"/>
      <c r="GB228" s="119"/>
      <c r="GC228" s="119"/>
      <c r="GD228" s="119"/>
      <c r="GE228" s="119"/>
      <c r="GF228" s="119"/>
      <c r="GG228" s="119"/>
      <c r="GH228" s="119"/>
      <c r="GI228" s="119"/>
      <c r="GJ228" s="119"/>
    </row>
    <row r="229" spans="1:192" ht="56.25" x14ac:dyDescent="0.25">
      <c r="A229" s="290" t="s">
        <v>7</v>
      </c>
      <c r="B229" s="164" t="s">
        <v>439</v>
      </c>
      <c r="C229" s="164" t="s">
        <v>440</v>
      </c>
      <c r="D229" s="168" t="s">
        <v>25</v>
      </c>
      <c r="E229" s="164" t="s">
        <v>1065</v>
      </c>
      <c r="F229" s="62"/>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119"/>
      <c r="AZ229" s="119"/>
      <c r="BA229" s="119"/>
      <c r="BB229" s="119"/>
      <c r="BC229" s="119"/>
      <c r="BD229" s="119"/>
      <c r="BE229" s="119"/>
      <c r="BF229" s="119"/>
      <c r="BG229" s="119"/>
      <c r="BH229" s="119"/>
      <c r="BI229" s="119"/>
      <c r="BJ229" s="119"/>
      <c r="BK229" s="119"/>
      <c r="BL229" s="119"/>
      <c r="BM229" s="119"/>
      <c r="BN229" s="119"/>
      <c r="BO229" s="119"/>
      <c r="BP229" s="119"/>
      <c r="BQ229" s="119"/>
      <c r="BR229" s="119"/>
      <c r="BS229" s="119"/>
      <c r="BT229" s="119"/>
      <c r="BU229" s="119"/>
      <c r="BV229" s="119"/>
      <c r="BW229" s="119"/>
      <c r="BX229" s="119"/>
      <c r="BY229" s="119"/>
      <c r="BZ229" s="119"/>
      <c r="CA229" s="119"/>
      <c r="CB229" s="119"/>
      <c r="CC229" s="119"/>
      <c r="CD229" s="119"/>
      <c r="CE229" s="119"/>
      <c r="CF229" s="119"/>
      <c r="CG229" s="119"/>
      <c r="CH229" s="119"/>
      <c r="CI229" s="119"/>
      <c r="CJ229" s="119"/>
      <c r="CK229" s="119"/>
      <c r="CL229" s="119"/>
      <c r="CM229" s="119"/>
      <c r="CN229" s="119"/>
      <c r="CO229" s="119"/>
      <c r="CP229" s="119"/>
      <c r="CQ229" s="119"/>
      <c r="CR229" s="119"/>
      <c r="CS229" s="119"/>
      <c r="CT229" s="119"/>
      <c r="CU229" s="119"/>
      <c r="CV229" s="119"/>
      <c r="CW229" s="119"/>
      <c r="CX229" s="119"/>
      <c r="CY229" s="119"/>
      <c r="CZ229" s="119"/>
      <c r="DA229" s="119"/>
      <c r="DB229" s="119"/>
      <c r="DC229" s="119"/>
      <c r="DD229" s="119"/>
      <c r="DE229" s="119"/>
      <c r="DF229" s="119"/>
      <c r="DG229" s="119"/>
      <c r="DH229" s="119"/>
      <c r="DI229" s="119"/>
      <c r="DJ229" s="119"/>
      <c r="DK229" s="119"/>
      <c r="DL229" s="119"/>
      <c r="DM229" s="119"/>
      <c r="DN229" s="119"/>
      <c r="DO229" s="119"/>
      <c r="DP229" s="119"/>
      <c r="DQ229" s="119"/>
      <c r="DR229" s="119"/>
      <c r="DS229" s="119"/>
      <c r="DT229" s="119"/>
      <c r="DU229" s="119"/>
      <c r="DV229" s="119"/>
      <c r="DW229" s="119"/>
      <c r="DX229" s="119"/>
      <c r="DY229" s="119"/>
      <c r="DZ229" s="119"/>
      <c r="EA229" s="119"/>
      <c r="EB229" s="119"/>
      <c r="EC229" s="119"/>
      <c r="ED229" s="119"/>
      <c r="EE229" s="119"/>
      <c r="EF229" s="119"/>
      <c r="EG229" s="119"/>
      <c r="EH229" s="119"/>
      <c r="EI229" s="119"/>
      <c r="EJ229" s="119"/>
      <c r="EK229" s="119"/>
      <c r="EL229" s="119"/>
      <c r="EM229" s="119"/>
      <c r="EN229" s="119"/>
      <c r="EO229" s="119"/>
      <c r="EP229" s="119"/>
      <c r="EQ229" s="119"/>
      <c r="ER229" s="119"/>
      <c r="ES229" s="119"/>
      <c r="ET229" s="119"/>
      <c r="EU229" s="119"/>
      <c r="EV229" s="119"/>
      <c r="EW229" s="119"/>
      <c r="EX229" s="119"/>
      <c r="EY229" s="119"/>
      <c r="EZ229" s="119"/>
      <c r="FA229" s="119"/>
      <c r="FB229" s="119"/>
      <c r="FC229" s="119"/>
      <c r="FD229" s="119"/>
      <c r="FE229" s="119"/>
      <c r="FF229" s="119"/>
      <c r="FG229" s="119"/>
      <c r="FH229" s="119"/>
      <c r="FI229" s="119"/>
      <c r="FJ229" s="119"/>
      <c r="FK229" s="119"/>
      <c r="FL229" s="119"/>
      <c r="FM229" s="119"/>
      <c r="FN229" s="119"/>
      <c r="FO229" s="119"/>
      <c r="FP229" s="119"/>
      <c r="FQ229" s="119"/>
      <c r="FR229" s="119"/>
      <c r="FS229" s="119"/>
      <c r="FT229" s="119"/>
      <c r="FU229" s="119"/>
      <c r="FV229" s="119"/>
      <c r="FW229" s="119"/>
      <c r="FX229" s="119"/>
      <c r="FY229" s="119"/>
      <c r="FZ229" s="119"/>
      <c r="GA229" s="119"/>
      <c r="GB229" s="119"/>
      <c r="GC229" s="119"/>
      <c r="GD229" s="119"/>
      <c r="GE229" s="119"/>
      <c r="GF229" s="119"/>
      <c r="GG229" s="119"/>
      <c r="GH229" s="119"/>
      <c r="GI229" s="119"/>
      <c r="GJ229" s="119"/>
    </row>
    <row r="230" spans="1:192" ht="78.75" x14ac:dyDescent="0.25">
      <c r="A230" s="290" t="s">
        <v>7</v>
      </c>
      <c r="B230" s="170" t="s">
        <v>1066</v>
      </c>
      <c r="C230" s="170" t="s">
        <v>441</v>
      </c>
      <c r="D230" s="169" t="s">
        <v>25</v>
      </c>
      <c r="E230" s="173" t="s">
        <v>1067</v>
      </c>
      <c r="F230" s="63"/>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119"/>
      <c r="AZ230" s="119"/>
      <c r="BA230" s="119"/>
      <c r="BB230" s="119"/>
      <c r="BC230" s="119"/>
      <c r="BD230" s="119"/>
      <c r="BE230" s="119"/>
      <c r="BF230" s="119"/>
      <c r="BG230" s="119"/>
      <c r="BH230" s="119"/>
      <c r="BI230" s="119"/>
      <c r="BJ230" s="119"/>
      <c r="BK230" s="119"/>
      <c r="BL230" s="119"/>
      <c r="BM230" s="119"/>
      <c r="BN230" s="119"/>
      <c r="BO230" s="119"/>
      <c r="BP230" s="119"/>
      <c r="BQ230" s="119"/>
      <c r="BR230" s="119"/>
      <c r="BS230" s="119"/>
      <c r="BT230" s="119"/>
      <c r="BU230" s="119"/>
      <c r="BV230" s="119"/>
      <c r="BW230" s="119"/>
      <c r="BX230" s="119"/>
      <c r="BY230" s="119"/>
      <c r="BZ230" s="119"/>
      <c r="CA230" s="119"/>
      <c r="CB230" s="119"/>
      <c r="CC230" s="119"/>
      <c r="CD230" s="119"/>
      <c r="CE230" s="119"/>
      <c r="CF230" s="119"/>
      <c r="CG230" s="119"/>
      <c r="CH230" s="119"/>
      <c r="CI230" s="119"/>
      <c r="CJ230" s="119"/>
      <c r="CK230" s="119"/>
      <c r="CL230" s="119"/>
      <c r="CM230" s="119"/>
      <c r="CN230" s="119"/>
      <c r="CO230" s="119"/>
      <c r="CP230" s="119"/>
      <c r="CQ230" s="119"/>
      <c r="CR230" s="119"/>
      <c r="CS230" s="119"/>
      <c r="CT230" s="119"/>
      <c r="CU230" s="119"/>
      <c r="CV230" s="119"/>
      <c r="CW230" s="119"/>
      <c r="CX230" s="119"/>
      <c r="CY230" s="119"/>
      <c r="CZ230" s="119"/>
      <c r="DA230" s="119"/>
      <c r="DB230" s="119"/>
      <c r="DC230" s="119"/>
      <c r="DD230" s="119"/>
      <c r="DE230" s="119"/>
      <c r="DF230" s="119"/>
      <c r="DG230" s="119"/>
      <c r="DH230" s="119"/>
      <c r="DI230" s="119"/>
      <c r="DJ230" s="119"/>
      <c r="DK230" s="119"/>
      <c r="DL230" s="119"/>
      <c r="DM230" s="119"/>
      <c r="DN230" s="119"/>
      <c r="DO230" s="119"/>
      <c r="DP230" s="119"/>
      <c r="DQ230" s="119"/>
      <c r="DR230" s="119"/>
      <c r="DS230" s="119"/>
      <c r="DT230" s="119"/>
      <c r="DU230" s="119"/>
      <c r="DV230" s="119"/>
      <c r="DW230" s="119"/>
      <c r="DX230" s="119"/>
      <c r="DY230" s="119"/>
      <c r="DZ230" s="119"/>
      <c r="EA230" s="119"/>
      <c r="EB230" s="119"/>
      <c r="EC230" s="119"/>
      <c r="ED230" s="119"/>
      <c r="EE230" s="119"/>
      <c r="EF230" s="119"/>
      <c r="EG230" s="119"/>
      <c r="EH230" s="119"/>
      <c r="EI230" s="119"/>
      <c r="EJ230" s="119"/>
      <c r="EK230" s="119"/>
      <c r="EL230" s="119"/>
      <c r="EM230" s="119"/>
      <c r="EN230" s="119"/>
      <c r="EO230" s="119"/>
      <c r="EP230" s="119"/>
      <c r="EQ230" s="119"/>
      <c r="ER230" s="119"/>
      <c r="ES230" s="119"/>
      <c r="ET230" s="119"/>
      <c r="EU230" s="119"/>
      <c r="EV230" s="119"/>
      <c r="EW230" s="119"/>
      <c r="EX230" s="119"/>
      <c r="EY230" s="119"/>
      <c r="EZ230" s="119"/>
      <c r="FA230" s="119"/>
      <c r="FB230" s="119"/>
      <c r="FC230" s="119"/>
      <c r="FD230" s="119"/>
      <c r="FE230" s="119"/>
      <c r="FF230" s="119"/>
      <c r="FG230" s="119"/>
      <c r="FH230" s="119"/>
      <c r="FI230" s="119"/>
      <c r="FJ230" s="119"/>
      <c r="FK230" s="119"/>
      <c r="FL230" s="119"/>
      <c r="FM230" s="119"/>
      <c r="FN230" s="119"/>
      <c r="FO230" s="119"/>
      <c r="FP230" s="119"/>
      <c r="FQ230" s="119"/>
      <c r="FR230" s="119"/>
      <c r="FS230" s="119"/>
      <c r="FT230" s="119"/>
      <c r="FU230" s="119"/>
      <c r="FV230" s="119"/>
      <c r="FW230" s="119"/>
      <c r="FX230" s="119"/>
      <c r="FY230" s="119"/>
      <c r="FZ230" s="119"/>
      <c r="GA230" s="119"/>
      <c r="GB230" s="119"/>
      <c r="GC230" s="119"/>
      <c r="GD230" s="119"/>
      <c r="GE230" s="119"/>
      <c r="GF230" s="119"/>
      <c r="GG230" s="119"/>
      <c r="GH230" s="119"/>
      <c r="GI230" s="119"/>
      <c r="GJ230" s="119"/>
    </row>
    <row r="231" spans="1:192" ht="22.5" x14ac:dyDescent="0.25">
      <c r="A231" s="290" t="s">
        <v>7</v>
      </c>
      <c r="B231" s="164" t="s">
        <v>1068</v>
      </c>
      <c r="C231" s="164" t="s">
        <v>442</v>
      </c>
      <c r="D231" s="168" t="s">
        <v>25</v>
      </c>
      <c r="E231" s="172" t="s">
        <v>1069</v>
      </c>
      <c r="F231" s="63"/>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119"/>
      <c r="AZ231" s="119"/>
      <c r="BA231" s="119"/>
      <c r="BB231" s="119"/>
      <c r="BC231" s="119"/>
      <c r="BD231" s="119"/>
      <c r="BE231" s="119"/>
      <c r="BF231" s="119"/>
      <c r="BG231" s="119"/>
      <c r="BH231" s="119"/>
      <c r="BI231" s="119"/>
      <c r="BJ231" s="119"/>
      <c r="BK231" s="119"/>
      <c r="BL231" s="119"/>
      <c r="BM231" s="119"/>
      <c r="BN231" s="119"/>
      <c r="BO231" s="119"/>
      <c r="BP231" s="119"/>
      <c r="BQ231" s="119"/>
      <c r="BR231" s="119"/>
      <c r="BS231" s="119"/>
      <c r="BT231" s="119"/>
      <c r="BU231" s="119"/>
      <c r="BV231" s="119"/>
      <c r="BW231" s="119"/>
      <c r="BX231" s="119"/>
      <c r="BY231" s="119"/>
      <c r="BZ231" s="119"/>
      <c r="CA231" s="119"/>
      <c r="CB231" s="119"/>
      <c r="CC231" s="119"/>
      <c r="CD231" s="119"/>
      <c r="CE231" s="119"/>
      <c r="CF231" s="119"/>
      <c r="CG231" s="119"/>
      <c r="CH231" s="119"/>
      <c r="CI231" s="119"/>
      <c r="CJ231" s="119"/>
      <c r="CK231" s="119"/>
      <c r="CL231" s="119"/>
      <c r="CM231" s="119"/>
      <c r="CN231" s="119"/>
      <c r="CO231" s="119"/>
      <c r="CP231" s="119"/>
      <c r="CQ231" s="119"/>
      <c r="CR231" s="119"/>
      <c r="CS231" s="119"/>
      <c r="CT231" s="119"/>
      <c r="CU231" s="119"/>
      <c r="CV231" s="119"/>
      <c r="CW231" s="119"/>
      <c r="CX231" s="119"/>
      <c r="CY231" s="119"/>
      <c r="CZ231" s="119"/>
      <c r="DA231" s="119"/>
      <c r="DB231" s="119"/>
      <c r="DC231" s="119"/>
      <c r="DD231" s="119"/>
      <c r="DE231" s="119"/>
      <c r="DF231" s="119"/>
      <c r="DG231" s="119"/>
      <c r="DH231" s="119"/>
      <c r="DI231" s="119"/>
      <c r="DJ231" s="119"/>
      <c r="DK231" s="119"/>
      <c r="DL231" s="119"/>
      <c r="DM231" s="119"/>
      <c r="DN231" s="119"/>
      <c r="DO231" s="119"/>
      <c r="DP231" s="119"/>
      <c r="DQ231" s="119"/>
      <c r="DR231" s="119"/>
      <c r="DS231" s="119"/>
      <c r="DT231" s="119"/>
      <c r="DU231" s="119"/>
      <c r="DV231" s="119"/>
      <c r="DW231" s="119"/>
      <c r="DX231" s="119"/>
      <c r="DY231" s="119"/>
      <c r="DZ231" s="119"/>
      <c r="EA231" s="119"/>
      <c r="EB231" s="119"/>
      <c r="EC231" s="119"/>
      <c r="ED231" s="119"/>
      <c r="EE231" s="119"/>
      <c r="EF231" s="119"/>
      <c r="EG231" s="119"/>
      <c r="EH231" s="119"/>
      <c r="EI231" s="119"/>
      <c r="EJ231" s="119"/>
      <c r="EK231" s="119"/>
      <c r="EL231" s="119"/>
      <c r="EM231" s="119"/>
      <c r="EN231" s="119"/>
      <c r="EO231" s="119"/>
      <c r="EP231" s="119"/>
      <c r="EQ231" s="119"/>
      <c r="ER231" s="119"/>
      <c r="ES231" s="119"/>
      <c r="ET231" s="119"/>
      <c r="EU231" s="119"/>
      <c r="EV231" s="119"/>
      <c r="EW231" s="119"/>
      <c r="EX231" s="119"/>
      <c r="EY231" s="119"/>
      <c r="EZ231" s="119"/>
      <c r="FA231" s="119"/>
      <c r="FB231" s="119"/>
      <c r="FC231" s="119"/>
      <c r="FD231" s="119"/>
      <c r="FE231" s="119"/>
      <c r="FF231" s="119"/>
      <c r="FG231" s="119"/>
      <c r="FH231" s="119"/>
      <c r="FI231" s="119"/>
      <c r="FJ231" s="119"/>
      <c r="FK231" s="119"/>
      <c r="FL231" s="119"/>
      <c r="FM231" s="119"/>
      <c r="FN231" s="119"/>
      <c r="FO231" s="119"/>
      <c r="FP231" s="119"/>
      <c r="FQ231" s="119"/>
      <c r="FR231" s="119"/>
      <c r="FS231" s="119"/>
      <c r="FT231" s="119"/>
      <c r="FU231" s="119"/>
      <c r="FV231" s="119"/>
      <c r="FW231" s="119"/>
      <c r="FX231" s="119"/>
      <c r="FY231" s="119"/>
      <c r="FZ231" s="119"/>
      <c r="GA231" s="119"/>
      <c r="GB231" s="119"/>
      <c r="GC231" s="119"/>
      <c r="GD231" s="119"/>
      <c r="GE231" s="119"/>
      <c r="GF231" s="119"/>
      <c r="GG231" s="119"/>
      <c r="GH231" s="119"/>
      <c r="GI231" s="119"/>
      <c r="GJ231" s="119"/>
    </row>
    <row r="232" spans="1:192" x14ac:dyDescent="0.25">
      <c r="A232" s="290" t="s">
        <v>7</v>
      </c>
      <c r="B232" s="164"/>
      <c r="C232" s="164" t="s">
        <v>444</v>
      </c>
      <c r="D232" s="168" t="s">
        <v>25</v>
      </c>
      <c r="E232" s="172" t="s">
        <v>447</v>
      </c>
      <c r="F232" s="63"/>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119"/>
      <c r="AZ232" s="119"/>
      <c r="BA232" s="119"/>
      <c r="BB232" s="119"/>
      <c r="BC232" s="119"/>
      <c r="BD232" s="119"/>
      <c r="BE232" s="119"/>
      <c r="BF232" s="119"/>
      <c r="BG232" s="119"/>
      <c r="BH232" s="119"/>
      <c r="BI232" s="119"/>
      <c r="BJ232" s="119"/>
      <c r="BK232" s="119"/>
      <c r="BL232" s="119"/>
      <c r="BM232" s="119"/>
      <c r="BN232" s="119"/>
      <c r="BO232" s="119"/>
      <c r="BP232" s="119"/>
      <c r="BQ232" s="119"/>
      <c r="BR232" s="119"/>
      <c r="BS232" s="119"/>
      <c r="BT232" s="119"/>
      <c r="BU232" s="119"/>
      <c r="BV232" s="119"/>
      <c r="BW232" s="119"/>
      <c r="BX232" s="119"/>
      <c r="BY232" s="119"/>
      <c r="BZ232" s="119"/>
      <c r="CA232" s="119"/>
      <c r="CB232" s="119"/>
      <c r="CC232" s="119"/>
      <c r="CD232" s="119"/>
      <c r="CE232" s="119"/>
      <c r="CF232" s="119"/>
      <c r="CG232" s="119"/>
      <c r="CH232" s="119"/>
      <c r="CI232" s="119"/>
      <c r="CJ232" s="119"/>
      <c r="CK232" s="119"/>
      <c r="CL232" s="119"/>
      <c r="CM232" s="119"/>
      <c r="CN232" s="119"/>
      <c r="CO232" s="119"/>
      <c r="CP232" s="119"/>
      <c r="CQ232" s="119"/>
      <c r="CR232" s="119"/>
      <c r="CS232" s="119"/>
      <c r="CT232" s="119"/>
      <c r="CU232" s="119"/>
      <c r="CV232" s="119"/>
      <c r="CW232" s="119"/>
      <c r="CX232" s="119"/>
      <c r="CY232" s="119"/>
      <c r="CZ232" s="119"/>
      <c r="DA232" s="119"/>
      <c r="DB232" s="119"/>
      <c r="DC232" s="119"/>
      <c r="DD232" s="119"/>
      <c r="DE232" s="119"/>
      <c r="DF232" s="119"/>
      <c r="DG232" s="119"/>
      <c r="DH232" s="119"/>
      <c r="DI232" s="119"/>
      <c r="DJ232" s="119"/>
      <c r="DK232" s="119"/>
      <c r="DL232" s="119"/>
      <c r="DM232" s="119"/>
      <c r="DN232" s="119"/>
      <c r="DO232" s="119"/>
      <c r="DP232" s="119"/>
      <c r="DQ232" s="119"/>
      <c r="DR232" s="119"/>
      <c r="DS232" s="119"/>
      <c r="DT232" s="119"/>
      <c r="DU232" s="119"/>
      <c r="DV232" s="119"/>
      <c r="DW232" s="119"/>
      <c r="DX232" s="119"/>
      <c r="DY232" s="119"/>
      <c r="DZ232" s="119"/>
      <c r="EA232" s="119"/>
      <c r="EB232" s="119"/>
      <c r="EC232" s="119"/>
      <c r="ED232" s="119"/>
      <c r="EE232" s="119"/>
      <c r="EF232" s="119"/>
      <c r="EG232" s="119"/>
      <c r="EH232" s="119"/>
      <c r="EI232" s="119"/>
      <c r="EJ232" s="119"/>
      <c r="EK232" s="119"/>
      <c r="EL232" s="119"/>
      <c r="EM232" s="119"/>
      <c r="EN232" s="119"/>
      <c r="EO232" s="119"/>
      <c r="EP232" s="119"/>
      <c r="EQ232" s="119"/>
      <c r="ER232" s="119"/>
      <c r="ES232" s="119"/>
      <c r="ET232" s="119"/>
      <c r="EU232" s="119"/>
      <c r="EV232" s="119"/>
      <c r="EW232" s="119"/>
      <c r="EX232" s="119"/>
      <c r="EY232" s="119"/>
      <c r="EZ232" s="119"/>
      <c r="FA232" s="119"/>
      <c r="FB232" s="119"/>
      <c r="FC232" s="119"/>
      <c r="FD232" s="119"/>
      <c r="FE232" s="119"/>
      <c r="FF232" s="119"/>
      <c r="FG232" s="119"/>
      <c r="FH232" s="119"/>
      <c r="FI232" s="119"/>
      <c r="FJ232" s="119"/>
      <c r="FK232" s="119"/>
      <c r="FL232" s="119"/>
      <c r="FM232" s="119"/>
      <c r="FN232" s="119"/>
      <c r="FO232" s="119"/>
      <c r="FP232" s="119"/>
      <c r="FQ232" s="119"/>
      <c r="FR232" s="119"/>
      <c r="FS232" s="119"/>
      <c r="FT232" s="119"/>
      <c r="FU232" s="119"/>
      <c r="FV232" s="119"/>
      <c r="FW232" s="119"/>
      <c r="FX232" s="119"/>
      <c r="FY232" s="119"/>
      <c r="FZ232" s="119"/>
      <c r="GA232" s="119"/>
      <c r="GB232" s="119"/>
      <c r="GC232" s="119"/>
      <c r="GD232" s="119"/>
      <c r="GE232" s="119"/>
      <c r="GF232" s="119"/>
      <c r="GG232" s="119"/>
      <c r="GH232" s="119"/>
      <c r="GI232" s="119"/>
      <c r="GJ232" s="119"/>
    </row>
    <row r="233" spans="1:192" ht="22.5" x14ac:dyDescent="0.25">
      <c r="A233" s="290" t="s">
        <v>7</v>
      </c>
      <c r="B233" s="164"/>
      <c r="C233" s="164" t="s">
        <v>718</v>
      </c>
      <c r="D233" s="168" t="s">
        <v>25</v>
      </c>
      <c r="E233" s="172" t="s">
        <v>448</v>
      </c>
      <c r="F233" s="62"/>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119"/>
      <c r="AZ233" s="119"/>
      <c r="BA233" s="119"/>
      <c r="BB233" s="119"/>
      <c r="BC233" s="119"/>
      <c r="BD233" s="119"/>
      <c r="BE233" s="119"/>
      <c r="BF233" s="119"/>
      <c r="BG233" s="119"/>
      <c r="BH233" s="119"/>
      <c r="BI233" s="119"/>
      <c r="BJ233" s="119"/>
      <c r="BK233" s="119"/>
      <c r="BL233" s="119"/>
      <c r="BM233" s="119"/>
      <c r="BN233" s="119"/>
      <c r="BO233" s="119"/>
      <c r="BP233" s="119"/>
      <c r="BQ233" s="119"/>
      <c r="BR233" s="119"/>
      <c r="BS233" s="119"/>
      <c r="BT233" s="119"/>
      <c r="BU233" s="119"/>
      <c r="BV233" s="119"/>
      <c r="BW233" s="119"/>
      <c r="BX233" s="119"/>
      <c r="BY233" s="119"/>
      <c r="BZ233" s="119"/>
      <c r="CA233" s="119"/>
      <c r="CB233" s="119"/>
      <c r="CC233" s="119"/>
      <c r="CD233" s="119"/>
      <c r="CE233" s="119"/>
      <c r="CF233" s="119"/>
      <c r="CG233" s="119"/>
      <c r="CH233" s="119"/>
      <c r="CI233" s="119"/>
      <c r="CJ233" s="119"/>
      <c r="CK233" s="119"/>
      <c r="CL233" s="119"/>
      <c r="CM233" s="119"/>
      <c r="CN233" s="119"/>
      <c r="CO233" s="119"/>
      <c r="CP233" s="119"/>
      <c r="CQ233" s="119"/>
      <c r="CR233" s="119"/>
      <c r="CS233" s="119"/>
      <c r="CT233" s="119"/>
      <c r="CU233" s="119"/>
      <c r="CV233" s="119"/>
      <c r="CW233" s="119"/>
      <c r="CX233" s="119"/>
      <c r="CY233" s="119"/>
      <c r="CZ233" s="119"/>
      <c r="DA233" s="119"/>
      <c r="DB233" s="119"/>
      <c r="DC233" s="119"/>
      <c r="DD233" s="119"/>
      <c r="DE233" s="119"/>
      <c r="DF233" s="119"/>
      <c r="DG233" s="119"/>
      <c r="DH233" s="119"/>
      <c r="DI233" s="119"/>
      <c r="DJ233" s="119"/>
      <c r="DK233" s="119"/>
      <c r="DL233" s="119"/>
      <c r="DM233" s="119"/>
      <c r="DN233" s="119"/>
      <c r="DO233" s="119"/>
      <c r="DP233" s="119"/>
      <c r="DQ233" s="119"/>
      <c r="DR233" s="119"/>
      <c r="DS233" s="119"/>
      <c r="DT233" s="119"/>
      <c r="DU233" s="119"/>
      <c r="DV233" s="119"/>
      <c r="DW233" s="119"/>
      <c r="DX233" s="119"/>
      <c r="DY233" s="119"/>
      <c r="DZ233" s="119"/>
      <c r="EA233" s="119"/>
      <c r="EB233" s="119"/>
      <c r="EC233" s="119"/>
      <c r="ED233" s="119"/>
      <c r="EE233" s="119"/>
      <c r="EF233" s="119"/>
      <c r="EG233" s="119"/>
      <c r="EH233" s="119"/>
      <c r="EI233" s="119"/>
      <c r="EJ233" s="119"/>
      <c r="EK233" s="119"/>
      <c r="EL233" s="119"/>
      <c r="EM233" s="119"/>
      <c r="EN233" s="119"/>
      <c r="EO233" s="119"/>
      <c r="EP233" s="119"/>
      <c r="EQ233" s="119"/>
      <c r="ER233" s="119"/>
      <c r="ES233" s="119"/>
      <c r="ET233" s="119"/>
      <c r="EU233" s="119"/>
      <c r="EV233" s="119"/>
      <c r="EW233" s="119"/>
      <c r="EX233" s="119"/>
      <c r="EY233" s="119"/>
      <c r="EZ233" s="119"/>
      <c r="FA233" s="119"/>
      <c r="FB233" s="119"/>
      <c r="FC233" s="119"/>
      <c r="FD233" s="119"/>
      <c r="FE233" s="119"/>
      <c r="FF233" s="119"/>
      <c r="FG233" s="119"/>
      <c r="FH233" s="119"/>
      <c r="FI233" s="119"/>
      <c r="FJ233" s="119"/>
      <c r="FK233" s="119"/>
      <c r="FL233" s="119"/>
      <c r="FM233" s="119"/>
      <c r="FN233" s="119"/>
      <c r="FO233" s="119"/>
      <c r="FP233" s="119"/>
      <c r="FQ233" s="119"/>
      <c r="FR233" s="119"/>
      <c r="FS233" s="119"/>
      <c r="FT233" s="119"/>
      <c r="FU233" s="119"/>
      <c r="FV233" s="119"/>
      <c r="FW233" s="119"/>
      <c r="FX233" s="119"/>
      <c r="FY233" s="119"/>
      <c r="FZ233" s="119"/>
      <c r="GA233" s="119"/>
      <c r="GB233" s="119"/>
      <c r="GC233" s="119"/>
      <c r="GD233" s="119"/>
      <c r="GE233" s="119"/>
      <c r="GF233" s="119"/>
      <c r="GG233" s="119"/>
      <c r="GH233" s="119"/>
      <c r="GI233" s="119"/>
      <c r="GJ233" s="119"/>
    </row>
    <row r="234" spans="1:192" ht="45" x14ac:dyDescent="0.25">
      <c r="A234" s="290" t="s">
        <v>7</v>
      </c>
      <c r="B234" s="170" t="s">
        <v>1070</v>
      </c>
      <c r="C234" s="170" t="s">
        <v>443</v>
      </c>
      <c r="D234" s="169" t="s">
        <v>25</v>
      </c>
      <c r="E234" s="173" t="s">
        <v>1071</v>
      </c>
      <c r="F234" s="62"/>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119"/>
      <c r="AZ234" s="119"/>
      <c r="BA234" s="119"/>
      <c r="BB234" s="119"/>
      <c r="BC234" s="119"/>
      <c r="BD234" s="119"/>
      <c r="BE234" s="119"/>
      <c r="BF234" s="119"/>
      <c r="BG234" s="119"/>
      <c r="BH234" s="119"/>
      <c r="BI234" s="119"/>
      <c r="BJ234" s="119"/>
      <c r="BK234" s="119"/>
      <c r="BL234" s="119"/>
      <c r="BM234" s="119"/>
      <c r="BN234" s="119"/>
      <c r="BO234" s="119"/>
      <c r="BP234" s="119"/>
      <c r="BQ234" s="119"/>
      <c r="BR234" s="119"/>
      <c r="BS234" s="119"/>
      <c r="BT234" s="119"/>
      <c r="BU234" s="119"/>
      <c r="BV234" s="119"/>
      <c r="BW234" s="119"/>
      <c r="BX234" s="119"/>
      <c r="BY234" s="119"/>
      <c r="BZ234" s="119"/>
      <c r="CA234" s="119"/>
      <c r="CB234" s="119"/>
      <c r="CC234" s="119"/>
      <c r="CD234" s="119"/>
      <c r="CE234" s="119"/>
      <c r="CF234" s="119"/>
      <c r="CG234" s="119"/>
      <c r="CH234" s="119"/>
      <c r="CI234" s="119"/>
      <c r="CJ234" s="119"/>
      <c r="CK234" s="119"/>
      <c r="CL234" s="119"/>
      <c r="CM234" s="119"/>
      <c r="CN234" s="119"/>
      <c r="CO234" s="119"/>
      <c r="CP234" s="119"/>
      <c r="CQ234" s="119"/>
      <c r="CR234" s="119"/>
      <c r="CS234" s="119"/>
      <c r="CT234" s="119"/>
      <c r="CU234" s="119"/>
      <c r="CV234" s="119"/>
      <c r="CW234" s="119"/>
      <c r="CX234" s="119"/>
      <c r="CY234" s="119"/>
      <c r="CZ234" s="119"/>
      <c r="DA234" s="119"/>
      <c r="DB234" s="119"/>
      <c r="DC234" s="119"/>
      <c r="DD234" s="119"/>
      <c r="DE234" s="119"/>
      <c r="DF234" s="119"/>
      <c r="DG234" s="119"/>
      <c r="DH234" s="119"/>
      <c r="DI234" s="119"/>
      <c r="DJ234" s="119"/>
      <c r="DK234" s="119"/>
      <c r="DL234" s="119"/>
      <c r="DM234" s="119"/>
      <c r="DN234" s="119"/>
      <c r="DO234" s="119"/>
      <c r="DP234" s="119"/>
      <c r="DQ234" s="119"/>
      <c r="DR234" s="119"/>
      <c r="DS234" s="119"/>
      <c r="DT234" s="119"/>
      <c r="DU234" s="119"/>
      <c r="DV234" s="119"/>
      <c r="DW234" s="119"/>
      <c r="DX234" s="119"/>
      <c r="DY234" s="119"/>
      <c r="DZ234" s="119"/>
      <c r="EA234" s="119"/>
      <c r="EB234" s="119"/>
      <c r="EC234" s="119"/>
      <c r="ED234" s="119"/>
      <c r="EE234" s="119"/>
      <c r="EF234" s="119"/>
      <c r="EG234" s="119"/>
      <c r="EH234" s="119"/>
      <c r="EI234" s="119"/>
      <c r="EJ234" s="119"/>
      <c r="EK234" s="119"/>
      <c r="EL234" s="119"/>
      <c r="EM234" s="119"/>
      <c r="EN234" s="119"/>
      <c r="EO234" s="119"/>
      <c r="EP234" s="119"/>
      <c r="EQ234" s="119"/>
      <c r="ER234" s="119"/>
      <c r="ES234" s="119"/>
      <c r="ET234" s="119"/>
      <c r="EU234" s="119"/>
      <c r="EV234" s="119"/>
      <c r="EW234" s="119"/>
      <c r="EX234" s="119"/>
      <c r="EY234" s="119"/>
      <c r="EZ234" s="119"/>
      <c r="FA234" s="119"/>
      <c r="FB234" s="119"/>
      <c r="FC234" s="119"/>
      <c r="FD234" s="119"/>
      <c r="FE234" s="119"/>
      <c r="FF234" s="119"/>
      <c r="FG234" s="119"/>
      <c r="FH234" s="119"/>
      <c r="FI234" s="119"/>
      <c r="FJ234" s="119"/>
      <c r="FK234" s="119"/>
      <c r="FL234" s="119"/>
      <c r="FM234" s="119"/>
      <c r="FN234" s="119"/>
      <c r="FO234" s="119"/>
      <c r="FP234" s="119"/>
      <c r="FQ234" s="119"/>
      <c r="FR234" s="119"/>
      <c r="FS234" s="119"/>
      <c r="FT234" s="119"/>
      <c r="FU234" s="119"/>
      <c r="FV234" s="119"/>
      <c r="FW234" s="119"/>
      <c r="FX234" s="119"/>
      <c r="FY234" s="119"/>
      <c r="FZ234" s="119"/>
      <c r="GA234" s="119"/>
      <c r="GB234" s="119"/>
      <c r="GC234" s="119"/>
      <c r="GD234" s="119"/>
      <c r="GE234" s="119"/>
      <c r="GF234" s="119"/>
      <c r="GG234" s="119"/>
      <c r="GH234" s="119"/>
      <c r="GI234" s="119"/>
      <c r="GJ234" s="119"/>
    </row>
    <row r="235" spans="1:192" ht="22.5" x14ac:dyDescent="0.25">
      <c r="A235" s="290" t="s">
        <v>7</v>
      </c>
      <c r="B235" s="170"/>
      <c r="C235" s="170" t="s">
        <v>445</v>
      </c>
      <c r="D235" s="169" t="s">
        <v>25</v>
      </c>
      <c r="E235" s="173" t="s">
        <v>1073</v>
      </c>
      <c r="F235" s="62"/>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119"/>
      <c r="AZ235" s="119"/>
      <c r="BA235" s="119"/>
      <c r="BB235" s="119"/>
      <c r="BC235" s="119"/>
      <c r="BD235" s="119"/>
      <c r="BE235" s="119"/>
      <c r="BF235" s="119"/>
      <c r="BG235" s="119"/>
      <c r="BH235" s="119"/>
      <c r="BI235" s="119"/>
      <c r="BJ235" s="119"/>
      <c r="BK235" s="119"/>
      <c r="BL235" s="119"/>
      <c r="BM235" s="119"/>
      <c r="BN235" s="119"/>
      <c r="BO235" s="119"/>
      <c r="BP235" s="119"/>
      <c r="BQ235" s="119"/>
      <c r="BR235" s="119"/>
      <c r="BS235" s="119"/>
      <c r="BT235" s="119"/>
      <c r="BU235" s="119"/>
      <c r="BV235" s="119"/>
      <c r="BW235" s="119"/>
      <c r="BX235" s="119"/>
      <c r="BY235" s="119"/>
      <c r="BZ235" s="119"/>
      <c r="CA235" s="119"/>
      <c r="CB235" s="119"/>
      <c r="CC235" s="119"/>
      <c r="CD235" s="119"/>
      <c r="CE235" s="119"/>
      <c r="CF235" s="119"/>
      <c r="CG235" s="119"/>
      <c r="CH235" s="119"/>
      <c r="CI235" s="119"/>
      <c r="CJ235" s="119"/>
      <c r="CK235" s="119"/>
      <c r="CL235" s="119"/>
      <c r="CM235" s="119"/>
      <c r="CN235" s="119"/>
      <c r="CO235" s="119"/>
      <c r="CP235" s="119"/>
      <c r="CQ235" s="119"/>
      <c r="CR235" s="119"/>
      <c r="CS235" s="119"/>
      <c r="CT235" s="119"/>
      <c r="CU235" s="119"/>
      <c r="CV235" s="119"/>
      <c r="CW235" s="119"/>
      <c r="CX235" s="119"/>
      <c r="CY235" s="119"/>
      <c r="CZ235" s="119"/>
      <c r="DA235" s="119"/>
      <c r="DB235" s="119"/>
      <c r="DC235" s="119"/>
      <c r="DD235" s="119"/>
      <c r="DE235" s="119"/>
      <c r="DF235" s="119"/>
      <c r="DG235" s="119"/>
      <c r="DH235" s="119"/>
      <c r="DI235" s="119"/>
      <c r="DJ235" s="119"/>
      <c r="DK235" s="119"/>
      <c r="DL235" s="119"/>
      <c r="DM235" s="119"/>
      <c r="DN235" s="119"/>
      <c r="DO235" s="119"/>
      <c r="DP235" s="119"/>
      <c r="DQ235" s="119"/>
      <c r="DR235" s="119"/>
      <c r="DS235" s="119"/>
      <c r="DT235" s="119"/>
      <c r="DU235" s="119"/>
      <c r="DV235" s="119"/>
      <c r="DW235" s="119"/>
      <c r="DX235" s="119"/>
      <c r="DY235" s="119"/>
      <c r="DZ235" s="119"/>
      <c r="EA235" s="119"/>
      <c r="EB235" s="119"/>
      <c r="EC235" s="119"/>
      <c r="ED235" s="119"/>
      <c r="EE235" s="119"/>
      <c r="EF235" s="119"/>
      <c r="EG235" s="119"/>
      <c r="EH235" s="119"/>
      <c r="EI235" s="119"/>
      <c r="EJ235" s="119"/>
      <c r="EK235" s="119"/>
      <c r="EL235" s="119"/>
      <c r="EM235" s="119"/>
      <c r="EN235" s="119"/>
      <c r="EO235" s="119"/>
      <c r="EP235" s="119"/>
      <c r="EQ235" s="119"/>
      <c r="ER235" s="119"/>
      <c r="ES235" s="119"/>
      <c r="ET235" s="119"/>
      <c r="EU235" s="119"/>
      <c r="EV235" s="119"/>
      <c r="EW235" s="119"/>
      <c r="EX235" s="119"/>
      <c r="EY235" s="119"/>
      <c r="EZ235" s="119"/>
      <c r="FA235" s="119"/>
      <c r="FB235" s="119"/>
      <c r="FC235" s="119"/>
      <c r="FD235" s="119"/>
      <c r="FE235" s="119"/>
      <c r="FF235" s="119"/>
      <c r="FG235" s="119"/>
      <c r="FH235" s="119"/>
      <c r="FI235" s="119"/>
      <c r="FJ235" s="119"/>
      <c r="FK235" s="119"/>
      <c r="FL235" s="119"/>
      <c r="FM235" s="119"/>
      <c r="FN235" s="119"/>
      <c r="FO235" s="119"/>
      <c r="FP235" s="119"/>
      <c r="FQ235" s="119"/>
      <c r="FR235" s="119"/>
      <c r="FS235" s="119"/>
      <c r="FT235" s="119"/>
      <c r="FU235" s="119"/>
      <c r="FV235" s="119"/>
      <c r="FW235" s="119"/>
      <c r="FX235" s="119"/>
      <c r="FY235" s="119"/>
      <c r="FZ235" s="119"/>
      <c r="GA235" s="119"/>
      <c r="GB235" s="119"/>
      <c r="GC235" s="119"/>
      <c r="GD235" s="119"/>
      <c r="GE235" s="119"/>
      <c r="GF235" s="119"/>
      <c r="GG235" s="119"/>
      <c r="GH235" s="119"/>
      <c r="GI235" s="119"/>
      <c r="GJ235" s="119"/>
    </row>
    <row r="236" spans="1:192" ht="33.75" x14ac:dyDescent="0.25">
      <c r="A236" s="290" t="s">
        <v>7</v>
      </c>
      <c r="B236" s="170"/>
      <c r="C236" s="170" t="s">
        <v>446</v>
      </c>
      <c r="D236" s="169" t="s">
        <v>25</v>
      </c>
      <c r="E236" s="173" t="s">
        <v>1072</v>
      </c>
      <c r="F236" s="63"/>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119"/>
      <c r="AZ236" s="119"/>
      <c r="BA236" s="119"/>
      <c r="BB236" s="119"/>
      <c r="BC236" s="119"/>
      <c r="BD236" s="119"/>
      <c r="BE236" s="119"/>
      <c r="BF236" s="119"/>
      <c r="BG236" s="119"/>
      <c r="BH236" s="119"/>
      <c r="BI236" s="119"/>
      <c r="BJ236" s="119"/>
      <c r="BK236" s="119"/>
      <c r="BL236" s="119"/>
      <c r="BM236" s="119"/>
      <c r="BN236" s="119"/>
      <c r="BO236" s="119"/>
      <c r="BP236" s="119"/>
      <c r="BQ236" s="119"/>
      <c r="BR236" s="119"/>
      <c r="BS236" s="119"/>
      <c r="BT236" s="119"/>
      <c r="BU236" s="119"/>
      <c r="BV236" s="119"/>
      <c r="BW236" s="119"/>
      <c r="BX236" s="119"/>
      <c r="BY236" s="119"/>
      <c r="BZ236" s="119"/>
      <c r="CA236" s="119"/>
      <c r="CB236" s="119"/>
      <c r="CC236" s="119"/>
      <c r="CD236" s="119"/>
      <c r="CE236" s="119"/>
      <c r="CF236" s="119"/>
      <c r="CG236" s="119"/>
      <c r="CH236" s="119"/>
      <c r="CI236" s="119"/>
      <c r="CJ236" s="119"/>
      <c r="CK236" s="119"/>
      <c r="CL236" s="119"/>
      <c r="CM236" s="119"/>
      <c r="CN236" s="119"/>
      <c r="CO236" s="119"/>
      <c r="CP236" s="119"/>
      <c r="CQ236" s="119"/>
      <c r="CR236" s="119"/>
      <c r="CS236" s="119"/>
      <c r="CT236" s="119"/>
      <c r="CU236" s="119"/>
      <c r="CV236" s="119"/>
      <c r="CW236" s="119"/>
      <c r="CX236" s="119"/>
      <c r="CY236" s="119"/>
      <c r="CZ236" s="119"/>
      <c r="DA236" s="119"/>
      <c r="DB236" s="119"/>
      <c r="DC236" s="119"/>
      <c r="DD236" s="119"/>
      <c r="DE236" s="119"/>
      <c r="DF236" s="119"/>
      <c r="DG236" s="119"/>
      <c r="DH236" s="119"/>
      <c r="DI236" s="119"/>
      <c r="DJ236" s="119"/>
      <c r="DK236" s="119"/>
      <c r="DL236" s="119"/>
      <c r="DM236" s="119"/>
      <c r="DN236" s="119"/>
      <c r="DO236" s="119"/>
      <c r="DP236" s="119"/>
      <c r="DQ236" s="119"/>
      <c r="DR236" s="119"/>
      <c r="DS236" s="119"/>
      <c r="DT236" s="119"/>
      <c r="DU236" s="119"/>
      <c r="DV236" s="119"/>
      <c r="DW236" s="119"/>
      <c r="DX236" s="119"/>
      <c r="DY236" s="119"/>
      <c r="DZ236" s="119"/>
      <c r="EA236" s="119"/>
      <c r="EB236" s="119"/>
      <c r="EC236" s="119"/>
      <c r="ED236" s="119"/>
      <c r="EE236" s="119"/>
      <c r="EF236" s="119"/>
      <c r="EG236" s="119"/>
      <c r="EH236" s="119"/>
      <c r="EI236" s="119"/>
      <c r="EJ236" s="119"/>
      <c r="EK236" s="119"/>
      <c r="EL236" s="119"/>
      <c r="EM236" s="119"/>
      <c r="EN236" s="119"/>
      <c r="EO236" s="119"/>
      <c r="EP236" s="119"/>
      <c r="EQ236" s="119"/>
      <c r="ER236" s="119"/>
      <c r="ES236" s="119"/>
      <c r="ET236" s="119"/>
      <c r="EU236" s="119"/>
      <c r="EV236" s="119"/>
      <c r="EW236" s="119"/>
      <c r="EX236" s="119"/>
      <c r="EY236" s="119"/>
      <c r="EZ236" s="119"/>
      <c r="FA236" s="119"/>
      <c r="FB236" s="119"/>
      <c r="FC236" s="119"/>
      <c r="FD236" s="119"/>
      <c r="FE236" s="119"/>
      <c r="FF236" s="119"/>
      <c r="FG236" s="119"/>
      <c r="FH236" s="119"/>
      <c r="FI236" s="119"/>
      <c r="FJ236" s="119"/>
      <c r="FK236" s="119"/>
      <c r="FL236" s="119"/>
      <c r="FM236" s="119"/>
      <c r="FN236" s="119"/>
      <c r="FO236" s="119"/>
      <c r="FP236" s="119"/>
      <c r="FQ236" s="119"/>
      <c r="FR236" s="119"/>
      <c r="FS236" s="119"/>
      <c r="FT236" s="119"/>
      <c r="FU236" s="119"/>
      <c r="FV236" s="119"/>
      <c r="FW236" s="119"/>
      <c r="FX236" s="119"/>
      <c r="FY236" s="119"/>
      <c r="FZ236" s="119"/>
      <c r="GA236" s="119"/>
      <c r="GB236" s="119"/>
      <c r="GC236" s="119"/>
      <c r="GD236" s="119"/>
      <c r="GE236" s="119"/>
      <c r="GF236" s="119"/>
      <c r="GG236" s="119"/>
      <c r="GH236" s="119"/>
      <c r="GI236" s="119"/>
      <c r="GJ236" s="119"/>
    </row>
    <row r="237" spans="1:192" ht="45" x14ac:dyDescent="0.25">
      <c r="A237" s="290" t="s">
        <v>7</v>
      </c>
      <c r="B237" s="164" t="s">
        <v>449</v>
      </c>
      <c r="C237" s="164" t="s">
        <v>450</v>
      </c>
      <c r="D237" s="168" t="s">
        <v>25</v>
      </c>
      <c r="E237" s="172" t="s">
        <v>454</v>
      </c>
      <c r="F237" s="63"/>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119"/>
      <c r="AZ237" s="119"/>
      <c r="BA237" s="119"/>
      <c r="BB237" s="119"/>
      <c r="BC237" s="119"/>
      <c r="BD237" s="119"/>
      <c r="BE237" s="119"/>
      <c r="BF237" s="119"/>
      <c r="BG237" s="119"/>
      <c r="BH237" s="119"/>
      <c r="BI237" s="119"/>
      <c r="BJ237" s="119"/>
      <c r="BK237" s="119"/>
      <c r="BL237" s="119"/>
      <c r="BM237" s="119"/>
      <c r="BN237" s="119"/>
      <c r="BO237" s="119"/>
      <c r="BP237" s="119"/>
      <c r="BQ237" s="119"/>
      <c r="BR237" s="119"/>
      <c r="BS237" s="119"/>
      <c r="BT237" s="119"/>
      <c r="BU237" s="119"/>
      <c r="BV237" s="119"/>
      <c r="BW237" s="119"/>
      <c r="BX237" s="119"/>
      <c r="BY237" s="119"/>
      <c r="BZ237" s="119"/>
      <c r="CA237" s="119"/>
      <c r="CB237" s="119"/>
      <c r="CC237" s="119"/>
      <c r="CD237" s="119"/>
      <c r="CE237" s="119"/>
      <c r="CF237" s="119"/>
      <c r="CG237" s="119"/>
      <c r="CH237" s="119"/>
      <c r="CI237" s="119"/>
      <c r="CJ237" s="119"/>
      <c r="CK237" s="119"/>
      <c r="CL237" s="119"/>
      <c r="CM237" s="119"/>
      <c r="CN237" s="119"/>
      <c r="CO237" s="119"/>
      <c r="CP237" s="119"/>
      <c r="CQ237" s="119"/>
      <c r="CR237" s="119"/>
      <c r="CS237" s="119"/>
      <c r="CT237" s="119"/>
      <c r="CU237" s="119"/>
      <c r="CV237" s="119"/>
      <c r="CW237" s="119"/>
      <c r="CX237" s="119"/>
      <c r="CY237" s="119"/>
      <c r="CZ237" s="119"/>
      <c r="DA237" s="119"/>
      <c r="DB237" s="119"/>
      <c r="DC237" s="119"/>
      <c r="DD237" s="119"/>
      <c r="DE237" s="119"/>
      <c r="DF237" s="119"/>
      <c r="DG237" s="119"/>
      <c r="DH237" s="119"/>
      <c r="DI237" s="119"/>
      <c r="DJ237" s="119"/>
      <c r="DK237" s="119"/>
      <c r="DL237" s="119"/>
      <c r="DM237" s="119"/>
      <c r="DN237" s="119"/>
      <c r="DO237" s="119"/>
      <c r="DP237" s="119"/>
      <c r="DQ237" s="119"/>
      <c r="DR237" s="119"/>
      <c r="DS237" s="119"/>
      <c r="DT237" s="119"/>
      <c r="DU237" s="119"/>
      <c r="DV237" s="119"/>
      <c r="DW237" s="119"/>
      <c r="DX237" s="119"/>
      <c r="DY237" s="119"/>
      <c r="DZ237" s="119"/>
      <c r="EA237" s="119"/>
      <c r="EB237" s="119"/>
      <c r="EC237" s="119"/>
      <c r="ED237" s="119"/>
      <c r="EE237" s="119"/>
      <c r="EF237" s="119"/>
      <c r="EG237" s="119"/>
      <c r="EH237" s="119"/>
      <c r="EI237" s="119"/>
      <c r="EJ237" s="119"/>
      <c r="EK237" s="119"/>
      <c r="EL237" s="119"/>
      <c r="EM237" s="119"/>
      <c r="EN237" s="119"/>
      <c r="EO237" s="119"/>
      <c r="EP237" s="119"/>
      <c r="EQ237" s="119"/>
      <c r="ER237" s="119"/>
      <c r="ES237" s="119"/>
      <c r="ET237" s="119"/>
      <c r="EU237" s="119"/>
      <c r="EV237" s="119"/>
      <c r="EW237" s="119"/>
      <c r="EX237" s="119"/>
      <c r="EY237" s="119"/>
      <c r="EZ237" s="119"/>
      <c r="FA237" s="119"/>
      <c r="FB237" s="119"/>
      <c r="FC237" s="119"/>
      <c r="FD237" s="119"/>
      <c r="FE237" s="119"/>
      <c r="FF237" s="119"/>
      <c r="FG237" s="119"/>
      <c r="FH237" s="119"/>
      <c r="FI237" s="119"/>
      <c r="FJ237" s="119"/>
      <c r="FK237" s="119"/>
      <c r="FL237" s="119"/>
      <c r="FM237" s="119"/>
      <c r="FN237" s="119"/>
      <c r="FO237" s="119"/>
      <c r="FP237" s="119"/>
      <c r="FQ237" s="119"/>
      <c r="FR237" s="119"/>
      <c r="FS237" s="119"/>
      <c r="FT237" s="119"/>
      <c r="FU237" s="119"/>
      <c r="FV237" s="119"/>
      <c r="FW237" s="119"/>
      <c r="FX237" s="119"/>
      <c r="FY237" s="119"/>
      <c r="FZ237" s="119"/>
      <c r="GA237" s="119"/>
      <c r="GB237" s="119"/>
      <c r="GC237" s="119"/>
      <c r="GD237" s="119"/>
      <c r="GE237" s="119"/>
      <c r="GF237" s="119"/>
      <c r="GG237" s="119"/>
      <c r="GH237" s="119"/>
      <c r="GI237" s="119"/>
      <c r="GJ237" s="119"/>
    </row>
    <row r="238" spans="1:192" ht="22.5" x14ac:dyDescent="0.25">
      <c r="A238" s="290" t="s">
        <v>7</v>
      </c>
      <c r="B238" s="164"/>
      <c r="C238" s="164" t="s">
        <v>452</v>
      </c>
      <c r="D238" s="168" t="s">
        <v>25</v>
      </c>
      <c r="E238" s="172" t="s">
        <v>1074</v>
      </c>
      <c r="F238" s="63"/>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119"/>
      <c r="AZ238" s="119"/>
      <c r="BA238" s="119"/>
      <c r="BB238" s="119"/>
      <c r="BC238" s="119"/>
      <c r="BD238" s="119"/>
      <c r="BE238" s="119"/>
      <c r="BF238" s="119"/>
      <c r="BG238" s="119"/>
      <c r="BH238" s="119"/>
      <c r="BI238" s="119"/>
      <c r="BJ238" s="119"/>
      <c r="BK238" s="119"/>
      <c r="BL238" s="119"/>
      <c r="BM238" s="119"/>
      <c r="BN238" s="119"/>
      <c r="BO238" s="119"/>
      <c r="BP238" s="119"/>
      <c r="BQ238" s="119"/>
      <c r="BR238" s="119"/>
      <c r="BS238" s="119"/>
      <c r="BT238" s="119"/>
      <c r="BU238" s="119"/>
      <c r="BV238" s="119"/>
      <c r="BW238" s="119"/>
      <c r="BX238" s="119"/>
      <c r="BY238" s="119"/>
      <c r="BZ238" s="119"/>
      <c r="CA238" s="119"/>
      <c r="CB238" s="119"/>
      <c r="CC238" s="119"/>
      <c r="CD238" s="119"/>
      <c r="CE238" s="119"/>
      <c r="CF238" s="119"/>
      <c r="CG238" s="119"/>
      <c r="CH238" s="119"/>
      <c r="CI238" s="119"/>
      <c r="CJ238" s="119"/>
      <c r="CK238" s="119"/>
      <c r="CL238" s="119"/>
      <c r="CM238" s="119"/>
      <c r="CN238" s="119"/>
      <c r="CO238" s="119"/>
      <c r="CP238" s="119"/>
      <c r="CQ238" s="119"/>
      <c r="CR238" s="119"/>
      <c r="CS238" s="119"/>
      <c r="CT238" s="119"/>
      <c r="CU238" s="119"/>
      <c r="CV238" s="119"/>
      <c r="CW238" s="119"/>
      <c r="CX238" s="119"/>
      <c r="CY238" s="119"/>
      <c r="CZ238" s="119"/>
      <c r="DA238" s="119"/>
      <c r="DB238" s="119"/>
      <c r="DC238" s="119"/>
      <c r="DD238" s="119"/>
      <c r="DE238" s="119"/>
      <c r="DF238" s="119"/>
      <c r="DG238" s="119"/>
      <c r="DH238" s="119"/>
      <c r="DI238" s="119"/>
      <c r="DJ238" s="119"/>
      <c r="DK238" s="119"/>
      <c r="DL238" s="119"/>
      <c r="DM238" s="119"/>
      <c r="DN238" s="119"/>
      <c r="DO238" s="119"/>
      <c r="DP238" s="119"/>
      <c r="DQ238" s="119"/>
      <c r="DR238" s="119"/>
      <c r="DS238" s="119"/>
      <c r="DT238" s="119"/>
      <c r="DU238" s="119"/>
      <c r="DV238" s="119"/>
      <c r="DW238" s="119"/>
      <c r="DX238" s="119"/>
      <c r="DY238" s="119"/>
      <c r="DZ238" s="119"/>
      <c r="EA238" s="119"/>
      <c r="EB238" s="119"/>
      <c r="EC238" s="119"/>
      <c r="ED238" s="119"/>
      <c r="EE238" s="119"/>
      <c r="EF238" s="119"/>
      <c r="EG238" s="119"/>
      <c r="EH238" s="119"/>
      <c r="EI238" s="119"/>
      <c r="EJ238" s="119"/>
      <c r="EK238" s="119"/>
      <c r="EL238" s="119"/>
      <c r="EM238" s="119"/>
      <c r="EN238" s="119"/>
      <c r="EO238" s="119"/>
      <c r="EP238" s="119"/>
      <c r="EQ238" s="119"/>
      <c r="ER238" s="119"/>
      <c r="ES238" s="119"/>
      <c r="ET238" s="119"/>
      <c r="EU238" s="119"/>
      <c r="EV238" s="119"/>
      <c r="EW238" s="119"/>
      <c r="EX238" s="119"/>
      <c r="EY238" s="119"/>
      <c r="EZ238" s="119"/>
      <c r="FA238" s="119"/>
      <c r="FB238" s="119"/>
      <c r="FC238" s="119"/>
      <c r="FD238" s="119"/>
      <c r="FE238" s="119"/>
      <c r="FF238" s="119"/>
      <c r="FG238" s="119"/>
      <c r="FH238" s="119"/>
      <c r="FI238" s="119"/>
      <c r="FJ238" s="119"/>
      <c r="FK238" s="119"/>
      <c r="FL238" s="119"/>
      <c r="FM238" s="119"/>
      <c r="FN238" s="119"/>
      <c r="FO238" s="119"/>
      <c r="FP238" s="119"/>
      <c r="FQ238" s="119"/>
      <c r="FR238" s="119"/>
      <c r="FS238" s="119"/>
      <c r="FT238" s="119"/>
      <c r="FU238" s="119"/>
      <c r="FV238" s="119"/>
      <c r="FW238" s="119"/>
      <c r="FX238" s="119"/>
      <c r="FY238" s="119"/>
      <c r="FZ238" s="119"/>
      <c r="GA238" s="119"/>
      <c r="GB238" s="119"/>
      <c r="GC238" s="119"/>
      <c r="GD238" s="119"/>
      <c r="GE238" s="119"/>
      <c r="GF238" s="119"/>
      <c r="GG238" s="119"/>
      <c r="GH238" s="119"/>
      <c r="GI238" s="119"/>
      <c r="GJ238" s="119"/>
    </row>
    <row r="239" spans="1:192" ht="33.75" x14ac:dyDescent="0.25">
      <c r="A239" s="290" t="s">
        <v>7</v>
      </c>
      <c r="B239" s="164"/>
      <c r="C239" s="164" t="s">
        <v>453</v>
      </c>
      <c r="D239" s="168" t="s">
        <v>25</v>
      </c>
      <c r="E239" s="172" t="s">
        <v>455</v>
      </c>
      <c r="F239" s="62"/>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119"/>
      <c r="AZ239" s="119"/>
      <c r="BA239" s="119"/>
      <c r="BB239" s="119"/>
      <c r="BC239" s="119"/>
      <c r="BD239" s="119"/>
      <c r="BE239" s="119"/>
      <c r="BF239" s="119"/>
      <c r="BG239" s="119"/>
      <c r="BH239" s="119"/>
      <c r="BI239" s="119"/>
      <c r="BJ239" s="119"/>
      <c r="BK239" s="119"/>
      <c r="BL239" s="119"/>
      <c r="BM239" s="119"/>
      <c r="BN239" s="119"/>
      <c r="BO239" s="119"/>
      <c r="BP239" s="119"/>
      <c r="BQ239" s="119"/>
      <c r="BR239" s="119"/>
      <c r="BS239" s="119"/>
      <c r="BT239" s="119"/>
      <c r="BU239" s="119"/>
      <c r="BV239" s="119"/>
      <c r="BW239" s="119"/>
      <c r="BX239" s="119"/>
      <c r="BY239" s="119"/>
      <c r="BZ239" s="119"/>
      <c r="CA239" s="119"/>
      <c r="CB239" s="119"/>
      <c r="CC239" s="119"/>
      <c r="CD239" s="119"/>
      <c r="CE239" s="119"/>
      <c r="CF239" s="119"/>
      <c r="CG239" s="119"/>
      <c r="CH239" s="119"/>
      <c r="CI239" s="119"/>
      <c r="CJ239" s="119"/>
      <c r="CK239" s="119"/>
      <c r="CL239" s="119"/>
      <c r="CM239" s="119"/>
      <c r="CN239" s="119"/>
      <c r="CO239" s="119"/>
      <c r="CP239" s="119"/>
      <c r="CQ239" s="119"/>
      <c r="CR239" s="119"/>
      <c r="CS239" s="119"/>
      <c r="CT239" s="119"/>
      <c r="CU239" s="119"/>
      <c r="CV239" s="119"/>
      <c r="CW239" s="119"/>
      <c r="CX239" s="119"/>
      <c r="CY239" s="119"/>
      <c r="CZ239" s="119"/>
      <c r="DA239" s="119"/>
      <c r="DB239" s="119"/>
      <c r="DC239" s="119"/>
      <c r="DD239" s="119"/>
      <c r="DE239" s="119"/>
      <c r="DF239" s="119"/>
      <c r="DG239" s="119"/>
      <c r="DH239" s="119"/>
      <c r="DI239" s="119"/>
      <c r="DJ239" s="119"/>
      <c r="DK239" s="119"/>
      <c r="DL239" s="119"/>
      <c r="DM239" s="119"/>
      <c r="DN239" s="119"/>
      <c r="DO239" s="119"/>
      <c r="DP239" s="119"/>
      <c r="DQ239" s="119"/>
      <c r="DR239" s="119"/>
      <c r="DS239" s="119"/>
      <c r="DT239" s="119"/>
      <c r="DU239" s="119"/>
      <c r="DV239" s="119"/>
      <c r="DW239" s="119"/>
      <c r="DX239" s="119"/>
      <c r="DY239" s="119"/>
      <c r="DZ239" s="119"/>
      <c r="EA239" s="119"/>
      <c r="EB239" s="119"/>
      <c r="EC239" s="119"/>
      <c r="ED239" s="119"/>
      <c r="EE239" s="119"/>
      <c r="EF239" s="119"/>
      <c r="EG239" s="119"/>
      <c r="EH239" s="119"/>
      <c r="EI239" s="119"/>
      <c r="EJ239" s="119"/>
      <c r="EK239" s="119"/>
      <c r="EL239" s="119"/>
      <c r="EM239" s="119"/>
      <c r="EN239" s="119"/>
      <c r="EO239" s="119"/>
      <c r="EP239" s="119"/>
      <c r="EQ239" s="119"/>
      <c r="ER239" s="119"/>
      <c r="ES239" s="119"/>
      <c r="ET239" s="119"/>
      <c r="EU239" s="119"/>
      <c r="EV239" s="119"/>
      <c r="EW239" s="119"/>
      <c r="EX239" s="119"/>
      <c r="EY239" s="119"/>
      <c r="EZ239" s="119"/>
      <c r="FA239" s="119"/>
      <c r="FB239" s="119"/>
      <c r="FC239" s="119"/>
      <c r="FD239" s="119"/>
      <c r="FE239" s="119"/>
      <c r="FF239" s="119"/>
      <c r="FG239" s="119"/>
      <c r="FH239" s="119"/>
      <c r="FI239" s="119"/>
      <c r="FJ239" s="119"/>
      <c r="FK239" s="119"/>
      <c r="FL239" s="119"/>
      <c r="FM239" s="119"/>
      <c r="FN239" s="119"/>
      <c r="FO239" s="119"/>
      <c r="FP239" s="119"/>
      <c r="FQ239" s="119"/>
      <c r="FR239" s="119"/>
      <c r="FS239" s="119"/>
      <c r="FT239" s="119"/>
      <c r="FU239" s="119"/>
      <c r="FV239" s="119"/>
      <c r="FW239" s="119"/>
      <c r="FX239" s="119"/>
      <c r="FY239" s="119"/>
      <c r="FZ239" s="119"/>
      <c r="GA239" s="119"/>
      <c r="GB239" s="119"/>
      <c r="GC239" s="119"/>
      <c r="GD239" s="119"/>
      <c r="GE239" s="119"/>
      <c r="GF239" s="119"/>
      <c r="GG239" s="119"/>
      <c r="GH239" s="119"/>
      <c r="GI239" s="119"/>
      <c r="GJ239" s="119"/>
    </row>
    <row r="240" spans="1:192" ht="135" x14ac:dyDescent="0.25">
      <c r="A240" s="290" t="s">
        <v>7</v>
      </c>
      <c r="B240" s="170" t="s">
        <v>1075</v>
      </c>
      <c r="C240" s="170" t="s">
        <v>451</v>
      </c>
      <c r="D240" s="169" t="s">
        <v>24</v>
      </c>
      <c r="E240" s="322" t="s">
        <v>1236</v>
      </c>
      <c r="F240" s="63"/>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119"/>
      <c r="AZ240" s="119"/>
      <c r="BA240" s="119"/>
      <c r="BB240" s="119"/>
      <c r="BC240" s="119"/>
      <c r="BD240" s="119"/>
      <c r="BE240" s="119"/>
      <c r="BF240" s="119"/>
      <c r="BG240" s="119"/>
      <c r="BH240" s="119"/>
      <c r="BI240" s="119"/>
      <c r="BJ240" s="119"/>
      <c r="BK240" s="119"/>
      <c r="BL240" s="119"/>
      <c r="BM240" s="119"/>
      <c r="BN240" s="119"/>
      <c r="BO240" s="119"/>
      <c r="BP240" s="119"/>
      <c r="BQ240" s="119"/>
      <c r="BR240" s="119"/>
      <c r="BS240" s="119"/>
      <c r="BT240" s="119"/>
      <c r="BU240" s="119"/>
      <c r="BV240" s="119"/>
      <c r="BW240" s="119"/>
      <c r="BX240" s="119"/>
      <c r="BY240" s="119"/>
      <c r="BZ240" s="119"/>
      <c r="CA240" s="119"/>
      <c r="CB240" s="119"/>
      <c r="CC240" s="119"/>
      <c r="CD240" s="119"/>
      <c r="CE240" s="119"/>
      <c r="CF240" s="119"/>
      <c r="CG240" s="119"/>
      <c r="CH240" s="119"/>
      <c r="CI240" s="119"/>
      <c r="CJ240" s="119"/>
      <c r="CK240" s="119"/>
      <c r="CL240" s="119"/>
      <c r="CM240" s="119"/>
      <c r="CN240" s="119"/>
      <c r="CO240" s="119"/>
      <c r="CP240" s="119"/>
      <c r="CQ240" s="119"/>
      <c r="CR240" s="119"/>
      <c r="CS240" s="119"/>
      <c r="CT240" s="119"/>
      <c r="CU240" s="119"/>
      <c r="CV240" s="119"/>
      <c r="CW240" s="119"/>
      <c r="CX240" s="119"/>
      <c r="CY240" s="119"/>
      <c r="CZ240" s="119"/>
      <c r="DA240" s="119"/>
      <c r="DB240" s="119"/>
      <c r="DC240" s="119"/>
      <c r="DD240" s="119"/>
      <c r="DE240" s="119"/>
      <c r="DF240" s="119"/>
      <c r="DG240" s="119"/>
      <c r="DH240" s="119"/>
      <c r="DI240" s="119"/>
      <c r="DJ240" s="119"/>
      <c r="DK240" s="119"/>
      <c r="DL240" s="119"/>
      <c r="DM240" s="119"/>
      <c r="DN240" s="119"/>
      <c r="DO240" s="119"/>
      <c r="DP240" s="119"/>
      <c r="DQ240" s="119"/>
      <c r="DR240" s="119"/>
      <c r="DS240" s="119"/>
      <c r="DT240" s="119"/>
      <c r="DU240" s="119"/>
      <c r="DV240" s="119"/>
      <c r="DW240" s="119"/>
      <c r="DX240" s="119"/>
      <c r="DY240" s="119"/>
      <c r="DZ240" s="119"/>
      <c r="EA240" s="119"/>
      <c r="EB240" s="119"/>
      <c r="EC240" s="119"/>
      <c r="ED240" s="119"/>
      <c r="EE240" s="119"/>
      <c r="EF240" s="119"/>
      <c r="EG240" s="119"/>
      <c r="EH240" s="119"/>
      <c r="EI240" s="119"/>
      <c r="EJ240" s="119"/>
      <c r="EK240" s="119"/>
      <c r="EL240" s="119"/>
      <c r="EM240" s="119"/>
      <c r="EN240" s="119"/>
      <c r="EO240" s="119"/>
      <c r="EP240" s="119"/>
      <c r="EQ240" s="119"/>
      <c r="ER240" s="119"/>
      <c r="ES240" s="119"/>
      <c r="ET240" s="119"/>
      <c r="EU240" s="119"/>
      <c r="EV240" s="119"/>
      <c r="EW240" s="119"/>
      <c r="EX240" s="119"/>
      <c r="EY240" s="119"/>
      <c r="EZ240" s="119"/>
      <c r="FA240" s="119"/>
      <c r="FB240" s="119"/>
      <c r="FC240" s="119"/>
      <c r="FD240" s="119"/>
      <c r="FE240" s="119"/>
      <c r="FF240" s="119"/>
      <c r="FG240" s="119"/>
      <c r="FH240" s="119"/>
      <c r="FI240" s="119"/>
      <c r="FJ240" s="119"/>
      <c r="FK240" s="119"/>
      <c r="FL240" s="119"/>
      <c r="FM240" s="119"/>
      <c r="FN240" s="119"/>
      <c r="FO240" s="119"/>
      <c r="FP240" s="119"/>
      <c r="FQ240" s="119"/>
      <c r="FR240" s="119"/>
      <c r="FS240" s="119"/>
      <c r="FT240" s="119"/>
      <c r="FU240" s="119"/>
      <c r="FV240" s="119"/>
      <c r="FW240" s="119"/>
      <c r="FX240" s="119"/>
      <c r="FY240" s="119"/>
      <c r="FZ240" s="119"/>
      <c r="GA240" s="119"/>
      <c r="GB240" s="119"/>
      <c r="GC240" s="119"/>
      <c r="GD240" s="119"/>
      <c r="GE240" s="119"/>
      <c r="GF240" s="119"/>
      <c r="GG240" s="119"/>
      <c r="GH240" s="119"/>
      <c r="GI240" s="119"/>
      <c r="GJ240" s="119"/>
    </row>
    <row r="241" spans="1:192" ht="56.25" x14ac:dyDescent="0.25">
      <c r="A241" s="290" t="s">
        <v>7</v>
      </c>
      <c r="B241" s="164" t="s">
        <v>1076</v>
      </c>
      <c r="C241" s="164" t="s">
        <v>456</v>
      </c>
      <c r="D241" s="168" t="s">
        <v>24</v>
      </c>
      <c r="E241" s="172" t="s">
        <v>719</v>
      </c>
      <c r="F241" s="63"/>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119"/>
      <c r="AZ241" s="119"/>
      <c r="BA241" s="119"/>
      <c r="BB241" s="119"/>
      <c r="BC241" s="119"/>
      <c r="BD241" s="119"/>
      <c r="BE241" s="119"/>
      <c r="BF241" s="119"/>
      <c r="BG241" s="119"/>
      <c r="BH241" s="119"/>
      <c r="BI241" s="119"/>
      <c r="BJ241" s="119"/>
      <c r="BK241" s="119"/>
      <c r="BL241" s="119"/>
      <c r="BM241" s="119"/>
      <c r="BN241" s="119"/>
      <c r="BO241" s="119"/>
      <c r="BP241" s="119"/>
      <c r="BQ241" s="119"/>
      <c r="BR241" s="119"/>
      <c r="BS241" s="119"/>
      <c r="BT241" s="119"/>
      <c r="BU241" s="119"/>
      <c r="BV241" s="119"/>
      <c r="BW241" s="119"/>
      <c r="BX241" s="119"/>
      <c r="BY241" s="119"/>
      <c r="BZ241" s="119"/>
      <c r="CA241" s="119"/>
      <c r="CB241" s="119"/>
      <c r="CC241" s="119"/>
      <c r="CD241" s="119"/>
      <c r="CE241" s="119"/>
      <c r="CF241" s="119"/>
      <c r="CG241" s="119"/>
      <c r="CH241" s="119"/>
      <c r="CI241" s="119"/>
      <c r="CJ241" s="119"/>
      <c r="CK241" s="119"/>
      <c r="CL241" s="119"/>
      <c r="CM241" s="119"/>
      <c r="CN241" s="119"/>
      <c r="CO241" s="119"/>
      <c r="CP241" s="119"/>
      <c r="CQ241" s="119"/>
      <c r="CR241" s="119"/>
      <c r="CS241" s="119"/>
      <c r="CT241" s="119"/>
      <c r="CU241" s="119"/>
      <c r="CV241" s="119"/>
      <c r="CW241" s="119"/>
      <c r="CX241" s="119"/>
      <c r="CY241" s="119"/>
      <c r="CZ241" s="119"/>
      <c r="DA241" s="119"/>
      <c r="DB241" s="119"/>
      <c r="DC241" s="119"/>
      <c r="DD241" s="119"/>
      <c r="DE241" s="119"/>
      <c r="DF241" s="119"/>
      <c r="DG241" s="119"/>
      <c r="DH241" s="119"/>
      <c r="DI241" s="119"/>
      <c r="DJ241" s="119"/>
      <c r="DK241" s="119"/>
      <c r="DL241" s="119"/>
      <c r="DM241" s="119"/>
      <c r="DN241" s="119"/>
      <c r="DO241" s="119"/>
      <c r="DP241" s="119"/>
      <c r="DQ241" s="119"/>
      <c r="DR241" s="119"/>
      <c r="DS241" s="119"/>
      <c r="DT241" s="119"/>
      <c r="DU241" s="119"/>
      <c r="DV241" s="119"/>
      <c r="DW241" s="119"/>
      <c r="DX241" s="119"/>
      <c r="DY241" s="119"/>
      <c r="DZ241" s="119"/>
      <c r="EA241" s="119"/>
      <c r="EB241" s="119"/>
      <c r="EC241" s="119"/>
      <c r="ED241" s="119"/>
      <c r="EE241" s="119"/>
      <c r="EF241" s="119"/>
      <c r="EG241" s="119"/>
      <c r="EH241" s="119"/>
      <c r="EI241" s="119"/>
      <c r="EJ241" s="119"/>
      <c r="EK241" s="119"/>
      <c r="EL241" s="119"/>
      <c r="EM241" s="119"/>
      <c r="EN241" s="119"/>
      <c r="EO241" s="119"/>
      <c r="EP241" s="119"/>
      <c r="EQ241" s="119"/>
      <c r="ER241" s="119"/>
      <c r="ES241" s="119"/>
      <c r="ET241" s="119"/>
      <c r="EU241" s="119"/>
      <c r="EV241" s="119"/>
      <c r="EW241" s="119"/>
      <c r="EX241" s="119"/>
      <c r="EY241" s="119"/>
      <c r="EZ241" s="119"/>
      <c r="FA241" s="119"/>
      <c r="FB241" s="119"/>
      <c r="FC241" s="119"/>
      <c r="FD241" s="119"/>
      <c r="FE241" s="119"/>
      <c r="FF241" s="119"/>
      <c r="FG241" s="119"/>
      <c r="FH241" s="119"/>
      <c r="FI241" s="119"/>
      <c r="FJ241" s="119"/>
      <c r="FK241" s="119"/>
      <c r="FL241" s="119"/>
      <c r="FM241" s="119"/>
      <c r="FN241" s="119"/>
      <c r="FO241" s="119"/>
      <c r="FP241" s="119"/>
      <c r="FQ241" s="119"/>
      <c r="FR241" s="119"/>
      <c r="FS241" s="119"/>
      <c r="FT241" s="119"/>
      <c r="FU241" s="119"/>
      <c r="FV241" s="119"/>
      <c r="FW241" s="119"/>
      <c r="FX241" s="119"/>
      <c r="FY241" s="119"/>
      <c r="FZ241" s="119"/>
      <c r="GA241" s="119"/>
      <c r="GB241" s="119"/>
      <c r="GC241" s="119"/>
      <c r="GD241" s="119"/>
      <c r="GE241" s="119"/>
      <c r="GF241" s="119"/>
      <c r="GG241" s="119"/>
      <c r="GH241" s="119"/>
      <c r="GI241" s="119"/>
      <c r="GJ241" s="119"/>
    </row>
    <row r="242" spans="1:192" ht="78.75" x14ac:dyDescent="0.25">
      <c r="A242" s="290" t="s">
        <v>7</v>
      </c>
      <c r="B242" s="164"/>
      <c r="C242" s="164" t="s">
        <v>720</v>
      </c>
      <c r="D242" s="168" t="s">
        <v>24</v>
      </c>
      <c r="E242" s="321" t="s">
        <v>1237</v>
      </c>
      <c r="F242" s="62"/>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119"/>
      <c r="AZ242" s="119"/>
      <c r="BA242" s="119"/>
      <c r="BB242" s="119"/>
      <c r="BC242" s="119"/>
      <c r="BD242" s="119"/>
      <c r="BE242" s="119"/>
      <c r="BF242" s="119"/>
      <c r="BG242" s="119"/>
      <c r="BH242" s="119"/>
      <c r="BI242" s="119"/>
      <c r="BJ242" s="119"/>
      <c r="BK242" s="119"/>
      <c r="BL242" s="119"/>
      <c r="BM242" s="119"/>
      <c r="BN242" s="119"/>
      <c r="BO242" s="119"/>
      <c r="BP242" s="119"/>
      <c r="BQ242" s="119"/>
      <c r="BR242" s="119"/>
      <c r="BS242" s="119"/>
      <c r="BT242" s="119"/>
      <c r="BU242" s="119"/>
      <c r="BV242" s="119"/>
      <c r="BW242" s="119"/>
      <c r="BX242" s="119"/>
      <c r="BY242" s="119"/>
      <c r="BZ242" s="119"/>
      <c r="CA242" s="119"/>
      <c r="CB242" s="119"/>
      <c r="CC242" s="119"/>
      <c r="CD242" s="119"/>
      <c r="CE242" s="119"/>
      <c r="CF242" s="119"/>
      <c r="CG242" s="119"/>
      <c r="CH242" s="119"/>
      <c r="CI242" s="119"/>
      <c r="CJ242" s="119"/>
      <c r="CK242" s="119"/>
      <c r="CL242" s="119"/>
      <c r="CM242" s="119"/>
      <c r="CN242" s="119"/>
      <c r="CO242" s="119"/>
      <c r="CP242" s="119"/>
      <c r="CQ242" s="119"/>
      <c r="CR242" s="119"/>
      <c r="CS242" s="119"/>
      <c r="CT242" s="119"/>
      <c r="CU242" s="119"/>
      <c r="CV242" s="119"/>
      <c r="CW242" s="119"/>
      <c r="CX242" s="119"/>
      <c r="CY242" s="119"/>
      <c r="CZ242" s="119"/>
      <c r="DA242" s="119"/>
      <c r="DB242" s="119"/>
      <c r="DC242" s="119"/>
      <c r="DD242" s="119"/>
      <c r="DE242" s="119"/>
      <c r="DF242" s="119"/>
      <c r="DG242" s="119"/>
      <c r="DH242" s="119"/>
      <c r="DI242" s="119"/>
      <c r="DJ242" s="119"/>
      <c r="DK242" s="119"/>
      <c r="DL242" s="119"/>
      <c r="DM242" s="119"/>
      <c r="DN242" s="119"/>
      <c r="DO242" s="119"/>
      <c r="DP242" s="119"/>
      <c r="DQ242" s="119"/>
      <c r="DR242" s="119"/>
      <c r="DS242" s="119"/>
      <c r="DT242" s="119"/>
      <c r="DU242" s="119"/>
      <c r="DV242" s="119"/>
      <c r="DW242" s="119"/>
      <c r="DX242" s="119"/>
      <c r="DY242" s="119"/>
      <c r="DZ242" s="119"/>
      <c r="EA242" s="119"/>
      <c r="EB242" s="119"/>
      <c r="EC242" s="119"/>
      <c r="ED242" s="119"/>
      <c r="EE242" s="119"/>
      <c r="EF242" s="119"/>
      <c r="EG242" s="119"/>
      <c r="EH242" s="119"/>
      <c r="EI242" s="119"/>
      <c r="EJ242" s="119"/>
      <c r="EK242" s="119"/>
      <c r="EL242" s="119"/>
      <c r="EM242" s="119"/>
      <c r="EN242" s="119"/>
      <c r="EO242" s="119"/>
      <c r="EP242" s="119"/>
      <c r="EQ242" s="119"/>
      <c r="ER242" s="119"/>
      <c r="ES242" s="119"/>
      <c r="ET242" s="119"/>
      <c r="EU242" s="119"/>
      <c r="EV242" s="119"/>
      <c r="EW242" s="119"/>
      <c r="EX242" s="119"/>
      <c r="EY242" s="119"/>
      <c r="EZ242" s="119"/>
      <c r="FA242" s="119"/>
      <c r="FB242" s="119"/>
      <c r="FC242" s="119"/>
      <c r="FD242" s="119"/>
      <c r="FE242" s="119"/>
      <c r="FF242" s="119"/>
      <c r="FG242" s="119"/>
      <c r="FH242" s="119"/>
      <c r="FI242" s="119"/>
      <c r="FJ242" s="119"/>
      <c r="FK242" s="119"/>
      <c r="FL242" s="119"/>
      <c r="FM242" s="119"/>
      <c r="FN242" s="119"/>
      <c r="FO242" s="119"/>
      <c r="FP242" s="119"/>
      <c r="FQ242" s="119"/>
      <c r="FR242" s="119"/>
      <c r="FS242" s="119"/>
      <c r="FT242" s="119"/>
      <c r="FU242" s="119"/>
      <c r="FV242" s="119"/>
      <c r="FW242" s="119"/>
      <c r="FX242" s="119"/>
      <c r="FY242" s="119"/>
      <c r="FZ242" s="119"/>
      <c r="GA242" s="119"/>
      <c r="GB242" s="119"/>
      <c r="GC242" s="119"/>
      <c r="GD242" s="119"/>
      <c r="GE242" s="119"/>
      <c r="GF242" s="119"/>
      <c r="GG242" s="119"/>
      <c r="GH242" s="119"/>
      <c r="GI242" s="119"/>
      <c r="GJ242" s="119"/>
    </row>
    <row r="243" spans="1:192" ht="33.75" x14ac:dyDescent="0.25">
      <c r="A243" s="290" t="s">
        <v>7</v>
      </c>
      <c r="B243" s="170" t="s">
        <v>1077</v>
      </c>
      <c r="C243" s="170" t="s">
        <v>457</v>
      </c>
      <c r="D243" s="169" t="s">
        <v>24</v>
      </c>
      <c r="E243" s="173" t="s">
        <v>1078</v>
      </c>
      <c r="F243" s="62"/>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119"/>
      <c r="AZ243" s="119"/>
      <c r="BA243" s="119"/>
      <c r="BB243" s="119"/>
      <c r="BC243" s="119"/>
      <c r="BD243" s="119"/>
      <c r="BE243" s="119"/>
      <c r="BF243" s="119"/>
      <c r="BG243" s="119"/>
      <c r="BH243" s="119"/>
      <c r="BI243" s="119"/>
      <c r="BJ243" s="119"/>
      <c r="BK243" s="119"/>
      <c r="BL243" s="119"/>
      <c r="BM243" s="119"/>
      <c r="BN243" s="119"/>
      <c r="BO243" s="119"/>
      <c r="BP243" s="119"/>
      <c r="BQ243" s="119"/>
      <c r="BR243" s="119"/>
      <c r="BS243" s="119"/>
      <c r="BT243" s="119"/>
      <c r="BU243" s="119"/>
      <c r="BV243" s="119"/>
      <c r="BW243" s="119"/>
      <c r="BX243" s="119"/>
      <c r="BY243" s="119"/>
      <c r="BZ243" s="119"/>
      <c r="CA243" s="119"/>
      <c r="CB243" s="119"/>
      <c r="CC243" s="119"/>
      <c r="CD243" s="119"/>
      <c r="CE243" s="119"/>
      <c r="CF243" s="119"/>
      <c r="CG243" s="119"/>
      <c r="CH243" s="119"/>
      <c r="CI243" s="119"/>
      <c r="CJ243" s="119"/>
      <c r="CK243" s="119"/>
      <c r="CL243" s="119"/>
      <c r="CM243" s="119"/>
      <c r="CN243" s="119"/>
      <c r="CO243" s="119"/>
      <c r="CP243" s="119"/>
      <c r="CQ243" s="119"/>
      <c r="CR243" s="119"/>
      <c r="CS243" s="119"/>
      <c r="CT243" s="119"/>
      <c r="CU243" s="119"/>
      <c r="CV243" s="119"/>
      <c r="CW243" s="119"/>
      <c r="CX243" s="119"/>
      <c r="CY243" s="119"/>
      <c r="CZ243" s="119"/>
      <c r="DA243" s="119"/>
      <c r="DB243" s="119"/>
      <c r="DC243" s="119"/>
      <c r="DD243" s="119"/>
      <c r="DE243" s="119"/>
      <c r="DF243" s="119"/>
      <c r="DG243" s="119"/>
      <c r="DH243" s="119"/>
      <c r="DI243" s="119"/>
      <c r="DJ243" s="119"/>
      <c r="DK243" s="119"/>
      <c r="DL243" s="119"/>
      <c r="DM243" s="119"/>
      <c r="DN243" s="119"/>
      <c r="DO243" s="119"/>
      <c r="DP243" s="119"/>
      <c r="DQ243" s="119"/>
      <c r="DR243" s="119"/>
      <c r="DS243" s="119"/>
      <c r="DT243" s="119"/>
      <c r="DU243" s="119"/>
      <c r="DV243" s="119"/>
      <c r="DW243" s="119"/>
      <c r="DX243" s="119"/>
      <c r="DY243" s="119"/>
      <c r="DZ243" s="119"/>
      <c r="EA243" s="119"/>
      <c r="EB243" s="119"/>
      <c r="EC243" s="119"/>
      <c r="ED243" s="119"/>
      <c r="EE243" s="119"/>
      <c r="EF243" s="119"/>
      <c r="EG243" s="119"/>
      <c r="EH243" s="119"/>
      <c r="EI243" s="119"/>
      <c r="EJ243" s="119"/>
      <c r="EK243" s="119"/>
      <c r="EL243" s="119"/>
      <c r="EM243" s="119"/>
      <c r="EN243" s="119"/>
      <c r="EO243" s="119"/>
      <c r="EP243" s="119"/>
      <c r="EQ243" s="119"/>
      <c r="ER243" s="119"/>
      <c r="ES243" s="119"/>
      <c r="ET243" s="119"/>
      <c r="EU243" s="119"/>
      <c r="EV243" s="119"/>
      <c r="EW243" s="119"/>
      <c r="EX243" s="119"/>
      <c r="EY243" s="119"/>
      <c r="EZ243" s="119"/>
      <c r="FA243" s="119"/>
      <c r="FB243" s="119"/>
      <c r="FC243" s="119"/>
      <c r="FD243" s="119"/>
      <c r="FE243" s="119"/>
      <c r="FF243" s="119"/>
      <c r="FG243" s="119"/>
      <c r="FH243" s="119"/>
      <c r="FI243" s="119"/>
      <c r="FJ243" s="119"/>
      <c r="FK243" s="119"/>
      <c r="FL243" s="119"/>
      <c r="FM243" s="119"/>
      <c r="FN243" s="119"/>
      <c r="FO243" s="119"/>
      <c r="FP243" s="119"/>
      <c r="FQ243" s="119"/>
      <c r="FR243" s="119"/>
      <c r="FS243" s="119"/>
      <c r="FT243" s="119"/>
      <c r="FU243" s="119"/>
      <c r="FV243" s="119"/>
      <c r="FW243" s="119"/>
      <c r="FX243" s="119"/>
      <c r="FY243" s="119"/>
      <c r="FZ243" s="119"/>
      <c r="GA243" s="119"/>
      <c r="GB243" s="119"/>
      <c r="GC243" s="119"/>
      <c r="GD243" s="119"/>
      <c r="GE243" s="119"/>
      <c r="GF243" s="119"/>
      <c r="GG243" s="119"/>
      <c r="GH243" s="119"/>
      <c r="GI243" s="119"/>
      <c r="GJ243" s="119"/>
    </row>
    <row r="244" spans="1:192" ht="22.5" x14ac:dyDescent="0.25">
      <c r="A244" s="290" t="s">
        <v>7</v>
      </c>
      <c r="B244" s="170"/>
      <c r="C244" s="170" t="s">
        <v>721</v>
      </c>
      <c r="D244" s="169" t="s">
        <v>24</v>
      </c>
      <c r="E244" s="173" t="s">
        <v>1079</v>
      </c>
      <c r="F244" s="63"/>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119"/>
      <c r="AZ244" s="119"/>
      <c r="BA244" s="119"/>
      <c r="BB244" s="119"/>
      <c r="BC244" s="119"/>
      <c r="BD244" s="119"/>
      <c r="BE244" s="119"/>
      <c r="BF244" s="119"/>
      <c r="BG244" s="119"/>
      <c r="BH244" s="119"/>
      <c r="BI244" s="119"/>
      <c r="BJ244" s="119"/>
      <c r="BK244" s="119"/>
      <c r="BL244" s="119"/>
      <c r="BM244" s="119"/>
      <c r="BN244" s="119"/>
      <c r="BO244" s="119"/>
      <c r="BP244" s="119"/>
      <c r="BQ244" s="119"/>
      <c r="BR244" s="119"/>
      <c r="BS244" s="119"/>
      <c r="BT244" s="119"/>
      <c r="BU244" s="119"/>
      <c r="BV244" s="119"/>
      <c r="BW244" s="119"/>
      <c r="BX244" s="119"/>
      <c r="BY244" s="119"/>
      <c r="BZ244" s="119"/>
      <c r="CA244" s="119"/>
      <c r="CB244" s="119"/>
      <c r="CC244" s="119"/>
      <c r="CD244" s="119"/>
      <c r="CE244" s="119"/>
      <c r="CF244" s="119"/>
      <c r="CG244" s="119"/>
      <c r="CH244" s="119"/>
      <c r="CI244" s="119"/>
      <c r="CJ244" s="119"/>
      <c r="CK244" s="119"/>
      <c r="CL244" s="119"/>
      <c r="CM244" s="119"/>
      <c r="CN244" s="119"/>
      <c r="CO244" s="119"/>
      <c r="CP244" s="119"/>
      <c r="CQ244" s="119"/>
      <c r="CR244" s="119"/>
      <c r="CS244" s="119"/>
      <c r="CT244" s="119"/>
      <c r="CU244" s="119"/>
      <c r="CV244" s="119"/>
      <c r="CW244" s="119"/>
      <c r="CX244" s="119"/>
      <c r="CY244" s="119"/>
      <c r="CZ244" s="119"/>
      <c r="DA244" s="119"/>
      <c r="DB244" s="119"/>
      <c r="DC244" s="119"/>
      <c r="DD244" s="119"/>
      <c r="DE244" s="119"/>
      <c r="DF244" s="119"/>
      <c r="DG244" s="119"/>
      <c r="DH244" s="119"/>
      <c r="DI244" s="119"/>
      <c r="DJ244" s="119"/>
      <c r="DK244" s="119"/>
      <c r="DL244" s="119"/>
      <c r="DM244" s="119"/>
      <c r="DN244" s="119"/>
      <c r="DO244" s="119"/>
      <c r="DP244" s="119"/>
      <c r="DQ244" s="119"/>
      <c r="DR244" s="119"/>
      <c r="DS244" s="119"/>
      <c r="DT244" s="119"/>
      <c r="DU244" s="119"/>
      <c r="DV244" s="119"/>
      <c r="DW244" s="119"/>
      <c r="DX244" s="119"/>
      <c r="DY244" s="119"/>
      <c r="DZ244" s="119"/>
      <c r="EA244" s="119"/>
      <c r="EB244" s="119"/>
      <c r="EC244" s="119"/>
      <c r="ED244" s="119"/>
      <c r="EE244" s="119"/>
      <c r="EF244" s="119"/>
      <c r="EG244" s="119"/>
      <c r="EH244" s="119"/>
      <c r="EI244" s="119"/>
      <c r="EJ244" s="119"/>
      <c r="EK244" s="119"/>
      <c r="EL244" s="119"/>
      <c r="EM244" s="119"/>
      <c r="EN244" s="119"/>
      <c r="EO244" s="119"/>
      <c r="EP244" s="119"/>
      <c r="EQ244" s="119"/>
      <c r="ER244" s="119"/>
      <c r="ES244" s="119"/>
      <c r="ET244" s="119"/>
      <c r="EU244" s="119"/>
      <c r="EV244" s="119"/>
      <c r="EW244" s="119"/>
      <c r="EX244" s="119"/>
      <c r="EY244" s="119"/>
      <c r="EZ244" s="119"/>
      <c r="FA244" s="119"/>
      <c r="FB244" s="119"/>
      <c r="FC244" s="119"/>
      <c r="FD244" s="119"/>
      <c r="FE244" s="119"/>
      <c r="FF244" s="119"/>
      <c r="FG244" s="119"/>
      <c r="FH244" s="119"/>
      <c r="FI244" s="119"/>
      <c r="FJ244" s="119"/>
      <c r="FK244" s="119"/>
      <c r="FL244" s="119"/>
      <c r="FM244" s="119"/>
      <c r="FN244" s="119"/>
      <c r="FO244" s="119"/>
      <c r="FP244" s="119"/>
      <c r="FQ244" s="119"/>
      <c r="FR244" s="119"/>
      <c r="FS244" s="119"/>
      <c r="FT244" s="119"/>
      <c r="FU244" s="119"/>
      <c r="FV244" s="119"/>
      <c r="FW244" s="119"/>
      <c r="FX244" s="119"/>
      <c r="FY244" s="119"/>
      <c r="FZ244" s="119"/>
      <c r="GA244" s="119"/>
      <c r="GB244" s="119"/>
      <c r="GC244" s="119"/>
      <c r="GD244" s="119"/>
      <c r="GE244" s="119"/>
      <c r="GF244" s="119"/>
      <c r="GG244" s="119"/>
      <c r="GH244" s="119"/>
      <c r="GI244" s="119"/>
      <c r="GJ244" s="119"/>
    </row>
    <row r="245" spans="1:192" ht="67.5" x14ac:dyDescent="0.25">
      <c r="A245" s="290" t="s">
        <v>7</v>
      </c>
      <c r="B245" s="164" t="s">
        <v>1080</v>
      </c>
      <c r="C245" s="164" t="s">
        <v>458</v>
      </c>
      <c r="D245" s="168" t="s">
        <v>24</v>
      </c>
      <c r="E245" s="164" t="s">
        <v>1081</v>
      </c>
      <c r="F245" s="62"/>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119"/>
      <c r="AZ245" s="119"/>
      <c r="BA245" s="119"/>
      <c r="BB245" s="119"/>
      <c r="BC245" s="119"/>
      <c r="BD245" s="119"/>
      <c r="BE245" s="119"/>
      <c r="BF245" s="119"/>
      <c r="BG245" s="119"/>
      <c r="BH245" s="119"/>
      <c r="BI245" s="119"/>
      <c r="BJ245" s="119"/>
      <c r="BK245" s="119"/>
      <c r="BL245" s="119"/>
      <c r="BM245" s="119"/>
      <c r="BN245" s="119"/>
      <c r="BO245" s="119"/>
      <c r="BP245" s="119"/>
      <c r="BQ245" s="119"/>
      <c r="BR245" s="119"/>
      <c r="BS245" s="119"/>
      <c r="BT245" s="119"/>
      <c r="BU245" s="119"/>
      <c r="BV245" s="119"/>
      <c r="BW245" s="119"/>
      <c r="BX245" s="119"/>
      <c r="BY245" s="119"/>
      <c r="BZ245" s="119"/>
      <c r="CA245" s="119"/>
      <c r="CB245" s="119"/>
      <c r="CC245" s="119"/>
      <c r="CD245" s="119"/>
      <c r="CE245" s="119"/>
      <c r="CF245" s="119"/>
      <c r="CG245" s="119"/>
      <c r="CH245" s="119"/>
      <c r="CI245" s="119"/>
      <c r="CJ245" s="119"/>
      <c r="CK245" s="119"/>
      <c r="CL245" s="119"/>
      <c r="CM245" s="119"/>
      <c r="CN245" s="119"/>
      <c r="CO245" s="119"/>
      <c r="CP245" s="119"/>
      <c r="CQ245" s="119"/>
      <c r="CR245" s="119"/>
      <c r="CS245" s="119"/>
      <c r="CT245" s="119"/>
      <c r="CU245" s="119"/>
      <c r="CV245" s="119"/>
      <c r="CW245" s="119"/>
      <c r="CX245" s="119"/>
      <c r="CY245" s="119"/>
      <c r="CZ245" s="119"/>
      <c r="DA245" s="119"/>
      <c r="DB245" s="119"/>
      <c r="DC245" s="119"/>
      <c r="DD245" s="119"/>
      <c r="DE245" s="119"/>
      <c r="DF245" s="119"/>
      <c r="DG245" s="119"/>
      <c r="DH245" s="119"/>
      <c r="DI245" s="119"/>
      <c r="DJ245" s="119"/>
      <c r="DK245" s="119"/>
      <c r="DL245" s="119"/>
      <c r="DM245" s="119"/>
      <c r="DN245" s="119"/>
      <c r="DO245" s="119"/>
      <c r="DP245" s="119"/>
      <c r="DQ245" s="119"/>
      <c r="DR245" s="119"/>
      <c r="DS245" s="119"/>
      <c r="DT245" s="119"/>
      <c r="DU245" s="119"/>
      <c r="DV245" s="119"/>
      <c r="DW245" s="119"/>
      <c r="DX245" s="119"/>
      <c r="DY245" s="119"/>
      <c r="DZ245" s="119"/>
      <c r="EA245" s="119"/>
      <c r="EB245" s="119"/>
      <c r="EC245" s="119"/>
      <c r="ED245" s="119"/>
      <c r="EE245" s="119"/>
      <c r="EF245" s="119"/>
      <c r="EG245" s="119"/>
      <c r="EH245" s="119"/>
      <c r="EI245" s="119"/>
      <c r="EJ245" s="119"/>
      <c r="EK245" s="119"/>
      <c r="EL245" s="119"/>
      <c r="EM245" s="119"/>
      <c r="EN245" s="119"/>
      <c r="EO245" s="119"/>
      <c r="EP245" s="119"/>
      <c r="EQ245" s="119"/>
      <c r="ER245" s="119"/>
      <c r="ES245" s="119"/>
      <c r="ET245" s="119"/>
      <c r="EU245" s="119"/>
      <c r="EV245" s="119"/>
      <c r="EW245" s="119"/>
      <c r="EX245" s="119"/>
      <c r="EY245" s="119"/>
      <c r="EZ245" s="119"/>
      <c r="FA245" s="119"/>
      <c r="FB245" s="119"/>
      <c r="FC245" s="119"/>
      <c r="FD245" s="119"/>
      <c r="FE245" s="119"/>
      <c r="FF245" s="119"/>
      <c r="FG245" s="119"/>
      <c r="FH245" s="119"/>
      <c r="FI245" s="119"/>
      <c r="FJ245" s="119"/>
      <c r="FK245" s="119"/>
      <c r="FL245" s="119"/>
      <c r="FM245" s="119"/>
      <c r="FN245" s="119"/>
      <c r="FO245" s="119"/>
      <c r="FP245" s="119"/>
      <c r="FQ245" s="119"/>
      <c r="FR245" s="119"/>
      <c r="FS245" s="119"/>
      <c r="FT245" s="119"/>
      <c r="FU245" s="119"/>
      <c r="FV245" s="119"/>
      <c r="FW245" s="119"/>
      <c r="FX245" s="119"/>
      <c r="FY245" s="119"/>
      <c r="FZ245" s="119"/>
      <c r="GA245" s="119"/>
      <c r="GB245" s="119"/>
      <c r="GC245" s="119"/>
      <c r="GD245" s="119"/>
      <c r="GE245" s="119"/>
      <c r="GF245" s="119"/>
      <c r="GG245" s="119"/>
      <c r="GH245" s="119"/>
      <c r="GI245" s="119"/>
      <c r="GJ245" s="119"/>
    </row>
    <row r="246" spans="1:192" ht="90" x14ac:dyDescent="0.25">
      <c r="A246" s="290" t="s">
        <v>7</v>
      </c>
      <c r="B246" s="170" t="s">
        <v>1082</v>
      </c>
      <c r="C246" s="170" t="s">
        <v>459</v>
      </c>
      <c r="D246" s="169" t="s">
        <v>24</v>
      </c>
      <c r="E246" s="170" t="s">
        <v>1083</v>
      </c>
      <c r="F246" s="63"/>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119"/>
      <c r="AZ246" s="119"/>
      <c r="BA246" s="119"/>
      <c r="BB246" s="119"/>
      <c r="BC246" s="119"/>
      <c r="BD246" s="119"/>
      <c r="BE246" s="119"/>
      <c r="BF246" s="119"/>
      <c r="BG246" s="119"/>
      <c r="BH246" s="119"/>
      <c r="BI246" s="119"/>
      <c r="BJ246" s="119"/>
      <c r="BK246" s="119"/>
      <c r="BL246" s="119"/>
      <c r="BM246" s="119"/>
      <c r="BN246" s="119"/>
      <c r="BO246" s="119"/>
      <c r="BP246" s="119"/>
      <c r="BQ246" s="119"/>
      <c r="BR246" s="119"/>
      <c r="BS246" s="119"/>
      <c r="BT246" s="119"/>
      <c r="BU246" s="119"/>
      <c r="BV246" s="119"/>
      <c r="BW246" s="119"/>
      <c r="BX246" s="119"/>
      <c r="BY246" s="119"/>
      <c r="BZ246" s="119"/>
      <c r="CA246" s="119"/>
      <c r="CB246" s="119"/>
      <c r="CC246" s="119"/>
      <c r="CD246" s="119"/>
      <c r="CE246" s="119"/>
      <c r="CF246" s="119"/>
      <c r="CG246" s="119"/>
      <c r="CH246" s="119"/>
      <c r="CI246" s="119"/>
      <c r="CJ246" s="119"/>
      <c r="CK246" s="119"/>
      <c r="CL246" s="119"/>
      <c r="CM246" s="119"/>
      <c r="CN246" s="119"/>
      <c r="CO246" s="119"/>
      <c r="CP246" s="119"/>
      <c r="CQ246" s="119"/>
      <c r="CR246" s="119"/>
      <c r="CS246" s="119"/>
      <c r="CT246" s="119"/>
      <c r="CU246" s="119"/>
      <c r="CV246" s="119"/>
      <c r="CW246" s="119"/>
      <c r="CX246" s="119"/>
      <c r="CY246" s="119"/>
      <c r="CZ246" s="119"/>
      <c r="DA246" s="119"/>
      <c r="DB246" s="119"/>
      <c r="DC246" s="119"/>
      <c r="DD246" s="119"/>
      <c r="DE246" s="119"/>
      <c r="DF246" s="119"/>
      <c r="DG246" s="119"/>
      <c r="DH246" s="119"/>
      <c r="DI246" s="119"/>
      <c r="DJ246" s="119"/>
      <c r="DK246" s="119"/>
      <c r="DL246" s="119"/>
      <c r="DM246" s="119"/>
      <c r="DN246" s="119"/>
      <c r="DO246" s="119"/>
      <c r="DP246" s="119"/>
      <c r="DQ246" s="119"/>
      <c r="DR246" s="119"/>
      <c r="DS246" s="119"/>
      <c r="DT246" s="119"/>
      <c r="DU246" s="119"/>
      <c r="DV246" s="119"/>
      <c r="DW246" s="119"/>
      <c r="DX246" s="119"/>
      <c r="DY246" s="119"/>
      <c r="DZ246" s="119"/>
      <c r="EA246" s="119"/>
      <c r="EB246" s="119"/>
      <c r="EC246" s="119"/>
      <c r="ED246" s="119"/>
      <c r="EE246" s="119"/>
      <c r="EF246" s="119"/>
      <c r="EG246" s="119"/>
      <c r="EH246" s="119"/>
      <c r="EI246" s="119"/>
      <c r="EJ246" s="119"/>
      <c r="EK246" s="119"/>
      <c r="EL246" s="119"/>
      <c r="EM246" s="119"/>
      <c r="EN246" s="119"/>
      <c r="EO246" s="119"/>
      <c r="EP246" s="119"/>
      <c r="EQ246" s="119"/>
      <c r="ER246" s="119"/>
      <c r="ES246" s="119"/>
      <c r="ET246" s="119"/>
      <c r="EU246" s="119"/>
      <c r="EV246" s="119"/>
      <c r="EW246" s="119"/>
      <c r="EX246" s="119"/>
      <c r="EY246" s="119"/>
      <c r="EZ246" s="119"/>
      <c r="FA246" s="119"/>
      <c r="FB246" s="119"/>
      <c r="FC246" s="119"/>
      <c r="FD246" s="119"/>
      <c r="FE246" s="119"/>
      <c r="FF246" s="119"/>
      <c r="FG246" s="119"/>
      <c r="FH246" s="119"/>
      <c r="FI246" s="119"/>
      <c r="FJ246" s="119"/>
      <c r="FK246" s="119"/>
      <c r="FL246" s="119"/>
      <c r="FM246" s="119"/>
      <c r="FN246" s="119"/>
      <c r="FO246" s="119"/>
      <c r="FP246" s="119"/>
      <c r="FQ246" s="119"/>
      <c r="FR246" s="119"/>
      <c r="FS246" s="119"/>
      <c r="FT246" s="119"/>
      <c r="FU246" s="119"/>
      <c r="FV246" s="119"/>
      <c r="FW246" s="119"/>
      <c r="FX246" s="119"/>
      <c r="FY246" s="119"/>
      <c r="FZ246" s="119"/>
      <c r="GA246" s="119"/>
      <c r="GB246" s="119"/>
      <c r="GC246" s="119"/>
      <c r="GD246" s="119"/>
      <c r="GE246" s="119"/>
      <c r="GF246" s="119"/>
      <c r="GG246" s="119"/>
      <c r="GH246" s="119"/>
      <c r="GI246" s="119"/>
      <c r="GJ246" s="119"/>
    </row>
    <row r="247" spans="1:192" ht="90" x14ac:dyDescent="0.25">
      <c r="A247" s="290" t="s">
        <v>7</v>
      </c>
      <c r="B247" s="164" t="s">
        <v>1084</v>
      </c>
      <c r="C247" s="164" t="s">
        <v>460</v>
      </c>
      <c r="D247" s="168" t="s">
        <v>24</v>
      </c>
      <c r="E247" s="172" t="s">
        <v>1085</v>
      </c>
      <c r="F247" s="62"/>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119"/>
      <c r="AZ247" s="119"/>
      <c r="BA247" s="119"/>
      <c r="BB247" s="119"/>
      <c r="BC247" s="119"/>
      <c r="BD247" s="119"/>
      <c r="BE247" s="119"/>
      <c r="BF247" s="119"/>
      <c r="BG247" s="119"/>
      <c r="BH247" s="119"/>
      <c r="BI247" s="119"/>
      <c r="BJ247" s="119"/>
      <c r="BK247" s="119"/>
      <c r="BL247" s="119"/>
      <c r="BM247" s="119"/>
      <c r="BN247" s="119"/>
      <c r="BO247" s="119"/>
      <c r="BP247" s="119"/>
      <c r="BQ247" s="119"/>
      <c r="BR247" s="119"/>
      <c r="BS247" s="119"/>
      <c r="BT247" s="119"/>
      <c r="BU247" s="119"/>
      <c r="BV247" s="119"/>
      <c r="BW247" s="119"/>
      <c r="BX247" s="119"/>
      <c r="BY247" s="119"/>
      <c r="BZ247" s="119"/>
      <c r="CA247" s="119"/>
      <c r="CB247" s="119"/>
      <c r="CC247" s="119"/>
      <c r="CD247" s="119"/>
      <c r="CE247" s="119"/>
      <c r="CF247" s="119"/>
      <c r="CG247" s="119"/>
      <c r="CH247" s="119"/>
      <c r="CI247" s="119"/>
      <c r="CJ247" s="119"/>
      <c r="CK247" s="119"/>
      <c r="CL247" s="119"/>
      <c r="CM247" s="119"/>
      <c r="CN247" s="119"/>
      <c r="CO247" s="119"/>
      <c r="CP247" s="119"/>
      <c r="CQ247" s="119"/>
      <c r="CR247" s="119"/>
      <c r="CS247" s="119"/>
      <c r="CT247" s="119"/>
      <c r="CU247" s="119"/>
      <c r="CV247" s="119"/>
      <c r="CW247" s="119"/>
      <c r="CX247" s="119"/>
      <c r="CY247" s="119"/>
      <c r="CZ247" s="119"/>
      <c r="DA247" s="119"/>
      <c r="DB247" s="119"/>
      <c r="DC247" s="119"/>
      <c r="DD247" s="119"/>
      <c r="DE247" s="119"/>
      <c r="DF247" s="119"/>
      <c r="DG247" s="119"/>
      <c r="DH247" s="119"/>
      <c r="DI247" s="119"/>
      <c r="DJ247" s="119"/>
      <c r="DK247" s="119"/>
      <c r="DL247" s="119"/>
      <c r="DM247" s="119"/>
      <c r="DN247" s="119"/>
      <c r="DO247" s="119"/>
      <c r="DP247" s="119"/>
      <c r="DQ247" s="119"/>
      <c r="DR247" s="119"/>
      <c r="DS247" s="119"/>
      <c r="DT247" s="119"/>
      <c r="DU247" s="119"/>
      <c r="DV247" s="119"/>
      <c r="DW247" s="119"/>
      <c r="DX247" s="119"/>
      <c r="DY247" s="119"/>
      <c r="DZ247" s="119"/>
      <c r="EA247" s="119"/>
      <c r="EB247" s="119"/>
      <c r="EC247" s="119"/>
      <c r="ED247" s="119"/>
      <c r="EE247" s="119"/>
      <c r="EF247" s="119"/>
      <c r="EG247" s="119"/>
      <c r="EH247" s="119"/>
      <c r="EI247" s="119"/>
      <c r="EJ247" s="119"/>
      <c r="EK247" s="119"/>
      <c r="EL247" s="119"/>
      <c r="EM247" s="119"/>
      <c r="EN247" s="119"/>
      <c r="EO247" s="119"/>
      <c r="EP247" s="119"/>
      <c r="EQ247" s="119"/>
      <c r="ER247" s="119"/>
      <c r="ES247" s="119"/>
      <c r="ET247" s="119"/>
      <c r="EU247" s="119"/>
      <c r="EV247" s="119"/>
      <c r="EW247" s="119"/>
      <c r="EX247" s="119"/>
      <c r="EY247" s="119"/>
      <c r="EZ247" s="119"/>
      <c r="FA247" s="119"/>
      <c r="FB247" s="119"/>
      <c r="FC247" s="119"/>
      <c r="FD247" s="119"/>
      <c r="FE247" s="119"/>
      <c r="FF247" s="119"/>
      <c r="FG247" s="119"/>
      <c r="FH247" s="119"/>
      <c r="FI247" s="119"/>
      <c r="FJ247" s="119"/>
      <c r="FK247" s="119"/>
      <c r="FL247" s="119"/>
      <c r="FM247" s="119"/>
      <c r="FN247" s="119"/>
      <c r="FO247" s="119"/>
      <c r="FP247" s="119"/>
      <c r="FQ247" s="119"/>
      <c r="FR247" s="119"/>
      <c r="FS247" s="119"/>
      <c r="FT247" s="119"/>
      <c r="FU247" s="119"/>
      <c r="FV247" s="119"/>
      <c r="FW247" s="119"/>
      <c r="FX247" s="119"/>
      <c r="FY247" s="119"/>
      <c r="FZ247" s="119"/>
      <c r="GA247" s="119"/>
      <c r="GB247" s="119"/>
      <c r="GC247" s="119"/>
      <c r="GD247" s="119"/>
      <c r="GE247" s="119"/>
      <c r="GF247" s="119"/>
      <c r="GG247" s="119"/>
      <c r="GH247" s="119"/>
      <c r="GI247" s="119"/>
      <c r="GJ247" s="119"/>
    </row>
    <row r="248" spans="1:192" ht="112.5" x14ac:dyDescent="0.25">
      <c r="A248" s="278" t="s">
        <v>461</v>
      </c>
      <c r="B248" s="170" t="s">
        <v>1086</v>
      </c>
      <c r="C248" s="170" t="s">
        <v>462</v>
      </c>
      <c r="D248" s="169" t="s">
        <v>24</v>
      </c>
      <c r="E248" s="170" t="s">
        <v>1087</v>
      </c>
      <c r="F248" s="62"/>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119"/>
      <c r="AZ248" s="119"/>
      <c r="BA248" s="119"/>
      <c r="BB248" s="119"/>
      <c r="BC248" s="119"/>
      <c r="BD248" s="119"/>
      <c r="BE248" s="119"/>
      <c r="BF248" s="119"/>
      <c r="BG248" s="119"/>
      <c r="BH248" s="119"/>
      <c r="BI248" s="119"/>
      <c r="BJ248" s="119"/>
      <c r="BK248" s="119"/>
      <c r="BL248" s="119"/>
      <c r="BM248" s="119"/>
      <c r="BN248" s="119"/>
      <c r="BO248" s="119"/>
      <c r="BP248" s="119"/>
      <c r="BQ248" s="119"/>
      <c r="BR248" s="119"/>
      <c r="BS248" s="119"/>
      <c r="BT248" s="119"/>
      <c r="BU248" s="119"/>
      <c r="BV248" s="119"/>
      <c r="BW248" s="119"/>
      <c r="BX248" s="119"/>
      <c r="BY248" s="119"/>
      <c r="BZ248" s="119"/>
      <c r="CA248" s="119"/>
      <c r="CB248" s="119"/>
      <c r="CC248" s="119"/>
      <c r="CD248" s="119"/>
      <c r="CE248" s="119"/>
      <c r="CF248" s="119"/>
      <c r="CG248" s="119"/>
      <c r="CH248" s="119"/>
      <c r="CI248" s="119"/>
      <c r="CJ248" s="119"/>
      <c r="CK248" s="119"/>
      <c r="CL248" s="119"/>
      <c r="CM248" s="119"/>
      <c r="CN248" s="119"/>
      <c r="CO248" s="119"/>
      <c r="CP248" s="119"/>
      <c r="CQ248" s="119"/>
      <c r="CR248" s="119"/>
      <c r="CS248" s="119"/>
      <c r="CT248" s="119"/>
      <c r="CU248" s="119"/>
      <c r="CV248" s="119"/>
      <c r="CW248" s="119"/>
      <c r="CX248" s="119"/>
      <c r="CY248" s="119"/>
      <c r="CZ248" s="119"/>
      <c r="DA248" s="119"/>
      <c r="DB248" s="119"/>
      <c r="DC248" s="119"/>
      <c r="DD248" s="119"/>
      <c r="DE248" s="119"/>
      <c r="DF248" s="119"/>
      <c r="DG248" s="119"/>
      <c r="DH248" s="119"/>
      <c r="DI248" s="119"/>
      <c r="DJ248" s="119"/>
      <c r="DK248" s="119"/>
      <c r="DL248" s="119"/>
      <c r="DM248" s="119"/>
      <c r="DN248" s="119"/>
      <c r="DO248" s="119"/>
      <c r="DP248" s="119"/>
      <c r="DQ248" s="119"/>
      <c r="DR248" s="119"/>
      <c r="DS248" s="119"/>
      <c r="DT248" s="119"/>
      <c r="DU248" s="119"/>
      <c r="DV248" s="119"/>
      <c r="DW248" s="119"/>
      <c r="DX248" s="119"/>
      <c r="DY248" s="119"/>
      <c r="DZ248" s="119"/>
      <c r="EA248" s="119"/>
      <c r="EB248" s="119"/>
      <c r="EC248" s="119"/>
      <c r="ED248" s="119"/>
      <c r="EE248" s="119"/>
      <c r="EF248" s="119"/>
      <c r="EG248" s="119"/>
      <c r="EH248" s="119"/>
      <c r="EI248" s="119"/>
      <c r="EJ248" s="119"/>
      <c r="EK248" s="119"/>
      <c r="EL248" s="119"/>
      <c r="EM248" s="119"/>
      <c r="EN248" s="119"/>
      <c r="EO248" s="119"/>
      <c r="EP248" s="119"/>
      <c r="EQ248" s="119"/>
      <c r="ER248" s="119"/>
      <c r="ES248" s="119"/>
      <c r="ET248" s="119"/>
      <c r="EU248" s="119"/>
      <c r="EV248" s="119"/>
      <c r="EW248" s="119"/>
      <c r="EX248" s="119"/>
      <c r="EY248" s="119"/>
      <c r="EZ248" s="119"/>
      <c r="FA248" s="119"/>
      <c r="FB248" s="119"/>
      <c r="FC248" s="119"/>
      <c r="FD248" s="119"/>
      <c r="FE248" s="119"/>
      <c r="FF248" s="119"/>
      <c r="FG248" s="119"/>
      <c r="FH248" s="119"/>
      <c r="FI248" s="119"/>
      <c r="FJ248" s="119"/>
      <c r="FK248" s="119"/>
      <c r="FL248" s="119"/>
      <c r="FM248" s="119"/>
      <c r="FN248" s="119"/>
      <c r="FO248" s="119"/>
      <c r="FP248" s="119"/>
      <c r="FQ248" s="119"/>
      <c r="FR248" s="119"/>
      <c r="FS248" s="119"/>
      <c r="FT248" s="119"/>
      <c r="FU248" s="119"/>
      <c r="FV248" s="119"/>
      <c r="FW248" s="119"/>
      <c r="FX248" s="119"/>
      <c r="FY248" s="119"/>
      <c r="FZ248" s="119"/>
      <c r="GA248" s="119"/>
      <c r="GB248" s="119"/>
      <c r="GC248" s="119"/>
      <c r="GD248" s="119"/>
      <c r="GE248" s="119"/>
      <c r="GF248" s="119"/>
      <c r="GG248" s="119"/>
      <c r="GH248" s="119"/>
      <c r="GI248" s="119"/>
      <c r="GJ248" s="119"/>
    </row>
    <row r="249" spans="1:192" ht="22.5" x14ac:dyDescent="0.25">
      <c r="A249" s="278" t="s">
        <v>461</v>
      </c>
      <c r="B249" s="170"/>
      <c r="C249" s="170" t="s">
        <v>463</v>
      </c>
      <c r="D249" s="169" t="s">
        <v>24</v>
      </c>
      <c r="E249" s="173" t="s">
        <v>1088</v>
      </c>
      <c r="F249" s="62"/>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119"/>
      <c r="AZ249" s="119"/>
      <c r="BA249" s="119"/>
      <c r="BB249" s="119"/>
      <c r="BC249" s="119"/>
      <c r="BD249" s="119"/>
      <c r="BE249" s="119"/>
      <c r="BF249" s="119"/>
      <c r="BG249" s="119"/>
      <c r="BH249" s="119"/>
      <c r="BI249" s="119"/>
      <c r="BJ249" s="119"/>
      <c r="BK249" s="119"/>
      <c r="BL249" s="119"/>
      <c r="BM249" s="119"/>
      <c r="BN249" s="119"/>
      <c r="BO249" s="119"/>
      <c r="BP249" s="119"/>
      <c r="BQ249" s="119"/>
      <c r="BR249" s="119"/>
      <c r="BS249" s="119"/>
      <c r="BT249" s="119"/>
      <c r="BU249" s="119"/>
      <c r="BV249" s="119"/>
      <c r="BW249" s="119"/>
      <c r="BX249" s="119"/>
      <c r="BY249" s="119"/>
      <c r="BZ249" s="119"/>
      <c r="CA249" s="119"/>
      <c r="CB249" s="119"/>
      <c r="CC249" s="119"/>
      <c r="CD249" s="119"/>
      <c r="CE249" s="119"/>
      <c r="CF249" s="119"/>
      <c r="CG249" s="119"/>
      <c r="CH249" s="119"/>
      <c r="CI249" s="119"/>
      <c r="CJ249" s="119"/>
      <c r="CK249" s="119"/>
      <c r="CL249" s="119"/>
      <c r="CM249" s="119"/>
      <c r="CN249" s="119"/>
      <c r="CO249" s="119"/>
      <c r="CP249" s="119"/>
      <c r="CQ249" s="119"/>
      <c r="CR249" s="119"/>
      <c r="CS249" s="119"/>
      <c r="CT249" s="119"/>
      <c r="CU249" s="119"/>
      <c r="CV249" s="119"/>
      <c r="CW249" s="119"/>
      <c r="CX249" s="119"/>
      <c r="CY249" s="119"/>
      <c r="CZ249" s="119"/>
      <c r="DA249" s="119"/>
      <c r="DB249" s="119"/>
      <c r="DC249" s="119"/>
      <c r="DD249" s="119"/>
      <c r="DE249" s="119"/>
      <c r="DF249" s="119"/>
      <c r="DG249" s="119"/>
      <c r="DH249" s="119"/>
      <c r="DI249" s="119"/>
      <c r="DJ249" s="119"/>
      <c r="DK249" s="119"/>
      <c r="DL249" s="119"/>
      <c r="DM249" s="119"/>
      <c r="DN249" s="119"/>
      <c r="DO249" s="119"/>
      <c r="DP249" s="119"/>
      <c r="DQ249" s="119"/>
      <c r="DR249" s="119"/>
      <c r="DS249" s="119"/>
      <c r="DT249" s="119"/>
      <c r="DU249" s="119"/>
      <c r="DV249" s="119"/>
      <c r="DW249" s="119"/>
      <c r="DX249" s="119"/>
      <c r="DY249" s="119"/>
      <c r="DZ249" s="119"/>
      <c r="EA249" s="119"/>
      <c r="EB249" s="119"/>
      <c r="EC249" s="119"/>
      <c r="ED249" s="119"/>
      <c r="EE249" s="119"/>
      <c r="EF249" s="119"/>
      <c r="EG249" s="119"/>
      <c r="EH249" s="119"/>
      <c r="EI249" s="119"/>
      <c r="EJ249" s="119"/>
      <c r="EK249" s="119"/>
      <c r="EL249" s="119"/>
      <c r="EM249" s="119"/>
      <c r="EN249" s="119"/>
      <c r="EO249" s="119"/>
      <c r="EP249" s="119"/>
      <c r="EQ249" s="119"/>
      <c r="ER249" s="119"/>
      <c r="ES249" s="119"/>
      <c r="ET249" s="119"/>
      <c r="EU249" s="119"/>
      <c r="EV249" s="119"/>
      <c r="EW249" s="119"/>
      <c r="EX249" s="119"/>
      <c r="EY249" s="119"/>
      <c r="EZ249" s="119"/>
      <c r="FA249" s="119"/>
      <c r="FB249" s="119"/>
      <c r="FC249" s="119"/>
      <c r="FD249" s="119"/>
      <c r="FE249" s="119"/>
      <c r="FF249" s="119"/>
      <c r="FG249" s="119"/>
      <c r="FH249" s="119"/>
      <c r="FI249" s="119"/>
      <c r="FJ249" s="119"/>
      <c r="FK249" s="119"/>
      <c r="FL249" s="119"/>
      <c r="FM249" s="119"/>
      <c r="FN249" s="119"/>
      <c r="FO249" s="119"/>
      <c r="FP249" s="119"/>
      <c r="FQ249" s="119"/>
      <c r="FR249" s="119"/>
      <c r="FS249" s="119"/>
      <c r="FT249" s="119"/>
      <c r="FU249" s="119"/>
      <c r="FV249" s="119"/>
      <c r="FW249" s="119"/>
      <c r="FX249" s="119"/>
      <c r="FY249" s="119"/>
      <c r="FZ249" s="119"/>
      <c r="GA249" s="119"/>
      <c r="GB249" s="119"/>
      <c r="GC249" s="119"/>
      <c r="GD249" s="119"/>
      <c r="GE249" s="119"/>
      <c r="GF249" s="119"/>
      <c r="GG249" s="119"/>
      <c r="GH249" s="119"/>
      <c r="GI249" s="119"/>
      <c r="GJ249" s="119"/>
    </row>
    <row r="250" spans="1:192" ht="101.25" x14ac:dyDescent="0.25">
      <c r="A250" s="278" t="s">
        <v>461</v>
      </c>
      <c r="B250" s="170"/>
      <c r="C250" s="170" t="s">
        <v>464</v>
      </c>
      <c r="D250" s="169" t="s">
        <v>24</v>
      </c>
      <c r="E250" s="170" t="s">
        <v>1089</v>
      </c>
      <c r="F250" s="62"/>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119"/>
      <c r="AZ250" s="119"/>
      <c r="BA250" s="119"/>
      <c r="BB250" s="119"/>
      <c r="BC250" s="119"/>
      <c r="BD250" s="119"/>
      <c r="BE250" s="119"/>
      <c r="BF250" s="119"/>
      <c r="BG250" s="119"/>
      <c r="BH250" s="119"/>
      <c r="BI250" s="119"/>
      <c r="BJ250" s="119"/>
      <c r="BK250" s="119"/>
      <c r="BL250" s="119"/>
      <c r="BM250" s="119"/>
      <c r="BN250" s="119"/>
      <c r="BO250" s="119"/>
      <c r="BP250" s="119"/>
      <c r="BQ250" s="119"/>
      <c r="BR250" s="119"/>
      <c r="BS250" s="119"/>
      <c r="BT250" s="119"/>
      <c r="BU250" s="119"/>
      <c r="BV250" s="119"/>
      <c r="BW250" s="119"/>
      <c r="BX250" s="119"/>
      <c r="BY250" s="119"/>
      <c r="BZ250" s="119"/>
      <c r="CA250" s="119"/>
      <c r="CB250" s="119"/>
      <c r="CC250" s="119"/>
      <c r="CD250" s="119"/>
      <c r="CE250" s="119"/>
      <c r="CF250" s="119"/>
      <c r="CG250" s="119"/>
      <c r="CH250" s="119"/>
      <c r="CI250" s="119"/>
      <c r="CJ250" s="119"/>
      <c r="CK250" s="119"/>
      <c r="CL250" s="119"/>
      <c r="CM250" s="119"/>
      <c r="CN250" s="119"/>
      <c r="CO250" s="119"/>
      <c r="CP250" s="119"/>
      <c r="CQ250" s="119"/>
      <c r="CR250" s="119"/>
      <c r="CS250" s="119"/>
      <c r="CT250" s="119"/>
      <c r="CU250" s="119"/>
      <c r="CV250" s="119"/>
      <c r="CW250" s="119"/>
      <c r="CX250" s="119"/>
      <c r="CY250" s="119"/>
      <c r="CZ250" s="119"/>
      <c r="DA250" s="119"/>
      <c r="DB250" s="119"/>
      <c r="DC250" s="119"/>
      <c r="DD250" s="119"/>
      <c r="DE250" s="119"/>
      <c r="DF250" s="119"/>
      <c r="DG250" s="119"/>
      <c r="DH250" s="119"/>
      <c r="DI250" s="119"/>
      <c r="DJ250" s="119"/>
      <c r="DK250" s="119"/>
      <c r="DL250" s="119"/>
      <c r="DM250" s="119"/>
      <c r="DN250" s="119"/>
      <c r="DO250" s="119"/>
      <c r="DP250" s="119"/>
      <c r="DQ250" s="119"/>
      <c r="DR250" s="119"/>
      <c r="DS250" s="119"/>
      <c r="DT250" s="119"/>
      <c r="DU250" s="119"/>
      <c r="DV250" s="119"/>
      <c r="DW250" s="119"/>
      <c r="DX250" s="119"/>
      <c r="DY250" s="119"/>
      <c r="DZ250" s="119"/>
      <c r="EA250" s="119"/>
      <c r="EB250" s="119"/>
      <c r="EC250" s="119"/>
      <c r="ED250" s="119"/>
      <c r="EE250" s="119"/>
      <c r="EF250" s="119"/>
      <c r="EG250" s="119"/>
      <c r="EH250" s="119"/>
      <c r="EI250" s="119"/>
      <c r="EJ250" s="119"/>
      <c r="EK250" s="119"/>
      <c r="EL250" s="119"/>
      <c r="EM250" s="119"/>
      <c r="EN250" s="119"/>
      <c r="EO250" s="119"/>
      <c r="EP250" s="119"/>
      <c r="EQ250" s="119"/>
      <c r="ER250" s="119"/>
      <c r="ES250" s="119"/>
      <c r="ET250" s="119"/>
      <c r="EU250" s="119"/>
      <c r="EV250" s="119"/>
      <c r="EW250" s="119"/>
      <c r="EX250" s="119"/>
      <c r="EY250" s="119"/>
      <c r="EZ250" s="119"/>
      <c r="FA250" s="119"/>
      <c r="FB250" s="119"/>
      <c r="FC250" s="119"/>
      <c r="FD250" s="119"/>
      <c r="FE250" s="119"/>
      <c r="FF250" s="119"/>
      <c r="FG250" s="119"/>
      <c r="FH250" s="119"/>
      <c r="FI250" s="119"/>
      <c r="FJ250" s="119"/>
      <c r="FK250" s="119"/>
      <c r="FL250" s="119"/>
      <c r="FM250" s="119"/>
      <c r="FN250" s="119"/>
      <c r="FO250" s="119"/>
      <c r="FP250" s="119"/>
      <c r="FQ250" s="119"/>
      <c r="FR250" s="119"/>
      <c r="FS250" s="119"/>
      <c r="FT250" s="119"/>
      <c r="FU250" s="119"/>
      <c r="FV250" s="119"/>
      <c r="FW250" s="119"/>
      <c r="FX250" s="119"/>
      <c r="FY250" s="119"/>
      <c r="FZ250" s="119"/>
      <c r="GA250" s="119"/>
      <c r="GB250" s="119"/>
      <c r="GC250" s="119"/>
      <c r="GD250" s="119"/>
      <c r="GE250" s="119"/>
      <c r="GF250" s="119"/>
      <c r="GG250" s="119"/>
      <c r="GH250" s="119"/>
      <c r="GI250" s="119"/>
      <c r="GJ250" s="119"/>
    </row>
    <row r="251" spans="1:192" ht="56.25" x14ac:dyDescent="0.25">
      <c r="A251" s="278" t="s">
        <v>461</v>
      </c>
      <c r="B251" s="170"/>
      <c r="C251" s="170" t="s">
        <v>465</v>
      </c>
      <c r="D251" s="169" t="s">
        <v>24</v>
      </c>
      <c r="E251" s="170" t="s">
        <v>1090</v>
      </c>
      <c r="F251" s="63"/>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119"/>
      <c r="AZ251" s="119"/>
      <c r="BA251" s="119"/>
      <c r="BB251" s="119"/>
      <c r="BC251" s="119"/>
      <c r="BD251" s="119"/>
      <c r="BE251" s="119"/>
      <c r="BF251" s="119"/>
      <c r="BG251" s="119"/>
      <c r="BH251" s="119"/>
      <c r="BI251" s="119"/>
      <c r="BJ251" s="119"/>
      <c r="BK251" s="119"/>
      <c r="BL251" s="119"/>
      <c r="BM251" s="119"/>
      <c r="BN251" s="119"/>
      <c r="BO251" s="119"/>
      <c r="BP251" s="119"/>
      <c r="BQ251" s="119"/>
      <c r="BR251" s="119"/>
      <c r="BS251" s="119"/>
      <c r="BT251" s="119"/>
      <c r="BU251" s="119"/>
      <c r="BV251" s="119"/>
      <c r="BW251" s="119"/>
      <c r="BX251" s="119"/>
      <c r="BY251" s="119"/>
      <c r="BZ251" s="119"/>
      <c r="CA251" s="119"/>
      <c r="CB251" s="119"/>
      <c r="CC251" s="119"/>
      <c r="CD251" s="119"/>
      <c r="CE251" s="119"/>
      <c r="CF251" s="119"/>
      <c r="CG251" s="119"/>
      <c r="CH251" s="119"/>
      <c r="CI251" s="119"/>
      <c r="CJ251" s="119"/>
      <c r="CK251" s="119"/>
      <c r="CL251" s="119"/>
      <c r="CM251" s="119"/>
      <c r="CN251" s="119"/>
      <c r="CO251" s="119"/>
      <c r="CP251" s="119"/>
      <c r="CQ251" s="119"/>
      <c r="CR251" s="119"/>
      <c r="CS251" s="119"/>
      <c r="CT251" s="119"/>
      <c r="CU251" s="119"/>
      <c r="CV251" s="119"/>
      <c r="CW251" s="119"/>
      <c r="CX251" s="119"/>
      <c r="CY251" s="119"/>
      <c r="CZ251" s="119"/>
      <c r="DA251" s="119"/>
      <c r="DB251" s="119"/>
      <c r="DC251" s="119"/>
      <c r="DD251" s="119"/>
      <c r="DE251" s="119"/>
      <c r="DF251" s="119"/>
      <c r="DG251" s="119"/>
      <c r="DH251" s="119"/>
      <c r="DI251" s="119"/>
      <c r="DJ251" s="119"/>
      <c r="DK251" s="119"/>
      <c r="DL251" s="119"/>
      <c r="DM251" s="119"/>
      <c r="DN251" s="119"/>
      <c r="DO251" s="119"/>
      <c r="DP251" s="119"/>
      <c r="DQ251" s="119"/>
      <c r="DR251" s="119"/>
      <c r="DS251" s="119"/>
      <c r="DT251" s="119"/>
      <c r="DU251" s="119"/>
      <c r="DV251" s="119"/>
      <c r="DW251" s="119"/>
      <c r="DX251" s="119"/>
      <c r="DY251" s="119"/>
      <c r="DZ251" s="119"/>
      <c r="EA251" s="119"/>
      <c r="EB251" s="119"/>
      <c r="EC251" s="119"/>
      <c r="ED251" s="119"/>
      <c r="EE251" s="119"/>
      <c r="EF251" s="119"/>
      <c r="EG251" s="119"/>
      <c r="EH251" s="119"/>
      <c r="EI251" s="119"/>
      <c r="EJ251" s="119"/>
      <c r="EK251" s="119"/>
      <c r="EL251" s="119"/>
      <c r="EM251" s="119"/>
      <c r="EN251" s="119"/>
      <c r="EO251" s="119"/>
      <c r="EP251" s="119"/>
      <c r="EQ251" s="119"/>
      <c r="ER251" s="119"/>
      <c r="ES251" s="119"/>
      <c r="ET251" s="119"/>
      <c r="EU251" s="119"/>
      <c r="EV251" s="119"/>
      <c r="EW251" s="119"/>
      <c r="EX251" s="119"/>
      <c r="EY251" s="119"/>
      <c r="EZ251" s="119"/>
      <c r="FA251" s="119"/>
      <c r="FB251" s="119"/>
      <c r="FC251" s="119"/>
      <c r="FD251" s="119"/>
      <c r="FE251" s="119"/>
      <c r="FF251" s="119"/>
      <c r="FG251" s="119"/>
      <c r="FH251" s="119"/>
      <c r="FI251" s="119"/>
      <c r="FJ251" s="119"/>
      <c r="FK251" s="119"/>
      <c r="FL251" s="119"/>
      <c r="FM251" s="119"/>
      <c r="FN251" s="119"/>
      <c r="FO251" s="119"/>
      <c r="FP251" s="119"/>
      <c r="FQ251" s="119"/>
      <c r="FR251" s="119"/>
      <c r="FS251" s="119"/>
      <c r="FT251" s="119"/>
      <c r="FU251" s="119"/>
      <c r="FV251" s="119"/>
      <c r="FW251" s="119"/>
      <c r="FX251" s="119"/>
      <c r="FY251" s="119"/>
      <c r="FZ251" s="119"/>
      <c r="GA251" s="119"/>
      <c r="GB251" s="119"/>
      <c r="GC251" s="119"/>
      <c r="GD251" s="119"/>
      <c r="GE251" s="119"/>
      <c r="GF251" s="119"/>
      <c r="GG251" s="119"/>
      <c r="GH251" s="119"/>
      <c r="GI251" s="119"/>
      <c r="GJ251" s="119"/>
    </row>
    <row r="252" spans="1:192" ht="67.5" x14ac:dyDescent="0.25">
      <c r="A252" s="278" t="s">
        <v>461</v>
      </c>
      <c r="B252" s="164" t="s">
        <v>1091</v>
      </c>
      <c r="C252" s="164" t="s">
        <v>466</v>
      </c>
      <c r="D252" s="168" t="s">
        <v>24</v>
      </c>
      <c r="E252" s="172" t="s">
        <v>1091</v>
      </c>
      <c r="F252" s="62"/>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119"/>
      <c r="AZ252" s="119"/>
      <c r="BA252" s="119"/>
      <c r="BB252" s="119"/>
      <c r="BC252" s="119"/>
      <c r="BD252" s="119"/>
      <c r="BE252" s="119"/>
      <c r="BF252" s="119"/>
      <c r="BG252" s="119"/>
      <c r="BH252" s="119"/>
      <c r="BI252" s="119"/>
      <c r="BJ252" s="119"/>
      <c r="BK252" s="119"/>
      <c r="BL252" s="119"/>
      <c r="BM252" s="119"/>
      <c r="BN252" s="119"/>
      <c r="BO252" s="119"/>
      <c r="BP252" s="119"/>
      <c r="BQ252" s="119"/>
      <c r="BR252" s="119"/>
      <c r="BS252" s="119"/>
      <c r="BT252" s="119"/>
      <c r="BU252" s="119"/>
      <c r="BV252" s="119"/>
      <c r="BW252" s="119"/>
      <c r="BX252" s="119"/>
      <c r="BY252" s="119"/>
      <c r="BZ252" s="119"/>
      <c r="CA252" s="119"/>
      <c r="CB252" s="119"/>
      <c r="CC252" s="119"/>
      <c r="CD252" s="119"/>
      <c r="CE252" s="119"/>
      <c r="CF252" s="119"/>
      <c r="CG252" s="119"/>
      <c r="CH252" s="119"/>
      <c r="CI252" s="119"/>
      <c r="CJ252" s="119"/>
      <c r="CK252" s="119"/>
      <c r="CL252" s="119"/>
      <c r="CM252" s="119"/>
      <c r="CN252" s="119"/>
      <c r="CO252" s="119"/>
      <c r="CP252" s="119"/>
      <c r="CQ252" s="119"/>
      <c r="CR252" s="119"/>
      <c r="CS252" s="119"/>
      <c r="CT252" s="119"/>
      <c r="CU252" s="119"/>
      <c r="CV252" s="119"/>
      <c r="CW252" s="119"/>
      <c r="CX252" s="119"/>
      <c r="CY252" s="119"/>
      <c r="CZ252" s="119"/>
      <c r="DA252" s="119"/>
      <c r="DB252" s="119"/>
      <c r="DC252" s="119"/>
      <c r="DD252" s="119"/>
      <c r="DE252" s="119"/>
      <c r="DF252" s="119"/>
      <c r="DG252" s="119"/>
      <c r="DH252" s="119"/>
      <c r="DI252" s="119"/>
      <c r="DJ252" s="119"/>
      <c r="DK252" s="119"/>
      <c r="DL252" s="119"/>
      <c r="DM252" s="119"/>
      <c r="DN252" s="119"/>
      <c r="DO252" s="119"/>
      <c r="DP252" s="119"/>
      <c r="DQ252" s="119"/>
      <c r="DR252" s="119"/>
      <c r="DS252" s="119"/>
      <c r="DT252" s="119"/>
      <c r="DU252" s="119"/>
      <c r="DV252" s="119"/>
      <c r="DW252" s="119"/>
      <c r="DX252" s="119"/>
      <c r="DY252" s="119"/>
      <c r="DZ252" s="119"/>
      <c r="EA252" s="119"/>
      <c r="EB252" s="119"/>
      <c r="EC252" s="119"/>
      <c r="ED252" s="119"/>
      <c r="EE252" s="119"/>
      <c r="EF252" s="119"/>
      <c r="EG252" s="119"/>
      <c r="EH252" s="119"/>
      <c r="EI252" s="119"/>
      <c r="EJ252" s="119"/>
      <c r="EK252" s="119"/>
      <c r="EL252" s="119"/>
      <c r="EM252" s="119"/>
      <c r="EN252" s="119"/>
      <c r="EO252" s="119"/>
      <c r="EP252" s="119"/>
      <c r="EQ252" s="119"/>
      <c r="ER252" s="119"/>
      <c r="ES252" s="119"/>
      <c r="ET252" s="119"/>
      <c r="EU252" s="119"/>
      <c r="EV252" s="119"/>
      <c r="EW252" s="119"/>
      <c r="EX252" s="119"/>
      <c r="EY252" s="119"/>
      <c r="EZ252" s="119"/>
      <c r="FA252" s="119"/>
      <c r="FB252" s="119"/>
      <c r="FC252" s="119"/>
      <c r="FD252" s="119"/>
      <c r="FE252" s="119"/>
      <c r="FF252" s="119"/>
      <c r="FG252" s="119"/>
      <c r="FH252" s="119"/>
      <c r="FI252" s="119"/>
      <c r="FJ252" s="119"/>
      <c r="FK252" s="119"/>
      <c r="FL252" s="119"/>
      <c r="FM252" s="119"/>
      <c r="FN252" s="119"/>
      <c r="FO252" s="119"/>
      <c r="FP252" s="119"/>
      <c r="FQ252" s="119"/>
      <c r="FR252" s="119"/>
      <c r="FS252" s="119"/>
      <c r="FT252" s="119"/>
      <c r="FU252" s="119"/>
      <c r="FV252" s="119"/>
      <c r="FW252" s="119"/>
      <c r="FX252" s="119"/>
      <c r="FY252" s="119"/>
      <c r="FZ252" s="119"/>
      <c r="GA252" s="119"/>
      <c r="GB252" s="119"/>
      <c r="GC252" s="119"/>
      <c r="GD252" s="119"/>
      <c r="GE252" s="119"/>
      <c r="GF252" s="119"/>
      <c r="GG252" s="119"/>
      <c r="GH252" s="119"/>
      <c r="GI252" s="119"/>
      <c r="GJ252" s="119"/>
    </row>
    <row r="253" spans="1:192" ht="78.75" x14ac:dyDescent="0.25">
      <c r="A253" s="278" t="s">
        <v>461</v>
      </c>
      <c r="B253" s="170" t="s">
        <v>1092</v>
      </c>
      <c r="C253" s="170" t="s">
        <v>467</v>
      </c>
      <c r="D253" s="169" t="s">
        <v>24</v>
      </c>
      <c r="E253" s="170" t="s">
        <v>1093</v>
      </c>
      <c r="F253" s="63"/>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119"/>
      <c r="AZ253" s="119"/>
      <c r="BA253" s="119"/>
      <c r="BB253" s="119"/>
      <c r="BC253" s="119"/>
      <c r="BD253" s="119"/>
      <c r="BE253" s="119"/>
      <c r="BF253" s="119"/>
      <c r="BG253" s="119"/>
      <c r="BH253" s="119"/>
      <c r="BI253" s="119"/>
      <c r="BJ253" s="119"/>
      <c r="BK253" s="119"/>
      <c r="BL253" s="119"/>
      <c r="BM253" s="119"/>
      <c r="BN253" s="119"/>
      <c r="BO253" s="119"/>
      <c r="BP253" s="119"/>
      <c r="BQ253" s="119"/>
      <c r="BR253" s="119"/>
      <c r="BS253" s="119"/>
      <c r="BT253" s="119"/>
      <c r="BU253" s="119"/>
      <c r="BV253" s="119"/>
      <c r="BW253" s="119"/>
      <c r="BX253" s="119"/>
      <c r="BY253" s="119"/>
      <c r="BZ253" s="119"/>
      <c r="CA253" s="119"/>
      <c r="CB253" s="119"/>
      <c r="CC253" s="119"/>
      <c r="CD253" s="119"/>
      <c r="CE253" s="119"/>
      <c r="CF253" s="119"/>
      <c r="CG253" s="119"/>
      <c r="CH253" s="119"/>
      <c r="CI253" s="119"/>
      <c r="CJ253" s="119"/>
      <c r="CK253" s="119"/>
      <c r="CL253" s="119"/>
      <c r="CM253" s="119"/>
      <c r="CN253" s="119"/>
      <c r="CO253" s="119"/>
      <c r="CP253" s="119"/>
      <c r="CQ253" s="119"/>
      <c r="CR253" s="119"/>
      <c r="CS253" s="119"/>
      <c r="CT253" s="119"/>
      <c r="CU253" s="119"/>
      <c r="CV253" s="119"/>
      <c r="CW253" s="119"/>
      <c r="CX253" s="119"/>
      <c r="CY253" s="119"/>
      <c r="CZ253" s="119"/>
      <c r="DA253" s="119"/>
      <c r="DB253" s="119"/>
      <c r="DC253" s="119"/>
      <c r="DD253" s="119"/>
      <c r="DE253" s="119"/>
      <c r="DF253" s="119"/>
      <c r="DG253" s="119"/>
      <c r="DH253" s="119"/>
      <c r="DI253" s="119"/>
      <c r="DJ253" s="119"/>
      <c r="DK253" s="119"/>
      <c r="DL253" s="119"/>
      <c r="DM253" s="119"/>
      <c r="DN253" s="119"/>
      <c r="DO253" s="119"/>
      <c r="DP253" s="119"/>
      <c r="DQ253" s="119"/>
      <c r="DR253" s="119"/>
      <c r="DS253" s="119"/>
      <c r="DT253" s="119"/>
      <c r="DU253" s="119"/>
      <c r="DV253" s="119"/>
      <c r="DW253" s="119"/>
      <c r="DX253" s="119"/>
      <c r="DY253" s="119"/>
      <c r="DZ253" s="119"/>
      <c r="EA253" s="119"/>
      <c r="EB253" s="119"/>
      <c r="EC253" s="119"/>
      <c r="ED253" s="119"/>
      <c r="EE253" s="119"/>
      <c r="EF253" s="119"/>
      <c r="EG253" s="119"/>
      <c r="EH253" s="119"/>
      <c r="EI253" s="119"/>
      <c r="EJ253" s="119"/>
      <c r="EK253" s="119"/>
      <c r="EL253" s="119"/>
      <c r="EM253" s="119"/>
      <c r="EN253" s="119"/>
      <c r="EO253" s="119"/>
      <c r="EP253" s="119"/>
      <c r="EQ253" s="119"/>
      <c r="ER253" s="119"/>
      <c r="ES253" s="119"/>
      <c r="ET253" s="119"/>
      <c r="EU253" s="119"/>
      <c r="EV253" s="119"/>
      <c r="EW253" s="119"/>
      <c r="EX253" s="119"/>
      <c r="EY253" s="119"/>
      <c r="EZ253" s="119"/>
      <c r="FA253" s="119"/>
      <c r="FB253" s="119"/>
      <c r="FC253" s="119"/>
      <c r="FD253" s="119"/>
      <c r="FE253" s="119"/>
      <c r="FF253" s="119"/>
      <c r="FG253" s="119"/>
      <c r="FH253" s="119"/>
      <c r="FI253" s="119"/>
      <c r="FJ253" s="119"/>
      <c r="FK253" s="119"/>
      <c r="FL253" s="119"/>
      <c r="FM253" s="119"/>
      <c r="FN253" s="119"/>
      <c r="FO253" s="119"/>
      <c r="FP253" s="119"/>
      <c r="FQ253" s="119"/>
      <c r="FR253" s="119"/>
      <c r="FS253" s="119"/>
      <c r="FT253" s="119"/>
      <c r="FU253" s="119"/>
      <c r="FV253" s="119"/>
      <c r="FW253" s="119"/>
      <c r="FX253" s="119"/>
      <c r="FY253" s="119"/>
      <c r="FZ253" s="119"/>
      <c r="GA253" s="119"/>
      <c r="GB253" s="119"/>
      <c r="GC253" s="119"/>
      <c r="GD253" s="119"/>
      <c r="GE253" s="119"/>
      <c r="GF253" s="119"/>
      <c r="GG253" s="119"/>
      <c r="GH253" s="119"/>
      <c r="GI253" s="119"/>
      <c r="GJ253" s="119"/>
    </row>
    <row r="254" spans="1:192" ht="56.25" x14ac:dyDescent="0.25">
      <c r="A254" s="278" t="s">
        <v>461</v>
      </c>
      <c r="B254" s="164" t="s">
        <v>471</v>
      </c>
      <c r="C254" s="164" t="s">
        <v>468</v>
      </c>
      <c r="D254" s="168" t="s">
        <v>24</v>
      </c>
      <c r="E254" s="164" t="s">
        <v>1094</v>
      </c>
      <c r="F254" s="62"/>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119"/>
      <c r="AZ254" s="119"/>
      <c r="BA254" s="119"/>
      <c r="BB254" s="119"/>
      <c r="BC254" s="119"/>
      <c r="BD254" s="119"/>
      <c r="BE254" s="119"/>
      <c r="BF254" s="119"/>
      <c r="BG254" s="119"/>
      <c r="BH254" s="119"/>
      <c r="BI254" s="119"/>
      <c r="BJ254" s="119"/>
      <c r="BK254" s="119"/>
      <c r="BL254" s="119"/>
      <c r="BM254" s="119"/>
      <c r="BN254" s="119"/>
      <c r="BO254" s="119"/>
      <c r="BP254" s="119"/>
      <c r="BQ254" s="119"/>
      <c r="BR254" s="119"/>
      <c r="BS254" s="119"/>
      <c r="BT254" s="119"/>
      <c r="BU254" s="119"/>
      <c r="BV254" s="119"/>
      <c r="BW254" s="119"/>
      <c r="BX254" s="119"/>
      <c r="BY254" s="119"/>
      <c r="BZ254" s="119"/>
      <c r="CA254" s="119"/>
      <c r="CB254" s="119"/>
      <c r="CC254" s="119"/>
      <c r="CD254" s="119"/>
      <c r="CE254" s="119"/>
      <c r="CF254" s="119"/>
      <c r="CG254" s="119"/>
      <c r="CH254" s="119"/>
      <c r="CI254" s="119"/>
      <c r="CJ254" s="119"/>
      <c r="CK254" s="119"/>
      <c r="CL254" s="119"/>
      <c r="CM254" s="119"/>
      <c r="CN254" s="119"/>
      <c r="CO254" s="119"/>
      <c r="CP254" s="119"/>
      <c r="CQ254" s="119"/>
      <c r="CR254" s="119"/>
      <c r="CS254" s="119"/>
      <c r="CT254" s="119"/>
      <c r="CU254" s="119"/>
      <c r="CV254" s="119"/>
      <c r="CW254" s="119"/>
      <c r="CX254" s="119"/>
      <c r="CY254" s="119"/>
      <c r="CZ254" s="119"/>
      <c r="DA254" s="119"/>
      <c r="DB254" s="119"/>
      <c r="DC254" s="119"/>
      <c r="DD254" s="119"/>
      <c r="DE254" s="119"/>
      <c r="DF254" s="119"/>
      <c r="DG254" s="119"/>
      <c r="DH254" s="119"/>
      <c r="DI254" s="119"/>
      <c r="DJ254" s="119"/>
      <c r="DK254" s="119"/>
      <c r="DL254" s="119"/>
      <c r="DM254" s="119"/>
      <c r="DN254" s="119"/>
      <c r="DO254" s="119"/>
      <c r="DP254" s="119"/>
      <c r="DQ254" s="119"/>
      <c r="DR254" s="119"/>
      <c r="DS254" s="119"/>
      <c r="DT254" s="119"/>
      <c r="DU254" s="119"/>
      <c r="DV254" s="119"/>
      <c r="DW254" s="119"/>
      <c r="DX254" s="119"/>
      <c r="DY254" s="119"/>
      <c r="DZ254" s="119"/>
      <c r="EA254" s="119"/>
      <c r="EB254" s="119"/>
      <c r="EC254" s="119"/>
      <c r="ED254" s="119"/>
      <c r="EE254" s="119"/>
      <c r="EF254" s="119"/>
      <c r="EG254" s="119"/>
      <c r="EH254" s="119"/>
      <c r="EI254" s="119"/>
      <c r="EJ254" s="119"/>
      <c r="EK254" s="119"/>
      <c r="EL254" s="119"/>
      <c r="EM254" s="119"/>
      <c r="EN254" s="119"/>
      <c r="EO254" s="119"/>
      <c r="EP254" s="119"/>
      <c r="EQ254" s="119"/>
      <c r="ER254" s="119"/>
      <c r="ES254" s="119"/>
      <c r="ET254" s="119"/>
      <c r="EU254" s="119"/>
      <c r="EV254" s="119"/>
      <c r="EW254" s="119"/>
      <c r="EX254" s="119"/>
      <c r="EY254" s="119"/>
      <c r="EZ254" s="119"/>
      <c r="FA254" s="119"/>
      <c r="FB254" s="119"/>
      <c r="FC254" s="119"/>
      <c r="FD254" s="119"/>
      <c r="FE254" s="119"/>
      <c r="FF254" s="119"/>
      <c r="FG254" s="119"/>
      <c r="FH254" s="119"/>
      <c r="FI254" s="119"/>
      <c r="FJ254" s="119"/>
      <c r="FK254" s="119"/>
      <c r="FL254" s="119"/>
      <c r="FM254" s="119"/>
      <c r="FN254" s="119"/>
      <c r="FO254" s="119"/>
      <c r="FP254" s="119"/>
      <c r="FQ254" s="119"/>
      <c r="FR254" s="119"/>
      <c r="FS254" s="119"/>
      <c r="FT254" s="119"/>
      <c r="FU254" s="119"/>
      <c r="FV254" s="119"/>
      <c r="FW254" s="119"/>
      <c r="FX254" s="119"/>
      <c r="FY254" s="119"/>
      <c r="FZ254" s="119"/>
      <c r="GA254" s="119"/>
      <c r="GB254" s="119"/>
      <c r="GC254" s="119"/>
      <c r="GD254" s="119"/>
      <c r="GE254" s="119"/>
      <c r="GF254" s="119"/>
      <c r="GG254" s="119"/>
      <c r="GH254" s="119"/>
      <c r="GI254" s="119"/>
      <c r="GJ254" s="119"/>
    </row>
    <row r="255" spans="1:192" ht="56.25" x14ac:dyDescent="0.25">
      <c r="A255" s="278" t="s">
        <v>461</v>
      </c>
      <c r="B255" s="170" t="s">
        <v>1095</v>
      </c>
      <c r="C255" s="170" t="s">
        <v>469</v>
      </c>
      <c r="D255" s="169" t="s">
        <v>24</v>
      </c>
      <c r="E255" s="170" t="s">
        <v>1096</v>
      </c>
      <c r="F255" s="63"/>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119"/>
      <c r="AZ255" s="119"/>
      <c r="BA255" s="119"/>
      <c r="BB255" s="119"/>
      <c r="BC255" s="119"/>
      <c r="BD255" s="119"/>
      <c r="BE255" s="119"/>
      <c r="BF255" s="119"/>
      <c r="BG255" s="119"/>
      <c r="BH255" s="119"/>
      <c r="BI255" s="119"/>
      <c r="BJ255" s="119"/>
      <c r="BK255" s="119"/>
      <c r="BL255" s="119"/>
      <c r="BM255" s="119"/>
      <c r="BN255" s="119"/>
      <c r="BO255" s="119"/>
      <c r="BP255" s="119"/>
      <c r="BQ255" s="119"/>
      <c r="BR255" s="119"/>
      <c r="BS255" s="119"/>
      <c r="BT255" s="119"/>
      <c r="BU255" s="119"/>
      <c r="BV255" s="119"/>
      <c r="BW255" s="119"/>
      <c r="BX255" s="119"/>
      <c r="BY255" s="119"/>
      <c r="BZ255" s="119"/>
      <c r="CA255" s="119"/>
      <c r="CB255" s="119"/>
      <c r="CC255" s="119"/>
      <c r="CD255" s="119"/>
      <c r="CE255" s="119"/>
      <c r="CF255" s="119"/>
      <c r="CG255" s="119"/>
      <c r="CH255" s="119"/>
      <c r="CI255" s="119"/>
      <c r="CJ255" s="119"/>
      <c r="CK255" s="119"/>
      <c r="CL255" s="119"/>
      <c r="CM255" s="119"/>
      <c r="CN255" s="119"/>
      <c r="CO255" s="119"/>
      <c r="CP255" s="119"/>
      <c r="CQ255" s="119"/>
      <c r="CR255" s="119"/>
      <c r="CS255" s="119"/>
      <c r="CT255" s="119"/>
      <c r="CU255" s="119"/>
      <c r="CV255" s="119"/>
      <c r="CW255" s="119"/>
      <c r="CX255" s="119"/>
      <c r="CY255" s="119"/>
      <c r="CZ255" s="119"/>
      <c r="DA255" s="119"/>
      <c r="DB255" s="119"/>
      <c r="DC255" s="119"/>
      <c r="DD255" s="119"/>
      <c r="DE255" s="119"/>
      <c r="DF255" s="119"/>
      <c r="DG255" s="119"/>
      <c r="DH255" s="119"/>
      <c r="DI255" s="119"/>
      <c r="DJ255" s="119"/>
      <c r="DK255" s="119"/>
      <c r="DL255" s="119"/>
      <c r="DM255" s="119"/>
      <c r="DN255" s="119"/>
      <c r="DO255" s="119"/>
      <c r="DP255" s="119"/>
      <c r="DQ255" s="119"/>
      <c r="DR255" s="119"/>
      <c r="DS255" s="119"/>
      <c r="DT255" s="119"/>
      <c r="DU255" s="119"/>
      <c r="DV255" s="119"/>
      <c r="DW255" s="119"/>
      <c r="DX255" s="119"/>
      <c r="DY255" s="119"/>
      <c r="DZ255" s="119"/>
      <c r="EA255" s="119"/>
      <c r="EB255" s="119"/>
      <c r="EC255" s="119"/>
      <c r="ED255" s="119"/>
      <c r="EE255" s="119"/>
      <c r="EF255" s="119"/>
      <c r="EG255" s="119"/>
      <c r="EH255" s="119"/>
      <c r="EI255" s="119"/>
      <c r="EJ255" s="119"/>
      <c r="EK255" s="119"/>
      <c r="EL255" s="119"/>
      <c r="EM255" s="119"/>
      <c r="EN255" s="119"/>
      <c r="EO255" s="119"/>
      <c r="EP255" s="119"/>
      <c r="EQ255" s="119"/>
      <c r="ER255" s="119"/>
      <c r="ES255" s="119"/>
      <c r="ET255" s="119"/>
      <c r="EU255" s="119"/>
      <c r="EV255" s="119"/>
      <c r="EW255" s="119"/>
      <c r="EX255" s="119"/>
      <c r="EY255" s="119"/>
      <c r="EZ255" s="119"/>
      <c r="FA255" s="119"/>
      <c r="FB255" s="119"/>
      <c r="FC255" s="119"/>
      <c r="FD255" s="119"/>
      <c r="FE255" s="119"/>
      <c r="FF255" s="119"/>
      <c r="FG255" s="119"/>
      <c r="FH255" s="119"/>
      <c r="FI255" s="119"/>
      <c r="FJ255" s="119"/>
      <c r="FK255" s="119"/>
      <c r="FL255" s="119"/>
      <c r="FM255" s="119"/>
      <c r="FN255" s="119"/>
      <c r="FO255" s="119"/>
      <c r="FP255" s="119"/>
      <c r="FQ255" s="119"/>
      <c r="FR255" s="119"/>
      <c r="FS255" s="119"/>
      <c r="FT255" s="119"/>
      <c r="FU255" s="119"/>
      <c r="FV255" s="119"/>
      <c r="FW255" s="119"/>
      <c r="FX255" s="119"/>
      <c r="FY255" s="119"/>
      <c r="FZ255" s="119"/>
      <c r="GA255" s="119"/>
      <c r="GB255" s="119"/>
      <c r="GC255" s="119"/>
      <c r="GD255" s="119"/>
      <c r="GE255" s="119"/>
      <c r="GF255" s="119"/>
      <c r="GG255" s="119"/>
      <c r="GH255" s="119"/>
      <c r="GI255" s="119"/>
      <c r="GJ255" s="119"/>
    </row>
    <row r="256" spans="1:192" ht="78.75" x14ac:dyDescent="0.25">
      <c r="A256" s="278" t="s">
        <v>461</v>
      </c>
      <c r="B256" s="164" t="s">
        <v>1097</v>
      </c>
      <c r="C256" s="164" t="s">
        <v>470</v>
      </c>
      <c r="D256" s="168" t="s">
        <v>24</v>
      </c>
      <c r="E256" s="164" t="s">
        <v>1098</v>
      </c>
      <c r="F256" s="62"/>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119"/>
      <c r="AZ256" s="119"/>
      <c r="BA256" s="119"/>
      <c r="BB256" s="119"/>
      <c r="BC256" s="119"/>
      <c r="BD256" s="119"/>
      <c r="BE256" s="119"/>
      <c r="BF256" s="119"/>
      <c r="BG256" s="119"/>
      <c r="BH256" s="119"/>
      <c r="BI256" s="119"/>
      <c r="BJ256" s="119"/>
      <c r="BK256" s="119"/>
      <c r="BL256" s="119"/>
      <c r="BM256" s="119"/>
      <c r="BN256" s="119"/>
      <c r="BO256" s="119"/>
      <c r="BP256" s="119"/>
      <c r="BQ256" s="119"/>
      <c r="BR256" s="119"/>
      <c r="BS256" s="119"/>
      <c r="BT256" s="119"/>
      <c r="BU256" s="119"/>
      <c r="BV256" s="119"/>
      <c r="BW256" s="119"/>
      <c r="BX256" s="119"/>
      <c r="BY256" s="119"/>
      <c r="BZ256" s="119"/>
      <c r="CA256" s="119"/>
      <c r="CB256" s="119"/>
      <c r="CC256" s="119"/>
      <c r="CD256" s="119"/>
      <c r="CE256" s="119"/>
      <c r="CF256" s="119"/>
      <c r="CG256" s="119"/>
      <c r="CH256" s="119"/>
      <c r="CI256" s="119"/>
      <c r="CJ256" s="119"/>
      <c r="CK256" s="119"/>
      <c r="CL256" s="119"/>
      <c r="CM256" s="119"/>
      <c r="CN256" s="119"/>
      <c r="CO256" s="119"/>
      <c r="CP256" s="119"/>
      <c r="CQ256" s="119"/>
      <c r="CR256" s="119"/>
      <c r="CS256" s="119"/>
      <c r="CT256" s="119"/>
      <c r="CU256" s="119"/>
      <c r="CV256" s="119"/>
      <c r="CW256" s="119"/>
      <c r="CX256" s="119"/>
      <c r="CY256" s="119"/>
      <c r="CZ256" s="119"/>
      <c r="DA256" s="119"/>
      <c r="DB256" s="119"/>
      <c r="DC256" s="119"/>
      <c r="DD256" s="119"/>
      <c r="DE256" s="119"/>
      <c r="DF256" s="119"/>
      <c r="DG256" s="119"/>
      <c r="DH256" s="119"/>
      <c r="DI256" s="119"/>
      <c r="DJ256" s="119"/>
      <c r="DK256" s="119"/>
      <c r="DL256" s="119"/>
      <c r="DM256" s="119"/>
      <c r="DN256" s="119"/>
      <c r="DO256" s="119"/>
      <c r="DP256" s="119"/>
      <c r="DQ256" s="119"/>
      <c r="DR256" s="119"/>
      <c r="DS256" s="119"/>
      <c r="DT256" s="119"/>
      <c r="DU256" s="119"/>
      <c r="DV256" s="119"/>
      <c r="DW256" s="119"/>
      <c r="DX256" s="119"/>
      <c r="DY256" s="119"/>
      <c r="DZ256" s="119"/>
      <c r="EA256" s="119"/>
      <c r="EB256" s="119"/>
      <c r="EC256" s="119"/>
      <c r="ED256" s="119"/>
      <c r="EE256" s="119"/>
      <c r="EF256" s="119"/>
      <c r="EG256" s="119"/>
      <c r="EH256" s="119"/>
      <c r="EI256" s="119"/>
      <c r="EJ256" s="119"/>
      <c r="EK256" s="119"/>
      <c r="EL256" s="119"/>
      <c r="EM256" s="119"/>
      <c r="EN256" s="119"/>
      <c r="EO256" s="119"/>
      <c r="EP256" s="119"/>
      <c r="EQ256" s="119"/>
      <c r="ER256" s="119"/>
      <c r="ES256" s="119"/>
      <c r="ET256" s="119"/>
      <c r="EU256" s="119"/>
      <c r="EV256" s="119"/>
      <c r="EW256" s="119"/>
      <c r="EX256" s="119"/>
      <c r="EY256" s="119"/>
      <c r="EZ256" s="119"/>
      <c r="FA256" s="119"/>
      <c r="FB256" s="119"/>
      <c r="FC256" s="119"/>
      <c r="FD256" s="119"/>
      <c r="FE256" s="119"/>
      <c r="FF256" s="119"/>
      <c r="FG256" s="119"/>
      <c r="FH256" s="119"/>
      <c r="FI256" s="119"/>
      <c r="FJ256" s="119"/>
      <c r="FK256" s="119"/>
      <c r="FL256" s="119"/>
      <c r="FM256" s="119"/>
      <c r="FN256" s="119"/>
      <c r="FO256" s="119"/>
      <c r="FP256" s="119"/>
      <c r="FQ256" s="119"/>
      <c r="FR256" s="119"/>
      <c r="FS256" s="119"/>
      <c r="FT256" s="119"/>
      <c r="FU256" s="119"/>
      <c r="FV256" s="119"/>
      <c r="FW256" s="119"/>
      <c r="FX256" s="119"/>
      <c r="FY256" s="119"/>
      <c r="FZ256" s="119"/>
      <c r="GA256" s="119"/>
      <c r="GB256" s="119"/>
      <c r="GC256" s="119"/>
      <c r="GD256" s="119"/>
      <c r="GE256" s="119"/>
      <c r="GF256" s="119"/>
      <c r="GG256" s="119"/>
      <c r="GH256" s="119"/>
      <c r="GI256" s="119"/>
      <c r="GJ256" s="119"/>
    </row>
    <row r="257" spans="1:192" ht="67.5" x14ac:dyDescent="0.25">
      <c r="A257" s="278" t="s">
        <v>461</v>
      </c>
      <c r="B257" s="170" t="s">
        <v>1099</v>
      </c>
      <c r="C257" s="170" t="s">
        <v>472</v>
      </c>
      <c r="D257" s="169" t="s">
        <v>24</v>
      </c>
      <c r="E257" s="321" t="s">
        <v>1238</v>
      </c>
      <c r="F257" s="62"/>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119"/>
      <c r="AZ257" s="119"/>
      <c r="BA257" s="119"/>
      <c r="BB257" s="119"/>
      <c r="BC257" s="119"/>
      <c r="BD257" s="119"/>
      <c r="BE257" s="119"/>
      <c r="BF257" s="119"/>
      <c r="BG257" s="119"/>
      <c r="BH257" s="119"/>
      <c r="BI257" s="119"/>
      <c r="BJ257" s="119"/>
      <c r="BK257" s="119"/>
      <c r="BL257" s="119"/>
      <c r="BM257" s="119"/>
      <c r="BN257" s="119"/>
      <c r="BO257" s="119"/>
      <c r="BP257" s="119"/>
      <c r="BQ257" s="119"/>
      <c r="BR257" s="119"/>
      <c r="BS257" s="119"/>
      <c r="BT257" s="119"/>
      <c r="BU257" s="119"/>
      <c r="BV257" s="119"/>
      <c r="BW257" s="119"/>
      <c r="BX257" s="119"/>
      <c r="BY257" s="119"/>
      <c r="BZ257" s="119"/>
      <c r="CA257" s="119"/>
      <c r="CB257" s="119"/>
      <c r="CC257" s="119"/>
      <c r="CD257" s="119"/>
      <c r="CE257" s="119"/>
      <c r="CF257" s="119"/>
      <c r="CG257" s="119"/>
      <c r="CH257" s="119"/>
      <c r="CI257" s="119"/>
      <c r="CJ257" s="119"/>
      <c r="CK257" s="119"/>
      <c r="CL257" s="119"/>
      <c r="CM257" s="119"/>
      <c r="CN257" s="119"/>
      <c r="CO257" s="119"/>
      <c r="CP257" s="119"/>
      <c r="CQ257" s="119"/>
      <c r="CR257" s="119"/>
      <c r="CS257" s="119"/>
      <c r="CT257" s="119"/>
      <c r="CU257" s="119"/>
      <c r="CV257" s="119"/>
      <c r="CW257" s="119"/>
      <c r="CX257" s="119"/>
      <c r="CY257" s="119"/>
      <c r="CZ257" s="119"/>
      <c r="DA257" s="119"/>
      <c r="DB257" s="119"/>
      <c r="DC257" s="119"/>
      <c r="DD257" s="119"/>
      <c r="DE257" s="119"/>
      <c r="DF257" s="119"/>
      <c r="DG257" s="119"/>
      <c r="DH257" s="119"/>
      <c r="DI257" s="119"/>
      <c r="DJ257" s="119"/>
      <c r="DK257" s="119"/>
      <c r="DL257" s="119"/>
      <c r="DM257" s="119"/>
      <c r="DN257" s="119"/>
      <c r="DO257" s="119"/>
      <c r="DP257" s="119"/>
      <c r="DQ257" s="119"/>
      <c r="DR257" s="119"/>
      <c r="DS257" s="119"/>
      <c r="DT257" s="119"/>
      <c r="DU257" s="119"/>
      <c r="DV257" s="119"/>
      <c r="DW257" s="119"/>
      <c r="DX257" s="119"/>
      <c r="DY257" s="119"/>
      <c r="DZ257" s="119"/>
      <c r="EA257" s="119"/>
      <c r="EB257" s="119"/>
      <c r="EC257" s="119"/>
      <c r="ED257" s="119"/>
      <c r="EE257" s="119"/>
      <c r="EF257" s="119"/>
      <c r="EG257" s="119"/>
      <c r="EH257" s="119"/>
      <c r="EI257" s="119"/>
      <c r="EJ257" s="119"/>
      <c r="EK257" s="119"/>
      <c r="EL257" s="119"/>
      <c r="EM257" s="119"/>
      <c r="EN257" s="119"/>
      <c r="EO257" s="119"/>
      <c r="EP257" s="119"/>
      <c r="EQ257" s="119"/>
      <c r="ER257" s="119"/>
      <c r="ES257" s="119"/>
      <c r="ET257" s="119"/>
      <c r="EU257" s="119"/>
      <c r="EV257" s="119"/>
      <c r="EW257" s="119"/>
      <c r="EX257" s="119"/>
      <c r="EY257" s="119"/>
      <c r="EZ257" s="119"/>
      <c r="FA257" s="119"/>
      <c r="FB257" s="119"/>
      <c r="FC257" s="119"/>
      <c r="FD257" s="119"/>
      <c r="FE257" s="119"/>
      <c r="FF257" s="119"/>
      <c r="FG257" s="119"/>
      <c r="FH257" s="119"/>
      <c r="FI257" s="119"/>
      <c r="FJ257" s="119"/>
      <c r="FK257" s="119"/>
      <c r="FL257" s="119"/>
      <c r="FM257" s="119"/>
      <c r="FN257" s="119"/>
      <c r="FO257" s="119"/>
      <c r="FP257" s="119"/>
      <c r="FQ257" s="119"/>
      <c r="FR257" s="119"/>
      <c r="FS257" s="119"/>
      <c r="FT257" s="119"/>
      <c r="FU257" s="119"/>
      <c r="FV257" s="119"/>
      <c r="FW257" s="119"/>
      <c r="FX257" s="119"/>
      <c r="FY257" s="119"/>
      <c r="FZ257" s="119"/>
      <c r="GA257" s="119"/>
      <c r="GB257" s="119"/>
      <c r="GC257" s="119"/>
      <c r="GD257" s="119"/>
      <c r="GE257" s="119"/>
      <c r="GF257" s="119"/>
      <c r="GG257" s="119"/>
      <c r="GH257" s="119"/>
      <c r="GI257" s="119"/>
      <c r="GJ257" s="119"/>
    </row>
    <row r="258" spans="1:192" ht="56.25" x14ac:dyDescent="0.25">
      <c r="A258" s="278" t="s">
        <v>461</v>
      </c>
      <c r="B258" s="170"/>
      <c r="C258" s="170" t="s">
        <v>722</v>
      </c>
      <c r="D258" s="169" t="s">
        <v>24</v>
      </c>
      <c r="E258" s="170" t="s">
        <v>1100</v>
      </c>
      <c r="F258" s="62"/>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119"/>
      <c r="AZ258" s="119"/>
      <c r="BA258" s="119"/>
      <c r="BB258" s="119"/>
      <c r="BC258" s="119"/>
      <c r="BD258" s="119"/>
      <c r="BE258" s="119"/>
      <c r="BF258" s="119"/>
      <c r="BG258" s="119"/>
      <c r="BH258" s="119"/>
      <c r="BI258" s="119"/>
      <c r="BJ258" s="119"/>
      <c r="BK258" s="119"/>
      <c r="BL258" s="119"/>
      <c r="BM258" s="119"/>
      <c r="BN258" s="119"/>
      <c r="BO258" s="119"/>
      <c r="BP258" s="119"/>
      <c r="BQ258" s="119"/>
      <c r="BR258" s="119"/>
      <c r="BS258" s="119"/>
      <c r="BT258" s="119"/>
      <c r="BU258" s="119"/>
      <c r="BV258" s="119"/>
      <c r="BW258" s="119"/>
      <c r="BX258" s="119"/>
      <c r="BY258" s="119"/>
      <c r="BZ258" s="119"/>
      <c r="CA258" s="119"/>
      <c r="CB258" s="119"/>
      <c r="CC258" s="119"/>
      <c r="CD258" s="119"/>
      <c r="CE258" s="119"/>
      <c r="CF258" s="119"/>
      <c r="CG258" s="119"/>
      <c r="CH258" s="119"/>
      <c r="CI258" s="119"/>
      <c r="CJ258" s="119"/>
      <c r="CK258" s="119"/>
      <c r="CL258" s="119"/>
      <c r="CM258" s="119"/>
      <c r="CN258" s="119"/>
      <c r="CO258" s="119"/>
      <c r="CP258" s="119"/>
      <c r="CQ258" s="119"/>
      <c r="CR258" s="119"/>
      <c r="CS258" s="119"/>
      <c r="CT258" s="119"/>
      <c r="CU258" s="119"/>
      <c r="CV258" s="119"/>
      <c r="CW258" s="119"/>
      <c r="CX258" s="119"/>
      <c r="CY258" s="119"/>
      <c r="CZ258" s="119"/>
      <c r="DA258" s="119"/>
      <c r="DB258" s="119"/>
      <c r="DC258" s="119"/>
      <c r="DD258" s="119"/>
      <c r="DE258" s="119"/>
      <c r="DF258" s="119"/>
      <c r="DG258" s="119"/>
      <c r="DH258" s="119"/>
      <c r="DI258" s="119"/>
      <c r="DJ258" s="119"/>
      <c r="DK258" s="119"/>
      <c r="DL258" s="119"/>
      <c r="DM258" s="119"/>
      <c r="DN258" s="119"/>
      <c r="DO258" s="119"/>
      <c r="DP258" s="119"/>
      <c r="DQ258" s="119"/>
      <c r="DR258" s="119"/>
      <c r="DS258" s="119"/>
      <c r="DT258" s="119"/>
      <c r="DU258" s="119"/>
      <c r="DV258" s="119"/>
      <c r="DW258" s="119"/>
      <c r="DX258" s="119"/>
      <c r="DY258" s="119"/>
      <c r="DZ258" s="119"/>
      <c r="EA258" s="119"/>
      <c r="EB258" s="119"/>
      <c r="EC258" s="119"/>
      <c r="ED258" s="119"/>
      <c r="EE258" s="119"/>
      <c r="EF258" s="119"/>
      <c r="EG258" s="119"/>
      <c r="EH258" s="119"/>
      <c r="EI258" s="119"/>
      <c r="EJ258" s="119"/>
      <c r="EK258" s="119"/>
      <c r="EL258" s="119"/>
      <c r="EM258" s="119"/>
      <c r="EN258" s="119"/>
      <c r="EO258" s="119"/>
      <c r="EP258" s="119"/>
      <c r="EQ258" s="119"/>
      <c r="ER258" s="119"/>
      <c r="ES258" s="119"/>
      <c r="ET258" s="119"/>
      <c r="EU258" s="119"/>
      <c r="EV258" s="119"/>
      <c r="EW258" s="119"/>
      <c r="EX258" s="119"/>
      <c r="EY258" s="119"/>
      <c r="EZ258" s="119"/>
      <c r="FA258" s="119"/>
      <c r="FB258" s="119"/>
      <c r="FC258" s="119"/>
      <c r="FD258" s="119"/>
      <c r="FE258" s="119"/>
      <c r="FF258" s="119"/>
      <c r="FG258" s="119"/>
      <c r="FH258" s="119"/>
      <c r="FI258" s="119"/>
      <c r="FJ258" s="119"/>
      <c r="FK258" s="119"/>
      <c r="FL258" s="119"/>
      <c r="FM258" s="119"/>
      <c r="FN258" s="119"/>
      <c r="FO258" s="119"/>
      <c r="FP258" s="119"/>
      <c r="FQ258" s="119"/>
      <c r="FR258" s="119"/>
      <c r="FS258" s="119"/>
      <c r="FT258" s="119"/>
      <c r="FU258" s="119"/>
      <c r="FV258" s="119"/>
      <c r="FW258" s="119"/>
      <c r="FX258" s="119"/>
      <c r="FY258" s="119"/>
      <c r="FZ258" s="119"/>
      <c r="GA258" s="119"/>
      <c r="GB258" s="119"/>
      <c r="GC258" s="119"/>
      <c r="GD258" s="119"/>
      <c r="GE258" s="119"/>
      <c r="GF258" s="119"/>
      <c r="GG258" s="119"/>
      <c r="GH258" s="119"/>
      <c r="GI258" s="119"/>
      <c r="GJ258" s="119"/>
    </row>
    <row r="259" spans="1:192" ht="56.25" x14ac:dyDescent="0.25">
      <c r="A259" s="278" t="s">
        <v>461</v>
      </c>
      <c r="B259" s="170"/>
      <c r="C259" s="170" t="s">
        <v>723</v>
      </c>
      <c r="D259" s="169" t="s">
        <v>24</v>
      </c>
      <c r="E259" s="170" t="s">
        <v>1101</v>
      </c>
      <c r="F259" s="63"/>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119"/>
      <c r="AZ259" s="119"/>
      <c r="BA259" s="119"/>
      <c r="BB259" s="119"/>
      <c r="BC259" s="119"/>
      <c r="BD259" s="119"/>
      <c r="BE259" s="119"/>
      <c r="BF259" s="119"/>
      <c r="BG259" s="119"/>
      <c r="BH259" s="119"/>
      <c r="BI259" s="119"/>
      <c r="BJ259" s="119"/>
      <c r="BK259" s="119"/>
      <c r="BL259" s="119"/>
      <c r="BM259" s="119"/>
      <c r="BN259" s="119"/>
      <c r="BO259" s="119"/>
      <c r="BP259" s="119"/>
      <c r="BQ259" s="119"/>
      <c r="BR259" s="119"/>
      <c r="BS259" s="119"/>
      <c r="BT259" s="119"/>
      <c r="BU259" s="119"/>
      <c r="BV259" s="119"/>
      <c r="BW259" s="119"/>
      <c r="BX259" s="119"/>
      <c r="BY259" s="119"/>
      <c r="BZ259" s="119"/>
      <c r="CA259" s="119"/>
      <c r="CB259" s="119"/>
      <c r="CC259" s="119"/>
      <c r="CD259" s="119"/>
      <c r="CE259" s="119"/>
      <c r="CF259" s="119"/>
      <c r="CG259" s="119"/>
      <c r="CH259" s="119"/>
      <c r="CI259" s="119"/>
      <c r="CJ259" s="119"/>
      <c r="CK259" s="119"/>
      <c r="CL259" s="119"/>
      <c r="CM259" s="119"/>
      <c r="CN259" s="119"/>
      <c r="CO259" s="119"/>
      <c r="CP259" s="119"/>
      <c r="CQ259" s="119"/>
      <c r="CR259" s="119"/>
      <c r="CS259" s="119"/>
      <c r="CT259" s="119"/>
      <c r="CU259" s="119"/>
      <c r="CV259" s="119"/>
      <c r="CW259" s="119"/>
      <c r="CX259" s="119"/>
      <c r="CY259" s="119"/>
      <c r="CZ259" s="119"/>
      <c r="DA259" s="119"/>
      <c r="DB259" s="119"/>
      <c r="DC259" s="119"/>
      <c r="DD259" s="119"/>
      <c r="DE259" s="119"/>
      <c r="DF259" s="119"/>
      <c r="DG259" s="119"/>
      <c r="DH259" s="119"/>
      <c r="DI259" s="119"/>
      <c r="DJ259" s="119"/>
      <c r="DK259" s="119"/>
      <c r="DL259" s="119"/>
      <c r="DM259" s="119"/>
      <c r="DN259" s="119"/>
      <c r="DO259" s="119"/>
      <c r="DP259" s="119"/>
      <c r="DQ259" s="119"/>
      <c r="DR259" s="119"/>
      <c r="DS259" s="119"/>
      <c r="DT259" s="119"/>
      <c r="DU259" s="119"/>
      <c r="DV259" s="119"/>
      <c r="DW259" s="119"/>
      <c r="DX259" s="119"/>
      <c r="DY259" s="119"/>
      <c r="DZ259" s="119"/>
      <c r="EA259" s="119"/>
      <c r="EB259" s="119"/>
      <c r="EC259" s="119"/>
      <c r="ED259" s="119"/>
      <c r="EE259" s="119"/>
      <c r="EF259" s="119"/>
      <c r="EG259" s="119"/>
      <c r="EH259" s="119"/>
      <c r="EI259" s="119"/>
      <c r="EJ259" s="119"/>
      <c r="EK259" s="119"/>
      <c r="EL259" s="119"/>
      <c r="EM259" s="119"/>
      <c r="EN259" s="119"/>
      <c r="EO259" s="119"/>
      <c r="EP259" s="119"/>
      <c r="EQ259" s="119"/>
      <c r="ER259" s="119"/>
      <c r="ES259" s="119"/>
      <c r="ET259" s="119"/>
      <c r="EU259" s="119"/>
      <c r="EV259" s="119"/>
      <c r="EW259" s="119"/>
      <c r="EX259" s="119"/>
      <c r="EY259" s="119"/>
      <c r="EZ259" s="119"/>
      <c r="FA259" s="119"/>
      <c r="FB259" s="119"/>
      <c r="FC259" s="119"/>
      <c r="FD259" s="119"/>
      <c r="FE259" s="119"/>
      <c r="FF259" s="119"/>
      <c r="FG259" s="119"/>
      <c r="FH259" s="119"/>
      <c r="FI259" s="119"/>
      <c r="FJ259" s="119"/>
      <c r="FK259" s="119"/>
      <c r="FL259" s="119"/>
      <c r="FM259" s="119"/>
      <c r="FN259" s="119"/>
      <c r="FO259" s="119"/>
      <c r="FP259" s="119"/>
      <c r="FQ259" s="119"/>
      <c r="FR259" s="119"/>
      <c r="FS259" s="119"/>
      <c r="FT259" s="119"/>
      <c r="FU259" s="119"/>
      <c r="FV259" s="119"/>
      <c r="FW259" s="119"/>
      <c r="FX259" s="119"/>
      <c r="FY259" s="119"/>
      <c r="FZ259" s="119"/>
      <c r="GA259" s="119"/>
      <c r="GB259" s="119"/>
      <c r="GC259" s="119"/>
      <c r="GD259" s="119"/>
      <c r="GE259" s="119"/>
      <c r="GF259" s="119"/>
      <c r="GG259" s="119"/>
      <c r="GH259" s="119"/>
      <c r="GI259" s="119"/>
      <c r="GJ259" s="119"/>
    </row>
    <row r="260" spans="1:192" ht="67.5" x14ac:dyDescent="0.25">
      <c r="A260" s="278" t="s">
        <v>461</v>
      </c>
      <c r="B260" s="164" t="s">
        <v>1102</v>
      </c>
      <c r="C260" s="164" t="s">
        <v>473</v>
      </c>
      <c r="D260" s="168" t="s">
        <v>24</v>
      </c>
      <c r="E260" s="164" t="s">
        <v>1103</v>
      </c>
      <c r="F260" s="63"/>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119"/>
      <c r="AZ260" s="119"/>
      <c r="BA260" s="119"/>
      <c r="BB260" s="119"/>
      <c r="BC260" s="119"/>
      <c r="BD260" s="119"/>
      <c r="BE260" s="119"/>
      <c r="BF260" s="119"/>
      <c r="BG260" s="119"/>
      <c r="BH260" s="119"/>
      <c r="BI260" s="119"/>
      <c r="BJ260" s="119"/>
      <c r="BK260" s="119"/>
      <c r="BL260" s="119"/>
      <c r="BM260" s="119"/>
      <c r="BN260" s="119"/>
      <c r="BO260" s="119"/>
      <c r="BP260" s="119"/>
      <c r="BQ260" s="119"/>
      <c r="BR260" s="119"/>
      <c r="BS260" s="119"/>
      <c r="BT260" s="119"/>
      <c r="BU260" s="119"/>
      <c r="BV260" s="119"/>
      <c r="BW260" s="119"/>
      <c r="BX260" s="119"/>
      <c r="BY260" s="119"/>
      <c r="BZ260" s="119"/>
      <c r="CA260" s="119"/>
      <c r="CB260" s="119"/>
      <c r="CC260" s="119"/>
      <c r="CD260" s="119"/>
      <c r="CE260" s="119"/>
      <c r="CF260" s="119"/>
      <c r="CG260" s="119"/>
      <c r="CH260" s="119"/>
      <c r="CI260" s="119"/>
      <c r="CJ260" s="119"/>
      <c r="CK260" s="119"/>
      <c r="CL260" s="119"/>
      <c r="CM260" s="119"/>
      <c r="CN260" s="119"/>
      <c r="CO260" s="119"/>
      <c r="CP260" s="119"/>
      <c r="CQ260" s="119"/>
      <c r="CR260" s="119"/>
      <c r="CS260" s="119"/>
      <c r="CT260" s="119"/>
      <c r="CU260" s="119"/>
      <c r="CV260" s="119"/>
      <c r="CW260" s="119"/>
      <c r="CX260" s="119"/>
      <c r="CY260" s="119"/>
      <c r="CZ260" s="119"/>
      <c r="DA260" s="119"/>
      <c r="DB260" s="119"/>
      <c r="DC260" s="119"/>
      <c r="DD260" s="119"/>
      <c r="DE260" s="119"/>
      <c r="DF260" s="119"/>
      <c r="DG260" s="119"/>
      <c r="DH260" s="119"/>
      <c r="DI260" s="119"/>
      <c r="DJ260" s="119"/>
      <c r="DK260" s="119"/>
      <c r="DL260" s="119"/>
      <c r="DM260" s="119"/>
      <c r="DN260" s="119"/>
      <c r="DO260" s="119"/>
      <c r="DP260" s="119"/>
      <c r="DQ260" s="119"/>
      <c r="DR260" s="119"/>
      <c r="DS260" s="119"/>
      <c r="DT260" s="119"/>
      <c r="DU260" s="119"/>
      <c r="DV260" s="119"/>
      <c r="DW260" s="119"/>
      <c r="DX260" s="119"/>
      <c r="DY260" s="119"/>
      <c r="DZ260" s="119"/>
      <c r="EA260" s="119"/>
      <c r="EB260" s="119"/>
      <c r="EC260" s="119"/>
      <c r="ED260" s="119"/>
      <c r="EE260" s="119"/>
      <c r="EF260" s="119"/>
      <c r="EG260" s="119"/>
      <c r="EH260" s="119"/>
      <c r="EI260" s="119"/>
      <c r="EJ260" s="119"/>
      <c r="EK260" s="119"/>
      <c r="EL260" s="119"/>
      <c r="EM260" s="119"/>
      <c r="EN260" s="119"/>
      <c r="EO260" s="119"/>
      <c r="EP260" s="119"/>
      <c r="EQ260" s="119"/>
      <c r="ER260" s="119"/>
      <c r="ES260" s="119"/>
      <c r="ET260" s="119"/>
      <c r="EU260" s="119"/>
      <c r="EV260" s="119"/>
      <c r="EW260" s="119"/>
      <c r="EX260" s="119"/>
      <c r="EY260" s="119"/>
      <c r="EZ260" s="119"/>
      <c r="FA260" s="119"/>
      <c r="FB260" s="119"/>
      <c r="FC260" s="119"/>
      <c r="FD260" s="119"/>
      <c r="FE260" s="119"/>
      <c r="FF260" s="119"/>
      <c r="FG260" s="119"/>
      <c r="FH260" s="119"/>
      <c r="FI260" s="119"/>
      <c r="FJ260" s="119"/>
      <c r="FK260" s="119"/>
      <c r="FL260" s="119"/>
      <c r="FM260" s="119"/>
      <c r="FN260" s="119"/>
      <c r="FO260" s="119"/>
      <c r="FP260" s="119"/>
      <c r="FQ260" s="119"/>
      <c r="FR260" s="119"/>
      <c r="FS260" s="119"/>
      <c r="FT260" s="119"/>
      <c r="FU260" s="119"/>
      <c r="FV260" s="119"/>
      <c r="FW260" s="119"/>
      <c r="FX260" s="119"/>
      <c r="FY260" s="119"/>
      <c r="FZ260" s="119"/>
      <c r="GA260" s="119"/>
      <c r="GB260" s="119"/>
      <c r="GC260" s="119"/>
      <c r="GD260" s="119"/>
      <c r="GE260" s="119"/>
      <c r="GF260" s="119"/>
      <c r="GG260" s="119"/>
      <c r="GH260" s="119"/>
      <c r="GI260" s="119"/>
      <c r="GJ260" s="119"/>
    </row>
    <row r="261" spans="1:192" ht="67.5" x14ac:dyDescent="0.25">
      <c r="A261" s="278" t="s">
        <v>461</v>
      </c>
      <c r="B261" s="164"/>
      <c r="C261" s="164" t="s">
        <v>724</v>
      </c>
      <c r="D261" s="168" t="s">
        <v>24</v>
      </c>
      <c r="E261" s="164" t="s">
        <v>1104</v>
      </c>
      <c r="F261" s="62"/>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119"/>
      <c r="AZ261" s="119"/>
      <c r="BA261" s="119"/>
      <c r="BB261" s="119"/>
      <c r="BC261" s="119"/>
      <c r="BD261" s="119"/>
      <c r="BE261" s="119"/>
      <c r="BF261" s="119"/>
      <c r="BG261" s="119"/>
      <c r="BH261" s="119"/>
      <c r="BI261" s="119"/>
      <c r="BJ261" s="119"/>
      <c r="BK261" s="119"/>
      <c r="BL261" s="119"/>
      <c r="BM261" s="119"/>
      <c r="BN261" s="119"/>
      <c r="BO261" s="119"/>
      <c r="BP261" s="119"/>
      <c r="BQ261" s="119"/>
      <c r="BR261" s="119"/>
      <c r="BS261" s="119"/>
      <c r="BT261" s="119"/>
      <c r="BU261" s="119"/>
      <c r="BV261" s="119"/>
      <c r="BW261" s="119"/>
      <c r="BX261" s="119"/>
      <c r="BY261" s="119"/>
      <c r="BZ261" s="119"/>
      <c r="CA261" s="119"/>
      <c r="CB261" s="119"/>
      <c r="CC261" s="119"/>
      <c r="CD261" s="119"/>
      <c r="CE261" s="119"/>
      <c r="CF261" s="119"/>
      <c r="CG261" s="119"/>
      <c r="CH261" s="119"/>
      <c r="CI261" s="119"/>
      <c r="CJ261" s="119"/>
      <c r="CK261" s="119"/>
      <c r="CL261" s="119"/>
      <c r="CM261" s="119"/>
      <c r="CN261" s="119"/>
      <c r="CO261" s="119"/>
      <c r="CP261" s="119"/>
      <c r="CQ261" s="119"/>
      <c r="CR261" s="119"/>
      <c r="CS261" s="119"/>
      <c r="CT261" s="119"/>
      <c r="CU261" s="119"/>
      <c r="CV261" s="119"/>
      <c r="CW261" s="119"/>
      <c r="CX261" s="119"/>
      <c r="CY261" s="119"/>
      <c r="CZ261" s="119"/>
      <c r="DA261" s="119"/>
      <c r="DB261" s="119"/>
      <c r="DC261" s="119"/>
      <c r="DD261" s="119"/>
      <c r="DE261" s="119"/>
      <c r="DF261" s="119"/>
      <c r="DG261" s="119"/>
      <c r="DH261" s="119"/>
      <c r="DI261" s="119"/>
      <c r="DJ261" s="119"/>
      <c r="DK261" s="119"/>
      <c r="DL261" s="119"/>
      <c r="DM261" s="119"/>
      <c r="DN261" s="119"/>
      <c r="DO261" s="119"/>
      <c r="DP261" s="119"/>
      <c r="DQ261" s="119"/>
      <c r="DR261" s="119"/>
      <c r="DS261" s="119"/>
      <c r="DT261" s="119"/>
      <c r="DU261" s="119"/>
      <c r="DV261" s="119"/>
      <c r="DW261" s="119"/>
      <c r="DX261" s="119"/>
      <c r="DY261" s="119"/>
      <c r="DZ261" s="119"/>
      <c r="EA261" s="119"/>
      <c r="EB261" s="119"/>
      <c r="EC261" s="119"/>
      <c r="ED261" s="119"/>
      <c r="EE261" s="119"/>
      <c r="EF261" s="119"/>
      <c r="EG261" s="119"/>
      <c r="EH261" s="119"/>
      <c r="EI261" s="119"/>
      <c r="EJ261" s="119"/>
      <c r="EK261" s="119"/>
      <c r="EL261" s="119"/>
      <c r="EM261" s="119"/>
      <c r="EN261" s="119"/>
      <c r="EO261" s="119"/>
      <c r="EP261" s="119"/>
      <c r="EQ261" s="119"/>
      <c r="ER261" s="119"/>
      <c r="ES261" s="119"/>
      <c r="ET261" s="119"/>
      <c r="EU261" s="119"/>
      <c r="EV261" s="119"/>
      <c r="EW261" s="119"/>
      <c r="EX261" s="119"/>
      <c r="EY261" s="119"/>
      <c r="EZ261" s="119"/>
      <c r="FA261" s="119"/>
      <c r="FB261" s="119"/>
      <c r="FC261" s="119"/>
      <c r="FD261" s="119"/>
      <c r="FE261" s="119"/>
      <c r="FF261" s="119"/>
      <c r="FG261" s="119"/>
      <c r="FH261" s="119"/>
      <c r="FI261" s="119"/>
      <c r="FJ261" s="119"/>
      <c r="FK261" s="119"/>
      <c r="FL261" s="119"/>
      <c r="FM261" s="119"/>
      <c r="FN261" s="119"/>
      <c r="FO261" s="119"/>
      <c r="FP261" s="119"/>
      <c r="FQ261" s="119"/>
      <c r="FR261" s="119"/>
      <c r="FS261" s="119"/>
      <c r="FT261" s="119"/>
      <c r="FU261" s="119"/>
      <c r="FV261" s="119"/>
      <c r="FW261" s="119"/>
      <c r="FX261" s="119"/>
      <c r="FY261" s="119"/>
      <c r="FZ261" s="119"/>
      <c r="GA261" s="119"/>
      <c r="GB261" s="119"/>
      <c r="GC261" s="119"/>
      <c r="GD261" s="119"/>
      <c r="GE261" s="119"/>
      <c r="GF261" s="119"/>
      <c r="GG261" s="119"/>
      <c r="GH261" s="119"/>
      <c r="GI261" s="119"/>
      <c r="GJ261" s="119"/>
    </row>
    <row r="262" spans="1:192" ht="67.5" x14ac:dyDescent="0.25">
      <c r="A262" s="278" t="s">
        <v>461</v>
      </c>
      <c r="B262" s="170" t="s">
        <v>1115</v>
      </c>
      <c r="C262" s="170" t="s">
        <v>474</v>
      </c>
      <c r="D262" s="169" t="s">
        <v>25</v>
      </c>
      <c r="E262" s="173" t="s">
        <v>1105</v>
      </c>
      <c r="F262" s="63"/>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119"/>
      <c r="AZ262" s="119"/>
      <c r="BA262" s="119"/>
      <c r="BB262" s="119"/>
      <c r="BC262" s="119"/>
      <c r="BD262" s="119"/>
      <c r="BE262" s="119"/>
      <c r="BF262" s="119"/>
      <c r="BG262" s="119"/>
      <c r="BH262" s="119"/>
      <c r="BI262" s="119"/>
      <c r="BJ262" s="119"/>
      <c r="BK262" s="119"/>
      <c r="BL262" s="119"/>
      <c r="BM262" s="119"/>
      <c r="BN262" s="119"/>
      <c r="BO262" s="119"/>
      <c r="BP262" s="119"/>
      <c r="BQ262" s="119"/>
      <c r="BR262" s="119"/>
      <c r="BS262" s="119"/>
      <c r="BT262" s="119"/>
      <c r="BU262" s="119"/>
      <c r="BV262" s="119"/>
      <c r="BW262" s="119"/>
      <c r="BX262" s="119"/>
      <c r="BY262" s="119"/>
      <c r="BZ262" s="119"/>
      <c r="CA262" s="119"/>
      <c r="CB262" s="119"/>
      <c r="CC262" s="119"/>
      <c r="CD262" s="119"/>
      <c r="CE262" s="119"/>
      <c r="CF262" s="119"/>
      <c r="CG262" s="119"/>
      <c r="CH262" s="119"/>
      <c r="CI262" s="119"/>
      <c r="CJ262" s="119"/>
      <c r="CK262" s="119"/>
      <c r="CL262" s="119"/>
      <c r="CM262" s="119"/>
      <c r="CN262" s="119"/>
      <c r="CO262" s="119"/>
      <c r="CP262" s="119"/>
      <c r="CQ262" s="119"/>
      <c r="CR262" s="119"/>
      <c r="CS262" s="119"/>
      <c r="CT262" s="119"/>
      <c r="CU262" s="119"/>
      <c r="CV262" s="119"/>
      <c r="CW262" s="119"/>
      <c r="CX262" s="119"/>
      <c r="CY262" s="119"/>
      <c r="CZ262" s="119"/>
      <c r="DA262" s="119"/>
      <c r="DB262" s="119"/>
      <c r="DC262" s="119"/>
      <c r="DD262" s="119"/>
      <c r="DE262" s="119"/>
      <c r="DF262" s="119"/>
      <c r="DG262" s="119"/>
      <c r="DH262" s="119"/>
      <c r="DI262" s="119"/>
      <c r="DJ262" s="119"/>
      <c r="DK262" s="119"/>
      <c r="DL262" s="119"/>
      <c r="DM262" s="119"/>
      <c r="DN262" s="119"/>
      <c r="DO262" s="119"/>
      <c r="DP262" s="119"/>
      <c r="DQ262" s="119"/>
      <c r="DR262" s="119"/>
      <c r="DS262" s="119"/>
      <c r="DT262" s="119"/>
      <c r="DU262" s="119"/>
      <c r="DV262" s="119"/>
      <c r="DW262" s="119"/>
      <c r="DX262" s="119"/>
      <c r="DY262" s="119"/>
      <c r="DZ262" s="119"/>
      <c r="EA262" s="119"/>
      <c r="EB262" s="119"/>
      <c r="EC262" s="119"/>
      <c r="ED262" s="119"/>
      <c r="EE262" s="119"/>
      <c r="EF262" s="119"/>
      <c r="EG262" s="119"/>
      <c r="EH262" s="119"/>
      <c r="EI262" s="119"/>
      <c r="EJ262" s="119"/>
      <c r="EK262" s="119"/>
      <c r="EL262" s="119"/>
      <c r="EM262" s="119"/>
      <c r="EN262" s="119"/>
      <c r="EO262" s="119"/>
      <c r="EP262" s="119"/>
      <c r="EQ262" s="119"/>
      <c r="ER262" s="119"/>
      <c r="ES262" s="119"/>
      <c r="ET262" s="119"/>
      <c r="EU262" s="119"/>
      <c r="EV262" s="119"/>
      <c r="EW262" s="119"/>
      <c r="EX262" s="119"/>
      <c r="EY262" s="119"/>
      <c r="EZ262" s="119"/>
      <c r="FA262" s="119"/>
      <c r="FB262" s="119"/>
      <c r="FC262" s="119"/>
      <c r="FD262" s="119"/>
      <c r="FE262" s="119"/>
      <c r="FF262" s="119"/>
      <c r="FG262" s="119"/>
      <c r="FH262" s="119"/>
      <c r="FI262" s="119"/>
      <c r="FJ262" s="119"/>
      <c r="FK262" s="119"/>
      <c r="FL262" s="119"/>
      <c r="FM262" s="119"/>
      <c r="FN262" s="119"/>
      <c r="FO262" s="119"/>
      <c r="FP262" s="119"/>
      <c r="FQ262" s="119"/>
      <c r="FR262" s="119"/>
      <c r="FS262" s="119"/>
      <c r="FT262" s="119"/>
      <c r="FU262" s="119"/>
      <c r="FV262" s="119"/>
      <c r="FW262" s="119"/>
      <c r="FX262" s="119"/>
      <c r="FY262" s="119"/>
      <c r="FZ262" s="119"/>
      <c r="GA262" s="119"/>
      <c r="GB262" s="119"/>
      <c r="GC262" s="119"/>
      <c r="GD262" s="119"/>
      <c r="GE262" s="119"/>
      <c r="GF262" s="119"/>
      <c r="GG262" s="119"/>
      <c r="GH262" s="119"/>
      <c r="GI262" s="119"/>
      <c r="GJ262" s="119"/>
    </row>
    <row r="263" spans="1:192" ht="90" x14ac:dyDescent="0.25">
      <c r="A263" s="278" t="s">
        <v>461</v>
      </c>
      <c r="B263" s="164" t="s">
        <v>1106</v>
      </c>
      <c r="C263" s="164" t="s">
        <v>475</v>
      </c>
      <c r="D263" s="168" t="s">
        <v>24</v>
      </c>
      <c r="E263" s="172" t="s">
        <v>1107</v>
      </c>
      <c r="F263" s="63"/>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119"/>
      <c r="AZ263" s="119"/>
      <c r="BA263" s="119"/>
      <c r="BB263" s="119"/>
      <c r="BC263" s="119"/>
      <c r="BD263" s="119"/>
      <c r="BE263" s="119"/>
      <c r="BF263" s="119"/>
      <c r="BG263" s="119"/>
      <c r="BH263" s="119"/>
      <c r="BI263" s="119"/>
      <c r="BJ263" s="119"/>
      <c r="BK263" s="119"/>
      <c r="BL263" s="119"/>
      <c r="BM263" s="119"/>
      <c r="BN263" s="119"/>
      <c r="BO263" s="119"/>
      <c r="BP263" s="119"/>
      <c r="BQ263" s="119"/>
      <c r="BR263" s="119"/>
      <c r="BS263" s="119"/>
      <c r="BT263" s="119"/>
      <c r="BU263" s="119"/>
      <c r="BV263" s="119"/>
      <c r="BW263" s="119"/>
      <c r="BX263" s="119"/>
      <c r="BY263" s="119"/>
      <c r="BZ263" s="119"/>
      <c r="CA263" s="119"/>
      <c r="CB263" s="119"/>
      <c r="CC263" s="119"/>
      <c r="CD263" s="119"/>
      <c r="CE263" s="119"/>
      <c r="CF263" s="119"/>
      <c r="CG263" s="119"/>
      <c r="CH263" s="119"/>
      <c r="CI263" s="119"/>
      <c r="CJ263" s="119"/>
      <c r="CK263" s="119"/>
      <c r="CL263" s="119"/>
      <c r="CM263" s="119"/>
      <c r="CN263" s="119"/>
      <c r="CO263" s="119"/>
      <c r="CP263" s="119"/>
      <c r="CQ263" s="119"/>
      <c r="CR263" s="119"/>
      <c r="CS263" s="119"/>
      <c r="CT263" s="119"/>
      <c r="CU263" s="119"/>
      <c r="CV263" s="119"/>
      <c r="CW263" s="119"/>
      <c r="CX263" s="119"/>
      <c r="CY263" s="119"/>
      <c r="CZ263" s="119"/>
      <c r="DA263" s="119"/>
      <c r="DB263" s="119"/>
      <c r="DC263" s="119"/>
      <c r="DD263" s="119"/>
      <c r="DE263" s="119"/>
      <c r="DF263" s="119"/>
      <c r="DG263" s="119"/>
      <c r="DH263" s="119"/>
      <c r="DI263" s="119"/>
      <c r="DJ263" s="119"/>
      <c r="DK263" s="119"/>
      <c r="DL263" s="119"/>
      <c r="DM263" s="119"/>
      <c r="DN263" s="119"/>
      <c r="DO263" s="119"/>
      <c r="DP263" s="119"/>
      <c r="DQ263" s="119"/>
      <c r="DR263" s="119"/>
      <c r="DS263" s="119"/>
      <c r="DT263" s="119"/>
      <c r="DU263" s="119"/>
      <c r="DV263" s="119"/>
      <c r="DW263" s="119"/>
      <c r="DX263" s="119"/>
      <c r="DY263" s="119"/>
      <c r="DZ263" s="119"/>
      <c r="EA263" s="119"/>
      <c r="EB263" s="119"/>
      <c r="EC263" s="119"/>
      <c r="ED263" s="119"/>
      <c r="EE263" s="119"/>
      <c r="EF263" s="119"/>
      <c r="EG263" s="119"/>
      <c r="EH263" s="119"/>
      <c r="EI263" s="119"/>
      <c r="EJ263" s="119"/>
      <c r="EK263" s="119"/>
      <c r="EL263" s="119"/>
      <c r="EM263" s="119"/>
      <c r="EN263" s="119"/>
      <c r="EO263" s="119"/>
      <c r="EP263" s="119"/>
      <c r="EQ263" s="119"/>
      <c r="ER263" s="119"/>
      <c r="ES263" s="119"/>
      <c r="ET263" s="119"/>
      <c r="EU263" s="119"/>
      <c r="EV263" s="119"/>
      <c r="EW263" s="119"/>
      <c r="EX263" s="119"/>
      <c r="EY263" s="119"/>
      <c r="EZ263" s="119"/>
      <c r="FA263" s="119"/>
      <c r="FB263" s="119"/>
      <c r="FC263" s="119"/>
      <c r="FD263" s="119"/>
      <c r="FE263" s="119"/>
      <c r="FF263" s="119"/>
      <c r="FG263" s="119"/>
      <c r="FH263" s="119"/>
      <c r="FI263" s="119"/>
      <c r="FJ263" s="119"/>
      <c r="FK263" s="119"/>
      <c r="FL263" s="119"/>
      <c r="FM263" s="119"/>
      <c r="FN263" s="119"/>
      <c r="FO263" s="119"/>
      <c r="FP263" s="119"/>
      <c r="FQ263" s="119"/>
      <c r="FR263" s="119"/>
      <c r="FS263" s="119"/>
      <c r="FT263" s="119"/>
      <c r="FU263" s="119"/>
      <c r="FV263" s="119"/>
      <c r="FW263" s="119"/>
      <c r="FX263" s="119"/>
      <c r="FY263" s="119"/>
      <c r="FZ263" s="119"/>
      <c r="GA263" s="119"/>
      <c r="GB263" s="119"/>
      <c r="GC263" s="119"/>
      <c r="GD263" s="119"/>
      <c r="GE263" s="119"/>
      <c r="GF263" s="119"/>
      <c r="GG263" s="119"/>
      <c r="GH263" s="119"/>
      <c r="GI263" s="119"/>
      <c r="GJ263" s="119"/>
    </row>
    <row r="264" spans="1:192" ht="45" x14ac:dyDescent="0.25">
      <c r="A264" s="278" t="s">
        <v>461</v>
      </c>
      <c r="B264" s="164"/>
      <c r="C264" s="164" t="s">
        <v>725</v>
      </c>
      <c r="D264" s="168" t="s">
        <v>24</v>
      </c>
      <c r="E264" s="172" t="s">
        <v>1108</v>
      </c>
      <c r="F264" s="62"/>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119"/>
      <c r="AZ264" s="119"/>
      <c r="BA264" s="119"/>
      <c r="BB264" s="119"/>
      <c r="BC264" s="119"/>
      <c r="BD264" s="119"/>
      <c r="BE264" s="119"/>
      <c r="BF264" s="119"/>
      <c r="BG264" s="119"/>
      <c r="BH264" s="119"/>
      <c r="BI264" s="119"/>
      <c r="BJ264" s="119"/>
      <c r="BK264" s="119"/>
      <c r="BL264" s="119"/>
      <c r="BM264" s="119"/>
      <c r="BN264" s="119"/>
      <c r="BO264" s="119"/>
      <c r="BP264" s="119"/>
      <c r="BQ264" s="119"/>
      <c r="BR264" s="119"/>
      <c r="BS264" s="119"/>
      <c r="BT264" s="119"/>
      <c r="BU264" s="119"/>
      <c r="BV264" s="119"/>
      <c r="BW264" s="119"/>
      <c r="BX264" s="119"/>
      <c r="BY264" s="119"/>
      <c r="BZ264" s="119"/>
      <c r="CA264" s="119"/>
      <c r="CB264" s="119"/>
      <c r="CC264" s="119"/>
      <c r="CD264" s="119"/>
      <c r="CE264" s="119"/>
      <c r="CF264" s="119"/>
      <c r="CG264" s="119"/>
      <c r="CH264" s="119"/>
      <c r="CI264" s="119"/>
      <c r="CJ264" s="119"/>
      <c r="CK264" s="119"/>
      <c r="CL264" s="119"/>
      <c r="CM264" s="119"/>
      <c r="CN264" s="119"/>
      <c r="CO264" s="119"/>
      <c r="CP264" s="119"/>
      <c r="CQ264" s="119"/>
      <c r="CR264" s="119"/>
      <c r="CS264" s="119"/>
      <c r="CT264" s="119"/>
      <c r="CU264" s="119"/>
      <c r="CV264" s="119"/>
      <c r="CW264" s="119"/>
      <c r="CX264" s="119"/>
      <c r="CY264" s="119"/>
      <c r="CZ264" s="119"/>
      <c r="DA264" s="119"/>
      <c r="DB264" s="119"/>
      <c r="DC264" s="119"/>
      <c r="DD264" s="119"/>
      <c r="DE264" s="119"/>
      <c r="DF264" s="119"/>
      <c r="DG264" s="119"/>
      <c r="DH264" s="119"/>
      <c r="DI264" s="119"/>
      <c r="DJ264" s="119"/>
      <c r="DK264" s="119"/>
      <c r="DL264" s="119"/>
      <c r="DM264" s="119"/>
      <c r="DN264" s="119"/>
      <c r="DO264" s="119"/>
      <c r="DP264" s="119"/>
      <c r="DQ264" s="119"/>
      <c r="DR264" s="119"/>
      <c r="DS264" s="119"/>
      <c r="DT264" s="119"/>
      <c r="DU264" s="119"/>
      <c r="DV264" s="119"/>
      <c r="DW264" s="119"/>
      <c r="DX264" s="119"/>
      <c r="DY264" s="119"/>
      <c r="DZ264" s="119"/>
      <c r="EA264" s="119"/>
      <c r="EB264" s="119"/>
      <c r="EC264" s="119"/>
      <c r="ED264" s="119"/>
      <c r="EE264" s="119"/>
      <c r="EF264" s="119"/>
      <c r="EG264" s="119"/>
      <c r="EH264" s="119"/>
      <c r="EI264" s="119"/>
      <c r="EJ264" s="119"/>
      <c r="EK264" s="119"/>
      <c r="EL264" s="119"/>
      <c r="EM264" s="119"/>
      <c r="EN264" s="119"/>
      <c r="EO264" s="119"/>
      <c r="EP264" s="119"/>
      <c r="EQ264" s="119"/>
      <c r="ER264" s="119"/>
      <c r="ES264" s="119"/>
      <c r="ET264" s="119"/>
      <c r="EU264" s="119"/>
      <c r="EV264" s="119"/>
      <c r="EW264" s="119"/>
      <c r="EX264" s="119"/>
      <c r="EY264" s="119"/>
      <c r="EZ264" s="119"/>
      <c r="FA264" s="119"/>
      <c r="FB264" s="119"/>
      <c r="FC264" s="119"/>
      <c r="FD264" s="119"/>
      <c r="FE264" s="119"/>
      <c r="FF264" s="119"/>
      <c r="FG264" s="119"/>
      <c r="FH264" s="119"/>
      <c r="FI264" s="119"/>
      <c r="FJ264" s="119"/>
      <c r="FK264" s="119"/>
      <c r="FL264" s="119"/>
      <c r="FM264" s="119"/>
      <c r="FN264" s="119"/>
      <c r="FO264" s="119"/>
      <c r="FP264" s="119"/>
      <c r="FQ264" s="119"/>
      <c r="FR264" s="119"/>
      <c r="FS264" s="119"/>
      <c r="FT264" s="119"/>
      <c r="FU264" s="119"/>
      <c r="FV264" s="119"/>
      <c r="FW264" s="119"/>
      <c r="FX264" s="119"/>
      <c r="FY264" s="119"/>
      <c r="FZ264" s="119"/>
      <c r="GA264" s="119"/>
      <c r="GB264" s="119"/>
      <c r="GC264" s="119"/>
      <c r="GD264" s="119"/>
      <c r="GE264" s="119"/>
      <c r="GF264" s="119"/>
      <c r="GG264" s="119"/>
      <c r="GH264" s="119"/>
      <c r="GI264" s="119"/>
      <c r="GJ264" s="119"/>
    </row>
    <row r="265" spans="1:192" ht="101.25" x14ac:dyDescent="0.25">
      <c r="A265" s="278" t="s">
        <v>461</v>
      </c>
      <c r="B265" s="170" t="s">
        <v>1109</v>
      </c>
      <c r="C265" s="170" t="s">
        <v>476</v>
      </c>
      <c r="D265" s="169" t="s">
        <v>24</v>
      </c>
      <c r="E265" s="173" t="s">
        <v>1110</v>
      </c>
      <c r="F265" s="63"/>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119"/>
      <c r="AZ265" s="119"/>
      <c r="BA265" s="119"/>
      <c r="BB265" s="119"/>
      <c r="BC265" s="119"/>
      <c r="BD265" s="119"/>
      <c r="BE265" s="119"/>
      <c r="BF265" s="119"/>
      <c r="BG265" s="119"/>
      <c r="BH265" s="119"/>
      <c r="BI265" s="119"/>
      <c r="BJ265" s="119"/>
      <c r="BK265" s="119"/>
      <c r="BL265" s="119"/>
      <c r="BM265" s="119"/>
      <c r="BN265" s="119"/>
      <c r="BO265" s="119"/>
      <c r="BP265" s="119"/>
      <c r="BQ265" s="119"/>
      <c r="BR265" s="119"/>
      <c r="BS265" s="119"/>
      <c r="BT265" s="119"/>
      <c r="BU265" s="119"/>
      <c r="BV265" s="119"/>
      <c r="BW265" s="119"/>
      <c r="BX265" s="119"/>
      <c r="BY265" s="119"/>
      <c r="BZ265" s="119"/>
      <c r="CA265" s="119"/>
      <c r="CB265" s="119"/>
      <c r="CC265" s="119"/>
      <c r="CD265" s="119"/>
      <c r="CE265" s="119"/>
      <c r="CF265" s="119"/>
      <c r="CG265" s="119"/>
      <c r="CH265" s="119"/>
      <c r="CI265" s="119"/>
      <c r="CJ265" s="119"/>
      <c r="CK265" s="119"/>
      <c r="CL265" s="119"/>
      <c r="CM265" s="119"/>
      <c r="CN265" s="119"/>
      <c r="CO265" s="119"/>
      <c r="CP265" s="119"/>
      <c r="CQ265" s="119"/>
      <c r="CR265" s="119"/>
      <c r="CS265" s="119"/>
      <c r="CT265" s="119"/>
      <c r="CU265" s="119"/>
      <c r="CV265" s="119"/>
      <c r="CW265" s="119"/>
      <c r="CX265" s="119"/>
      <c r="CY265" s="119"/>
      <c r="CZ265" s="119"/>
      <c r="DA265" s="119"/>
      <c r="DB265" s="119"/>
      <c r="DC265" s="119"/>
      <c r="DD265" s="119"/>
      <c r="DE265" s="119"/>
      <c r="DF265" s="119"/>
      <c r="DG265" s="119"/>
      <c r="DH265" s="119"/>
      <c r="DI265" s="119"/>
      <c r="DJ265" s="119"/>
      <c r="DK265" s="119"/>
      <c r="DL265" s="119"/>
      <c r="DM265" s="119"/>
      <c r="DN265" s="119"/>
      <c r="DO265" s="119"/>
      <c r="DP265" s="119"/>
      <c r="DQ265" s="119"/>
      <c r="DR265" s="119"/>
      <c r="DS265" s="119"/>
      <c r="DT265" s="119"/>
      <c r="DU265" s="119"/>
      <c r="DV265" s="119"/>
      <c r="DW265" s="119"/>
      <c r="DX265" s="119"/>
      <c r="DY265" s="119"/>
      <c r="DZ265" s="119"/>
      <c r="EA265" s="119"/>
      <c r="EB265" s="119"/>
      <c r="EC265" s="119"/>
      <c r="ED265" s="119"/>
      <c r="EE265" s="119"/>
      <c r="EF265" s="119"/>
      <c r="EG265" s="119"/>
      <c r="EH265" s="119"/>
      <c r="EI265" s="119"/>
      <c r="EJ265" s="119"/>
      <c r="EK265" s="119"/>
      <c r="EL265" s="119"/>
      <c r="EM265" s="119"/>
      <c r="EN265" s="119"/>
      <c r="EO265" s="119"/>
      <c r="EP265" s="119"/>
      <c r="EQ265" s="119"/>
      <c r="ER265" s="119"/>
      <c r="ES265" s="119"/>
      <c r="ET265" s="119"/>
      <c r="EU265" s="119"/>
      <c r="EV265" s="119"/>
      <c r="EW265" s="119"/>
      <c r="EX265" s="119"/>
      <c r="EY265" s="119"/>
      <c r="EZ265" s="119"/>
      <c r="FA265" s="119"/>
      <c r="FB265" s="119"/>
      <c r="FC265" s="119"/>
      <c r="FD265" s="119"/>
      <c r="FE265" s="119"/>
      <c r="FF265" s="119"/>
      <c r="FG265" s="119"/>
      <c r="FH265" s="119"/>
      <c r="FI265" s="119"/>
      <c r="FJ265" s="119"/>
      <c r="FK265" s="119"/>
      <c r="FL265" s="119"/>
      <c r="FM265" s="119"/>
      <c r="FN265" s="119"/>
      <c r="FO265" s="119"/>
      <c r="FP265" s="119"/>
      <c r="FQ265" s="119"/>
      <c r="FR265" s="119"/>
      <c r="FS265" s="119"/>
      <c r="FT265" s="119"/>
      <c r="FU265" s="119"/>
      <c r="FV265" s="119"/>
      <c r="FW265" s="119"/>
      <c r="FX265" s="119"/>
      <c r="FY265" s="119"/>
      <c r="FZ265" s="119"/>
      <c r="GA265" s="119"/>
      <c r="GB265" s="119"/>
      <c r="GC265" s="119"/>
      <c r="GD265" s="119"/>
      <c r="GE265" s="119"/>
      <c r="GF265" s="119"/>
      <c r="GG265" s="119"/>
      <c r="GH265" s="119"/>
      <c r="GI265" s="119"/>
      <c r="GJ265" s="119"/>
    </row>
    <row r="266" spans="1:192" ht="78.75" x14ac:dyDescent="0.25">
      <c r="A266" s="278" t="s">
        <v>461</v>
      </c>
      <c r="B266" s="164" t="s">
        <v>1111</v>
      </c>
      <c r="C266" s="164" t="s">
        <v>477</v>
      </c>
      <c r="D266" s="168" t="s">
        <v>24</v>
      </c>
      <c r="E266" s="172" t="s">
        <v>1112</v>
      </c>
      <c r="F266" s="63"/>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119"/>
      <c r="AZ266" s="119"/>
      <c r="BA266" s="119"/>
      <c r="BB266" s="119"/>
      <c r="BC266" s="119"/>
      <c r="BD266" s="119"/>
      <c r="BE266" s="119"/>
      <c r="BF266" s="119"/>
      <c r="BG266" s="119"/>
      <c r="BH266" s="119"/>
      <c r="BI266" s="119"/>
      <c r="BJ266" s="119"/>
      <c r="BK266" s="119"/>
      <c r="BL266" s="119"/>
      <c r="BM266" s="119"/>
      <c r="BN266" s="119"/>
      <c r="BO266" s="119"/>
      <c r="BP266" s="119"/>
      <c r="BQ266" s="119"/>
      <c r="BR266" s="119"/>
      <c r="BS266" s="119"/>
      <c r="BT266" s="119"/>
      <c r="BU266" s="119"/>
      <c r="BV266" s="119"/>
      <c r="BW266" s="119"/>
      <c r="BX266" s="119"/>
      <c r="BY266" s="119"/>
      <c r="BZ266" s="119"/>
      <c r="CA266" s="119"/>
      <c r="CB266" s="119"/>
      <c r="CC266" s="119"/>
      <c r="CD266" s="119"/>
      <c r="CE266" s="119"/>
      <c r="CF266" s="119"/>
      <c r="CG266" s="119"/>
      <c r="CH266" s="119"/>
      <c r="CI266" s="119"/>
      <c r="CJ266" s="119"/>
      <c r="CK266" s="119"/>
      <c r="CL266" s="119"/>
      <c r="CM266" s="119"/>
      <c r="CN266" s="119"/>
      <c r="CO266" s="119"/>
      <c r="CP266" s="119"/>
      <c r="CQ266" s="119"/>
      <c r="CR266" s="119"/>
      <c r="CS266" s="119"/>
      <c r="CT266" s="119"/>
      <c r="CU266" s="119"/>
      <c r="CV266" s="119"/>
      <c r="CW266" s="119"/>
      <c r="CX266" s="119"/>
      <c r="CY266" s="119"/>
      <c r="CZ266" s="119"/>
      <c r="DA266" s="119"/>
      <c r="DB266" s="119"/>
      <c r="DC266" s="119"/>
      <c r="DD266" s="119"/>
      <c r="DE266" s="119"/>
      <c r="DF266" s="119"/>
      <c r="DG266" s="119"/>
      <c r="DH266" s="119"/>
      <c r="DI266" s="119"/>
      <c r="DJ266" s="119"/>
      <c r="DK266" s="119"/>
      <c r="DL266" s="119"/>
      <c r="DM266" s="119"/>
      <c r="DN266" s="119"/>
      <c r="DO266" s="119"/>
      <c r="DP266" s="119"/>
      <c r="DQ266" s="119"/>
      <c r="DR266" s="119"/>
      <c r="DS266" s="119"/>
      <c r="DT266" s="119"/>
      <c r="DU266" s="119"/>
      <c r="DV266" s="119"/>
      <c r="DW266" s="119"/>
      <c r="DX266" s="119"/>
      <c r="DY266" s="119"/>
      <c r="DZ266" s="119"/>
      <c r="EA266" s="119"/>
      <c r="EB266" s="119"/>
      <c r="EC266" s="119"/>
      <c r="ED266" s="119"/>
      <c r="EE266" s="119"/>
      <c r="EF266" s="119"/>
      <c r="EG266" s="119"/>
      <c r="EH266" s="119"/>
      <c r="EI266" s="119"/>
      <c r="EJ266" s="119"/>
      <c r="EK266" s="119"/>
      <c r="EL266" s="119"/>
      <c r="EM266" s="119"/>
      <c r="EN266" s="119"/>
      <c r="EO266" s="119"/>
      <c r="EP266" s="119"/>
      <c r="EQ266" s="119"/>
      <c r="ER266" s="119"/>
      <c r="ES266" s="119"/>
      <c r="ET266" s="119"/>
      <c r="EU266" s="119"/>
      <c r="EV266" s="119"/>
      <c r="EW266" s="119"/>
      <c r="EX266" s="119"/>
      <c r="EY266" s="119"/>
      <c r="EZ266" s="119"/>
      <c r="FA266" s="119"/>
      <c r="FB266" s="119"/>
      <c r="FC266" s="119"/>
      <c r="FD266" s="119"/>
      <c r="FE266" s="119"/>
      <c r="FF266" s="119"/>
      <c r="FG266" s="119"/>
      <c r="FH266" s="119"/>
      <c r="FI266" s="119"/>
      <c r="FJ266" s="119"/>
      <c r="FK266" s="119"/>
      <c r="FL266" s="119"/>
      <c r="FM266" s="119"/>
      <c r="FN266" s="119"/>
      <c r="FO266" s="119"/>
      <c r="FP266" s="119"/>
      <c r="FQ266" s="119"/>
      <c r="FR266" s="119"/>
      <c r="FS266" s="119"/>
      <c r="FT266" s="119"/>
      <c r="FU266" s="119"/>
      <c r="FV266" s="119"/>
      <c r="FW266" s="119"/>
      <c r="FX266" s="119"/>
      <c r="FY266" s="119"/>
      <c r="FZ266" s="119"/>
      <c r="GA266" s="119"/>
      <c r="GB266" s="119"/>
      <c r="GC266" s="119"/>
      <c r="GD266" s="119"/>
      <c r="GE266" s="119"/>
      <c r="GF266" s="119"/>
      <c r="GG266" s="119"/>
      <c r="GH266" s="119"/>
      <c r="GI266" s="119"/>
      <c r="GJ266" s="119"/>
    </row>
    <row r="267" spans="1:192" ht="33.75" x14ac:dyDescent="0.25">
      <c r="A267" s="278" t="s">
        <v>461</v>
      </c>
      <c r="B267" s="164"/>
      <c r="C267" s="164" t="s">
        <v>726</v>
      </c>
      <c r="D267" s="168" t="s">
        <v>24</v>
      </c>
      <c r="E267" s="172" t="s">
        <v>1113</v>
      </c>
      <c r="F267" s="63"/>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119"/>
      <c r="AZ267" s="119"/>
      <c r="BA267" s="119"/>
      <c r="BB267" s="119"/>
      <c r="BC267" s="119"/>
      <c r="BD267" s="119"/>
      <c r="BE267" s="119"/>
      <c r="BF267" s="119"/>
      <c r="BG267" s="119"/>
      <c r="BH267" s="119"/>
      <c r="BI267" s="119"/>
      <c r="BJ267" s="119"/>
      <c r="BK267" s="119"/>
      <c r="BL267" s="119"/>
      <c r="BM267" s="119"/>
      <c r="BN267" s="119"/>
      <c r="BO267" s="119"/>
      <c r="BP267" s="119"/>
      <c r="BQ267" s="119"/>
      <c r="BR267" s="119"/>
      <c r="BS267" s="119"/>
      <c r="BT267" s="119"/>
      <c r="BU267" s="119"/>
      <c r="BV267" s="119"/>
      <c r="BW267" s="119"/>
      <c r="BX267" s="119"/>
      <c r="BY267" s="119"/>
      <c r="BZ267" s="119"/>
      <c r="CA267" s="119"/>
      <c r="CB267" s="119"/>
      <c r="CC267" s="119"/>
      <c r="CD267" s="119"/>
      <c r="CE267" s="119"/>
      <c r="CF267" s="119"/>
      <c r="CG267" s="119"/>
      <c r="CH267" s="119"/>
      <c r="CI267" s="119"/>
      <c r="CJ267" s="119"/>
      <c r="CK267" s="119"/>
      <c r="CL267" s="119"/>
      <c r="CM267" s="119"/>
      <c r="CN267" s="119"/>
      <c r="CO267" s="119"/>
      <c r="CP267" s="119"/>
      <c r="CQ267" s="119"/>
      <c r="CR267" s="119"/>
      <c r="CS267" s="119"/>
      <c r="CT267" s="119"/>
      <c r="CU267" s="119"/>
      <c r="CV267" s="119"/>
      <c r="CW267" s="119"/>
      <c r="CX267" s="119"/>
      <c r="CY267" s="119"/>
      <c r="CZ267" s="119"/>
      <c r="DA267" s="119"/>
      <c r="DB267" s="119"/>
      <c r="DC267" s="119"/>
      <c r="DD267" s="119"/>
      <c r="DE267" s="119"/>
      <c r="DF267" s="119"/>
      <c r="DG267" s="119"/>
      <c r="DH267" s="119"/>
      <c r="DI267" s="119"/>
      <c r="DJ267" s="119"/>
      <c r="DK267" s="119"/>
      <c r="DL267" s="119"/>
      <c r="DM267" s="119"/>
      <c r="DN267" s="119"/>
      <c r="DO267" s="119"/>
      <c r="DP267" s="119"/>
      <c r="DQ267" s="119"/>
      <c r="DR267" s="119"/>
      <c r="DS267" s="119"/>
      <c r="DT267" s="119"/>
      <c r="DU267" s="119"/>
      <c r="DV267" s="119"/>
      <c r="DW267" s="119"/>
      <c r="DX267" s="119"/>
      <c r="DY267" s="119"/>
      <c r="DZ267" s="119"/>
      <c r="EA267" s="119"/>
      <c r="EB267" s="119"/>
      <c r="EC267" s="119"/>
      <c r="ED267" s="119"/>
      <c r="EE267" s="119"/>
      <c r="EF267" s="119"/>
      <c r="EG267" s="119"/>
      <c r="EH267" s="119"/>
      <c r="EI267" s="119"/>
      <c r="EJ267" s="119"/>
      <c r="EK267" s="119"/>
      <c r="EL267" s="119"/>
      <c r="EM267" s="119"/>
      <c r="EN267" s="119"/>
      <c r="EO267" s="119"/>
      <c r="EP267" s="119"/>
      <c r="EQ267" s="119"/>
      <c r="ER267" s="119"/>
      <c r="ES267" s="119"/>
      <c r="ET267" s="119"/>
      <c r="EU267" s="119"/>
      <c r="EV267" s="119"/>
      <c r="EW267" s="119"/>
      <c r="EX267" s="119"/>
      <c r="EY267" s="119"/>
      <c r="EZ267" s="119"/>
      <c r="FA267" s="119"/>
      <c r="FB267" s="119"/>
      <c r="FC267" s="119"/>
      <c r="FD267" s="119"/>
      <c r="FE267" s="119"/>
      <c r="FF267" s="119"/>
      <c r="FG267" s="119"/>
      <c r="FH267" s="119"/>
      <c r="FI267" s="119"/>
      <c r="FJ267" s="119"/>
      <c r="FK267" s="119"/>
      <c r="FL267" s="119"/>
      <c r="FM267" s="119"/>
      <c r="FN267" s="119"/>
      <c r="FO267" s="119"/>
      <c r="FP267" s="119"/>
      <c r="FQ267" s="119"/>
      <c r="FR267" s="119"/>
      <c r="FS267" s="119"/>
      <c r="FT267" s="119"/>
      <c r="FU267" s="119"/>
      <c r="FV267" s="119"/>
      <c r="FW267" s="119"/>
      <c r="FX267" s="119"/>
      <c r="FY267" s="119"/>
      <c r="FZ267" s="119"/>
      <c r="GA267" s="119"/>
      <c r="GB267" s="119"/>
      <c r="GC267" s="119"/>
      <c r="GD267" s="119"/>
      <c r="GE267" s="119"/>
      <c r="GF267" s="119"/>
      <c r="GG267" s="119"/>
      <c r="GH267" s="119"/>
      <c r="GI267" s="119"/>
      <c r="GJ267" s="119"/>
    </row>
    <row r="268" spans="1:192" ht="33.75" x14ac:dyDescent="0.25">
      <c r="A268" s="296" t="s">
        <v>461</v>
      </c>
      <c r="B268" s="297"/>
      <c r="C268" s="297" t="s">
        <v>727</v>
      </c>
      <c r="D268" s="298" t="s">
        <v>24</v>
      </c>
      <c r="E268" s="299" t="s">
        <v>1114</v>
      </c>
      <c r="F268" s="193"/>
      <c r="G268" s="325"/>
      <c r="H268" s="325"/>
      <c r="I268" s="325"/>
      <c r="J268" s="325"/>
      <c r="K268" s="325"/>
      <c r="L268" s="325"/>
      <c r="M268" s="325"/>
      <c r="N268" s="325"/>
      <c r="O268" s="325"/>
      <c r="P268" s="325"/>
      <c r="Q268" s="326"/>
      <c r="R268" s="326"/>
      <c r="S268" s="326"/>
      <c r="T268" s="326"/>
      <c r="U268" s="326"/>
      <c r="V268" s="326"/>
      <c r="W268" s="326"/>
      <c r="X268" s="326"/>
      <c r="Y268" s="326"/>
      <c r="Z268" s="326"/>
      <c r="AA268" s="326"/>
      <c r="AB268" s="326"/>
      <c r="AC268" s="326"/>
      <c r="AD268" s="326"/>
      <c r="AE268" s="326"/>
      <c r="AF268" s="326"/>
      <c r="AG268" s="326"/>
      <c r="AH268" s="326"/>
      <c r="AI268" s="326"/>
      <c r="AJ268" s="326"/>
      <c r="AK268" s="326"/>
      <c r="AL268" s="326"/>
      <c r="AM268" s="326"/>
      <c r="AN268" s="326"/>
      <c r="AO268" s="326"/>
      <c r="AP268" s="326"/>
      <c r="AQ268" s="326"/>
      <c r="AR268" s="326"/>
      <c r="AS268" s="326"/>
      <c r="AT268" s="326"/>
      <c r="AU268" s="326"/>
      <c r="AV268" s="326"/>
      <c r="AW268" s="326"/>
      <c r="AX268" s="326"/>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row>
    <row r="269" spans="1:192" x14ac:dyDescent="0.25">
      <c r="G269" s="9">
        <f>COUNTIF(G11:G268,"=Validé")</f>
        <v>0</v>
      </c>
      <c r="H269" s="9">
        <f t="shared" ref="H269:BI269" si="0">COUNTIF(H11:H268,"=Validé")</f>
        <v>0</v>
      </c>
      <c r="I269" s="9">
        <f t="shared" si="0"/>
        <v>0</v>
      </c>
      <c r="J269" s="9">
        <f t="shared" si="0"/>
        <v>0</v>
      </c>
      <c r="K269" s="9">
        <f t="shared" si="0"/>
        <v>0</v>
      </c>
      <c r="L269" s="9">
        <f t="shared" si="0"/>
        <v>0</v>
      </c>
      <c r="M269" s="9">
        <f t="shared" si="0"/>
        <v>0</v>
      </c>
      <c r="N269" s="9">
        <f t="shared" si="0"/>
        <v>0</v>
      </c>
      <c r="O269" s="9">
        <f t="shared" si="0"/>
        <v>0</v>
      </c>
      <c r="P269" s="9">
        <f t="shared" si="0"/>
        <v>0</v>
      </c>
      <c r="Q269" s="9">
        <f t="shared" si="0"/>
        <v>0</v>
      </c>
      <c r="R269" s="9">
        <f t="shared" si="0"/>
        <v>0</v>
      </c>
      <c r="S269" s="9">
        <f t="shared" si="0"/>
        <v>0</v>
      </c>
      <c r="T269" s="9">
        <f t="shared" si="0"/>
        <v>0</v>
      </c>
      <c r="U269" s="9">
        <f t="shared" si="0"/>
        <v>0</v>
      </c>
      <c r="V269" s="9">
        <f t="shared" si="0"/>
        <v>0</v>
      </c>
      <c r="W269" s="9">
        <f t="shared" si="0"/>
        <v>0</v>
      </c>
      <c r="X269" s="9">
        <f t="shared" si="0"/>
        <v>0</v>
      </c>
      <c r="Y269" s="9">
        <f t="shared" si="0"/>
        <v>0</v>
      </c>
      <c r="Z269" s="9">
        <f t="shared" si="0"/>
        <v>0</v>
      </c>
      <c r="AA269" s="9">
        <f t="shared" si="0"/>
        <v>0</v>
      </c>
      <c r="AB269" s="9">
        <f t="shared" si="0"/>
        <v>0</v>
      </c>
      <c r="AC269" s="9">
        <f t="shared" si="0"/>
        <v>0</v>
      </c>
      <c r="AD269" s="9">
        <f t="shared" si="0"/>
        <v>0</v>
      </c>
      <c r="AE269" s="9">
        <f t="shared" si="0"/>
        <v>0</v>
      </c>
      <c r="AF269" s="9">
        <f t="shared" si="0"/>
        <v>0</v>
      </c>
      <c r="AG269" s="9">
        <f t="shared" si="0"/>
        <v>0</v>
      </c>
      <c r="AH269" s="9">
        <f t="shared" si="0"/>
        <v>0</v>
      </c>
      <c r="AI269" s="9">
        <f t="shared" si="0"/>
        <v>0</v>
      </c>
      <c r="AJ269" s="9">
        <f t="shared" si="0"/>
        <v>0</v>
      </c>
      <c r="AK269" s="9">
        <f t="shared" si="0"/>
        <v>0</v>
      </c>
      <c r="AL269" s="9">
        <f t="shared" si="0"/>
        <v>0</v>
      </c>
      <c r="AM269" s="9">
        <f t="shared" si="0"/>
        <v>0</v>
      </c>
      <c r="AN269" s="9">
        <f t="shared" si="0"/>
        <v>0</v>
      </c>
      <c r="AO269" s="9">
        <f t="shared" si="0"/>
        <v>0</v>
      </c>
      <c r="AP269" s="9">
        <f t="shared" si="0"/>
        <v>0</v>
      </c>
      <c r="AQ269" s="9">
        <f t="shared" si="0"/>
        <v>0</v>
      </c>
      <c r="AR269" s="9">
        <f t="shared" si="0"/>
        <v>0</v>
      </c>
      <c r="AS269" s="9">
        <f t="shared" si="0"/>
        <v>0</v>
      </c>
      <c r="AT269" s="9">
        <f t="shared" si="0"/>
        <v>0</v>
      </c>
      <c r="AU269" s="9">
        <f t="shared" si="0"/>
        <v>0</v>
      </c>
      <c r="AV269" s="9">
        <f t="shared" si="0"/>
        <v>0</v>
      </c>
      <c r="AW269" s="9">
        <f t="shared" si="0"/>
        <v>0</v>
      </c>
      <c r="AX269" s="9">
        <f t="shared" si="0"/>
        <v>0</v>
      </c>
      <c r="AY269" s="9">
        <f t="shared" si="0"/>
        <v>0</v>
      </c>
      <c r="AZ269" s="9">
        <f t="shared" si="0"/>
        <v>0</v>
      </c>
      <c r="BA269" s="9">
        <f t="shared" si="0"/>
        <v>0</v>
      </c>
      <c r="BB269" s="9">
        <f t="shared" si="0"/>
        <v>0</v>
      </c>
      <c r="BC269" s="9">
        <f t="shared" si="0"/>
        <v>0</v>
      </c>
      <c r="BD269" s="9">
        <f t="shared" si="0"/>
        <v>0</v>
      </c>
      <c r="BE269" s="9">
        <f t="shared" si="0"/>
        <v>0</v>
      </c>
      <c r="BF269" s="9">
        <f t="shared" si="0"/>
        <v>0</v>
      </c>
      <c r="BG269" s="9">
        <f t="shared" si="0"/>
        <v>0</v>
      </c>
      <c r="BH269" s="9">
        <f t="shared" si="0"/>
        <v>0</v>
      </c>
      <c r="BI269" s="9">
        <f t="shared" si="0"/>
        <v>0</v>
      </c>
    </row>
  </sheetData>
  <sheetProtection sort="0"/>
  <mergeCells count="2">
    <mergeCell ref="A2:D2"/>
    <mergeCell ref="A5:D9"/>
  </mergeCells>
  <phoneticPr fontId="12" type="noConversion"/>
  <conditionalFormatting sqref="N11:GJ268 G268:GJ268">
    <cfRule type="cellIs" dxfId="291" priority="1872" operator="equal">
      <formula>"Indéterminé"</formula>
    </cfRule>
    <cfRule type="cellIs" dxfId="290" priority="1873" operator="equal">
      <formula>"NA"</formula>
    </cfRule>
    <cfRule type="cellIs" dxfId="289" priority="1874" operator="equal">
      <formula>"Invalidé"</formula>
    </cfRule>
    <cfRule type="cellIs" dxfId="288" priority="1875" operator="equal">
      <formula>"Validé"</formula>
    </cfRule>
    <cfRule type="cellIs" dxfId="287" priority="1876" operator="equal">
      <formula>"NA"</formula>
    </cfRule>
    <cfRule type="cellIs" dxfId="286" priority="1877" operator="equal">
      <formula>"Invalidé"</formula>
    </cfRule>
    <cfRule type="cellIs" dxfId="285" priority="1878" operator="equal">
      <formula>"Validé"</formula>
    </cfRule>
    <cfRule type="cellIs" dxfId="284" priority="1990" operator="equal">
      <formula>"Indéterminé"</formula>
    </cfRule>
    <cfRule type="cellIs" dxfId="283" priority="1997" operator="equal">
      <formula>"Invalidé"</formula>
    </cfRule>
    <cfRule type="cellIs" dxfId="282" priority="1998" operator="equal">
      <formula>"Validé"</formula>
    </cfRule>
    <cfRule type="cellIs" dxfId="281" priority="1999" stopIfTrue="1" operator="equal">
      <formula>"NA"</formula>
    </cfRule>
  </conditionalFormatting>
  <conditionalFormatting sqref="M11:M268">
    <cfRule type="cellIs" dxfId="280" priority="1062" operator="equal">
      <formula>"Indéterminé"</formula>
    </cfRule>
    <cfRule type="cellIs" dxfId="279" priority="1063" operator="equal">
      <formula>"NA"</formula>
    </cfRule>
    <cfRule type="cellIs" dxfId="278" priority="1064" operator="equal">
      <formula>"Invalidé"</formula>
    </cfRule>
    <cfRule type="cellIs" dxfId="277" priority="1065" operator="equal">
      <formula>"Validé"</formula>
    </cfRule>
    <cfRule type="cellIs" dxfId="276" priority="1066" operator="equal">
      <formula>"NA"</formula>
    </cfRule>
    <cfRule type="cellIs" dxfId="275" priority="1067" operator="equal">
      <formula>"Invalidé"</formula>
    </cfRule>
    <cfRule type="cellIs" dxfId="274" priority="1068" operator="equal">
      <formula>"Validé"</formula>
    </cfRule>
    <cfRule type="cellIs" dxfId="273" priority="1072" operator="equal">
      <formula>"Indéterminé"</formula>
    </cfRule>
    <cfRule type="cellIs" dxfId="272" priority="1073" operator="equal">
      <formula>"Invalidé"</formula>
    </cfRule>
    <cfRule type="cellIs" dxfId="271" priority="1074" operator="equal">
      <formula>"Validé"</formula>
    </cfRule>
    <cfRule type="cellIs" dxfId="270" priority="1075" stopIfTrue="1" operator="equal">
      <formula>"NA"</formula>
    </cfRule>
  </conditionalFormatting>
  <conditionalFormatting sqref="G11:J268">
    <cfRule type="cellIs" dxfId="269" priority="1104" operator="equal">
      <formula>"Indéterminé"</formula>
    </cfRule>
    <cfRule type="cellIs" dxfId="268" priority="1105" operator="equal">
      <formula>"NA"</formula>
    </cfRule>
    <cfRule type="cellIs" dxfId="267" priority="1106" operator="equal">
      <formula>"Invalidé"</formula>
    </cfRule>
    <cfRule type="cellIs" dxfId="266" priority="1107" operator="equal">
      <formula>"Validé"</formula>
    </cfRule>
    <cfRule type="cellIs" dxfId="265" priority="1108" operator="equal">
      <formula>"NA"</formula>
    </cfRule>
    <cfRule type="cellIs" dxfId="264" priority="1109" operator="equal">
      <formula>"Invalidé"</formula>
    </cfRule>
    <cfRule type="cellIs" dxfId="263" priority="1110" operator="equal">
      <formula>"Validé"</formula>
    </cfRule>
    <cfRule type="cellIs" dxfId="262" priority="1114" operator="equal">
      <formula>"Indéterminé"</formula>
    </cfRule>
    <cfRule type="cellIs" dxfId="261" priority="1115" operator="equal">
      <formula>"Invalidé"</formula>
    </cfRule>
    <cfRule type="cellIs" dxfId="260" priority="1116" operator="equal">
      <formula>"Validé"</formula>
    </cfRule>
    <cfRule type="cellIs" dxfId="259" priority="1117" stopIfTrue="1" operator="equal">
      <formula>"NA"</formula>
    </cfRule>
  </conditionalFormatting>
  <conditionalFormatting sqref="K11:K268">
    <cfRule type="cellIs" dxfId="258" priority="1090" operator="equal">
      <formula>"Indéterminé"</formula>
    </cfRule>
    <cfRule type="cellIs" dxfId="257" priority="1091" operator="equal">
      <formula>"NA"</formula>
    </cfRule>
    <cfRule type="cellIs" dxfId="256" priority="1092" operator="equal">
      <formula>"Invalidé"</formula>
    </cfRule>
    <cfRule type="cellIs" dxfId="255" priority="1093" operator="equal">
      <formula>"Validé"</formula>
    </cfRule>
    <cfRule type="cellIs" dxfId="254" priority="1094" operator="equal">
      <formula>"NA"</formula>
    </cfRule>
    <cfRule type="cellIs" dxfId="253" priority="1095" operator="equal">
      <formula>"Invalidé"</formula>
    </cfRule>
    <cfRule type="cellIs" dxfId="252" priority="1096" operator="equal">
      <formula>"Validé"</formula>
    </cfRule>
    <cfRule type="cellIs" dxfId="251" priority="1100" operator="equal">
      <formula>"Indéterminé"</formula>
    </cfRule>
    <cfRule type="cellIs" dxfId="250" priority="1101" operator="equal">
      <formula>"Invalidé"</formula>
    </cfRule>
    <cfRule type="cellIs" dxfId="249" priority="1102" operator="equal">
      <formula>"Validé"</formula>
    </cfRule>
    <cfRule type="cellIs" dxfId="248" priority="1103" stopIfTrue="1" operator="equal">
      <formula>"NA"</formula>
    </cfRule>
  </conditionalFormatting>
  <conditionalFormatting sqref="L11:L268">
    <cfRule type="cellIs" dxfId="247" priority="1076" operator="equal">
      <formula>"Indéterminé"</formula>
    </cfRule>
    <cfRule type="cellIs" dxfId="246" priority="1077" operator="equal">
      <formula>"NA"</formula>
    </cfRule>
    <cfRule type="cellIs" dxfId="245" priority="1078" operator="equal">
      <formula>"Invalidé"</formula>
    </cfRule>
    <cfRule type="cellIs" dxfId="244" priority="1079" operator="equal">
      <formula>"Validé"</formula>
    </cfRule>
    <cfRule type="cellIs" dxfId="243" priority="1080" operator="equal">
      <formula>"NA"</formula>
    </cfRule>
    <cfRule type="cellIs" dxfId="242" priority="1081" operator="equal">
      <formula>"Invalidé"</formula>
    </cfRule>
    <cfRule type="cellIs" dxfId="241" priority="1082" operator="equal">
      <formula>"Validé"</formula>
    </cfRule>
    <cfRule type="cellIs" dxfId="240" priority="1086" operator="equal">
      <formula>"Indéterminé"</formula>
    </cfRule>
    <cfRule type="cellIs" dxfId="239" priority="1087" operator="equal">
      <formula>"Invalidé"</formula>
    </cfRule>
    <cfRule type="cellIs" dxfId="238" priority="1088" operator="equal">
      <formula>"Validé"</formula>
    </cfRule>
    <cfRule type="cellIs" dxfId="237"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8"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5" x14ac:dyDescent="0.25"/>
  <cols>
    <col min="6" max="6" width="48.7109375" customWidth="1"/>
  </cols>
  <sheetData>
    <row r="2" spans="6:8" x14ac:dyDescent="0.25">
      <c r="F2" s="64" t="s">
        <v>489</v>
      </c>
      <c r="G2" s="232" t="str">
        <f ca="1">Value!O143</f>
        <v/>
      </c>
      <c r="H2" s="66" t="s">
        <v>490</v>
      </c>
    </row>
    <row r="3" spans="6:8" ht="76.5" x14ac:dyDescent="0.25">
      <c r="F3" s="104" t="s">
        <v>648</v>
      </c>
      <c r="G3" s="104"/>
      <c r="H3" s="104"/>
    </row>
    <row r="7" spans="6:8" x14ac:dyDescent="0.25">
      <c r="F7" s="67"/>
      <c r="G7" s="65"/>
      <c r="H7" s="66"/>
    </row>
    <row r="8" spans="6:8" ht="114.6" customHeight="1" x14ac:dyDescent="0.25">
      <c r="F8" s="104"/>
      <c r="G8" s="104"/>
      <c r="H8" s="104"/>
    </row>
    <row r="10" spans="6:8" x14ac:dyDescent="0.25">
      <c r="F10" s="103" t="s">
        <v>640</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I13" sqref="I13"/>
    </sheetView>
  </sheetViews>
  <sheetFormatPr baseColWidth="10" defaultColWidth="11.42578125" defaultRowHeight="12.75" x14ac:dyDescent="0.25"/>
  <cols>
    <col min="1" max="1" width="11.42578125" style="133"/>
    <col min="2" max="2" width="7.7109375" style="131" customWidth="1"/>
    <col min="3" max="3" width="52" style="131" customWidth="1"/>
    <col min="4" max="4" width="8.5703125" style="132" customWidth="1"/>
    <col min="5" max="5" width="12.42578125" style="132" customWidth="1"/>
    <col min="6" max="6" width="8.5703125" style="132" customWidth="1"/>
    <col min="7" max="7" width="10.5703125" style="131" customWidth="1"/>
    <col min="8" max="8" width="42.28515625" style="131" customWidth="1"/>
    <col min="9" max="9" width="39.42578125" style="131" customWidth="1"/>
    <col min="10" max="11" width="19.5703125" style="131" customWidth="1"/>
    <col min="12" max="13" width="11.42578125" style="133"/>
    <col min="14" max="16384" width="11.42578125" style="143"/>
  </cols>
  <sheetData>
    <row r="1" spans="1:13" s="128" customFormat="1" ht="39.950000000000003" customHeight="1" x14ac:dyDescent="0.25">
      <c r="A1" s="148" t="s">
        <v>0</v>
      </c>
      <c r="B1" s="148" t="s">
        <v>1</v>
      </c>
      <c r="C1" s="148" t="s">
        <v>2</v>
      </c>
      <c r="D1" s="148" t="s">
        <v>23</v>
      </c>
      <c r="E1" s="148" t="s">
        <v>487</v>
      </c>
      <c r="F1" s="148" t="s">
        <v>21</v>
      </c>
      <c r="G1" s="148" t="s">
        <v>45</v>
      </c>
      <c r="H1" s="148" t="s">
        <v>651</v>
      </c>
      <c r="I1" s="148" t="s">
        <v>1203</v>
      </c>
      <c r="J1" s="148" t="s">
        <v>621</v>
      </c>
      <c r="K1" s="148" t="s">
        <v>1117</v>
      </c>
      <c r="L1" s="148" t="s">
        <v>26</v>
      </c>
      <c r="M1" s="148" t="s">
        <v>488</v>
      </c>
    </row>
    <row r="2" spans="1:13" x14ac:dyDescent="0.25">
      <c r="H2" s="147"/>
      <c r="I2" s="147"/>
      <c r="J2" s="147"/>
      <c r="K2" s="147"/>
    </row>
    <row r="3" spans="1:13" x14ac:dyDescent="0.25">
      <c r="H3" s="144"/>
      <c r="I3" s="144"/>
      <c r="J3" s="144"/>
      <c r="K3" s="144"/>
    </row>
    <row r="4" spans="1:13" x14ac:dyDescent="0.25">
      <c r="H4" s="144"/>
      <c r="I4" s="144"/>
      <c r="J4" s="144"/>
      <c r="K4" s="144"/>
    </row>
    <row r="5" spans="1:13" x14ac:dyDescent="0.25">
      <c r="H5" s="144"/>
      <c r="I5" s="144"/>
      <c r="J5" s="144"/>
      <c r="K5" s="144"/>
    </row>
    <row r="6" spans="1:13" x14ac:dyDescent="0.25">
      <c r="H6" s="144"/>
      <c r="I6" s="144"/>
      <c r="J6" s="144"/>
      <c r="K6" s="144"/>
    </row>
    <row r="7" spans="1:13" x14ac:dyDescent="0.25">
      <c r="H7" s="144"/>
      <c r="I7" s="144"/>
      <c r="J7" s="144"/>
      <c r="K7" s="144"/>
    </row>
    <row r="8" spans="1:13" x14ac:dyDescent="0.25">
      <c r="H8" s="144"/>
      <c r="I8" s="144"/>
      <c r="J8" s="144"/>
      <c r="K8" s="144"/>
    </row>
    <row r="9" spans="1:13" x14ac:dyDescent="0.25">
      <c r="H9" s="134"/>
      <c r="I9" s="134"/>
      <c r="J9" s="135"/>
      <c r="K9" s="135"/>
    </row>
    <row r="10" spans="1:13" x14ac:dyDescent="0.25">
      <c r="H10" s="134"/>
      <c r="I10" s="134"/>
      <c r="J10" s="134"/>
      <c r="K10" s="134"/>
    </row>
    <row r="11" spans="1:13" x14ac:dyDescent="0.25">
      <c r="H11" s="134"/>
      <c r="I11" s="134"/>
      <c r="J11" s="134"/>
      <c r="K11" s="134"/>
    </row>
    <row r="12" spans="1:13" x14ac:dyDescent="0.25">
      <c r="H12" s="136"/>
      <c r="I12" s="136"/>
      <c r="J12" s="136"/>
      <c r="K12" s="136"/>
    </row>
    <row r="13" spans="1:13" x14ac:dyDescent="0.25">
      <c r="H13" s="136"/>
      <c r="I13" s="136"/>
      <c r="J13" s="136"/>
      <c r="K13" s="136"/>
    </row>
    <row r="14" spans="1:13" x14ac:dyDescent="0.25">
      <c r="H14" s="136"/>
      <c r="I14" s="136"/>
      <c r="J14" s="136"/>
      <c r="K14" s="136"/>
    </row>
    <row r="15" spans="1:13" x14ac:dyDescent="0.25">
      <c r="H15" s="136"/>
      <c r="I15" s="136"/>
      <c r="J15" s="136"/>
      <c r="K15" s="136"/>
    </row>
    <row r="16" spans="1:13" x14ac:dyDescent="0.25">
      <c r="H16" s="136"/>
      <c r="I16" s="136"/>
      <c r="J16" s="136"/>
      <c r="K16" s="136"/>
    </row>
    <row r="17" spans="8:11" x14ac:dyDescent="0.25">
      <c r="H17" s="136"/>
      <c r="I17" s="136"/>
      <c r="J17" s="136"/>
      <c r="K17" s="136"/>
    </row>
    <row r="18" spans="8:11" x14ac:dyDescent="0.25">
      <c r="H18" s="136"/>
      <c r="I18" s="136"/>
      <c r="J18" s="136"/>
      <c r="K18" s="136"/>
    </row>
    <row r="19" spans="8:11" x14ac:dyDescent="0.25">
      <c r="H19" s="136"/>
      <c r="I19" s="136"/>
      <c r="J19" s="136"/>
      <c r="K19" s="136"/>
    </row>
    <row r="20" spans="8:11" x14ac:dyDescent="0.25">
      <c r="H20" s="136"/>
      <c r="I20" s="136"/>
      <c r="J20" s="136"/>
      <c r="K20" s="136"/>
    </row>
    <row r="21" spans="8:11" x14ac:dyDescent="0.25">
      <c r="H21" s="136"/>
      <c r="I21" s="136"/>
      <c r="J21" s="136"/>
      <c r="K21" s="136"/>
    </row>
    <row r="22" spans="8:11" x14ac:dyDescent="0.25">
      <c r="H22" s="134"/>
      <c r="I22" s="134"/>
      <c r="J22" s="134"/>
      <c r="K22" s="134"/>
    </row>
    <row r="23" spans="8:11" x14ac:dyDescent="0.25">
      <c r="H23" s="134"/>
      <c r="I23" s="134"/>
      <c r="J23" s="134"/>
      <c r="K23" s="134"/>
    </row>
    <row r="24" spans="8:11" x14ac:dyDescent="0.25">
      <c r="H24" s="136"/>
      <c r="I24" s="136"/>
      <c r="J24" s="136"/>
      <c r="K24" s="136"/>
    </row>
    <row r="25" spans="8:11" x14ac:dyDescent="0.25">
      <c r="H25" s="136"/>
      <c r="I25" s="136"/>
      <c r="J25" s="136"/>
      <c r="K25" s="136"/>
    </row>
    <row r="26" spans="8:11" x14ac:dyDescent="0.25">
      <c r="H26" s="136"/>
      <c r="I26" s="136"/>
      <c r="J26" s="136"/>
      <c r="K26" s="136"/>
    </row>
    <row r="27" spans="8:11" x14ac:dyDescent="0.25">
      <c r="H27" s="136"/>
      <c r="I27" s="136"/>
      <c r="J27" s="136"/>
      <c r="K27" s="136"/>
    </row>
    <row r="28" spans="8:11" x14ac:dyDescent="0.25">
      <c r="H28" s="136"/>
      <c r="I28" s="136"/>
      <c r="J28" s="136"/>
      <c r="K28" s="136"/>
    </row>
    <row r="29" spans="8:11" x14ac:dyDescent="0.25">
      <c r="H29" s="136"/>
      <c r="I29" s="136"/>
      <c r="J29" s="136"/>
      <c r="K29" s="136"/>
    </row>
    <row r="30" spans="8:11" x14ac:dyDescent="0.25">
      <c r="H30" s="136"/>
      <c r="I30" s="136"/>
      <c r="J30" s="136"/>
      <c r="K30" s="136"/>
    </row>
    <row r="31" spans="8:11" x14ac:dyDescent="0.25">
      <c r="H31" s="136"/>
      <c r="I31" s="136"/>
      <c r="J31" s="136"/>
      <c r="K31" s="136"/>
    </row>
    <row r="32" spans="8:11" x14ac:dyDescent="0.25">
      <c r="H32" s="136"/>
      <c r="I32" s="136"/>
      <c r="J32" s="136"/>
      <c r="K32" s="136"/>
    </row>
    <row r="33" spans="8:11" x14ac:dyDescent="0.25">
      <c r="H33" s="136"/>
      <c r="I33" s="136"/>
      <c r="J33" s="136"/>
      <c r="K33" s="136"/>
    </row>
  </sheetData>
  <autoFilter ref="A1:M1" xr:uid="{C2146AC3-D756-43F3-A01B-E921450019EF}"/>
  <conditionalFormatting sqref="F1:F1048576">
    <cfRule type="cellIs" dxfId="40" priority="1" operator="equal">
      <formula>"NA"</formula>
    </cfRule>
    <cfRule type="cellIs" dxfId="39" priority="2" operator="equal">
      <formula>"Indéterminé"</formula>
    </cfRule>
    <cfRule type="cellIs" dxfId="38" priority="3" operator="equal">
      <formula>"Validé"</formula>
    </cfRule>
    <cfRule type="cellIs" dxfId="37"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DFFC-C847-4BBE-9BE0-D306F3309EF4}">
  <sheetPr codeName="Feuil7">
    <tabColor rgb="FF3366CC"/>
  </sheetPr>
  <dimension ref="A1:E14"/>
  <sheetViews>
    <sheetView showGridLines="0" workbookViewId="0">
      <selection activeCell="E14" sqref="E14"/>
    </sheetView>
  </sheetViews>
  <sheetFormatPr baseColWidth="10" defaultRowHeight="15" x14ac:dyDescent="0.25"/>
  <cols>
    <col min="1" max="1" width="5.7109375" customWidth="1"/>
    <col min="2" max="2" width="20.7109375" customWidth="1"/>
    <col min="3" max="3" width="120.7109375" customWidth="1"/>
    <col min="5" max="5" width="5.7109375" customWidth="1"/>
  </cols>
  <sheetData>
    <row r="1" spans="1:5" ht="39.950000000000003" customHeight="1" x14ac:dyDescent="0.25">
      <c r="A1" s="307"/>
      <c r="B1" s="312" t="s">
        <v>1205</v>
      </c>
      <c r="C1" s="312"/>
      <c r="D1" s="306"/>
      <c r="E1" s="307"/>
    </row>
    <row r="2" spans="1:5" ht="69.95" customHeight="1" thickBot="1" x14ac:dyDescent="0.3">
      <c r="B2" s="348" t="s">
        <v>1206</v>
      </c>
      <c r="C2" s="348"/>
    </row>
    <row r="3" spans="1:5" ht="24.95" customHeight="1" thickTop="1" thickBot="1" x14ac:dyDescent="0.3">
      <c r="B3" s="318" t="s">
        <v>1210</v>
      </c>
      <c r="C3" s="315"/>
    </row>
    <row r="4" spans="1:5" ht="39.950000000000003" customHeight="1" thickTop="1" thickBot="1" x14ac:dyDescent="0.3">
      <c r="B4" s="314" t="s">
        <v>1212</v>
      </c>
      <c r="C4" s="310" t="s">
        <v>1208</v>
      </c>
    </row>
    <row r="5" spans="1:5" ht="39.950000000000003" customHeight="1" thickTop="1" thickBot="1" x14ac:dyDescent="0.3">
      <c r="B5" s="314" t="s">
        <v>1213</v>
      </c>
      <c r="C5" s="310" t="s">
        <v>1211</v>
      </c>
    </row>
    <row r="6" spans="1:5" ht="39.950000000000003" customHeight="1" thickTop="1" thickBot="1" x14ac:dyDescent="0.3">
      <c r="B6" s="317" t="s">
        <v>1214</v>
      </c>
      <c r="C6" s="311" t="s">
        <v>1216</v>
      </c>
    </row>
    <row r="7" spans="1:5" ht="39.950000000000003" customHeight="1" thickTop="1" thickBot="1" x14ac:dyDescent="0.3">
      <c r="B7" s="314" t="s">
        <v>1204</v>
      </c>
      <c r="C7" s="313" t="s">
        <v>1209</v>
      </c>
    </row>
    <row r="8" spans="1:5" ht="9.9499999999999993" customHeight="1" thickTop="1" thickBot="1" x14ac:dyDescent="0.3">
      <c r="B8" s="316"/>
      <c r="C8" s="319"/>
    </row>
    <row r="9" spans="1:5" ht="24.95" customHeight="1" thickTop="1" thickBot="1" x14ac:dyDescent="0.3">
      <c r="B9" s="318" t="s">
        <v>45</v>
      </c>
      <c r="C9" s="315"/>
    </row>
    <row r="10" spans="1:5" s="308" customFormat="1" ht="39.950000000000003" customHeight="1" thickTop="1" thickBot="1" x14ac:dyDescent="0.3">
      <c r="B10" s="314" t="s">
        <v>1212</v>
      </c>
      <c r="C10" s="309" t="s">
        <v>1208</v>
      </c>
    </row>
    <row r="11" spans="1:5" s="308" customFormat="1" ht="39.950000000000003" customHeight="1" thickTop="1" thickBot="1" x14ac:dyDescent="0.3">
      <c r="B11" s="314" t="s">
        <v>1213</v>
      </c>
      <c r="C11" s="310" t="s">
        <v>1207</v>
      </c>
    </row>
    <row r="12" spans="1:5" s="308" customFormat="1" ht="39.950000000000003" customHeight="1" thickTop="1" thickBot="1" x14ac:dyDescent="0.3">
      <c r="B12" s="317" t="s">
        <v>1214</v>
      </c>
      <c r="C12" s="311" t="s">
        <v>1215</v>
      </c>
    </row>
    <row r="13" spans="1:5" s="308" customFormat="1" ht="39.950000000000003" customHeight="1" thickTop="1" thickBot="1" x14ac:dyDescent="0.3">
      <c r="B13" s="314" t="s">
        <v>1204</v>
      </c>
      <c r="C13" s="313" t="s">
        <v>1209</v>
      </c>
    </row>
    <row r="14" spans="1:5" ht="15.75" thickTop="1" x14ac:dyDescent="0.25"/>
  </sheetData>
  <mergeCells count="1">
    <mergeCell ref="B2:C2"/>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workbookViewId="0">
      <selection activeCell="B2" sqref="B2"/>
    </sheetView>
  </sheetViews>
  <sheetFormatPr baseColWidth="10" defaultColWidth="11.42578125" defaultRowHeight="15" x14ac:dyDescent="0.25"/>
  <cols>
    <col min="1" max="1" width="5.7109375" style="9" customWidth="1"/>
    <col min="2" max="2" width="110.7109375" style="9" customWidth="1"/>
    <col min="3" max="3" width="5.7109375" style="9" customWidth="1"/>
    <col min="4" max="16384" width="11.42578125" style="9"/>
  </cols>
  <sheetData>
    <row r="1" spans="1:3" ht="24.95" customHeight="1" x14ac:dyDescent="0.25">
      <c r="A1" s="149"/>
      <c r="B1" s="149"/>
      <c r="C1" s="26"/>
    </row>
    <row r="2" spans="1:3" ht="60" customHeight="1" x14ac:dyDescent="0.25">
      <c r="A2" s="149"/>
      <c r="B2" s="151" t="s">
        <v>644</v>
      </c>
      <c r="C2" s="149"/>
    </row>
    <row r="3" spans="1:3" ht="39.950000000000003" customHeight="1" x14ac:dyDescent="0.25">
      <c r="A3" s="149"/>
      <c r="B3" s="152" t="s">
        <v>645</v>
      </c>
      <c r="C3" s="149"/>
    </row>
    <row r="4" spans="1:3" ht="30" customHeight="1" x14ac:dyDescent="0.25">
      <c r="A4" s="149"/>
      <c r="B4" s="153" t="s">
        <v>1166</v>
      </c>
      <c r="C4" s="149"/>
    </row>
    <row r="5" spans="1:3" ht="17.100000000000001" customHeight="1" x14ac:dyDescent="0.25">
      <c r="A5" s="149"/>
      <c r="B5" s="154" t="s">
        <v>646</v>
      </c>
      <c r="C5" s="149"/>
    </row>
    <row r="6" spans="1:3" ht="17.100000000000001" customHeight="1" x14ac:dyDescent="0.25">
      <c r="A6" s="149"/>
      <c r="B6" s="155" t="s">
        <v>1174</v>
      </c>
      <c r="C6" s="149"/>
    </row>
    <row r="7" spans="1:3" ht="17.100000000000001" customHeight="1" x14ac:dyDescent="0.25">
      <c r="A7" s="149"/>
      <c r="B7" s="155" t="s">
        <v>1175</v>
      </c>
      <c r="C7" s="149"/>
    </row>
    <row r="8" spans="1:3" ht="17.100000000000001" customHeight="1" x14ac:dyDescent="0.25">
      <c r="A8" s="149"/>
      <c r="B8" s="154"/>
      <c r="C8" s="149"/>
    </row>
    <row r="9" spans="1:3" ht="17.100000000000001" customHeight="1" x14ac:dyDescent="0.25">
      <c r="A9" s="149"/>
      <c r="B9" s="154" t="s">
        <v>647</v>
      </c>
      <c r="C9" s="149"/>
    </row>
    <row r="10" spans="1:3" ht="17.100000000000001" customHeight="1" x14ac:dyDescent="0.25">
      <c r="A10" s="149"/>
      <c r="B10" s="155" t="s">
        <v>1176</v>
      </c>
      <c r="C10" s="149"/>
    </row>
    <row r="11" spans="1:3" ht="17.100000000000001" customHeight="1" x14ac:dyDescent="0.25">
      <c r="A11" s="149"/>
      <c r="B11" s="155" t="s">
        <v>1177</v>
      </c>
      <c r="C11" s="149"/>
    </row>
    <row r="12" spans="1:3" ht="17.100000000000001" customHeight="1" x14ac:dyDescent="0.25">
      <c r="A12" s="149"/>
      <c r="B12" s="155" t="s">
        <v>1178</v>
      </c>
      <c r="C12" s="149"/>
    </row>
    <row r="13" spans="1:3" ht="17.100000000000001" customHeight="1" x14ac:dyDescent="0.25">
      <c r="A13" s="149"/>
      <c r="B13" s="155" t="s">
        <v>1179</v>
      </c>
      <c r="C13" s="149"/>
    </row>
    <row r="14" spans="1:3" ht="17.100000000000001" customHeight="1" x14ac:dyDescent="0.25">
      <c r="A14" s="149"/>
      <c r="B14" s="155"/>
      <c r="C14" s="149"/>
    </row>
    <row r="15" spans="1:3" ht="30" x14ac:dyDescent="0.25">
      <c r="A15" s="149"/>
      <c r="B15" s="174" t="s">
        <v>1164</v>
      </c>
      <c r="C15" s="149"/>
    </row>
    <row r="16" spans="1:3" ht="17.100000000000001" customHeight="1" x14ac:dyDescent="0.25">
      <c r="A16" s="149"/>
      <c r="B16" s="154"/>
      <c r="C16" s="149"/>
    </row>
    <row r="17" spans="1:9" ht="39.950000000000003" customHeight="1" x14ac:dyDescent="0.25">
      <c r="A17" s="149"/>
      <c r="B17" s="156" t="s">
        <v>1165</v>
      </c>
      <c r="C17" s="150"/>
      <c r="D17" s="105"/>
      <c r="E17" s="105"/>
      <c r="F17" s="105"/>
      <c r="G17" s="105"/>
      <c r="H17" s="105"/>
      <c r="I17" s="105"/>
    </row>
    <row r="18" spans="1:9" ht="30" customHeight="1" x14ac:dyDescent="0.25">
      <c r="A18" s="149"/>
      <c r="B18" s="153" t="s">
        <v>1167</v>
      </c>
      <c r="C18" s="149"/>
    </row>
    <row r="19" spans="1:9" ht="99.95" customHeight="1" x14ac:dyDescent="0.25">
      <c r="A19" s="149"/>
      <c r="B19" s="156" t="s">
        <v>1168</v>
      </c>
      <c r="C19" s="150"/>
      <c r="D19" s="105"/>
      <c r="E19" s="105"/>
      <c r="F19" s="105"/>
      <c r="G19" s="105"/>
      <c r="H19" s="105"/>
      <c r="I19" s="105"/>
    </row>
    <row r="20" spans="1:9" ht="30" customHeight="1" x14ac:dyDescent="0.25">
      <c r="A20" s="149"/>
      <c r="B20" s="153" t="s">
        <v>1169</v>
      </c>
      <c r="C20" s="149"/>
    </row>
    <row r="21" spans="1:9" ht="60" customHeight="1" x14ac:dyDescent="0.25">
      <c r="A21" s="149"/>
      <c r="B21" s="156" t="s">
        <v>1170</v>
      </c>
      <c r="C21" s="150"/>
      <c r="D21" s="105"/>
      <c r="E21" s="105"/>
      <c r="F21" s="105"/>
      <c r="G21" s="105"/>
      <c r="H21" s="105"/>
      <c r="I21" s="105"/>
    </row>
    <row r="22" spans="1:9" ht="30" customHeight="1" x14ac:dyDescent="0.25">
      <c r="A22" s="149"/>
      <c r="B22" s="153" t="s">
        <v>1171</v>
      </c>
      <c r="C22" s="149"/>
    </row>
    <row r="23" spans="1:9" ht="45" x14ac:dyDescent="0.25">
      <c r="A23" s="149"/>
      <c r="B23" s="156" t="s">
        <v>1172</v>
      </c>
      <c r="C23" s="150"/>
      <c r="D23" s="105"/>
      <c r="E23" s="105"/>
      <c r="F23" s="105"/>
      <c r="G23" s="105"/>
      <c r="H23" s="105"/>
      <c r="I23" s="105"/>
    </row>
    <row r="24" spans="1:9" ht="135" x14ac:dyDescent="0.25">
      <c r="A24" s="149"/>
      <c r="B24" s="156" t="s">
        <v>1173</v>
      </c>
      <c r="C24" s="150"/>
      <c r="D24" s="105"/>
      <c r="E24" s="105"/>
      <c r="F24" s="105"/>
      <c r="G24" s="105"/>
      <c r="H24" s="105"/>
      <c r="I24" s="105"/>
    </row>
    <row r="25" spans="1:9" ht="135" x14ac:dyDescent="0.25">
      <c r="A25" s="149"/>
      <c r="B25" s="156" t="s">
        <v>1202</v>
      </c>
      <c r="C25" s="150"/>
      <c r="D25" s="105"/>
      <c r="E25" s="105"/>
      <c r="F25" s="105"/>
      <c r="G25" s="105"/>
      <c r="H25" s="105"/>
      <c r="I25" s="105"/>
    </row>
    <row r="26" spans="1:9" ht="60" x14ac:dyDescent="0.25">
      <c r="A26" s="149"/>
      <c r="B26" s="156" t="s">
        <v>1180</v>
      </c>
      <c r="C26" s="150"/>
      <c r="D26" s="105"/>
      <c r="E26" s="105"/>
      <c r="F26" s="105"/>
      <c r="G26" s="105"/>
      <c r="H26" s="105"/>
      <c r="I26" s="105"/>
    </row>
    <row r="27" spans="1:9" ht="60" x14ac:dyDescent="0.25">
      <c r="A27" s="149"/>
      <c r="B27" s="156" t="s">
        <v>1181</v>
      </c>
      <c r="C27" s="150"/>
      <c r="D27" s="105"/>
      <c r="E27" s="105"/>
      <c r="F27" s="105"/>
      <c r="G27" s="105"/>
      <c r="H27" s="105"/>
      <c r="I27" s="105"/>
    </row>
    <row r="28" spans="1:9" ht="30" x14ac:dyDescent="0.25">
      <c r="A28" s="149"/>
      <c r="B28" s="272" t="s">
        <v>1182</v>
      </c>
      <c r="C28" s="150"/>
      <c r="D28" s="105"/>
      <c r="E28" s="105"/>
      <c r="F28" s="105"/>
      <c r="G28" s="105"/>
      <c r="H28" s="105"/>
      <c r="I28" s="105"/>
    </row>
    <row r="29" spans="1:9" ht="30.95" customHeight="1" x14ac:dyDescent="0.25">
      <c r="A29" s="149"/>
      <c r="B29" s="153" t="s">
        <v>1183</v>
      </c>
      <c r="C29" s="150"/>
      <c r="D29" s="105"/>
      <c r="E29" s="105"/>
      <c r="F29" s="105"/>
      <c r="G29" s="105"/>
      <c r="H29" s="105"/>
      <c r="I29" s="105"/>
    </row>
    <row r="30" spans="1:9" ht="90" x14ac:dyDescent="0.25">
      <c r="A30" s="149"/>
      <c r="B30" s="156" t="s">
        <v>1189</v>
      </c>
      <c r="C30" s="150"/>
      <c r="D30" s="105"/>
      <c r="E30" s="105"/>
      <c r="F30" s="105"/>
      <c r="G30" s="105"/>
      <c r="H30" s="105"/>
      <c r="I30" s="105"/>
    </row>
    <row r="31" spans="1:9" ht="30" x14ac:dyDescent="0.25">
      <c r="A31" s="149"/>
      <c r="B31" s="273" t="s">
        <v>1188</v>
      </c>
      <c r="C31" s="150"/>
      <c r="D31" s="105"/>
      <c r="E31" s="105"/>
      <c r="F31" s="105"/>
      <c r="G31" s="105"/>
      <c r="H31" s="105"/>
      <c r="I31" s="105"/>
    </row>
    <row r="32" spans="1:9" ht="60" x14ac:dyDescent="0.25">
      <c r="A32" s="149"/>
      <c r="B32" s="156" t="s">
        <v>1187</v>
      </c>
      <c r="C32" s="150"/>
      <c r="D32" s="105"/>
      <c r="E32" s="105"/>
      <c r="F32" s="105"/>
      <c r="G32" s="105"/>
      <c r="H32" s="105"/>
      <c r="I32" s="105"/>
    </row>
    <row r="33" spans="1:9" ht="30" x14ac:dyDescent="0.25">
      <c r="A33" s="149"/>
      <c r="B33" s="305" t="s">
        <v>1201</v>
      </c>
      <c r="C33" s="150"/>
      <c r="D33" s="105"/>
      <c r="E33" s="105"/>
      <c r="F33" s="105"/>
      <c r="G33" s="105"/>
      <c r="H33" s="105"/>
      <c r="I33" s="105"/>
    </row>
    <row r="34" spans="1:9" ht="60" x14ac:dyDescent="0.25">
      <c r="A34" s="149"/>
      <c r="B34" s="156" t="s">
        <v>1186</v>
      </c>
      <c r="C34" s="150"/>
      <c r="D34" s="105"/>
      <c r="E34" s="105"/>
      <c r="F34" s="105"/>
      <c r="G34" s="105"/>
      <c r="H34" s="105"/>
      <c r="I34" s="105"/>
    </row>
    <row r="35" spans="1:9" ht="75" x14ac:dyDescent="0.25">
      <c r="A35" s="149"/>
      <c r="B35" s="156" t="s">
        <v>1185</v>
      </c>
      <c r="C35" s="150"/>
      <c r="D35" s="105"/>
      <c r="E35" s="105"/>
      <c r="F35" s="105"/>
      <c r="G35" s="105"/>
      <c r="H35" s="105"/>
      <c r="I35" s="105"/>
    </row>
    <row r="36" spans="1:9" ht="45" x14ac:dyDescent="0.25">
      <c r="A36" s="149"/>
      <c r="B36" s="156" t="s">
        <v>1184</v>
      </c>
      <c r="C36" s="150"/>
      <c r="D36" s="105"/>
      <c r="E36" s="105"/>
      <c r="F36" s="105"/>
      <c r="G36" s="105"/>
      <c r="H36" s="105"/>
      <c r="I36" s="105"/>
    </row>
    <row r="37" spans="1:9" ht="30" customHeight="1" x14ac:dyDescent="0.25">
      <c r="A37" s="149"/>
      <c r="B37" s="153" t="s">
        <v>1190</v>
      </c>
      <c r="C37" s="149"/>
    </row>
    <row r="38" spans="1:9" ht="75" x14ac:dyDescent="0.25">
      <c r="A38" s="149"/>
      <c r="B38" s="156" t="s">
        <v>1192</v>
      </c>
      <c r="C38" s="150"/>
      <c r="D38" s="105"/>
      <c r="E38" s="105"/>
      <c r="F38" s="105"/>
      <c r="G38" s="105"/>
      <c r="H38" s="105"/>
      <c r="I38" s="105"/>
    </row>
    <row r="39" spans="1:9" ht="45" x14ac:dyDescent="0.25">
      <c r="A39" s="149"/>
      <c r="B39" s="156" t="s">
        <v>1191</v>
      </c>
      <c r="C39" s="150"/>
      <c r="D39" s="105"/>
      <c r="E39" s="105"/>
      <c r="F39" s="105"/>
      <c r="G39" s="105"/>
      <c r="H39" s="105"/>
      <c r="I39" s="105"/>
    </row>
    <row r="40" spans="1:9" ht="30" customHeight="1" x14ac:dyDescent="0.25">
      <c r="A40" s="149"/>
      <c r="B40" s="153" t="s">
        <v>1193</v>
      </c>
      <c r="C40" s="149"/>
    </row>
    <row r="41" spans="1:9" ht="60" x14ac:dyDescent="0.25">
      <c r="A41" s="149"/>
      <c r="B41" s="156" t="s">
        <v>1194</v>
      </c>
      <c r="C41" s="150"/>
      <c r="D41" s="105"/>
      <c r="E41" s="105"/>
      <c r="F41" s="105"/>
      <c r="G41" s="105"/>
      <c r="H41" s="105"/>
      <c r="I41" s="105"/>
    </row>
    <row r="42" spans="1:9" ht="30" customHeight="1" x14ac:dyDescent="0.25">
      <c r="A42" s="149"/>
      <c r="B42" s="153" t="s">
        <v>1197</v>
      </c>
      <c r="C42" s="149"/>
    </row>
    <row r="43" spans="1:9" ht="60" x14ac:dyDescent="0.25">
      <c r="A43" s="149"/>
      <c r="B43" s="156" t="s">
        <v>1196</v>
      </c>
      <c r="C43" s="150"/>
      <c r="D43" s="105"/>
      <c r="E43" s="105"/>
      <c r="F43" s="105"/>
      <c r="G43" s="105"/>
      <c r="H43" s="105"/>
      <c r="I43" s="105"/>
    </row>
    <row r="44" spans="1:9" ht="30" x14ac:dyDescent="0.25">
      <c r="A44" s="149"/>
      <c r="B44" s="156" t="s">
        <v>1195</v>
      </c>
      <c r="C44" s="150"/>
      <c r="D44" s="105"/>
      <c r="E44" s="105"/>
      <c r="F44" s="105"/>
      <c r="G44" s="105"/>
      <c r="H44" s="105"/>
      <c r="I44" s="105"/>
    </row>
    <row r="45" spans="1:9" x14ac:dyDescent="0.25">
      <c r="A45" s="149"/>
      <c r="B45" s="149"/>
      <c r="C45" s="149"/>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5" x14ac:dyDescent="0.25"/>
  <cols>
    <col min="2" max="2" width="12.5703125" customWidth="1"/>
    <col min="3" max="3" width="100.7109375" customWidth="1"/>
  </cols>
  <sheetData>
    <row r="2" spans="2:3" ht="26.25" x14ac:dyDescent="0.4">
      <c r="B2" s="98" t="s">
        <v>641</v>
      </c>
    </row>
    <row r="3" spans="2:3" x14ac:dyDescent="0.25">
      <c r="B3" s="97" t="s">
        <v>629</v>
      </c>
    </row>
    <row r="5" spans="2:3" ht="18" x14ac:dyDescent="0.25">
      <c r="B5" s="99" t="s">
        <v>630</v>
      </c>
    </row>
    <row r="6" spans="2:3" x14ac:dyDescent="0.25">
      <c r="B6" s="100" t="s">
        <v>631</v>
      </c>
    </row>
    <row r="7" spans="2:3" x14ac:dyDescent="0.25">
      <c r="B7" s="100" t="s">
        <v>633</v>
      </c>
    </row>
    <row r="8" spans="2:3" x14ac:dyDescent="0.25">
      <c r="B8" s="101"/>
    </row>
    <row r="9" spans="2:3" x14ac:dyDescent="0.25">
      <c r="B9" s="101" t="s">
        <v>632</v>
      </c>
    </row>
    <row r="10" spans="2:3" x14ac:dyDescent="0.25">
      <c r="B10" s="101"/>
    </row>
    <row r="11" spans="2:3" ht="18" x14ac:dyDescent="0.25">
      <c r="B11" s="99" t="s">
        <v>634</v>
      </c>
    </row>
    <row r="12" spans="2:3" ht="45" x14ac:dyDescent="0.25">
      <c r="C12" s="102" t="s">
        <v>635</v>
      </c>
    </row>
    <row r="14" spans="2:3" ht="45" x14ac:dyDescent="0.25">
      <c r="C14" s="102" t="s">
        <v>636</v>
      </c>
    </row>
    <row r="16" spans="2:3" ht="45" x14ac:dyDescent="0.25">
      <c r="C16" s="102" t="s">
        <v>637</v>
      </c>
    </row>
    <row r="19" spans="2:3" ht="26.25" x14ac:dyDescent="0.4">
      <c r="B19" s="98" t="s">
        <v>638</v>
      </c>
    </row>
    <row r="20" spans="2:3" ht="18" x14ac:dyDescent="0.25">
      <c r="B20" s="99" t="s">
        <v>639</v>
      </c>
    </row>
    <row r="21" spans="2:3" ht="51.6" customHeight="1" x14ac:dyDescent="0.25">
      <c r="C21" s="9" t="s">
        <v>1163</v>
      </c>
    </row>
    <row r="23" spans="2:3" ht="18" x14ac:dyDescent="0.25">
      <c r="B23" s="99" t="s">
        <v>642</v>
      </c>
    </row>
    <row r="24" spans="2:3" x14ac:dyDescent="0.25">
      <c r="B24" s="349" t="s">
        <v>643</v>
      </c>
      <c r="C24" s="349"/>
    </row>
    <row r="27" spans="2:3" ht="26.25" x14ac:dyDescent="0.4">
      <c r="B27" s="98"/>
    </row>
    <row r="28" spans="2:3" ht="72" customHeight="1" x14ac:dyDescent="0.25">
      <c r="B28" s="350"/>
      <c r="C28" s="350"/>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8"/>
  <sheetViews>
    <sheetView zoomScaleNormal="100" workbookViewId="0">
      <pane ySplit="3" topLeftCell="A256" activePane="bottomLeft" state="frozen"/>
      <selection activeCell="B9" sqref="B9"/>
      <selection pane="bottomLeft" activeCell="H261" sqref="H261"/>
    </sheetView>
  </sheetViews>
  <sheetFormatPr baseColWidth="10" defaultColWidth="11.5703125" defaultRowHeight="11.25" x14ac:dyDescent="0.25"/>
  <cols>
    <col min="1" max="1" width="3.28515625" style="108" customWidth="1"/>
    <col min="2" max="2" width="11.28515625" style="118" customWidth="1"/>
    <col min="3" max="3" width="32" style="118" customWidth="1"/>
    <col min="4" max="4" width="6.28515625" style="115" customWidth="1"/>
    <col min="5" max="5" width="5" style="108" customWidth="1"/>
    <col min="6" max="6" width="68.5703125" style="118" customWidth="1"/>
    <col min="7" max="7" width="9" style="115" customWidth="1"/>
    <col min="8" max="8" width="9.42578125" style="115" bestFit="1" customWidth="1"/>
    <col min="9" max="9" width="9.42578125" style="115" customWidth="1"/>
    <col min="10" max="10" width="10.7109375" style="108" customWidth="1"/>
    <col min="11" max="13" width="36.28515625" style="108" customWidth="1"/>
    <col min="14" max="14" width="17.140625" style="108" customWidth="1"/>
    <col min="15" max="15" width="11.5703125" style="108" customWidth="1"/>
    <col min="16" max="16384" width="11.5703125" style="108"/>
  </cols>
  <sheetData>
    <row r="1" spans="2:17" ht="21" x14ac:dyDescent="0.25">
      <c r="B1" s="109"/>
      <c r="C1" s="110"/>
      <c r="D1" s="111"/>
      <c r="E1" s="112"/>
      <c r="F1" s="112"/>
      <c r="G1" s="111"/>
      <c r="H1" s="112"/>
      <c r="I1" s="112"/>
      <c r="J1" s="112"/>
      <c r="K1" s="112"/>
      <c r="L1" s="112"/>
      <c r="M1" s="112"/>
      <c r="N1" s="112"/>
      <c r="O1" s="112"/>
      <c r="P1" s="43" t="s">
        <v>20</v>
      </c>
      <c r="Q1" s="113"/>
    </row>
    <row r="2" spans="2:17" x14ac:dyDescent="0.25">
      <c r="B2" s="108"/>
      <c r="C2" s="114"/>
      <c r="F2" s="108"/>
      <c r="H2" s="116"/>
      <c r="I2" s="116"/>
    </row>
    <row r="3" spans="2:17" s="117" customFormat="1" ht="22.5" x14ac:dyDescent="0.25">
      <c r="B3" s="274" t="s">
        <v>0</v>
      </c>
      <c r="C3" s="275" t="s">
        <v>233</v>
      </c>
      <c r="D3" s="275" t="s">
        <v>1</v>
      </c>
      <c r="E3" s="276" t="s">
        <v>23</v>
      </c>
      <c r="F3" s="275" t="s">
        <v>2</v>
      </c>
      <c r="G3" s="275" t="s">
        <v>31</v>
      </c>
      <c r="H3" s="275" t="s">
        <v>21</v>
      </c>
      <c r="I3" s="275" t="s">
        <v>487</v>
      </c>
      <c r="J3" s="275" t="s">
        <v>22</v>
      </c>
      <c r="K3" s="275" t="s">
        <v>651</v>
      </c>
      <c r="L3" s="275" t="s">
        <v>1203</v>
      </c>
      <c r="M3" s="275" t="s">
        <v>621</v>
      </c>
      <c r="N3" s="275" t="s">
        <v>1117</v>
      </c>
      <c r="O3" s="275" t="s">
        <v>650</v>
      </c>
      <c r="P3" s="275" t="s">
        <v>26</v>
      </c>
      <c r="Q3" s="277" t="s">
        <v>488</v>
      </c>
    </row>
    <row r="4" spans="2:17" ht="22.5" x14ac:dyDescent="0.25">
      <c r="B4" s="278" t="s">
        <v>5</v>
      </c>
      <c r="C4" s="157" t="s">
        <v>832</v>
      </c>
      <c r="D4" s="158" t="s">
        <v>234</v>
      </c>
      <c r="E4" s="159" t="s">
        <v>24</v>
      </c>
      <c r="F4" s="173" t="s">
        <v>833</v>
      </c>
      <c r="G4" s="279" t="s">
        <v>32</v>
      </c>
      <c r="H4" s="280" t="s">
        <v>41</v>
      </c>
      <c r="I4" s="281"/>
      <c r="J4" s="279"/>
      <c r="K4" s="190"/>
      <c r="L4" s="190"/>
      <c r="M4" s="190"/>
      <c r="N4" s="190"/>
      <c r="O4" s="190"/>
      <c r="P4" s="279"/>
      <c r="Q4" s="282"/>
    </row>
    <row r="5" spans="2:17" ht="22.5" x14ac:dyDescent="0.25">
      <c r="B5" s="278" t="s">
        <v>5</v>
      </c>
      <c r="C5" s="157"/>
      <c r="D5" s="158" t="s">
        <v>235</v>
      </c>
      <c r="E5" s="159" t="s">
        <v>24</v>
      </c>
      <c r="F5" s="173" t="s">
        <v>834</v>
      </c>
      <c r="G5" s="279" t="s">
        <v>32</v>
      </c>
      <c r="H5" s="280" t="s">
        <v>41</v>
      </c>
      <c r="I5" s="283"/>
      <c r="J5" s="279"/>
      <c r="K5" s="190"/>
      <c r="L5" s="190"/>
      <c r="M5" s="190"/>
      <c r="N5" s="190"/>
      <c r="O5" s="190"/>
      <c r="P5" s="279"/>
      <c r="Q5" s="282"/>
    </row>
    <row r="6" spans="2:17" ht="22.5" x14ac:dyDescent="0.25">
      <c r="B6" s="278" t="s">
        <v>5</v>
      </c>
      <c r="C6" s="157"/>
      <c r="D6" s="158" t="s">
        <v>236</v>
      </c>
      <c r="E6" s="159" t="s">
        <v>24</v>
      </c>
      <c r="F6" s="173" t="s">
        <v>668</v>
      </c>
      <c r="G6" s="279" t="s">
        <v>32</v>
      </c>
      <c r="H6" s="280" t="s">
        <v>41</v>
      </c>
      <c r="I6" s="283"/>
      <c r="J6" s="279"/>
      <c r="K6" s="190"/>
      <c r="L6" s="190"/>
      <c r="M6" s="190"/>
      <c r="N6" s="190"/>
      <c r="O6" s="190"/>
      <c r="P6" s="279"/>
      <c r="Q6" s="282"/>
    </row>
    <row r="7" spans="2:17" ht="33.75" x14ac:dyDescent="0.25">
      <c r="B7" s="278" t="s">
        <v>5</v>
      </c>
      <c r="C7" s="157"/>
      <c r="D7" s="158" t="s">
        <v>237</v>
      </c>
      <c r="E7" s="159" t="s">
        <v>24</v>
      </c>
      <c r="F7" s="320" t="s">
        <v>1217</v>
      </c>
      <c r="G7" s="279" t="s">
        <v>32</v>
      </c>
      <c r="H7" s="280" t="s">
        <v>41</v>
      </c>
      <c r="I7" s="283"/>
      <c r="J7" s="279"/>
      <c r="K7" s="190"/>
      <c r="L7" s="190"/>
      <c r="M7" s="190"/>
      <c r="N7" s="190"/>
      <c r="O7" s="190"/>
      <c r="P7" s="279"/>
      <c r="Q7" s="282"/>
    </row>
    <row r="8" spans="2:17" ht="63.95" customHeight="1" x14ac:dyDescent="0.25">
      <c r="B8" s="278" t="s">
        <v>5</v>
      </c>
      <c r="C8" s="157"/>
      <c r="D8" s="158" t="s">
        <v>669</v>
      </c>
      <c r="E8" s="159" t="s">
        <v>24</v>
      </c>
      <c r="F8" s="173" t="s">
        <v>835</v>
      </c>
      <c r="G8" s="279" t="s">
        <v>32</v>
      </c>
      <c r="H8" s="280" t="s">
        <v>41</v>
      </c>
      <c r="I8" s="283"/>
      <c r="J8" s="279"/>
      <c r="K8" s="190"/>
      <c r="L8" s="190"/>
      <c r="M8" s="190"/>
      <c r="N8" s="190"/>
      <c r="O8" s="190"/>
      <c r="P8" s="279"/>
      <c r="Q8" s="282"/>
    </row>
    <row r="9" spans="2:17" ht="67.5" x14ac:dyDescent="0.25">
      <c r="B9" s="278" t="s">
        <v>5</v>
      </c>
      <c r="C9" s="157"/>
      <c r="D9" s="158" t="s">
        <v>670</v>
      </c>
      <c r="E9" s="159" t="s">
        <v>24</v>
      </c>
      <c r="F9" s="321" t="s">
        <v>1218</v>
      </c>
      <c r="G9" s="279" t="s">
        <v>32</v>
      </c>
      <c r="H9" s="280" t="s">
        <v>41</v>
      </c>
      <c r="I9" s="283"/>
      <c r="J9" s="279"/>
      <c r="K9" s="190"/>
      <c r="L9" s="190"/>
      <c r="M9" s="190"/>
      <c r="N9" s="190"/>
      <c r="O9" s="190"/>
      <c r="P9" s="279"/>
      <c r="Q9" s="282"/>
    </row>
    <row r="10" spans="2:17" ht="67.5" x14ac:dyDescent="0.25">
      <c r="B10" s="278" t="s">
        <v>5</v>
      </c>
      <c r="C10" s="157"/>
      <c r="D10" s="158" t="s">
        <v>671</v>
      </c>
      <c r="E10" s="159" t="s">
        <v>24</v>
      </c>
      <c r="F10" s="321" t="s">
        <v>1219</v>
      </c>
      <c r="G10" s="279" t="s">
        <v>32</v>
      </c>
      <c r="H10" s="280" t="s">
        <v>41</v>
      </c>
      <c r="I10" s="283"/>
      <c r="J10" s="279"/>
      <c r="K10" s="190"/>
      <c r="L10" s="190"/>
      <c r="M10" s="190"/>
      <c r="N10" s="190"/>
      <c r="O10" s="190"/>
      <c r="P10" s="279"/>
      <c r="Q10" s="282"/>
    </row>
    <row r="11" spans="2:17" ht="78.75" x14ac:dyDescent="0.25">
      <c r="B11" s="278" t="s">
        <v>5</v>
      </c>
      <c r="C11" s="157"/>
      <c r="D11" s="158" t="s">
        <v>672</v>
      </c>
      <c r="E11" s="159" t="s">
        <v>24</v>
      </c>
      <c r="F11" s="321" t="s">
        <v>1220</v>
      </c>
      <c r="G11" s="279" t="s">
        <v>32</v>
      </c>
      <c r="H11" s="280" t="s">
        <v>41</v>
      </c>
      <c r="I11" s="283"/>
      <c r="J11" s="279"/>
      <c r="K11" s="190"/>
      <c r="L11" s="190"/>
      <c r="M11" s="190"/>
      <c r="N11" s="190"/>
      <c r="O11" s="190"/>
      <c r="P11" s="279"/>
      <c r="Q11" s="282"/>
    </row>
    <row r="12" spans="2:17" ht="81.599999999999994" customHeight="1" x14ac:dyDescent="0.25">
      <c r="B12" s="278" t="s">
        <v>5</v>
      </c>
      <c r="C12" s="160" t="s">
        <v>836</v>
      </c>
      <c r="D12" s="161" t="s">
        <v>238</v>
      </c>
      <c r="E12" s="162" t="s">
        <v>24</v>
      </c>
      <c r="F12" s="172" t="s">
        <v>837</v>
      </c>
      <c r="G12" s="284" t="s">
        <v>32</v>
      </c>
      <c r="H12" s="285" t="s">
        <v>41</v>
      </c>
      <c r="I12" s="286"/>
      <c r="J12" s="284"/>
      <c r="K12" s="191"/>
      <c r="L12" s="191"/>
      <c r="M12" s="191"/>
      <c r="N12" s="191"/>
      <c r="O12" s="191"/>
      <c r="P12" s="284"/>
      <c r="Q12" s="287"/>
    </row>
    <row r="13" spans="2:17" ht="56.25" x14ac:dyDescent="0.25">
      <c r="B13" s="278" t="s">
        <v>5</v>
      </c>
      <c r="C13" s="160"/>
      <c r="D13" s="161" t="s">
        <v>239</v>
      </c>
      <c r="E13" s="162" t="s">
        <v>24</v>
      </c>
      <c r="F13" s="172" t="s">
        <v>838</v>
      </c>
      <c r="G13" s="284" t="s">
        <v>32</v>
      </c>
      <c r="H13" s="285" t="s">
        <v>41</v>
      </c>
      <c r="I13" s="286"/>
      <c r="J13" s="284"/>
      <c r="K13" s="191"/>
      <c r="L13" s="191"/>
      <c r="M13" s="191"/>
      <c r="N13" s="191"/>
      <c r="O13" s="191"/>
      <c r="P13" s="284"/>
      <c r="Q13" s="287"/>
    </row>
    <row r="14" spans="2:17" ht="89.45" customHeight="1" x14ac:dyDescent="0.25">
      <c r="B14" s="278" t="s">
        <v>5</v>
      </c>
      <c r="C14" s="160"/>
      <c r="D14" s="161" t="s">
        <v>240</v>
      </c>
      <c r="E14" s="162" t="s">
        <v>24</v>
      </c>
      <c r="F14" s="172" t="s">
        <v>839</v>
      </c>
      <c r="G14" s="284" t="s">
        <v>32</v>
      </c>
      <c r="H14" s="285" t="s">
        <v>41</v>
      </c>
      <c r="I14" s="286"/>
      <c r="J14" s="284"/>
      <c r="K14" s="191"/>
      <c r="L14" s="191"/>
      <c r="M14" s="191"/>
      <c r="N14" s="191"/>
      <c r="O14" s="191"/>
      <c r="P14" s="284"/>
      <c r="Q14" s="287"/>
    </row>
    <row r="15" spans="2:17" ht="67.5" x14ac:dyDescent="0.25">
      <c r="B15" s="278" t="s">
        <v>5</v>
      </c>
      <c r="C15" s="160"/>
      <c r="D15" s="161" t="s">
        <v>241</v>
      </c>
      <c r="E15" s="162" t="s">
        <v>24</v>
      </c>
      <c r="F15" s="172" t="s">
        <v>840</v>
      </c>
      <c r="G15" s="284" t="s">
        <v>32</v>
      </c>
      <c r="H15" s="285" t="s">
        <v>41</v>
      </c>
      <c r="I15" s="286"/>
      <c r="J15" s="284"/>
      <c r="K15" s="191"/>
      <c r="L15" s="191"/>
      <c r="M15" s="191"/>
      <c r="N15" s="191"/>
      <c r="O15" s="191"/>
      <c r="P15" s="284"/>
      <c r="Q15" s="287"/>
    </row>
    <row r="16" spans="2:17" ht="56.25" x14ac:dyDescent="0.25">
      <c r="B16" s="278" t="s">
        <v>5</v>
      </c>
      <c r="C16" s="160"/>
      <c r="D16" s="161" t="s">
        <v>242</v>
      </c>
      <c r="E16" s="162" t="s">
        <v>24</v>
      </c>
      <c r="F16" s="172" t="s">
        <v>841</v>
      </c>
      <c r="G16" s="284" t="s">
        <v>32</v>
      </c>
      <c r="H16" s="285" t="s">
        <v>41</v>
      </c>
      <c r="I16" s="286"/>
      <c r="J16" s="284"/>
      <c r="K16" s="191"/>
      <c r="L16" s="191"/>
      <c r="M16" s="191"/>
      <c r="N16" s="191"/>
      <c r="O16" s="191"/>
      <c r="P16" s="284"/>
      <c r="Q16" s="287"/>
    </row>
    <row r="17" spans="2:17" ht="45" x14ac:dyDescent="0.25">
      <c r="B17" s="278" t="s">
        <v>5</v>
      </c>
      <c r="C17" s="160"/>
      <c r="D17" s="161" t="s">
        <v>481</v>
      </c>
      <c r="E17" s="162" t="s">
        <v>24</v>
      </c>
      <c r="F17" s="172" t="s">
        <v>842</v>
      </c>
      <c r="G17" s="284" t="s">
        <v>32</v>
      </c>
      <c r="H17" s="285" t="s">
        <v>41</v>
      </c>
      <c r="I17" s="286"/>
      <c r="J17" s="284"/>
      <c r="K17" s="191"/>
      <c r="L17" s="191"/>
      <c r="M17" s="191"/>
      <c r="N17" s="191"/>
      <c r="O17" s="191"/>
      <c r="P17" s="284"/>
      <c r="Q17" s="287"/>
    </row>
    <row r="18" spans="2:17" ht="132" customHeight="1" x14ac:dyDescent="0.25">
      <c r="B18" s="278" t="s">
        <v>5</v>
      </c>
      <c r="C18" s="157" t="s">
        <v>843</v>
      </c>
      <c r="D18" s="158" t="s">
        <v>245</v>
      </c>
      <c r="E18" s="159" t="s">
        <v>24</v>
      </c>
      <c r="F18" s="170" t="s">
        <v>844</v>
      </c>
      <c r="G18" s="279" t="s">
        <v>32</v>
      </c>
      <c r="H18" s="280" t="s">
        <v>41</v>
      </c>
      <c r="I18" s="283"/>
      <c r="J18" s="279"/>
      <c r="K18" s="190"/>
      <c r="L18" s="190"/>
      <c r="M18" s="190"/>
      <c r="N18" s="190"/>
      <c r="O18" s="190"/>
      <c r="P18" s="279"/>
      <c r="Q18" s="282"/>
    </row>
    <row r="19" spans="2:17" ht="122.45" customHeight="1" x14ac:dyDescent="0.25">
      <c r="B19" s="278" t="s">
        <v>5</v>
      </c>
      <c r="C19" s="157"/>
      <c r="D19" s="158" t="s">
        <v>246</v>
      </c>
      <c r="E19" s="159" t="s">
        <v>24</v>
      </c>
      <c r="F19" s="173" t="s">
        <v>845</v>
      </c>
      <c r="G19" s="279" t="s">
        <v>32</v>
      </c>
      <c r="H19" s="280" t="s">
        <v>41</v>
      </c>
      <c r="I19" s="283"/>
      <c r="J19" s="279"/>
      <c r="K19" s="190"/>
      <c r="L19" s="190"/>
      <c r="M19" s="190"/>
      <c r="N19" s="190"/>
      <c r="O19" s="190"/>
      <c r="P19" s="279"/>
      <c r="Q19" s="282"/>
    </row>
    <row r="20" spans="2:17" ht="120.95" customHeight="1" x14ac:dyDescent="0.25">
      <c r="B20" s="278" t="s">
        <v>5</v>
      </c>
      <c r="C20" s="157"/>
      <c r="D20" s="158" t="s">
        <v>247</v>
      </c>
      <c r="E20" s="159" t="s">
        <v>24</v>
      </c>
      <c r="F20" s="170" t="s">
        <v>846</v>
      </c>
      <c r="G20" s="279" t="s">
        <v>32</v>
      </c>
      <c r="H20" s="280" t="s">
        <v>41</v>
      </c>
      <c r="I20" s="283"/>
      <c r="J20" s="279"/>
      <c r="K20" s="190"/>
      <c r="L20" s="190"/>
      <c r="M20" s="190"/>
      <c r="N20" s="190"/>
      <c r="O20" s="190"/>
      <c r="P20" s="279"/>
      <c r="Q20" s="282"/>
    </row>
    <row r="21" spans="2:17" ht="123" customHeight="1" x14ac:dyDescent="0.25">
      <c r="B21" s="278" t="s">
        <v>5</v>
      </c>
      <c r="C21" s="157"/>
      <c r="D21" s="158" t="s">
        <v>248</v>
      </c>
      <c r="E21" s="159" t="s">
        <v>24</v>
      </c>
      <c r="F21" s="170" t="s">
        <v>847</v>
      </c>
      <c r="G21" s="279" t="s">
        <v>32</v>
      </c>
      <c r="H21" s="280" t="s">
        <v>41</v>
      </c>
      <c r="I21" s="283"/>
      <c r="J21" s="279"/>
      <c r="K21" s="190"/>
      <c r="L21" s="190"/>
      <c r="M21" s="190"/>
      <c r="N21" s="190"/>
      <c r="O21" s="190"/>
      <c r="P21" s="279"/>
      <c r="Q21" s="282"/>
    </row>
    <row r="22" spans="2:17" ht="123" customHeight="1" x14ac:dyDescent="0.25">
      <c r="B22" s="278" t="s">
        <v>5</v>
      </c>
      <c r="C22" s="157"/>
      <c r="D22" s="158" t="s">
        <v>243</v>
      </c>
      <c r="E22" s="159" t="s">
        <v>24</v>
      </c>
      <c r="F22" s="173" t="s">
        <v>848</v>
      </c>
      <c r="G22" s="279" t="s">
        <v>32</v>
      </c>
      <c r="H22" s="280" t="s">
        <v>41</v>
      </c>
      <c r="I22" s="283"/>
      <c r="J22" s="279"/>
      <c r="K22" s="190"/>
      <c r="L22" s="190"/>
      <c r="M22" s="190"/>
      <c r="N22" s="190"/>
      <c r="O22" s="190"/>
      <c r="P22" s="279"/>
      <c r="Q22" s="282"/>
    </row>
    <row r="23" spans="2:17" ht="104.1" customHeight="1" x14ac:dyDescent="0.25">
      <c r="B23" s="278" t="s">
        <v>5</v>
      </c>
      <c r="C23" s="157"/>
      <c r="D23" s="158" t="s">
        <v>249</v>
      </c>
      <c r="E23" s="159" t="s">
        <v>24</v>
      </c>
      <c r="F23" s="322" t="s">
        <v>1241</v>
      </c>
      <c r="G23" s="279" t="s">
        <v>32</v>
      </c>
      <c r="H23" s="280" t="s">
        <v>41</v>
      </c>
      <c r="I23" s="283"/>
      <c r="J23" s="279"/>
      <c r="K23" s="190"/>
      <c r="L23" s="190"/>
      <c r="M23" s="190"/>
      <c r="N23" s="190"/>
      <c r="O23" s="190"/>
      <c r="P23" s="279"/>
      <c r="Q23" s="282"/>
    </row>
    <row r="24" spans="2:17" ht="122.1" customHeight="1" x14ac:dyDescent="0.25">
      <c r="B24" s="278" t="s">
        <v>5</v>
      </c>
      <c r="C24" s="157"/>
      <c r="D24" s="158" t="s">
        <v>250</v>
      </c>
      <c r="E24" s="159" t="s">
        <v>24</v>
      </c>
      <c r="F24" s="173" t="s">
        <v>849</v>
      </c>
      <c r="G24" s="279" t="s">
        <v>32</v>
      </c>
      <c r="H24" s="280" t="s">
        <v>41</v>
      </c>
      <c r="I24" s="283"/>
      <c r="J24" s="279"/>
      <c r="K24" s="190"/>
      <c r="L24" s="190"/>
      <c r="M24" s="190"/>
      <c r="N24" s="190"/>
      <c r="O24" s="190"/>
      <c r="P24" s="279"/>
      <c r="Q24" s="282"/>
    </row>
    <row r="25" spans="2:17" ht="33.75" x14ac:dyDescent="0.25">
      <c r="B25" s="278" t="s">
        <v>5</v>
      </c>
      <c r="C25" s="157"/>
      <c r="D25" s="158" t="s">
        <v>251</v>
      </c>
      <c r="E25" s="159" t="s">
        <v>24</v>
      </c>
      <c r="F25" s="173" t="s">
        <v>850</v>
      </c>
      <c r="G25" s="279" t="s">
        <v>32</v>
      </c>
      <c r="H25" s="280" t="s">
        <v>41</v>
      </c>
      <c r="I25" s="283"/>
      <c r="J25" s="279"/>
      <c r="K25" s="190"/>
      <c r="L25" s="190"/>
      <c r="M25" s="190"/>
      <c r="N25" s="190"/>
      <c r="O25" s="190"/>
      <c r="P25" s="279"/>
      <c r="Q25" s="282"/>
    </row>
    <row r="26" spans="2:17" ht="46.5" customHeight="1" x14ac:dyDescent="0.25">
      <c r="B26" s="278" t="s">
        <v>5</v>
      </c>
      <c r="C26" s="157"/>
      <c r="D26" s="158" t="s">
        <v>252</v>
      </c>
      <c r="E26" s="159" t="s">
        <v>24</v>
      </c>
      <c r="F26" s="173" t="s">
        <v>244</v>
      </c>
      <c r="G26" s="279" t="s">
        <v>32</v>
      </c>
      <c r="H26" s="280" t="s">
        <v>41</v>
      </c>
      <c r="I26" s="283"/>
      <c r="J26" s="279"/>
      <c r="K26" s="190"/>
      <c r="L26" s="190"/>
      <c r="M26" s="190"/>
      <c r="N26" s="190"/>
      <c r="O26" s="190"/>
      <c r="P26" s="279"/>
      <c r="Q26" s="282"/>
    </row>
    <row r="27" spans="2:17" ht="120.95" customHeight="1" x14ac:dyDescent="0.25">
      <c r="B27" s="278" t="s">
        <v>5</v>
      </c>
      <c r="C27" s="160" t="s">
        <v>232</v>
      </c>
      <c r="D27" s="161" t="s">
        <v>253</v>
      </c>
      <c r="E27" s="162" t="s">
        <v>24</v>
      </c>
      <c r="F27" s="164" t="s">
        <v>851</v>
      </c>
      <c r="G27" s="284" t="s">
        <v>32</v>
      </c>
      <c r="H27" s="285" t="s">
        <v>41</v>
      </c>
      <c r="I27" s="286"/>
      <c r="J27" s="284"/>
      <c r="K27" s="191"/>
      <c r="L27" s="191"/>
      <c r="M27" s="191"/>
      <c r="N27" s="191"/>
      <c r="O27" s="191"/>
      <c r="P27" s="284"/>
      <c r="Q27" s="287"/>
    </row>
    <row r="28" spans="2:17" ht="123.95" customHeight="1" x14ac:dyDescent="0.25">
      <c r="B28" s="278" t="s">
        <v>5</v>
      </c>
      <c r="C28" s="160"/>
      <c r="D28" s="161" t="s">
        <v>254</v>
      </c>
      <c r="E28" s="162" t="s">
        <v>24</v>
      </c>
      <c r="F28" s="164" t="s">
        <v>852</v>
      </c>
      <c r="G28" s="284" t="s">
        <v>32</v>
      </c>
      <c r="H28" s="285" t="s">
        <v>41</v>
      </c>
      <c r="I28" s="286"/>
      <c r="J28" s="284"/>
      <c r="K28" s="191"/>
      <c r="L28" s="191"/>
      <c r="M28" s="191"/>
      <c r="N28" s="191"/>
      <c r="O28" s="191"/>
      <c r="P28" s="284"/>
      <c r="Q28" s="287"/>
    </row>
    <row r="29" spans="2:17" ht="131.44999999999999" customHeight="1" x14ac:dyDescent="0.25">
      <c r="B29" s="278" t="s">
        <v>5</v>
      </c>
      <c r="C29" s="160"/>
      <c r="D29" s="161" t="s">
        <v>255</v>
      </c>
      <c r="E29" s="162" t="s">
        <v>24</v>
      </c>
      <c r="F29" s="164" t="s">
        <v>853</v>
      </c>
      <c r="G29" s="284" t="s">
        <v>32</v>
      </c>
      <c r="H29" s="285" t="s">
        <v>41</v>
      </c>
      <c r="I29" s="286"/>
      <c r="J29" s="284"/>
      <c r="K29" s="191"/>
      <c r="L29" s="191"/>
      <c r="M29" s="191"/>
      <c r="N29" s="191"/>
      <c r="O29" s="191"/>
      <c r="P29" s="284"/>
      <c r="Q29" s="287"/>
    </row>
    <row r="30" spans="2:17" ht="123" customHeight="1" x14ac:dyDescent="0.25">
      <c r="B30" s="278" t="s">
        <v>5</v>
      </c>
      <c r="C30" s="160"/>
      <c r="D30" s="161" t="s">
        <v>256</v>
      </c>
      <c r="E30" s="162" t="s">
        <v>24</v>
      </c>
      <c r="F30" s="164" t="s">
        <v>854</v>
      </c>
      <c r="G30" s="284" t="s">
        <v>32</v>
      </c>
      <c r="H30" s="285" t="s">
        <v>41</v>
      </c>
      <c r="I30" s="286"/>
      <c r="J30" s="284"/>
      <c r="K30" s="191"/>
      <c r="L30" s="191"/>
      <c r="M30" s="191"/>
      <c r="N30" s="191"/>
      <c r="O30" s="191"/>
      <c r="P30" s="284"/>
      <c r="Q30" s="287"/>
    </row>
    <row r="31" spans="2:17" ht="122.45" customHeight="1" x14ac:dyDescent="0.25">
      <c r="B31" s="278" t="s">
        <v>5</v>
      </c>
      <c r="C31" s="160"/>
      <c r="D31" s="161" t="s">
        <v>257</v>
      </c>
      <c r="E31" s="162" t="s">
        <v>24</v>
      </c>
      <c r="F31" s="164" t="s">
        <v>855</v>
      </c>
      <c r="G31" s="284" t="s">
        <v>32</v>
      </c>
      <c r="H31" s="285" t="s">
        <v>41</v>
      </c>
      <c r="I31" s="286"/>
      <c r="J31" s="284"/>
      <c r="K31" s="191"/>
      <c r="L31" s="191"/>
      <c r="M31" s="191"/>
      <c r="N31" s="191"/>
      <c r="O31" s="191"/>
      <c r="P31" s="284"/>
      <c r="Q31" s="287"/>
    </row>
    <row r="32" spans="2:17" ht="102" customHeight="1" x14ac:dyDescent="0.25">
      <c r="B32" s="278" t="s">
        <v>5</v>
      </c>
      <c r="C32" s="160"/>
      <c r="D32" s="161" t="s">
        <v>258</v>
      </c>
      <c r="E32" s="162" t="s">
        <v>24</v>
      </c>
      <c r="F32" s="164" t="s">
        <v>856</v>
      </c>
      <c r="G32" s="284" t="s">
        <v>32</v>
      </c>
      <c r="H32" s="285" t="s">
        <v>41</v>
      </c>
      <c r="I32" s="286"/>
      <c r="J32" s="284"/>
      <c r="K32" s="191"/>
      <c r="L32" s="191"/>
      <c r="M32" s="191"/>
      <c r="N32" s="191"/>
      <c r="O32" s="191"/>
      <c r="P32" s="284"/>
      <c r="Q32" s="287"/>
    </row>
    <row r="33" spans="2:17" ht="113.1" customHeight="1" x14ac:dyDescent="0.25">
      <c r="B33" s="278" t="s">
        <v>5</v>
      </c>
      <c r="C33" s="160"/>
      <c r="D33" s="161" t="s">
        <v>259</v>
      </c>
      <c r="E33" s="162" t="s">
        <v>24</v>
      </c>
      <c r="F33" s="172" t="s">
        <v>857</v>
      </c>
      <c r="G33" s="284" t="s">
        <v>32</v>
      </c>
      <c r="H33" s="285" t="s">
        <v>41</v>
      </c>
      <c r="I33" s="286"/>
      <c r="J33" s="284"/>
      <c r="K33" s="191"/>
      <c r="L33" s="191"/>
      <c r="M33" s="191"/>
      <c r="N33" s="191"/>
      <c r="O33" s="191"/>
      <c r="P33" s="284"/>
      <c r="Q33" s="287"/>
    </row>
    <row r="34" spans="2:17" ht="56.25" x14ac:dyDescent="0.25">
      <c r="B34" s="278" t="s">
        <v>5</v>
      </c>
      <c r="C34" s="157" t="s">
        <v>858</v>
      </c>
      <c r="D34" s="158" t="s">
        <v>260</v>
      </c>
      <c r="E34" s="159" t="s">
        <v>24</v>
      </c>
      <c r="F34" s="170" t="s">
        <v>859</v>
      </c>
      <c r="G34" s="279" t="s">
        <v>32</v>
      </c>
      <c r="H34" s="280" t="s">
        <v>41</v>
      </c>
      <c r="I34" s="283"/>
      <c r="J34" s="279"/>
      <c r="K34" s="190"/>
      <c r="L34" s="190"/>
      <c r="M34" s="190"/>
      <c r="N34" s="190"/>
      <c r="O34" s="190"/>
      <c r="P34" s="279"/>
      <c r="Q34" s="282"/>
    </row>
    <row r="35" spans="2:17" ht="83.1" customHeight="1" x14ac:dyDescent="0.25">
      <c r="B35" s="278" t="s">
        <v>5</v>
      </c>
      <c r="C35" s="157"/>
      <c r="D35" s="158" t="s">
        <v>261</v>
      </c>
      <c r="E35" s="159" t="s">
        <v>24</v>
      </c>
      <c r="F35" s="170" t="s">
        <v>860</v>
      </c>
      <c r="G35" s="279" t="s">
        <v>32</v>
      </c>
      <c r="H35" s="280" t="s">
        <v>41</v>
      </c>
      <c r="I35" s="283"/>
      <c r="J35" s="279"/>
      <c r="K35" s="190"/>
      <c r="L35" s="190"/>
      <c r="M35" s="190"/>
      <c r="N35" s="190"/>
      <c r="O35" s="190"/>
      <c r="P35" s="279"/>
      <c r="Q35" s="282"/>
    </row>
    <row r="36" spans="2:17" ht="111" customHeight="1" x14ac:dyDescent="0.25">
      <c r="B36" s="278" t="s">
        <v>5</v>
      </c>
      <c r="C36" s="160" t="s">
        <v>861</v>
      </c>
      <c r="D36" s="161" t="s">
        <v>262</v>
      </c>
      <c r="E36" s="162" t="s">
        <v>24</v>
      </c>
      <c r="F36" s="172" t="s">
        <v>862</v>
      </c>
      <c r="G36" s="284" t="s">
        <v>32</v>
      </c>
      <c r="H36" s="285" t="s">
        <v>41</v>
      </c>
      <c r="I36" s="286"/>
      <c r="J36" s="284"/>
      <c r="K36" s="191"/>
      <c r="L36" s="191"/>
      <c r="M36" s="191"/>
      <c r="N36" s="191"/>
      <c r="O36" s="191"/>
      <c r="P36" s="284"/>
      <c r="Q36" s="287"/>
    </row>
    <row r="37" spans="2:17" ht="92.1" customHeight="1" x14ac:dyDescent="0.25">
      <c r="B37" s="278" t="s">
        <v>5</v>
      </c>
      <c r="C37" s="160"/>
      <c r="D37" s="161" t="s">
        <v>263</v>
      </c>
      <c r="E37" s="162" t="s">
        <v>24</v>
      </c>
      <c r="F37" s="172" t="s">
        <v>863</v>
      </c>
      <c r="G37" s="284" t="s">
        <v>32</v>
      </c>
      <c r="H37" s="285" t="s">
        <v>41</v>
      </c>
      <c r="I37" s="286"/>
      <c r="J37" s="284"/>
      <c r="K37" s="191"/>
      <c r="L37" s="191"/>
      <c r="M37" s="191"/>
      <c r="N37" s="191"/>
      <c r="O37" s="191"/>
      <c r="P37" s="284"/>
      <c r="Q37" s="287"/>
    </row>
    <row r="38" spans="2:17" ht="91.5" customHeight="1" x14ac:dyDescent="0.25">
      <c r="B38" s="278" t="s">
        <v>5</v>
      </c>
      <c r="C38" s="160"/>
      <c r="D38" s="161" t="s">
        <v>264</v>
      </c>
      <c r="E38" s="162" t="s">
        <v>24</v>
      </c>
      <c r="F38" s="164" t="s">
        <v>864</v>
      </c>
      <c r="G38" s="284" t="s">
        <v>32</v>
      </c>
      <c r="H38" s="285" t="s">
        <v>41</v>
      </c>
      <c r="I38" s="286"/>
      <c r="J38" s="284"/>
      <c r="K38" s="191"/>
      <c r="L38" s="191"/>
      <c r="M38" s="191"/>
      <c r="N38" s="191"/>
      <c r="O38" s="191"/>
      <c r="P38" s="284"/>
      <c r="Q38" s="287"/>
    </row>
    <row r="39" spans="2:17" ht="122.45" customHeight="1" x14ac:dyDescent="0.25">
      <c r="B39" s="278" t="s">
        <v>5</v>
      </c>
      <c r="C39" s="160"/>
      <c r="D39" s="161" t="s">
        <v>265</v>
      </c>
      <c r="E39" s="162" t="s">
        <v>24</v>
      </c>
      <c r="F39" s="164" t="s">
        <v>865</v>
      </c>
      <c r="G39" s="284" t="s">
        <v>32</v>
      </c>
      <c r="H39" s="285" t="s">
        <v>41</v>
      </c>
      <c r="I39" s="286"/>
      <c r="J39" s="284"/>
      <c r="K39" s="191"/>
      <c r="L39" s="191"/>
      <c r="M39" s="191"/>
      <c r="N39" s="191"/>
      <c r="O39" s="191"/>
      <c r="P39" s="284"/>
      <c r="Q39" s="287"/>
    </row>
    <row r="40" spans="2:17" ht="161.44999999999999" customHeight="1" x14ac:dyDescent="0.25">
      <c r="B40" s="278" t="s">
        <v>5</v>
      </c>
      <c r="C40" s="160"/>
      <c r="D40" s="161" t="s">
        <v>266</v>
      </c>
      <c r="E40" s="162" t="s">
        <v>24</v>
      </c>
      <c r="F40" s="172" t="s">
        <v>866</v>
      </c>
      <c r="G40" s="284" t="s">
        <v>32</v>
      </c>
      <c r="H40" s="285" t="s">
        <v>41</v>
      </c>
      <c r="I40" s="286"/>
      <c r="J40" s="284"/>
      <c r="K40" s="191"/>
      <c r="L40" s="191"/>
      <c r="M40" s="191"/>
      <c r="N40" s="191"/>
      <c r="O40" s="191"/>
      <c r="P40" s="284"/>
      <c r="Q40" s="287"/>
    </row>
    <row r="41" spans="2:17" ht="56.25" x14ac:dyDescent="0.25">
      <c r="B41" s="278" t="s">
        <v>5</v>
      </c>
      <c r="C41" s="160"/>
      <c r="D41" s="161" t="s">
        <v>267</v>
      </c>
      <c r="E41" s="162" t="s">
        <v>24</v>
      </c>
      <c r="F41" s="172" t="s">
        <v>867</v>
      </c>
      <c r="G41" s="284" t="s">
        <v>32</v>
      </c>
      <c r="H41" s="285" t="s">
        <v>41</v>
      </c>
      <c r="I41" s="288"/>
      <c r="J41" s="284"/>
      <c r="K41" s="191"/>
      <c r="L41" s="191"/>
      <c r="M41" s="191"/>
      <c r="N41" s="191"/>
      <c r="O41" s="191"/>
      <c r="P41" s="284"/>
      <c r="Q41" s="287"/>
    </row>
    <row r="42" spans="2:17" ht="180.6" customHeight="1" x14ac:dyDescent="0.25">
      <c r="B42" s="278" t="s">
        <v>5</v>
      </c>
      <c r="C42" s="160"/>
      <c r="D42" s="161" t="s">
        <v>268</v>
      </c>
      <c r="E42" s="162" t="s">
        <v>24</v>
      </c>
      <c r="F42" s="172" t="s">
        <v>868</v>
      </c>
      <c r="G42" s="284" t="s">
        <v>32</v>
      </c>
      <c r="H42" s="285" t="s">
        <v>41</v>
      </c>
      <c r="I42" s="286"/>
      <c r="J42" s="284"/>
      <c r="K42" s="191"/>
      <c r="L42" s="191"/>
      <c r="M42" s="191"/>
      <c r="N42" s="191"/>
      <c r="O42" s="191"/>
      <c r="P42" s="284"/>
      <c r="Q42" s="287"/>
    </row>
    <row r="43" spans="2:17" ht="33.75" x14ac:dyDescent="0.25">
      <c r="B43" s="278" t="s">
        <v>5</v>
      </c>
      <c r="C43" s="160"/>
      <c r="D43" s="161" t="s">
        <v>269</v>
      </c>
      <c r="E43" s="162" t="s">
        <v>24</v>
      </c>
      <c r="F43" s="172" t="s">
        <v>673</v>
      </c>
      <c r="G43" s="284" t="s">
        <v>32</v>
      </c>
      <c r="H43" s="285" t="s">
        <v>41</v>
      </c>
      <c r="I43" s="286"/>
      <c r="J43" s="284"/>
      <c r="K43" s="191"/>
      <c r="L43" s="191"/>
      <c r="M43" s="191"/>
      <c r="N43" s="191"/>
      <c r="O43" s="191"/>
      <c r="P43" s="284"/>
      <c r="Q43" s="287"/>
    </row>
    <row r="44" spans="2:17" ht="98.1" customHeight="1" x14ac:dyDescent="0.25">
      <c r="B44" s="278" t="s">
        <v>5</v>
      </c>
      <c r="C44" s="160"/>
      <c r="D44" s="161" t="s">
        <v>482</v>
      </c>
      <c r="E44" s="162" t="s">
        <v>24</v>
      </c>
      <c r="F44" s="172" t="s">
        <v>869</v>
      </c>
      <c r="G44" s="284" t="s">
        <v>32</v>
      </c>
      <c r="H44" s="285" t="s">
        <v>41</v>
      </c>
      <c r="I44" s="286"/>
      <c r="J44" s="284"/>
      <c r="K44" s="191"/>
      <c r="L44" s="191"/>
      <c r="M44" s="191"/>
      <c r="N44" s="191"/>
      <c r="O44" s="191"/>
      <c r="P44" s="284"/>
      <c r="Q44" s="287"/>
    </row>
    <row r="45" spans="2:17" ht="159.6" customHeight="1" x14ac:dyDescent="0.25">
      <c r="B45" s="278" t="s">
        <v>5</v>
      </c>
      <c r="C45" s="160"/>
      <c r="D45" s="161" t="s">
        <v>483</v>
      </c>
      <c r="E45" s="162" t="s">
        <v>24</v>
      </c>
      <c r="F45" s="172" t="s">
        <v>870</v>
      </c>
      <c r="G45" s="284" t="s">
        <v>32</v>
      </c>
      <c r="H45" s="285" t="s">
        <v>41</v>
      </c>
      <c r="I45" s="286"/>
      <c r="J45" s="284"/>
      <c r="K45" s="191"/>
      <c r="L45" s="191"/>
      <c r="M45" s="191"/>
      <c r="N45" s="191"/>
      <c r="O45" s="191"/>
      <c r="P45" s="284"/>
      <c r="Q45" s="287"/>
    </row>
    <row r="46" spans="2:17" ht="67.5" x14ac:dyDescent="0.25">
      <c r="B46" s="278" t="s">
        <v>5</v>
      </c>
      <c r="C46" s="157" t="s">
        <v>871</v>
      </c>
      <c r="D46" s="158" t="s">
        <v>270</v>
      </c>
      <c r="E46" s="159" t="s">
        <v>24</v>
      </c>
      <c r="F46" s="170" t="s">
        <v>872</v>
      </c>
      <c r="G46" s="279" t="s">
        <v>32</v>
      </c>
      <c r="H46" s="280" t="s">
        <v>41</v>
      </c>
      <c r="I46" s="283"/>
      <c r="J46" s="279"/>
      <c r="K46" s="190"/>
      <c r="L46" s="190"/>
      <c r="M46" s="190"/>
      <c r="N46" s="190"/>
      <c r="O46" s="190"/>
      <c r="P46" s="279"/>
      <c r="Q46" s="282"/>
    </row>
    <row r="47" spans="2:17" ht="56.25" x14ac:dyDescent="0.25">
      <c r="B47" s="278" t="s">
        <v>5</v>
      </c>
      <c r="C47" s="157"/>
      <c r="D47" s="158" t="s">
        <v>271</v>
      </c>
      <c r="E47" s="159" t="s">
        <v>24</v>
      </c>
      <c r="F47" s="173" t="s">
        <v>873</v>
      </c>
      <c r="G47" s="279" t="s">
        <v>32</v>
      </c>
      <c r="H47" s="280" t="s">
        <v>41</v>
      </c>
      <c r="I47" s="283"/>
      <c r="J47" s="279"/>
      <c r="K47" s="190"/>
      <c r="L47" s="190"/>
      <c r="M47" s="190"/>
      <c r="N47" s="190"/>
      <c r="O47" s="190"/>
      <c r="P47" s="279"/>
      <c r="Q47" s="282"/>
    </row>
    <row r="48" spans="2:17" ht="120.6" customHeight="1" x14ac:dyDescent="0.25">
      <c r="B48" s="278" t="s">
        <v>5</v>
      </c>
      <c r="C48" s="157"/>
      <c r="D48" s="158" t="s">
        <v>272</v>
      </c>
      <c r="E48" s="159" t="s">
        <v>24</v>
      </c>
      <c r="F48" s="170" t="s">
        <v>874</v>
      </c>
      <c r="G48" s="279" t="s">
        <v>32</v>
      </c>
      <c r="H48" s="280" t="s">
        <v>41</v>
      </c>
      <c r="I48" s="283"/>
      <c r="J48" s="279"/>
      <c r="K48" s="190"/>
      <c r="L48" s="190"/>
      <c r="M48" s="190"/>
      <c r="N48" s="190"/>
      <c r="O48" s="190"/>
      <c r="P48" s="279"/>
      <c r="Q48" s="282"/>
    </row>
    <row r="49" spans="2:17" ht="78.75" x14ac:dyDescent="0.25">
      <c r="B49" s="278" t="s">
        <v>5</v>
      </c>
      <c r="C49" s="157"/>
      <c r="D49" s="158" t="s">
        <v>273</v>
      </c>
      <c r="E49" s="159" t="s">
        <v>24</v>
      </c>
      <c r="F49" s="173" t="s">
        <v>875</v>
      </c>
      <c r="G49" s="279" t="s">
        <v>32</v>
      </c>
      <c r="H49" s="280" t="s">
        <v>41</v>
      </c>
      <c r="I49" s="283"/>
      <c r="J49" s="279"/>
      <c r="K49" s="190"/>
      <c r="L49" s="190"/>
      <c r="M49" s="190"/>
      <c r="N49" s="190"/>
      <c r="O49" s="190"/>
      <c r="P49" s="279"/>
      <c r="Q49" s="282"/>
    </row>
    <row r="50" spans="2:17" ht="90" x14ac:dyDescent="0.25">
      <c r="B50" s="278" t="s">
        <v>5</v>
      </c>
      <c r="C50" s="157"/>
      <c r="D50" s="158" t="s">
        <v>274</v>
      </c>
      <c r="E50" s="159" t="s">
        <v>24</v>
      </c>
      <c r="F50" s="170" t="s">
        <v>876</v>
      </c>
      <c r="G50" s="279" t="s">
        <v>32</v>
      </c>
      <c r="H50" s="280" t="s">
        <v>41</v>
      </c>
      <c r="I50" s="283"/>
      <c r="J50" s="279"/>
      <c r="K50" s="190"/>
      <c r="L50" s="190"/>
      <c r="M50" s="190"/>
      <c r="N50" s="190"/>
      <c r="O50" s="190"/>
      <c r="P50" s="279"/>
      <c r="Q50" s="282"/>
    </row>
    <row r="51" spans="2:17" ht="159" customHeight="1" x14ac:dyDescent="0.25">
      <c r="B51" s="278" t="s">
        <v>5</v>
      </c>
      <c r="C51" s="157"/>
      <c r="D51" s="158" t="s">
        <v>275</v>
      </c>
      <c r="E51" s="159" t="s">
        <v>24</v>
      </c>
      <c r="F51" s="173" t="s">
        <v>877</v>
      </c>
      <c r="G51" s="279" t="s">
        <v>32</v>
      </c>
      <c r="H51" s="280" t="s">
        <v>41</v>
      </c>
      <c r="I51" s="283"/>
      <c r="J51" s="279"/>
      <c r="K51" s="190"/>
      <c r="L51" s="190"/>
      <c r="M51" s="190"/>
      <c r="N51" s="190"/>
      <c r="O51" s="190"/>
      <c r="P51" s="279"/>
      <c r="Q51" s="282"/>
    </row>
    <row r="52" spans="2:17" ht="56.25" x14ac:dyDescent="0.25">
      <c r="B52" s="278" t="s">
        <v>5</v>
      </c>
      <c r="C52" s="160" t="s">
        <v>878</v>
      </c>
      <c r="D52" s="161" t="s">
        <v>276</v>
      </c>
      <c r="E52" s="162" t="s">
        <v>25</v>
      </c>
      <c r="F52" s="172" t="s">
        <v>674</v>
      </c>
      <c r="G52" s="284" t="s">
        <v>32</v>
      </c>
      <c r="H52" s="285" t="s">
        <v>41</v>
      </c>
      <c r="I52" s="286"/>
      <c r="J52" s="284"/>
      <c r="K52" s="191"/>
      <c r="L52" s="191"/>
      <c r="M52" s="191"/>
      <c r="N52" s="191"/>
      <c r="O52" s="191"/>
      <c r="P52" s="284"/>
      <c r="Q52" s="287"/>
    </row>
    <row r="53" spans="2:17" ht="45" x14ac:dyDescent="0.25">
      <c r="B53" s="278" t="s">
        <v>5</v>
      </c>
      <c r="C53" s="160"/>
      <c r="D53" s="161" t="s">
        <v>277</v>
      </c>
      <c r="E53" s="162" t="s">
        <v>25</v>
      </c>
      <c r="F53" s="172" t="s">
        <v>879</v>
      </c>
      <c r="G53" s="284" t="s">
        <v>32</v>
      </c>
      <c r="H53" s="285" t="s">
        <v>41</v>
      </c>
      <c r="I53" s="286"/>
      <c r="J53" s="284"/>
      <c r="K53" s="191"/>
      <c r="L53" s="191"/>
      <c r="M53" s="191"/>
      <c r="N53" s="191"/>
      <c r="O53" s="191"/>
      <c r="P53" s="284"/>
      <c r="Q53" s="287"/>
    </row>
    <row r="54" spans="2:17" ht="66.599999999999994" customHeight="1" x14ac:dyDescent="0.25">
      <c r="B54" s="278" t="s">
        <v>5</v>
      </c>
      <c r="C54" s="160"/>
      <c r="D54" s="161" t="s">
        <v>278</v>
      </c>
      <c r="E54" s="162" t="s">
        <v>25</v>
      </c>
      <c r="F54" s="172" t="s">
        <v>675</v>
      </c>
      <c r="G54" s="284" t="s">
        <v>32</v>
      </c>
      <c r="H54" s="285" t="s">
        <v>41</v>
      </c>
      <c r="I54" s="286"/>
      <c r="J54" s="284"/>
      <c r="K54" s="191"/>
      <c r="L54" s="191"/>
      <c r="M54" s="191"/>
      <c r="N54" s="191"/>
      <c r="O54" s="191"/>
      <c r="P54" s="284"/>
      <c r="Q54" s="287"/>
    </row>
    <row r="55" spans="2:17" ht="45" x14ac:dyDescent="0.25">
      <c r="B55" s="278" t="s">
        <v>5</v>
      </c>
      <c r="C55" s="160"/>
      <c r="D55" s="161" t="s">
        <v>279</v>
      </c>
      <c r="E55" s="162" t="s">
        <v>25</v>
      </c>
      <c r="F55" s="172" t="s">
        <v>676</v>
      </c>
      <c r="G55" s="284" t="s">
        <v>32</v>
      </c>
      <c r="H55" s="285" t="s">
        <v>41</v>
      </c>
      <c r="I55" s="286"/>
      <c r="J55" s="284"/>
      <c r="K55" s="191"/>
      <c r="L55" s="191"/>
      <c r="M55" s="191"/>
      <c r="N55" s="191"/>
      <c r="O55" s="191"/>
      <c r="P55" s="284"/>
      <c r="Q55" s="287"/>
    </row>
    <row r="56" spans="2:17" ht="33.75" x14ac:dyDescent="0.25">
      <c r="B56" s="278" t="s">
        <v>5</v>
      </c>
      <c r="C56" s="160"/>
      <c r="D56" s="161" t="s">
        <v>280</v>
      </c>
      <c r="E56" s="162" t="s">
        <v>25</v>
      </c>
      <c r="F56" s="172" t="s">
        <v>677</v>
      </c>
      <c r="G56" s="284" t="s">
        <v>32</v>
      </c>
      <c r="H56" s="285" t="s">
        <v>41</v>
      </c>
      <c r="I56" s="286"/>
      <c r="J56" s="284"/>
      <c r="K56" s="191"/>
      <c r="L56" s="191"/>
      <c r="M56" s="191"/>
      <c r="N56" s="191"/>
      <c r="O56" s="191"/>
      <c r="P56" s="284"/>
      <c r="Q56" s="287"/>
    </row>
    <row r="57" spans="2:17" ht="45" x14ac:dyDescent="0.25">
      <c r="B57" s="278" t="s">
        <v>5</v>
      </c>
      <c r="C57" s="160"/>
      <c r="D57" s="161" t="s">
        <v>1221</v>
      </c>
      <c r="E57" s="162" t="s">
        <v>25</v>
      </c>
      <c r="F57" s="321" t="s">
        <v>1222</v>
      </c>
      <c r="G57" s="284" t="s">
        <v>32</v>
      </c>
      <c r="H57" s="285" t="s">
        <v>41</v>
      </c>
      <c r="I57" s="286"/>
      <c r="J57" s="284"/>
      <c r="K57" s="191"/>
      <c r="L57" s="191"/>
      <c r="M57" s="191"/>
      <c r="N57" s="191"/>
      <c r="O57" s="191"/>
      <c r="P57" s="284"/>
      <c r="Q57" s="287"/>
    </row>
    <row r="58" spans="2:17" ht="162.6" customHeight="1" x14ac:dyDescent="0.25">
      <c r="B58" s="278" t="s">
        <v>5</v>
      </c>
      <c r="C58" s="157" t="s">
        <v>880</v>
      </c>
      <c r="D58" s="158" t="s">
        <v>281</v>
      </c>
      <c r="E58" s="159" t="s">
        <v>24</v>
      </c>
      <c r="F58" s="173" t="s">
        <v>881</v>
      </c>
      <c r="G58" s="279" t="s">
        <v>32</v>
      </c>
      <c r="H58" s="280" t="s">
        <v>41</v>
      </c>
      <c r="I58" s="283"/>
      <c r="J58" s="279"/>
      <c r="K58" s="190"/>
      <c r="L58" s="190"/>
      <c r="M58" s="190"/>
      <c r="N58" s="190"/>
      <c r="O58" s="190"/>
      <c r="P58" s="279"/>
      <c r="Q58" s="282"/>
    </row>
    <row r="59" spans="2:17" ht="130.5" customHeight="1" x14ac:dyDescent="0.25">
      <c r="B59" s="278" t="s">
        <v>5</v>
      </c>
      <c r="C59" s="157"/>
      <c r="D59" s="158" t="s">
        <v>282</v>
      </c>
      <c r="E59" s="159" t="s">
        <v>24</v>
      </c>
      <c r="F59" s="173" t="s">
        <v>882</v>
      </c>
      <c r="G59" s="279" t="s">
        <v>32</v>
      </c>
      <c r="H59" s="280" t="s">
        <v>41</v>
      </c>
      <c r="I59" s="283"/>
      <c r="J59" s="279"/>
      <c r="K59" s="190"/>
      <c r="L59" s="190"/>
      <c r="M59" s="190"/>
      <c r="N59" s="190"/>
      <c r="O59" s="190"/>
      <c r="P59" s="279"/>
      <c r="Q59" s="282"/>
    </row>
    <row r="60" spans="2:17" ht="131.1" customHeight="1" x14ac:dyDescent="0.25">
      <c r="B60" s="278" t="s">
        <v>5</v>
      </c>
      <c r="C60" s="157"/>
      <c r="D60" s="158" t="s">
        <v>283</v>
      </c>
      <c r="E60" s="159" t="s">
        <v>24</v>
      </c>
      <c r="F60" s="289" t="s">
        <v>883</v>
      </c>
      <c r="G60" s="279" t="s">
        <v>32</v>
      </c>
      <c r="H60" s="280" t="s">
        <v>41</v>
      </c>
      <c r="I60" s="283"/>
      <c r="J60" s="279"/>
      <c r="K60" s="190"/>
      <c r="L60" s="190"/>
      <c r="M60" s="190"/>
      <c r="N60" s="190"/>
      <c r="O60" s="190"/>
      <c r="P60" s="279"/>
      <c r="Q60" s="282"/>
    </row>
    <row r="61" spans="2:17" ht="131.44999999999999" customHeight="1" x14ac:dyDescent="0.25">
      <c r="B61" s="278" t="s">
        <v>5</v>
      </c>
      <c r="C61" s="157"/>
      <c r="D61" s="158" t="s">
        <v>284</v>
      </c>
      <c r="E61" s="159" t="s">
        <v>24</v>
      </c>
      <c r="F61" s="170" t="s">
        <v>884</v>
      </c>
      <c r="G61" s="279" t="s">
        <v>32</v>
      </c>
      <c r="H61" s="280" t="s">
        <v>41</v>
      </c>
      <c r="I61" s="283"/>
      <c r="J61" s="279"/>
      <c r="K61" s="190"/>
      <c r="L61" s="190"/>
      <c r="M61" s="190"/>
      <c r="N61" s="190"/>
      <c r="O61" s="190"/>
      <c r="P61" s="279"/>
      <c r="Q61" s="282"/>
    </row>
    <row r="62" spans="2:17" ht="132" customHeight="1" x14ac:dyDescent="0.25">
      <c r="B62" s="278" t="s">
        <v>5</v>
      </c>
      <c r="C62" s="157"/>
      <c r="D62" s="158" t="s">
        <v>285</v>
      </c>
      <c r="E62" s="159" t="s">
        <v>24</v>
      </c>
      <c r="F62" s="170" t="s">
        <v>885</v>
      </c>
      <c r="G62" s="279" t="s">
        <v>32</v>
      </c>
      <c r="H62" s="280" t="s">
        <v>41</v>
      </c>
      <c r="I62" s="283"/>
      <c r="J62" s="279"/>
      <c r="K62" s="190"/>
      <c r="L62" s="190"/>
      <c r="M62" s="190"/>
      <c r="N62" s="190"/>
      <c r="O62" s="190"/>
      <c r="P62" s="279"/>
      <c r="Q62" s="282"/>
    </row>
    <row r="63" spans="2:17" x14ac:dyDescent="0.25">
      <c r="B63" s="290" t="s">
        <v>38</v>
      </c>
      <c r="C63" s="160" t="s">
        <v>678</v>
      </c>
      <c r="D63" s="161" t="s">
        <v>286</v>
      </c>
      <c r="E63" s="162" t="s">
        <v>24</v>
      </c>
      <c r="F63" s="172" t="s">
        <v>679</v>
      </c>
      <c r="G63" s="284" t="s">
        <v>32</v>
      </c>
      <c r="H63" s="285" t="s">
        <v>41</v>
      </c>
      <c r="I63" s="286"/>
      <c r="J63" s="284"/>
      <c r="K63" s="191"/>
      <c r="L63" s="191"/>
      <c r="M63" s="191"/>
      <c r="N63" s="191"/>
      <c r="O63" s="191"/>
      <c r="P63" s="284"/>
      <c r="Q63" s="287"/>
    </row>
    <row r="64" spans="2:17" ht="22.5" x14ac:dyDescent="0.25">
      <c r="B64" s="290" t="s">
        <v>38</v>
      </c>
      <c r="C64" s="157" t="s">
        <v>680</v>
      </c>
      <c r="D64" s="158" t="s">
        <v>287</v>
      </c>
      <c r="E64" s="159" t="s">
        <v>24</v>
      </c>
      <c r="F64" s="173" t="s">
        <v>681</v>
      </c>
      <c r="G64" s="279" t="s">
        <v>32</v>
      </c>
      <c r="H64" s="280" t="s">
        <v>41</v>
      </c>
      <c r="I64" s="283"/>
      <c r="J64" s="279"/>
      <c r="K64" s="190"/>
      <c r="L64" s="190"/>
      <c r="M64" s="190"/>
      <c r="N64" s="190"/>
      <c r="O64" s="190"/>
      <c r="P64" s="279"/>
      <c r="Q64" s="282"/>
    </row>
    <row r="65" spans="2:17" ht="54.95" customHeight="1" x14ac:dyDescent="0.25">
      <c r="B65" s="278" t="s">
        <v>3</v>
      </c>
      <c r="C65" s="160" t="s">
        <v>886</v>
      </c>
      <c r="D65" s="161" t="s">
        <v>288</v>
      </c>
      <c r="E65" s="162" t="s">
        <v>24</v>
      </c>
      <c r="F65" s="172" t="s">
        <v>289</v>
      </c>
      <c r="G65" s="284" t="s">
        <v>32</v>
      </c>
      <c r="H65" s="285" t="s">
        <v>41</v>
      </c>
      <c r="I65" s="286"/>
      <c r="J65" s="284"/>
      <c r="K65" s="191"/>
      <c r="L65" s="191"/>
      <c r="M65" s="191"/>
      <c r="N65" s="191"/>
      <c r="O65" s="191"/>
      <c r="P65" s="284"/>
      <c r="Q65" s="287"/>
    </row>
    <row r="66" spans="2:17" ht="22.5" x14ac:dyDescent="0.25">
      <c r="B66" s="278" t="s">
        <v>3</v>
      </c>
      <c r="C66" s="160"/>
      <c r="D66" s="161" t="s">
        <v>294</v>
      </c>
      <c r="E66" s="162" t="s">
        <v>24</v>
      </c>
      <c r="F66" s="172" t="s">
        <v>290</v>
      </c>
      <c r="G66" s="284" t="s">
        <v>32</v>
      </c>
      <c r="H66" s="285" t="s">
        <v>41</v>
      </c>
      <c r="I66" s="286"/>
      <c r="J66" s="284"/>
      <c r="K66" s="191"/>
      <c r="L66" s="191"/>
      <c r="M66" s="191"/>
      <c r="N66" s="191"/>
      <c r="O66" s="191"/>
      <c r="P66" s="284"/>
      <c r="Q66" s="287"/>
    </row>
    <row r="67" spans="2:17" ht="44.1" customHeight="1" x14ac:dyDescent="0.25">
      <c r="B67" s="278" t="s">
        <v>3</v>
      </c>
      <c r="C67" s="160"/>
      <c r="D67" s="161" t="s">
        <v>295</v>
      </c>
      <c r="E67" s="162" t="s">
        <v>24</v>
      </c>
      <c r="F67" s="172" t="s">
        <v>887</v>
      </c>
      <c r="G67" s="284" t="s">
        <v>32</v>
      </c>
      <c r="H67" s="285" t="s">
        <v>41</v>
      </c>
      <c r="I67" s="286"/>
      <c r="J67" s="284"/>
      <c r="K67" s="191"/>
      <c r="L67" s="191"/>
      <c r="M67" s="191"/>
      <c r="N67" s="191"/>
      <c r="O67" s="191"/>
      <c r="P67" s="284"/>
      <c r="Q67" s="287"/>
    </row>
    <row r="68" spans="2:17" ht="56.45" customHeight="1" x14ac:dyDescent="0.25">
      <c r="B68" s="278" t="s">
        <v>3</v>
      </c>
      <c r="C68" s="160"/>
      <c r="D68" s="161" t="s">
        <v>296</v>
      </c>
      <c r="E68" s="162" t="s">
        <v>24</v>
      </c>
      <c r="F68" s="172" t="s">
        <v>291</v>
      </c>
      <c r="G68" s="284" t="s">
        <v>32</v>
      </c>
      <c r="H68" s="285" t="s">
        <v>41</v>
      </c>
      <c r="I68" s="286"/>
      <c r="J68" s="284"/>
      <c r="K68" s="191"/>
      <c r="L68" s="191"/>
      <c r="M68" s="191"/>
      <c r="N68" s="191"/>
      <c r="O68" s="191"/>
      <c r="P68" s="284"/>
      <c r="Q68" s="287"/>
    </row>
    <row r="69" spans="2:17" ht="22.5" x14ac:dyDescent="0.25">
      <c r="B69" s="278" t="s">
        <v>3</v>
      </c>
      <c r="C69" s="160"/>
      <c r="D69" s="161" t="s">
        <v>297</v>
      </c>
      <c r="E69" s="162" t="s">
        <v>24</v>
      </c>
      <c r="F69" s="172" t="s">
        <v>292</v>
      </c>
      <c r="G69" s="284" t="s">
        <v>32</v>
      </c>
      <c r="H69" s="285" t="s">
        <v>41</v>
      </c>
      <c r="I69" s="286"/>
      <c r="J69" s="284"/>
      <c r="K69" s="191"/>
      <c r="L69" s="191"/>
      <c r="M69" s="191"/>
      <c r="N69" s="191"/>
      <c r="O69" s="191"/>
      <c r="P69" s="284"/>
      <c r="Q69" s="287"/>
    </row>
    <row r="70" spans="2:17" ht="22.5" x14ac:dyDescent="0.25">
      <c r="B70" s="278" t="s">
        <v>3</v>
      </c>
      <c r="C70" s="160"/>
      <c r="D70" s="161" t="s">
        <v>298</v>
      </c>
      <c r="E70" s="162" t="s">
        <v>24</v>
      </c>
      <c r="F70" s="172" t="s">
        <v>293</v>
      </c>
      <c r="G70" s="284" t="s">
        <v>32</v>
      </c>
      <c r="H70" s="285" t="s">
        <v>41</v>
      </c>
      <c r="I70" s="286"/>
      <c r="J70" s="284"/>
      <c r="K70" s="191"/>
      <c r="L70" s="191"/>
      <c r="M70" s="191"/>
      <c r="N70" s="191"/>
      <c r="O70" s="191"/>
      <c r="P70" s="284"/>
      <c r="Q70" s="287"/>
    </row>
    <row r="71" spans="2:17" ht="67.5" x14ac:dyDescent="0.25">
      <c r="B71" s="278" t="s">
        <v>3</v>
      </c>
      <c r="C71" s="157" t="s">
        <v>888</v>
      </c>
      <c r="D71" s="158" t="s">
        <v>299</v>
      </c>
      <c r="E71" s="159" t="s">
        <v>25</v>
      </c>
      <c r="F71" s="170" t="s">
        <v>889</v>
      </c>
      <c r="G71" s="279" t="s">
        <v>32</v>
      </c>
      <c r="H71" s="280" t="s">
        <v>41</v>
      </c>
      <c r="I71" s="283"/>
      <c r="J71" s="279"/>
      <c r="K71" s="190"/>
      <c r="L71" s="190"/>
      <c r="M71" s="190"/>
      <c r="N71" s="190"/>
      <c r="O71" s="190"/>
      <c r="P71" s="279"/>
      <c r="Q71" s="282"/>
    </row>
    <row r="72" spans="2:17" ht="56.25" x14ac:dyDescent="0.25">
      <c r="B72" s="278" t="s">
        <v>3</v>
      </c>
      <c r="C72" s="157"/>
      <c r="D72" s="158" t="s">
        <v>300</v>
      </c>
      <c r="E72" s="159" t="s">
        <v>25</v>
      </c>
      <c r="F72" s="170" t="s">
        <v>890</v>
      </c>
      <c r="G72" s="279" t="s">
        <v>32</v>
      </c>
      <c r="H72" s="280" t="s">
        <v>41</v>
      </c>
      <c r="I72" s="283"/>
      <c r="J72" s="279"/>
      <c r="K72" s="190"/>
      <c r="L72" s="190"/>
      <c r="M72" s="190"/>
      <c r="N72" s="190"/>
      <c r="O72" s="190"/>
      <c r="P72" s="279"/>
      <c r="Q72" s="282"/>
    </row>
    <row r="73" spans="2:17" ht="67.5" x14ac:dyDescent="0.25">
      <c r="B73" s="278" t="s">
        <v>3</v>
      </c>
      <c r="C73" s="157"/>
      <c r="D73" s="158" t="s">
        <v>301</v>
      </c>
      <c r="E73" s="159" t="s">
        <v>25</v>
      </c>
      <c r="F73" s="170" t="s">
        <v>891</v>
      </c>
      <c r="G73" s="279" t="s">
        <v>32</v>
      </c>
      <c r="H73" s="280" t="s">
        <v>41</v>
      </c>
      <c r="I73" s="283"/>
      <c r="J73" s="279"/>
      <c r="K73" s="190"/>
      <c r="L73" s="190"/>
      <c r="M73" s="190"/>
      <c r="N73" s="190"/>
      <c r="O73" s="190"/>
      <c r="P73" s="279"/>
      <c r="Q73" s="282"/>
    </row>
    <row r="74" spans="2:17" ht="67.5" x14ac:dyDescent="0.25">
      <c r="B74" s="278" t="s">
        <v>3</v>
      </c>
      <c r="C74" s="157"/>
      <c r="D74" s="158" t="s">
        <v>302</v>
      </c>
      <c r="E74" s="159" t="s">
        <v>25</v>
      </c>
      <c r="F74" s="170" t="s">
        <v>892</v>
      </c>
      <c r="G74" s="279" t="s">
        <v>32</v>
      </c>
      <c r="H74" s="280" t="s">
        <v>41</v>
      </c>
      <c r="I74" s="283"/>
      <c r="J74" s="279"/>
      <c r="K74" s="190"/>
      <c r="L74" s="190"/>
      <c r="M74" s="190"/>
      <c r="N74" s="190"/>
      <c r="O74" s="190"/>
      <c r="P74" s="279"/>
      <c r="Q74" s="282"/>
    </row>
    <row r="75" spans="2:17" ht="33.75" x14ac:dyDescent="0.25">
      <c r="B75" s="278" t="s">
        <v>3</v>
      </c>
      <c r="C75" s="157"/>
      <c r="D75" s="158" t="s">
        <v>303</v>
      </c>
      <c r="E75" s="159" t="s">
        <v>25</v>
      </c>
      <c r="F75" s="173" t="s">
        <v>682</v>
      </c>
      <c r="G75" s="279" t="s">
        <v>32</v>
      </c>
      <c r="H75" s="280" t="s">
        <v>41</v>
      </c>
      <c r="I75" s="283"/>
      <c r="J75" s="279"/>
      <c r="K75" s="190"/>
      <c r="L75" s="190"/>
      <c r="M75" s="190"/>
      <c r="N75" s="190"/>
      <c r="O75" s="190"/>
      <c r="P75" s="279"/>
      <c r="Q75" s="282"/>
    </row>
    <row r="76" spans="2:17" ht="56.25" x14ac:dyDescent="0.25">
      <c r="B76" s="278" t="s">
        <v>3</v>
      </c>
      <c r="C76" s="160" t="s">
        <v>893</v>
      </c>
      <c r="D76" s="161" t="s">
        <v>304</v>
      </c>
      <c r="E76" s="162" t="s">
        <v>25</v>
      </c>
      <c r="F76" s="172" t="s">
        <v>894</v>
      </c>
      <c r="G76" s="284" t="s">
        <v>32</v>
      </c>
      <c r="H76" s="285" t="s">
        <v>41</v>
      </c>
      <c r="I76" s="286"/>
      <c r="J76" s="284"/>
      <c r="K76" s="191"/>
      <c r="L76" s="191"/>
      <c r="M76" s="191"/>
      <c r="N76" s="191"/>
      <c r="O76" s="191"/>
      <c r="P76" s="284"/>
      <c r="Q76" s="287"/>
    </row>
    <row r="77" spans="2:17" ht="67.5" x14ac:dyDescent="0.25">
      <c r="B77" s="278" t="s">
        <v>3</v>
      </c>
      <c r="C77" s="164"/>
      <c r="D77" s="161" t="s">
        <v>305</v>
      </c>
      <c r="E77" s="162" t="s">
        <v>25</v>
      </c>
      <c r="F77" s="172" t="s">
        <v>895</v>
      </c>
      <c r="G77" s="284" t="s">
        <v>32</v>
      </c>
      <c r="H77" s="285" t="s">
        <v>41</v>
      </c>
      <c r="I77" s="286"/>
      <c r="J77" s="284"/>
      <c r="K77" s="191"/>
      <c r="L77" s="191"/>
      <c r="M77" s="191"/>
      <c r="N77" s="191"/>
      <c r="O77" s="191"/>
      <c r="P77" s="284"/>
      <c r="Q77" s="287"/>
    </row>
    <row r="78" spans="2:17" ht="56.25" x14ac:dyDescent="0.25">
      <c r="B78" s="278" t="s">
        <v>3</v>
      </c>
      <c r="C78" s="164"/>
      <c r="D78" s="161" t="s">
        <v>306</v>
      </c>
      <c r="E78" s="162" t="s">
        <v>25</v>
      </c>
      <c r="F78" s="172" t="s">
        <v>896</v>
      </c>
      <c r="G78" s="284" t="s">
        <v>32</v>
      </c>
      <c r="H78" s="285" t="s">
        <v>41</v>
      </c>
      <c r="I78" s="286"/>
      <c r="J78" s="284"/>
      <c r="K78" s="191"/>
      <c r="L78" s="191"/>
      <c r="M78" s="191"/>
      <c r="N78" s="191"/>
      <c r="O78" s="191"/>
      <c r="P78" s="284"/>
      <c r="Q78" s="287"/>
    </row>
    <row r="79" spans="2:17" ht="33.75" x14ac:dyDescent="0.25">
      <c r="B79" s="278" t="s">
        <v>3</v>
      </c>
      <c r="C79" s="164"/>
      <c r="D79" s="161" t="s">
        <v>307</v>
      </c>
      <c r="E79" s="162" t="s">
        <v>25</v>
      </c>
      <c r="F79" s="172" t="s">
        <v>683</v>
      </c>
      <c r="G79" s="284" t="s">
        <v>32</v>
      </c>
      <c r="H79" s="285" t="s">
        <v>41</v>
      </c>
      <c r="I79" s="286"/>
      <c r="J79" s="284"/>
      <c r="K79" s="191"/>
      <c r="L79" s="191"/>
      <c r="M79" s="191"/>
      <c r="N79" s="191"/>
      <c r="O79" s="191"/>
      <c r="P79" s="284"/>
      <c r="Q79" s="287"/>
    </row>
    <row r="80" spans="2:17" ht="45" x14ac:dyDescent="0.25">
      <c r="B80" s="290" t="s">
        <v>6</v>
      </c>
      <c r="C80" s="157" t="s">
        <v>897</v>
      </c>
      <c r="D80" s="158" t="s">
        <v>308</v>
      </c>
      <c r="E80" s="159" t="s">
        <v>24</v>
      </c>
      <c r="F80" s="170" t="s">
        <v>898</v>
      </c>
      <c r="G80" s="279" t="s">
        <v>32</v>
      </c>
      <c r="H80" s="280" t="s">
        <v>41</v>
      </c>
      <c r="I80" s="283"/>
      <c r="J80" s="279"/>
      <c r="K80" s="190"/>
      <c r="L80" s="190"/>
      <c r="M80" s="190"/>
      <c r="N80" s="190"/>
      <c r="O80" s="190"/>
      <c r="P80" s="279"/>
      <c r="Q80" s="282"/>
    </row>
    <row r="81" spans="2:17" ht="101.25" x14ac:dyDescent="0.25">
      <c r="B81" s="290" t="s">
        <v>6</v>
      </c>
      <c r="C81" s="157"/>
      <c r="D81" s="158" t="s">
        <v>309</v>
      </c>
      <c r="E81" s="159" t="s">
        <v>24</v>
      </c>
      <c r="F81" s="170" t="s">
        <v>899</v>
      </c>
      <c r="G81" s="279" t="s">
        <v>32</v>
      </c>
      <c r="H81" s="280" t="s">
        <v>41</v>
      </c>
      <c r="I81" s="283"/>
      <c r="J81" s="279"/>
      <c r="K81" s="190"/>
      <c r="L81" s="190"/>
      <c r="M81" s="190"/>
      <c r="N81" s="190"/>
      <c r="O81" s="190"/>
      <c r="P81" s="279"/>
      <c r="Q81" s="282"/>
    </row>
    <row r="82" spans="2:17" ht="78.75" x14ac:dyDescent="0.25">
      <c r="B82" s="290" t="s">
        <v>6</v>
      </c>
      <c r="C82" s="157"/>
      <c r="D82" s="158" t="s">
        <v>310</v>
      </c>
      <c r="E82" s="159" t="s">
        <v>24</v>
      </c>
      <c r="F82" s="170" t="s">
        <v>900</v>
      </c>
      <c r="G82" s="279" t="s">
        <v>32</v>
      </c>
      <c r="H82" s="280" t="s">
        <v>41</v>
      </c>
      <c r="I82" s="283"/>
      <c r="J82" s="279"/>
      <c r="K82" s="190"/>
      <c r="L82" s="190"/>
      <c r="M82" s="190"/>
      <c r="N82" s="190"/>
      <c r="O82" s="190"/>
      <c r="P82" s="279"/>
      <c r="Q82" s="282"/>
    </row>
    <row r="83" spans="2:17" ht="44.45" customHeight="1" x14ac:dyDescent="0.25">
      <c r="B83" s="290" t="s">
        <v>6</v>
      </c>
      <c r="C83" s="160" t="s">
        <v>901</v>
      </c>
      <c r="D83" s="161" t="s">
        <v>311</v>
      </c>
      <c r="E83" s="162" t="s">
        <v>24</v>
      </c>
      <c r="F83" s="172" t="s">
        <v>902</v>
      </c>
      <c r="G83" s="284" t="s">
        <v>32</v>
      </c>
      <c r="H83" s="285" t="s">
        <v>41</v>
      </c>
      <c r="I83" s="286"/>
      <c r="J83" s="284"/>
      <c r="K83" s="191"/>
      <c r="L83" s="191"/>
      <c r="M83" s="191"/>
      <c r="N83" s="191"/>
      <c r="O83" s="191"/>
      <c r="P83" s="284"/>
      <c r="Q83" s="287"/>
    </row>
    <row r="84" spans="2:17" ht="67.5" x14ac:dyDescent="0.25">
      <c r="B84" s="290" t="s">
        <v>6</v>
      </c>
      <c r="C84" s="160"/>
      <c r="D84" s="161" t="s">
        <v>312</v>
      </c>
      <c r="E84" s="162" t="s">
        <v>24</v>
      </c>
      <c r="F84" s="164" t="s">
        <v>903</v>
      </c>
      <c r="G84" s="284" t="s">
        <v>32</v>
      </c>
      <c r="H84" s="285" t="s">
        <v>41</v>
      </c>
      <c r="I84" s="286"/>
      <c r="J84" s="284"/>
      <c r="K84" s="191"/>
      <c r="L84" s="191"/>
      <c r="M84" s="191"/>
      <c r="N84" s="191"/>
      <c r="O84" s="191"/>
      <c r="P84" s="284"/>
      <c r="Q84" s="287"/>
    </row>
    <row r="85" spans="2:17" ht="56.25" x14ac:dyDescent="0.25">
      <c r="B85" s="290" t="s">
        <v>6</v>
      </c>
      <c r="C85" s="160"/>
      <c r="D85" s="161" t="s">
        <v>313</v>
      </c>
      <c r="E85" s="162" t="s">
        <v>24</v>
      </c>
      <c r="F85" s="164" t="s">
        <v>904</v>
      </c>
      <c r="G85" s="284" t="s">
        <v>32</v>
      </c>
      <c r="H85" s="285" t="s">
        <v>41</v>
      </c>
      <c r="I85" s="286"/>
      <c r="J85" s="284"/>
      <c r="K85" s="191"/>
      <c r="L85" s="191"/>
      <c r="M85" s="191"/>
      <c r="N85" s="191"/>
      <c r="O85" s="191"/>
      <c r="P85" s="284"/>
      <c r="Q85" s="287"/>
    </row>
    <row r="86" spans="2:17" ht="56.25" x14ac:dyDescent="0.25">
      <c r="B86" s="290" t="s">
        <v>6</v>
      </c>
      <c r="C86" s="157" t="s">
        <v>905</v>
      </c>
      <c r="D86" s="158" t="s">
        <v>314</v>
      </c>
      <c r="E86" s="159" t="s">
        <v>24</v>
      </c>
      <c r="F86" s="170" t="s">
        <v>906</v>
      </c>
      <c r="G86" s="279" t="s">
        <v>32</v>
      </c>
      <c r="H86" s="280" t="s">
        <v>41</v>
      </c>
      <c r="I86" s="283"/>
      <c r="J86" s="279"/>
      <c r="K86" s="190"/>
      <c r="L86" s="190"/>
      <c r="M86" s="190"/>
      <c r="N86" s="190"/>
      <c r="O86" s="190"/>
      <c r="P86" s="279"/>
      <c r="Q86" s="282"/>
    </row>
    <row r="87" spans="2:17" ht="54.95" customHeight="1" x14ac:dyDescent="0.25">
      <c r="B87" s="290" t="s">
        <v>6</v>
      </c>
      <c r="C87" s="157"/>
      <c r="D87" s="158" t="s">
        <v>315</v>
      </c>
      <c r="E87" s="159" t="s">
        <v>24</v>
      </c>
      <c r="F87" s="173" t="s">
        <v>684</v>
      </c>
      <c r="G87" s="279" t="s">
        <v>32</v>
      </c>
      <c r="H87" s="280" t="s">
        <v>41</v>
      </c>
      <c r="I87" s="283"/>
      <c r="J87" s="279"/>
      <c r="K87" s="190"/>
      <c r="L87" s="190"/>
      <c r="M87" s="190"/>
      <c r="N87" s="190"/>
      <c r="O87" s="190"/>
      <c r="P87" s="279"/>
      <c r="Q87" s="282"/>
    </row>
    <row r="88" spans="2:17" ht="45" x14ac:dyDescent="0.25">
      <c r="B88" s="290" t="s">
        <v>6</v>
      </c>
      <c r="C88" s="160" t="s">
        <v>907</v>
      </c>
      <c r="D88" s="161" t="s">
        <v>316</v>
      </c>
      <c r="E88" s="162" t="s">
        <v>24</v>
      </c>
      <c r="F88" s="172" t="s">
        <v>907</v>
      </c>
      <c r="G88" s="284" t="s">
        <v>32</v>
      </c>
      <c r="H88" s="285" t="s">
        <v>41</v>
      </c>
      <c r="I88" s="286"/>
      <c r="J88" s="284"/>
      <c r="K88" s="191"/>
      <c r="L88" s="191"/>
      <c r="M88" s="191"/>
      <c r="N88" s="191"/>
      <c r="O88" s="191"/>
      <c r="P88" s="284"/>
      <c r="Q88" s="287"/>
    </row>
    <row r="89" spans="2:17" ht="45" x14ac:dyDescent="0.25">
      <c r="B89" s="290" t="s">
        <v>6</v>
      </c>
      <c r="C89" s="157" t="s">
        <v>908</v>
      </c>
      <c r="D89" s="158" t="s">
        <v>317</v>
      </c>
      <c r="E89" s="159" t="s">
        <v>25</v>
      </c>
      <c r="F89" s="170" t="s">
        <v>909</v>
      </c>
      <c r="G89" s="279" t="s">
        <v>32</v>
      </c>
      <c r="H89" s="280" t="s">
        <v>41</v>
      </c>
      <c r="I89" s="283"/>
      <c r="J89" s="279"/>
      <c r="K89" s="190"/>
      <c r="L89" s="190"/>
      <c r="M89" s="190"/>
      <c r="N89" s="190"/>
      <c r="O89" s="190"/>
      <c r="P89" s="279"/>
      <c r="Q89" s="282"/>
    </row>
    <row r="90" spans="2:17" ht="45" x14ac:dyDescent="0.25">
      <c r="B90" s="290" t="s">
        <v>6</v>
      </c>
      <c r="C90" s="157"/>
      <c r="D90" s="158" t="s">
        <v>318</v>
      </c>
      <c r="E90" s="159" t="s">
        <v>25</v>
      </c>
      <c r="F90" s="170" t="s">
        <v>910</v>
      </c>
      <c r="G90" s="279" t="s">
        <v>32</v>
      </c>
      <c r="H90" s="280" t="s">
        <v>41</v>
      </c>
      <c r="I90" s="283"/>
      <c r="J90" s="279"/>
      <c r="K90" s="190"/>
      <c r="L90" s="190"/>
      <c r="M90" s="190"/>
      <c r="N90" s="190"/>
      <c r="O90" s="190"/>
      <c r="P90" s="279"/>
      <c r="Q90" s="282"/>
    </row>
    <row r="91" spans="2:17" ht="33.75" x14ac:dyDescent="0.25">
      <c r="B91" s="290" t="s">
        <v>6</v>
      </c>
      <c r="C91" s="160" t="s">
        <v>911</v>
      </c>
      <c r="D91" s="161" t="s">
        <v>319</v>
      </c>
      <c r="E91" s="162" t="s">
        <v>25</v>
      </c>
      <c r="F91" s="172" t="s">
        <v>912</v>
      </c>
      <c r="G91" s="284" t="s">
        <v>32</v>
      </c>
      <c r="H91" s="285" t="s">
        <v>41</v>
      </c>
      <c r="I91" s="286"/>
      <c r="J91" s="284"/>
      <c r="K91" s="191"/>
      <c r="L91" s="191"/>
      <c r="M91" s="191"/>
      <c r="N91" s="191"/>
      <c r="O91" s="191"/>
      <c r="P91" s="284"/>
      <c r="Q91" s="287"/>
    </row>
    <row r="92" spans="2:17" ht="22.5" x14ac:dyDescent="0.25">
      <c r="B92" s="290" t="s">
        <v>6</v>
      </c>
      <c r="C92" s="160"/>
      <c r="D92" s="161" t="s">
        <v>320</v>
      </c>
      <c r="E92" s="162" t="s">
        <v>25</v>
      </c>
      <c r="F92" s="172" t="s">
        <v>913</v>
      </c>
      <c r="G92" s="284" t="s">
        <v>32</v>
      </c>
      <c r="H92" s="285" t="s">
        <v>41</v>
      </c>
      <c r="I92" s="286"/>
      <c r="J92" s="284"/>
      <c r="K92" s="191"/>
      <c r="L92" s="191"/>
      <c r="M92" s="191"/>
      <c r="N92" s="191"/>
      <c r="O92" s="191"/>
      <c r="P92" s="284"/>
      <c r="Q92" s="287"/>
    </row>
    <row r="93" spans="2:17" ht="33.75" x14ac:dyDescent="0.25">
      <c r="B93" s="290" t="s">
        <v>6</v>
      </c>
      <c r="C93" s="165" t="s">
        <v>914</v>
      </c>
      <c r="D93" s="166" t="s">
        <v>321</v>
      </c>
      <c r="E93" s="167" t="s">
        <v>24</v>
      </c>
      <c r="F93" s="291" t="s">
        <v>332</v>
      </c>
      <c r="G93" s="279" t="s">
        <v>32</v>
      </c>
      <c r="H93" s="280" t="s">
        <v>41</v>
      </c>
      <c r="I93" s="283"/>
      <c r="J93" s="279"/>
      <c r="K93" s="190"/>
      <c r="L93" s="190"/>
      <c r="M93" s="190"/>
      <c r="N93" s="190"/>
      <c r="O93" s="190"/>
      <c r="P93" s="279"/>
      <c r="Q93" s="282"/>
    </row>
    <row r="94" spans="2:17" ht="67.5" x14ac:dyDescent="0.25">
      <c r="B94" s="290" t="s">
        <v>6</v>
      </c>
      <c r="C94" s="160" t="s">
        <v>915</v>
      </c>
      <c r="D94" s="161" t="s">
        <v>322</v>
      </c>
      <c r="E94" s="162" t="s">
        <v>24</v>
      </c>
      <c r="F94" s="322" t="s">
        <v>1242</v>
      </c>
      <c r="G94" s="284" t="s">
        <v>32</v>
      </c>
      <c r="H94" s="285" t="s">
        <v>41</v>
      </c>
      <c r="I94" s="286"/>
      <c r="J94" s="284"/>
      <c r="K94" s="191"/>
      <c r="L94" s="191"/>
      <c r="M94" s="191"/>
      <c r="N94" s="191"/>
      <c r="O94" s="191"/>
      <c r="P94" s="284"/>
      <c r="Q94" s="287"/>
    </row>
    <row r="95" spans="2:17" ht="45" x14ac:dyDescent="0.25">
      <c r="B95" s="290" t="s">
        <v>6</v>
      </c>
      <c r="C95" s="160"/>
      <c r="D95" s="161" t="s">
        <v>323</v>
      </c>
      <c r="E95" s="162" t="s">
        <v>24</v>
      </c>
      <c r="F95" s="164" t="s">
        <v>916</v>
      </c>
      <c r="G95" s="284" t="s">
        <v>32</v>
      </c>
      <c r="H95" s="285" t="s">
        <v>41</v>
      </c>
      <c r="I95" s="286"/>
      <c r="J95" s="284"/>
      <c r="K95" s="191"/>
      <c r="L95" s="191"/>
      <c r="M95" s="191"/>
      <c r="N95" s="191"/>
      <c r="O95" s="191"/>
      <c r="P95" s="284"/>
      <c r="Q95" s="287"/>
    </row>
    <row r="96" spans="2:17" ht="46.5" customHeight="1" x14ac:dyDescent="0.25">
      <c r="B96" s="290" t="s">
        <v>6</v>
      </c>
      <c r="C96" s="157" t="s">
        <v>917</v>
      </c>
      <c r="D96" s="158" t="s">
        <v>324</v>
      </c>
      <c r="E96" s="159" t="s">
        <v>24</v>
      </c>
      <c r="F96" s="173" t="s">
        <v>333</v>
      </c>
      <c r="G96" s="279" t="s">
        <v>32</v>
      </c>
      <c r="H96" s="280" t="s">
        <v>41</v>
      </c>
      <c r="I96" s="283"/>
      <c r="J96" s="279"/>
      <c r="K96" s="190"/>
      <c r="L96" s="190"/>
      <c r="M96" s="190"/>
      <c r="N96" s="190"/>
      <c r="O96" s="190"/>
      <c r="P96" s="279"/>
      <c r="Q96" s="282"/>
    </row>
    <row r="97" spans="2:17" ht="125.1" customHeight="1" x14ac:dyDescent="0.25">
      <c r="B97" s="290" t="s">
        <v>6</v>
      </c>
      <c r="C97" s="160" t="s">
        <v>918</v>
      </c>
      <c r="D97" s="161" t="s">
        <v>325</v>
      </c>
      <c r="E97" s="162" t="s">
        <v>24</v>
      </c>
      <c r="F97" s="164" t="s">
        <v>919</v>
      </c>
      <c r="G97" s="284" t="s">
        <v>32</v>
      </c>
      <c r="H97" s="285" t="s">
        <v>41</v>
      </c>
      <c r="I97" s="286"/>
      <c r="J97" s="284"/>
      <c r="K97" s="191"/>
      <c r="L97" s="191"/>
      <c r="M97" s="191"/>
      <c r="N97" s="191"/>
      <c r="O97" s="191"/>
      <c r="P97" s="284"/>
      <c r="Q97" s="287"/>
    </row>
    <row r="98" spans="2:17" ht="33.75" x14ac:dyDescent="0.25">
      <c r="B98" s="290" t="s">
        <v>6</v>
      </c>
      <c r="C98" s="157" t="s">
        <v>920</v>
      </c>
      <c r="D98" s="158" t="s">
        <v>326</v>
      </c>
      <c r="E98" s="159" t="s">
        <v>24</v>
      </c>
      <c r="F98" s="173" t="s">
        <v>334</v>
      </c>
      <c r="G98" s="279" t="s">
        <v>32</v>
      </c>
      <c r="H98" s="280" t="s">
        <v>41</v>
      </c>
      <c r="I98" s="283"/>
      <c r="J98" s="279"/>
      <c r="K98" s="190"/>
      <c r="L98" s="190"/>
      <c r="M98" s="190"/>
      <c r="N98" s="190"/>
      <c r="O98" s="190"/>
      <c r="P98" s="279"/>
      <c r="Q98" s="282"/>
    </row>
    <row r="99" spans="2:17" ht="81.95" customHeight="1" x14ac:dyDescent="0.25">
      <c r="B99" s="290" t="s">
        <v>6</v>
      </c>
      <c r="C99" s="157"/>
      <c r="D99" s="158" t="s">
        <v>327</v>
      </c>
      <c r="E99" s="159" t="s">
        <v>24</v>
      </c>
      <c r="F99" s="173" t="s">
        <v>921</v>
      </c>
      <c r="G99" s="279" t="s">
        <v>32</v>
      </c>
      <c r="H99" s="280" t="s">
        <v>41</v>
      </c>
      <c r="I99" s="283"/>
      <c r="J99" s="279"/>
      <c r="K99" s="190"/>
      <c r="L99" s="190"/>
      <c r="M99" s="190"/>
      <c r="N99" s="190"/>
      <c r="O99" s="190"/>
      <c r="P99" s="279"/>
      <c r="Q99" s="282"/>
    </row>
    <row r="100" spans="2:17" ht="81.95" customHeight="1" x14ac:dyDescent="0.25">
      <c r="B100" s="290" t="s">
        <v>6</v>
      </c>
      <c r="C100" s="157"/>
      <c r="D100" s="158" t="s">
        <v>685</v>
      </c>
      <c r="E100" s="159" t="s">
        <v>24</v>
      </c>
      <c r="F100" s="173" t="s">
        <v>922</v>
      </c>
      <c r="G100" s="279" t="s">
        <v>32</v>
      </c>
      <c r="H100" s="280" t="s">
        <v>41</v>
      </c>
      <c r="I100" s="283"/>
      <c r="J100" s="279"/>
      <c r="K100" s="190"/>
      <c r="L100" s="190"/>
      <c r="M100" s="190"/>
      <c r="N100" s="190"/>
      <c r="O100" s="190"/>
      <c r="P100" s="279"/>
      <c r="Q100" s="282"/>
    </row>
    <row r="101" spans="2:17" ht="84" customHeight="1" x14ac:dyDescent="0.25">
      <c r="B101" s="290" t="s">
        <v>6</v>
      </c>
      <c r="C101" s="160" t="s">
        <v>923</v>
      </c>
      <c r="D101" s="161" t="s">
        <v>328</v>
      </c>
      <c r="E101" s="162" t="s">
        <v>24</v>
      </c>
      <c r="F101" s="172" t="s">
        <v>924</v>
      </c>
      <c r="G101" s="284" t="s">
        <v>32</v>
      </c>
      <c r="H101" s="285" t="s">
        <v>41</v>
      </c>
      <c r="I101" s="286"/>
      <c r="J101" s="284"/>
      <c r="K101" s="191"/>
      <c r="L101" s="191"/>
      <c r="M101" s="191"/>
      <c r="N101" s="191"/>
      <c r="O101" s="191"/>
      <c r="P101" s="284"/>
      <c r="Q101" s="287"/>
    </row>
    <row r="102" spans="2:17" ht="82.5" customHeight="1" x14ac:dyDescent="0.25">
      <c r="B102" s="290" t="s">
        <v>6</v>
      </c>
      <c r="C102" s="160"/>
      <c r="D102" s="161" t="s">
        <v>329</v>
      </c>
      <c r="E102" s="162" t="s">
        <v>24</v>
      </c>
      <c r="F102" s="172" t="s">
        <v>925</v>
      </c>
      <c r="G102" s="284" t="s">
        <v>32</v>
      </c>
      <c r="H102" s="285" t="s">
        <v>41</v>
      </c>
      <c r="I102" s="286"/>
      <c r="J102" s="284"/>
      <c r="K102" s="191"/>
      <c r="L102" s="191"/>
      <c r="M102" s="191"/>
      <c r="N102" s="191"/>
      <c r="O102" s="191"/>
      <c r="P102" s="284"/>
      <c r="Q102" s="287"/>
    </row>
    <row r="103" spans="2:17" ht="103.5" customHeight="1" x14ac:dyDescent="0.25">
      <c r="B103" s="290" t="s">
        <v>6</v>
      </c>
      <c r="C103" s="157" t="s">
        <v>926</v>
      </c>
      <c r="D103" s="158" t="s">
        <v>330</v>
      </c>
      <c r="E103" s="159" t="s">
        <v>24</v>
      </c>
      <c r="F103" s="170" t="s">
        <v>927</v>
      </c>
      <c r="G103" s="279" t="s">
        <v>32</v>
      </c>
      <c r="H103" s="280" t="s">
        <v>41</v>
      </c>
      <c r="I103" s="283"/>
      <c r="J103" s="279"/>
      <c r="K103" s="190"/>
      <c r="L103" s="190"/>
      <c r="M103" s="190"/>
      <c r="N103" s="190"/>
      <c r="O103" s="190"/>
      <c r="P103" s="279"/>
      <c r="Q103" s="282"/>
    </row>
    <row r="104" spans="2:17" ht="56.25" x14ac:dyDescent="0.25">
      <c r="B104" s="290" t="s">
        <v>6</v>
      </c>
      <c r="C104" s="157"/>
      <c r="D104" s="158" t="s">
        <v>331</v>
      </c>
      <c r="E104" s="159" t="s">
        <v>24</v>
      </c>
      <c r="F104" s="170" t="s">
        <v>928</v>
      </c>
      <c r="G104" s="279" t="s">
        <v>32</v>
      </c>
      <c r="H104" s="280" t="s">
        <v>41</v>
      </c>
      <c r="I104" s="283"/>
      <c r="J104" s="279"/>
      <c r="K104" s="190"/>
      <c r="L104" s="190"/>
      <c r="M104" s="190"/>
      <c r="N104" s="190"/>
      <c r="O104" s="190"/>
      <c r="P104" s="279"/>
      <c r="Q104" s="282"/>
    </row>
    <row r="105" spans="2:17" ht="22.5" x14ac:dyDescent="0.25">
      <c r="B105" s="278" t="s">
        <v>9</v>
      </c>
      <c r="C105" s="160" t="s">
        <v>929</v>
      </c>
      <c r="D105" s="161" t="s">
        <v>335</v>
      </c>
      <c r="E105" s="162" t="s">
        <v>24</v>
      </c>
      <c r="F105" s="172" t="s">
        <v>686</v>
      </c>
      <c r="G105" s="284" t="s">
        <v>32</v>
      </c>
      <c r="H105" s="285" t="s">
        <v>41</v>
      </c>
      <c r="I105" s="286"/>
      <c r="J105" s="284"/>
      <c r="K105" s="191"/>
      <c r="L105" s="191"/>
      <c r="M105" s="191"/>
      <c r="N105" s="191"/>
      <c r="O105" s="191"/>
      <c r="P105" s="284"/>
      <c r="Q105" s="287"/>
    </row>
    <row r="106" spans="2:17" ht="22.5" x14ac:dyDescent="0.25">
      <c r="B106" s="278" t="s">
        <v>9</v>
      </c>
      <c r="C106" s="157" t="s">
        <v>930</v>
      </c>
      <c r="D106" s="158" t="s">
        <v>336</v>
      </c>
      <c r="E106" s="159" t="s">
        <v>24</v>
      </c>
      <c r="F106" s="173" t="s">
        <v>930</v>
      </c>
      <c r="G106" s="279" t="s">
        <v>32</v>
      </c>
      <c r="H106" s="285" t="s">
        <v>41</v>
      </c>
      <c r="I106" s="283"/>
      <c r="J106" s="279"/>
      <c r="K106" s="190"/>
      <c r="L106" s="190"/>
      <c r="M106" s="190"/>
      <c r="N106" s="190"/>
      <c r="O106" s="190"/>
      <c r="P106" s="279"/>
      <c r="Q106" s="282"/>
    </row>
    <row r="107" spans="2:17" ht="33.75" x14ac:dyDescent="0.25">
      <c r="B107" s="278" t="s">
        <v>9</v>
      </c>
      <c r="C107" s="328" t="s">
        <v>1243</v>
      </c>
      <c r="D107" s="161" t="s">
        <v>337</v>
      </c>
      <c r="E107" s="162" t="s">
        <v>24</v>
      </c>
      <c r="F107" s="322" t="s">
        <v>1223</v>
      </c>
      <c r="G107" s="284" t="s">
        <v>32</v>
      </c>
      <c r="H107" s="285" t="s">
        <v>41</v>
      </c>
      <c r="I107" s="286"/>
      <c r="J107" s="284"/>
      <c r="K107" s="191"/>
      <c r="L107" s="191"/>
      <c r="M107" s="191"/>
      <c r="N107" s="191"/>
      <c r="O107" s="191"/>
      <c r="P107" s="284"/>
      <c r="Q107" s="287"/>
    </row>
    <row r="108" spans="2:17" ht="33.75" x14ac:dyDescent="0.25">
      <c r="B108" s="278" t="s">
        <v>9</v>
      </c>
      <c r="C108" s="157" t="s">
        <v>931</v>
      </c>
      <c r="D108" s="158" t="s">
        <v>338</v>
      </c>
      <c r="E108" s="159" t="s">
        <v>24</v>
      </c>
      <c r="F108" s="173" t="s">
        <v>931</v>
      </c>
      <c r="G108" s="279" t="s">
        <v>32</v>
      </c>
      <c r="H108" s="285" t="s">
        <v>41</v>
      </c>
      <c r="I108" s="283"/>
      <c r="J108" s="279"/>
      <c r="K108" s="190"/>
      <c r="L108" s="190"/>
      <c r="M108" s="190"/>
      <c r="N108" s="190"/>
      <c r="O108" s="190"/>
      <c r="P108" s="279"/>
      <c r="Q108" s="282"/>
    </row>
    <row r="109" spans="2:17" ht="45" customHeight="1" x14ac:dyDescent="0.25">
      <c r="B109" s="278" t="s">
        <v>9</v>
      </c>
      <c r="C109" s="160" t="s">
        <v>932</v>
      </c>
      <c r="D109" s="161" t="s">
        <v>339</v>
      </c>
      <c r="E109" s="162" t="s">
        <v>24</v>
      </c>
      <c r="F109" s="172" t="s">
        <v>933</v>
      </c>
      <c r="G109" s="284" t="s">
        <v>32</v>
      </c>
      <c r="H109" s="285" t="s">
        <v>41</v>
      </c>
      <c r="I109" s="286"/>
      <c r="J109" s="284"/>
      <c r="K109" s="191"/>
      <c r="L109" s="191"/>
      <c r="M109" s="191"/>
      <c r="N109" s="191"/>
      <c r="O109" s="191"/>
      <c r="P109" s="284"/>
      <c r="Q109" s="287"/>
    </row>
    <row r="110" spans="2:17" ht="56.25" x14ac:dyDescent="0.25">
      <c r="B110" s="278" t="s">
        <v>9</v>
      </c>
      <c r="C110" s="157" t="s">
        <v>340</v>
      </c>
      <c r="D110" s="158" t="s">
        <v>341</v>
      </c>
      <c r="E110" s="159" t="s">
        <v>24</v>
      </c>
      <c r="F110" s="173" t="s">
        <v>934</v>
      </c>
      <c r="G110" s="279" t="s">
        <v>32</v>
      </c>
      <c r="H110" s="280" t="s">
        <v>41</v>
      </c>
      <c r="I110" s="283"/>
      <c r="J110" s="279"/>
      <c r="K110" s="190"/>
      <c r="L110" s="190"/>
      <c r="M110" s="190"/>
      <c r="N110" s="190"/>
      <c r="O110" s="190"/>
      <c r="P110" s="279"/>
      <c r="Q110" s="282"/>
    </row>
    <row r="111" spans="2:17" ht="56.25" x14ac:dyDescent="0.25">
      <c r="B111" s="278" t="s">
        <v>9</v>
      </c>
      <c r="C111" s="157"/>
      <c r="D111" s="158" t="s">
        <v>342</v>
      </c>
      <c r="E111" s="159" t="s">
        <v>24</v>
      </c>
      <c r="F111" s="173" t="s">
        <v>935</v>
      </c>
      <c r="G111" s="279" t="s">
        <v>32</v>
      </c>
      <c r="H111" s="280" t="s">
        <v>41</v>
      </c>
      <c r="I111" s="283"/>
      <c r="J111" s="279"/>
      <c r="K111" s="190"/>
      <c r="L111" s="190"/>
      <c r="M111" s="190"/>
      <c r="N111" s="190"/>
      <c r="O111" s="190"/>
      <c r="P111" s="279"/>
      <c r="Q111" s="282"/>
    </row>
    <row r="112" spans="2:17" ht="22.5" x14ac:dyDescent="0.25">
      <c r="B112" s="278" t="s">
        <v>9</v>
      </c>
      <c r="C112" s="157"/>
      <c r="D112" s="158" t="s">
        <v>687</v>
      </c>
      <c r="E112" s="159" t="s">
        <v>24</v>
      </c>
      <c r="F112" s="173" t="s">
        <v>936</v>
      </c>
      <c r="G112" s="279" t="s">
        <v>32</v>
      </c>
      <c r="H112" s="280" t="s">
        <v>41</v>
      </c>
      <c r="I112" s="283"/>
      <c r="J112" s="279"/>
      <c r="K112" s="190"/>
      <c r="L112" s="190"/>
      <c r="M112" s="190"/>
      <c r="N112" s="190"/>
      <c r="O112" s="190"/>
      <c r="P112" s="279"/>
      <c r="Q112" s="282"/>
    </row>
    <row r="113" spans="2:17" ht="22.5" x14ac:dyDescent="0.25">
      <c r="B113" s="278" t="s">
        <v>9</v>
      </c>
      <c r="C113" s="157"/>
      <c r="D113" s="158" t="s">
        <v>1224</v>
      </c>
      <c r="E113" s="159" t="s">
        <v>24</v>
      </c>
      <c r="F113" s="321" t="s">
        <v>1225</v>
      </c>
      <c r="G113" s="279" t="s">
        <v>32</v>
      </c>
      <c r="H113" s="280" t="s">
        <v>41</v>
      </c>
      <c r="I113" s="283"/>
      <c r="J113" s="279"/>
      <c r="K113" s="190"/>
      <c r="L113" s="190"/>
      <c r="M113" s="190"/>
      <c r="N113" s="190"/>
      <c r="O113" s="190"/>
      <c r="P113" s="279"/>
      <c r="Q113" s="282"/>
    </row>
    <row r="114" spans="2:17" ht="67.5" x14ac:dyDescent="0.25">
      <c r="B114" s="278" t="s">
        <v>9</v>
      </c>
      <c r="C114" s="160" t="s">
        <v>937</v>
      </c>
      <c r="D114" s="161" t="s">
        <v>343</v>
      </c>
      <c r="E114" s="162" t="s">
        <v>24</v>
      </c>
      <c r="F114" s="172" t="s">
        <v>938</v>
      </c>
      <c r="G114" s="284" t="s">
        <v>32</v>
      </c>
      <c r="H114" s="285" t="s">
        <v>41</v>
      </c>
      <c r="I114" s="286"/>
      <c r="J114" s="284"/>
      <c r="K114" s="191"/>
      <c r="L114" s="191"/>
      <c r="M114" s="191"/>
      <c r="N114" s="191"/>
      <c r="O114" s="191"/>
      <c r="P114" s="284"/>
      <c r="Q114" s="287"/>
    </row>
    <row r="115" spans="2:17" ht="56.25" x14ac:dyDescent="0.25">
      <c r="B115" s="278" t="s">
        <v>9</v>
      </c>
      <c r="C115" s="160"/>
      <c r="D115" s="161" t="s">
        <v>344</v>
      </c>
      <c r="E115" s="162" t="s">
        <v>24</v>
      </c>
      <c r="F115" s="172" t="s">
        <v>939</v>
      </c>
      <c r="G115" s="284" t="s">
        <v>32</v>
      </c>
      <c r="H115" s="285" t="s">
        <v>41</v>
      </c>
      <c r="I115" s="286"/>
      <c r="J115" s="284"/>
      <c r="K115" s="191"/>
      <c r="L115" s="191"/>
      <c r="M115" s="191"/>
      <c r="N115" s="191"/>
      <c r="O115" s="191"/>
      <c r="P115" s="284"/>
      <c r="Q115" s="287"/>
    </row>
    <row r="116" spans="2:17" ht="83.1" customHeight="1" x14ac:dyDescent="0.25">
      <c r="B116" s="278" t="s">
        <v>9</v>
      </c>
      <c r="C116" s="160"/>
      <c r="D116" s="161" t="s">
        <v>345</v>
      </c>
      <c r="E116" s="162" t="s">
        <v>24</v>
      </c>
      <c r="F116" s="172" t="s">
        <v>940</v>
      </c>
      <c r="G116" s="284" t="s">
        <v>32</v>
      </c>
      <c r="H116" s="285" t="s">
        <v>41</v>
      </c>
      <c r="I116" s="286"/>
      <c r="J116" s="284"/>
      <c r="K116" s="191"/>
      <c r="L116" s="191"/>
      <c r="M116" s="191"/>
      <c r="N116" s="191"/>
      <c r="O116" s="191"/>
      <c r="P116" s="284"/>
      <c r="Q116" s="287"/>
    </row>
    <row r="117" spans="2:17" ht="72.95" customHeight="1" x14ac:dyDescent="0.25">
      <c r="B117" s="278" t="s">
        <v>9</v>
      </c>
      <c r="C117" s="160"/>
      <c r="D117" s="161" t="s">
        <v>346</v>
      </c>
      <c r="E117" s="162" t="s">
        <v>24</v>
      </c>
      <c r="F117" s="172" t="s">
        <v>941</v>
      </c>
      <c r="G117" s="284" t="s">
        <v>32</v>
      </c>
      <c r="H117" s="285" t="s">
        <v>41</v>
      </c>
      <c r="I117" s="286"/>
      <c r="J117" s="284"/>
      <c r="K117" s="191"/>
      <c r="L117" s="191"/>
      <c r="M117" s="191"/>
      <c r="N117" s="191"/>
      <c r="O117" s="191"/>
      <c r="P117" s="284"/>
      <c r="Q117" s="287"/>
    </row>
    <row r="118" spans="2:17" ht="56.25" x14ac:dyDescent="0.25">
      <c r="B118" s="278" t="s">
        <v>9</v>
      </c>
      <c r="C118" s="160"/>
      <c r="D118" s="161" t="s">
        <v>688</v>
      </c>
      <c r="E118" s="162" t="s">
        <v>24</v>
      </c>
      <c r="F118" s="172" t="s">
        <v>942</v>
      </c>
      <c r="G118" s="284" t="s">
        <v>32</v>
      </c>
      <c r="H118" s="285" t="s">
        <v>41</v>
      </c>
      <c r="I118" s="286"/>
      <c r="J118" s="284"/>
      <c r="K118" s="191"/>
      <c r="L118" s="191"/>
      <c r="M118" s="191"/>
      <c r="N118" s="191"/>
      <c r="O118" s="191"/>
      <c r="P118" s="284"/>
      <c r="Q118" s="287"/>
    </row>
    <row r="119" spans="2:17" ht="92.45" customHeight="1" x14ac:dyDescent="0.25">
      <c r="B119" s="278" t="s">
        <v>9</v>
      </c>
      <c r="C119" s="157" t="s">
        <v>943</v>
      </c>
      <c r="D119" s="158" t="s">
        <v>347</v>
      </c>
      <c r="E119" s="159" t="s">
        <v>24</v>
      </c>
      <c r="F119" s="322" t="s">
        <v>1226</v>
      </c>
      <c r="G119" s="279" t="s">
        <v>32</v>
      </c>
      <c r="H119" s="280" t="s">
        <v>41</v>
      </c>
      <c r="I119" s="283"/>
      <c r="J119" s="279"/>
      <c r="K119" s="190"/>
      <c r="L119" s="190"/>
      <c r="M119" s="190"/>
      <c r="N119" s="190"/>
      <c r="O119" s="190"/>
      <c r="P119" s="279"/>
      <c r="Q119" s="282"/>
    </row>
    <row r="120" spans="2:17" ht="45" x14ac:dyDescent="0.25">
      <c r="B120" s="290" t="s">
        <v>348</v>
      </c>
      <c r="C120" s="160" t="s">
        <v>944</v>
      </c>
      <c r="D120" s="161" t="s">
        <v>349</v>
      </c>
      <c r="E120" s="162" t="s">
        <v>24</v>
      </c>
      <c r="F120" s="172" t="s">
        <v>945</v>
      </c>
      <c r="G120" s="284" t="s">
        <v>32</v>
      </c>
      <c r="H120" s="285" t="s">
        <v>41</v>
      </c>
      <c r="I120" s="286"/>
      <c r="J120" s="284"/>
      <c r="K120" s="191"/>
      <c r="L120" s="191"/>
      <c r="M120" s="191"/>
      <c r="N120" s="191"/>
      <c r="O120" s="191"/>
      <c r="P120" s="284"/>
      <c r="Q120" s="287"/>
    </row>
    <row r="121" spans="2:17" ht="45" x14ac:dyDescent="0.25">
      <c r="B121" s="290" t="s">
        <v>348</v>
      </c>
      <c r="C121" s="160"/>
      <c r="D121" s="161" t="s">
        <v>350</v>
      </c>
      <c r="E121" s="162" t="s">
        <v>24</v>
      </c>
      <c r="F121" s="172" t="s">
        <v>946</v>
      </c>
      <c r="G121" s="284" t="s">
        <v>32</v>
      </c>
      <c r="H121" s="285" t="s">
        <v>41</v>
      </c>
      <c r="I121" s="286"/>
      <c r="J121" s="284"/>
      <c r="K121" s="191"/>
      <c r="L121" s="191"/>
      <c r="M121" s="191"/>
      <c r="N121" s="191"/>
      <c r="O121" s="191"/>
      <c r="P121" s="284"/>
      <c r="Q121" s="287"/>
    </row>
    <row r="122" spans="2:17" ht="45" x14ac:dyDescent="0.25">
      <c r="B122" s="290" t="s">
        <v>348</v>
      </c>
      <c r="C122" s="160"/>
      <c r="D122" s="161" t="s">
        <v>351</v>
      </c>
      <c r="E122" s="162" t="s">
        <v>24</v>
      </c>
      <c r="F122" s="172" t="s">
        <v>947</v>
      </c>
      <c r="G122" s="284" t="s">
        <v>32</v>
      </c>
      <c r="H122" s="285" t="s">
        <v>41</v>
      </c>
      <c r="I122" s="286"/>
      <c r="J122" s="284"/>
      <c r="K122" s="191"/>
      <c r="L122" s="191"/>
      <c r="M122" s="191"/>
      <c r="N122" s="191"/>
      <c r="O122" s="191"/>
      <c r="P122" s="284"/>
      <c r="Q122" s="287"/>
    </row>
    <row r="123" spans="2:17" ht="45" x14ac:dyDescent="0.25">
      <c r="B123" s="290" t="s">
        <v>348</v>
      </c>
      <c r="C123" s="160"/>
      <c r="D123" s="161" t="s">
        <v>689</v>
      </c>
      <c r="E123" s="162" t="s">
        <v>24</v>
      </c>
      <c r="F123" s="172" t="s">
        <v>948</v>
      </c>
      <c r="G123" s="284" t="s">
        <v>32</v>
      </c>
      <c r="H123" s="285" t="s">
        <v>41</v>
      </c>
      <c r="I123" s="286"/>
      <c r="J123" s="284"/>
      <c r="K123" s="191"/>
      <c r="L123" s="191"/>
      <c r="M123" s="191"/>
      <c r="N123" s="191"/>
      <c r="O123" s="191"/>
      <c r="P123" s="284"/>
      <c r="Q123" s="287"/>
    </row>
    <row r="124" spans="2:17" ht="22.5" x14ac:dyDescent="0.25">
      <c r="B124" s="290" t="s">
        <v>348</v>
      </c>
      <c r="C124" s="160"/>
      <c r="D124" s="161" t="s">
        <v>690</v>
      </c>
      <c r="E124" s="162" t="s">
        <v>24</v>
      </c>
      <c r="F124" s="172" t="s">
        <v>949</v>
      </c>
      <c r="G124" s="284" t="s">
        <v>32</v>
      </c>
      <c r="H124" s="285" t="s">
        <v>41</v>
      </c>
      <c r="I124" s="286"/>
      <c r="J124" s="284"/>
      <c r="K124" s="191"/>
      <c r="L124" s="191"/>
      <c r="M124" s="191"/>
      <c r="N124" s="191"/>
      <c r="O124" s="191"/>
      <c r="P124" s="284"/>
      <c r="Q124" s="287"/>
    </row>
    <row r="125" spans="2:17" ht="33.950000000000003" customHeight="1" x14ac:dyDescent="0.25">
      <c r="B125" s="290" t="s">
        <v>348</v>
      </c>
      <c r="C125" s="328" t="s">
        <v>1244</v>
      </c>
      <c r="D125" s="158" t="s">
        <v>352</v>
      </c>
      <c r="E125" s="159" t="s">
        <v>24</v>
      </c>
      <c r="F125" s="321" t="s">
        <v>1227</v>
      </c>
      <c r="G125" s="279" t="s">
        <v>32</v>
      </c>
      <c r="H125" s="285" t="s">
        <v>41</v>
      </c>
      <c r="I125" s="283"/>
      <c r="J125" s="279"/>
      <c r="K125" s="190"/>
      <c r="L125" s="190"/>
      <c r="M125" s="190"/>
      <c r="N125" s="190"/>
      <c r="O125" s="190"/>
      <c r="P125" s="279"/>
      <c r="Q125" s="282"/>
    </row>
    <row r="126" spans="2:17" ht="78.75" x14ac:dyDescent="0.25">
      <c r="B126" s="278" t="s">
        <v>8</v>
      </c>
      <c r="C126" s="160" t="s">
        <v>950</v>
      </c>
      <c r="D126" s="161" t="s">
        <v>353</v>
      </c>
      <c r="E126" s="162" t="s">
        <v>24</v>
      </c>
      <c r="F126" s="164" t="s">
        <v>951</v>
      </c>
      <c r="G126" s="284" t="s">
        <v>32</v>
      </c>
      <c r="H126" s="285" t="s">
        <v>41</v>
      </c>
      <c r="I126" s="286"/>
      <c r="J126" s="284"/>
      <c r="K126" s="191"/>
      <c r="L126" s="191"/>
      <c r="M126" s="191"/>
      <c r="N126" s="191"/>
      <c r="O126" s="191"/>
      <c r="P126" s="284"/>
      <c r="Q126" s="287"/>
    </row>
    <row r="127" spans="2:17" ht="72.599999999999994" customHeight="1" x14ac:dyDescent="0.25">
      <c r="B127" s="278" t="s">
        <v>8</v>
      </c>
      <c r="C127" s="160"/>
      <c r="D127" s="161" t="s">
        <v>354</v>
      </c>
      <c r="E127" s="162" t="s">
        <v>24</v>
      </c>
      <c r="F127" s="172" t="s">
        <v>952</v>
      </c>
      <c r="G127" s="284" t="s">
        <v>32</v>
      </c>
      <c r="H127" s="285" t="s">
        <v>41</v>
      </c>
      <c r="I127" s="286"/>
      <c r="J127" s="284"/>
      <c r="K127" s="191"/>
      <c r="L127" s="191"/>
      <c r="M127" s="191"/>
      <c r="N127" s="191"/>
      <c r="O127" s="191"/>
      <c r="P127" s="284"/>
      <c r="Q127" s="287"/>
    </row>
    <row r="128" spans="2:17" ht="56.25" x14ac:dyDescent="0.25">
      <c r="B128" s="278" t="s">
        <v>8</v>
      </c>
      <c r="C128" s="160"/>
      <c r="D128" s="161" t="s">
        <v>355</v>
      </c>
      <c r="E128" s="162" t="s">
        <v>24</v>
      </c>
      <c r="F128" s="164" t="s">
        <v>953</v>
      </c>
      <c r="G128" s="284" t="s">
        <v>32</v>
      </c>
      <c r="H128" s="285" t="s">
        <v>41</v>
      </c>
      <c r="I128" s="286"/>
      <c r="J128" s="284"/>
      <c r="K128" s="191"/>
      <c r="L128" s="191"/>
      <c r="M128" s="191"/>
      <c r="N128" s="191"/>
      <c r="O128" s="191"/>
      <c r="P128" s="284"/>
      <c r="Q128" s="287"/>
    </row>
    <row r="129" spans="2:17" ht="123.75" x14ac:dyDescent="0.25">
      <c r="B129" s="278" t="s">
        <v>8</v>
      </c>
      <c r="C129" s="157" t="s">
        <v>954</v>
      </c>
      <c r="D129" s="158" t="s">
        <v>356</v>
      </c>
      <c r="E129" s="159" t="s">
        <v>24</v>
      </c>
      <c r="F129" s="170" t="s">
        <v>955</v>
      </c>
      <c r="G129" s="279" t="s">
        <v>32</v>
      </c>
      <c r="H129" s="285" t="s">
        <v>41</v>
      </c>
      <c r="I129" s="283"/>
      <c r="J129" s="279"/>
      <c r="K129" s="190"/>
      <c r="L129" s="190"/>
      <c r="M129" s="190"/>
      <c r="N129" s="190"/>
      <c r="O129" s="190"/>
      <c r="P129" s="279"/>
      <c r="Q129" s="282"/>
    </row>
    <row r="130" spans="2:17" ht="45" x14ac:dyDescent="0.25">
      <c r="B130" s="278" t="s">
        <v>8</v>
      </c>
      <c r="C130" s="157"/>
      <c r="D130" s="158" t="s">
        <v>357</v>
      </c>
      <c r="E130" s="159" t="s">
        <v>24</v>
      </c>
      <c r="F130" s="163" t="s">
        <v>956</v>
      </c>
      <c r="G130" s="279" t="s">
        <v>32</v>
      </c>
      <c r="H130" s="285" t="s">
        <v>41</v>
      </c>
      <c r="I130" s="283"/>
      <c r="J130" s="279"/>
      <c r="K130" s="190"/>
      <c r="L130" s="190"/>
      <c r="M130" s="190"/>
      <c r="N130" s="190"/>
      <c r="O130" s="190"/>
      <c r="P130" s="279"/>
      <c r="Q130" s="282"/>
    </row>
    <row r="131" spans="2:17" ht="56.25" x14ac:dyDescent="0.25">
      <c r="B131" s="278" t="s">
        <v>8</v>
      </c>
      <c r="C131" s="160" t="s">
        <v>957</v>
      </c>
      <c r="D131" s="161" t="s">
        <v>358</v>
      </c>
      <c r="E131" s="162" t="s">
        <v>24</v>
      </c>
      <c r="F131" s="164" t="s">
        <v>958</v>
      </c>
      <c r="G131" s="284" t="s">
        <v>32</v>
      </c>
      <c r="H131" s="285" t="s">
        <v>41</v>
      </c>
      <c r="I131" s="286"/>
      <c r="J131" s="284"/>
      <c r="K131" s="191"/>
      <c r="L131" s="191"/>
      <c r="M131" s="191"/>
      <c r="N131" s="191"/>
      <c r="O131" s="191"/>
      <c r="P131" s="284"/>
      <c r="Q131" s="287"/>
    </row>
    <row r="132" spans="2:17" ht="22.5" x14ac:dyDescent="0.25">
      <c r="B132" s="278" t="s">
        <v>8</v>
      </c>
      <c r="C132" s="160"/>
      <c r="D132" s="161" t="s">
        <v>360</v>
      </c>
      <c r="E132" s="162" t="s">
        <v>24</v>
      </c>
      <c r="F132" s="172" t="s">
        <v>359</v>
      </c>
      <c r="G132" s="284" t="s">
        <v>32</v>
      </c>
      <c r="H132" s="285" t="s">
        <v>41</v>
      </c>
      <c r="I132" s="286"/>
      <c r="J132" s="284"/>
      <c r="K132" s="191"/>
      <c r="L132" s="191"/>
      <c r="M132" s="191"/>
      <c r="N132" s="191"/>
      <c r="O132" s="191"/>
      <c r="P132" s="284"/>
      <c r="Q132" s="287"/>
    </row>
    <row r="133" spans="2:17" ht="78.75" x14ac:dyDescent="0.25">
      <c r="B133" s="278" t="s">
        <v>8</v>
      </c>
      <c r="C133" s="157" t="s">
        <v>959</v>
      </c>
      <c r="D133" s="158" t="s">
        <v>361</v>
      </c>
      <c r="E133" s="159" t="s">
        <v>24</v>
      </c>
      <c r="F133" s="170" t="s">
        <v>960</v>
      </c>
      <c r="G133" s="279" t="s">
        <v>32</v>
      </c>
      <c r="H133" s="285" t="s">
        <v>41</v>
      </c>
      <c r="I133" s="283"/>
      <c r="J133" s="279"/>
      <c r="K133" s="190"/>
      <c r="L133" s="190"/>
      <c r="M133" s="190"/>
      <c r="N133" s="190"/>
      <c r="O133" s="190"/>
      <c r="P133" s="279"/>
      <c r="Q133" s="282"/>
    </row>
    <row r="134" spans="2:17" ht="33.75" x14ac:dyDescent="0.25">
      <c r="B134" s="278" t="s">
        <v>8</v>
      </c>
      <c r="C134" s="160" t="s">
        <v>961</v>
      </c>
      <c r="D134" s="161" t="s">
        <v>362</v>
      </c>
      <c r="E134" s="162" t="s">
        <v>25</v>
      </c>
      <c r="F134" s="172" t="s">
        <v>962</v>
      </c>
      <c r="G134" s="284" t="s">
        <v>32</v>
      </c>
      <c r="H134" s="285" t="s">
        <v>41</v>
      </c>
      <c r="I134" s="286"/>
      <c r="J134" s="284"/>
      <c r="K134" s="191"/>
      <c r="L134" s="191"/>
      <c r="M134" s="191"/>
      <c r="N134" s="191"/>
      <c r="O134" s="191"/>
      <c r="P134" s="284"/>
      <c r="Q134" s="287"/>
    </row>
    <row r="135" spans="2:17" ht="22.5" x14ac:dyDescent="0.25">
      <c r="B135" s="278" t="s">
        <v>8</v>
      </c>
      <c r="C135" s="164"/>
      <c r="D135" s="161" t="s">
        <v>691</v>
      </c>
      <c r="E135" s="162" t="s">
        <v>25</v>
      </c>
      <c r="F135" s="172" t="s">
        <v>963</v>
      </c>
      <c r="G135" s="284" t="s">
        <v>32</v>
      </c>
      <c r="H135" s="285" t="s">
        <v>41</v>
      </c>
      <c r="I135" s="286"/>
      <c r="J135" s="284"/>
      <c r="K135" s="191"/>
      <c r="L135" s="191"/>
      <c r="M135" s="191"/>
      <c r="N135" s="191"/>
      <c r="O135" s="191"/>
      <c r="P135" s="284"/>
      <c r="Q135" s="287"/>
    </row>
    <row r="136" spans="2:17" ht="22.5" x14ac:dyDescent="0.25">
      <c r="B136" s="278" t="s">
        <v>8</v>
      </c>
      <c r="C136" s="164"/>
      <c r="D136" s="161" t="s">
        <v>692</v>
      </c>
      <c r="E136" s="168" t="s">
        <v>25</v>
      </c>
      <c r="F136" s="172" t="s">
        <v>964</v>
      </c>
      <c r="G136" s="284" t="s">
        <v>32</v>
      </c>
      <c r="H136" s="285" t="s">
        <v>41</v>
      </c>
      <c r="I136" s="286"/>
      <c r="J136" s="284"/>
      <c r="K136" s="191"/>
      <c r="L136" s="191"/>
      <c r="M136" s="191"/>
      <c r="N136" s="191"/>
      <c r="O136" s="191"/>
      <c r="P136" s="284"/>
      <c r="Q136" s="287"/>
    </row>
    <row r="137" spans="2:17" ht="22.5" x14ac:dyDescent="0.25">
      <c r="B137" s="290" t="s">
        <v>363</v>
      </c>
      <c r="C137" s="157" t="s">
        <v>965</v>
      </c>
      <c r="D137" s="157" t="s">
        <v>364</v>
      </c>
      <c r="E137" s="169" t="s">
        <v>24</v>
      </c>
      <c r="F137" s="173" t="s">
        <v>966</v>
      </c>
      <c r="G137" s="279" t="s">
        <v>32</v>
      </c>
      <c r="H137" s="280" t="s">
        <v>41</v>
      </c>
      <c r="I137" s="283"/>
      <c r="J137" s="279"/>
      <c r="K137" s="190"/>
      <c r="L137" s="190"/>
      <c r="M137" s="190"/>
      <c r="N137" s="190"/>
      <c r="O137" s="190"/>
      <c r="P137" s="279"/>
      <c r="Q137" s="282"/>
    </row>
    <row r="138" spans="2:17" ht="22.5" x14ac:dyDescent="0.25">
      <c r="B138" s="290" t="s">
        <v>363</v>
      </c>
      <c r="C138" s="157"/>
      <c r="D138" s="157" t="s">
        <v>365</v>
      </c>
      <c r="E138" s="169" t="s">
        <v>24</v>
      </c>
      <c r="F138" s="173" t="s">
        <v>967</v>
      </c>
      <c r="G138" s="279" t="s">
        <v>32</v>
      </c>
      <c r="H138" s="280" t="s">
        <v>41</v>
      </c>
      <c r="I138" s="283"/>
      <c r="J138" s="279"/>
      <c r="K138" s="190"/>
      <c r="L138" s="190"/>
      <c r="M138" s="190"/>
      <c r="N138" s="190"/>
      <c r="O138" s="190"/>
      <c r="P138" s="279"/>
      <c r="Q138" s="282"/>
    </row>
    <row r="139" spans="2:17" ht="42.95" customHeight="1" x14ac:dyDescent="0.25">
      <c r="B139" s="290" t="s">
        <v>363</v>
      </c>
      <c r="C139" s="157"/>
      <c r="D139" s="157" t="s">
        <v>366</v>
      </c>
      <c r="E139" s="169" t="s">
        <v>24</v>
      </c>
      <c r="F139" s="173" t="s">
        <v>968</v>
      </c>
      <c r="G139" s="279" t="s">
        <v>32</v>
      </c>
      <c r="H139" s="280" t="s">
        <v>41</v>
      </c>
      <c r="I139" s="283"/>
      <c r="J139" s="279"/>
      <c r="K139" s="190"/>
      <c r="L139" s="190"/>
      <c r="M139" s="190"/>
      <c r="N139" s="190"/>
      <c r="O139" s="190"/>
      <c r="P139" s="279"/>
      <c r="Q139" s="282"/>
    </row>
    <row r="140" spans="2:17" ht="112.5" customHeight="1" x14ac:dyDescent="0.25">
      <c r="B140" s="290" t="s">
        <v>363</v>
      </c>
      <c r="C140" s="328" t="s">
        <v>1245</v>
      </c>
      <c r="D140" s="160" t="s">
        <v>367</v>
      </c>
      <c r="E140" s="168" t="s">
        <v>24</v>
      </c>
      <c r="F140" s="321" t="s">
        <v>1228</v>
      </c>
      <c r="G140" s="284" t="s">
        <v>32</v>
      </c>
      <c r="H140" s="285" t="s">
        <v>41</v>
      </c>
      <c r="I140" s="286"/>
      <c r="J140" s="284"/>
      <c r="K140" s="191"/>
      <c r="L140" s="191"/>
      <c r="M140" s="191"/>
      <c r="N140" s="191"/>
      <c r="O140" s="191"/>
      <c r="P140" s="284"/>
      <c r="Q140" s="287"/>
    </row>
    <row r="141" spans="2:17" ht="67.5" x14ac:dyDescent="0.25">
      <c r="B141" s="290" t="s">
        <v>363</v>
      </c>
      <c r="C141" s="157" t="s">
        <v>969</v>
      </c>
      <c r="D141" s="157" t="s">
        <v>368</v>
      </c>
      <c r="E141" s="169" t="s">
        <v>24</v>
      </c>
      <c r="F141" s="170" t="s">
        <v>970</v>
      </c>
      <c r="G141" s="279" t="s">
        <v>32</v>
      </c>
      <c r="H141" s="280" t="s">
        <v>41</v>
      </c>
      <c r="I141" s="283"/>
      <c r="J141" s="279"/>
      <c r="K141" s="190"/>
      <c r="L141" s="190"/>
      <c r="M141" s="190"/>
      <c r="N141" s="190"/>
      <c r="O141" s="190"/>
      <c r="P141" s="279"/>
      <c r="Q141" s="282"/>
    </row>
    <row r="142" spans="2:17" ht="54.6" customHeight="1" x14ac:dyDescent="0.25">
      <c r="B142" s="290" t="s">
        <v>363</v>
      </c>
      <c r="C142" s="160" t="s">
        <v>971</v>
      </c>
      <c r="D142" s="160" t="s">
        <v>369</v>
      </c>
      <c r="E142" s="168" t="s">
        <v>24</v>
      </c>
      <c r="F142" s="164" t="s">
        <v>972</v>
      </c>
      <c r="G142" s="284" t="s">
        <v>32</v>
      </c>
      <c r="H142" s="285" t="s">
        <v>41</v>
      </c>
      <c r="I142" s="286"/>
      <c r="J142" s="284"/>
      <c r="K142" s="191"/>
      <c r="L142" s="191"/>
      <c r="M142" s="191"/>
      <c r="N142" s="191"/>
      <c r="O142" s="191"/>
      <c r="P142" s="284"/>
      <c r="Q142" s="287"/>
    </row>
    <row r="143" spans="2:17" ht="22.5" x14ac:dyDescent="0.25">
      <c r="B143" s="290" t="s">
        <v>363</v>
      </c>
      <c r="C143" s="157" t="s">
        <v>973</v>
      </c>
      <c r="D143" s="157" t="s">
        <v>370</v>
      </c>
      <c r="E143" s="169" t="s">
        <v>24</v>
      </c>
      <c r="F143" s="173" t="s">
        <v>974</v>
      </c>
      <c r="G143" s="279" t="s">
        <v>32</v>
      </c>
      <c r="H143" s="280" t="s">
        <v>41</v>
      </c>
      <c r="I143" s="283"/>
      <c r="J143" s="279"/>
      <c r="K143" s="190"/>
      <c r="L143" s="190"/>
      <c r="M143" s="190"/>
      <c r="N143" s="190"/>
      <c r="O143" s="190"/>
      <c r="P143" s="279"/>
      <c r="Q143" s="282"/>
    </row>
    <row r="144" spans="2:17" ht="33" customHeight="1" x14ac:dyDescent="0.25">
      <c r="B144" s="290" t="s">
        <v>363</v>
      </c>
      <c r="C144" s="160" t="s">
        <v>975</v>
      </c>
      <c r="D144" s="160" t="s">
        <v>371</v>
      </c>
      <c r="E144" s="168" t="s">
        <v>24</v>
      </c>
      <c r="F144" s="172" t="s">
        <v>976</v>
      </c>
      <c r="G144" s="284" t="s">
        <v>32</v>
      </c>
      <c r="H144" s="285" t="s">
        <v>41</v>
      </c>
      <c r="I144" s="286"/>
      <c r="J144" s="284"/>
      <c r="K144" s="191"/>
      <c r="L144" s="191"/>
      <c r="M144" s="191"/>
      <c r="N144" s="191"/>
      <c r="O144" s="191"/>
      <c r="P144" s="284"/>
      <c r="Q144" s="287"/>
    </row>
    <row r="145" spans="2:17" ht="83.45" customHeight="1" x14ac:dyDescent="0.25">
      <c r="B145" s="290" t="s">
        <v>363</v>
      </c>
      <c r="C145" s="170" t="s">
        <v>977</v>
      </c>
      <c r="D145" s="170" t="s">
        <v>372</v>
      </c>
      <c r="E145" s="169" t="s">
        <v>25</v>
      </c>
      <c r="F145" s="170" t="s">
        <v>978</v>
      </c>
      <c r="G145" s="279" t="s">
        <v>32</v>
      </c>
      <c r="H145" s="280" t="s">
        <v>41</v>
      </c>
      <c r="I145" s="283"/>
      <c r="J145" s="279"/>
      <c r="K145" s="190"/>
      <c r="L145" s="190"/>
      <c r="M145" s="190"/>
      <c r="N145" s="190"/>
      <c r="O145" s="190"/>
      <c r="P145" s="279"/>
      <c r="Q145" s="282"/>
    </row>
    <row r="146" spans="2:17" ht="45" x14ac:dyDescent="0.25">
      <c r="B146" s="290" t="s">
        <v>363</v>
      </c>
      <c r="C146" s="164" t="s">
        <v>693</v>
      </c>
      <c r="D146" s="164" t="s">
        <v>373</v>
      </c>
      <c r="E146" s="168" t="s">
        <v>25</v>
      </c>
      <c r="F146" s="172" t="s">
        <v>979</v>
      </c>
      <c r="G146" s="284" t="s">
        <v>32</v>
      </c>
      <c r="H146" s="285" t="s">
        <v>41</v>
      </c>
      <c r="I146" s="286"/>
      <c r="J146" s="284"/>
      <c r="K146" s="191"/>
      <c r="L146" s="191"/>
      <c r="M146" s="191"/>
      <c r="N146" s="191"/>
      <c r="O146" s="191"/>
      <c r="P146" s="284"/>
      <c r="Q146" s="287"/>
    </row>
    <row r="147" spans="2:17" ht="45" x14ac:dyDescent="0.25">
      <c r="B147" s="290" t="s">
        <v>363</v>
      </c>
      <c r="C147" s="170" t="s">
        <v>980</v>
      </c>
      <c r="D147" s="170" t="s">
        <v>374</v>
      </c>
      <c r="E147" s="169" t="s">
        <v>24</v>
      </c>
      <c r="F147" s="173" t="s">
        <v>981</v>
      </c>
      <c r="G147" s="279" t="s">
        <v>32</v>
      </c>
      <c r="H147" s="280" t="s">
        <v>41</v>
      </c>
      <c r="I147" s="283"/>
      <c r="J147" s="279"/>
      <c r="K147" s="190"/>
      <c r="L147" s="190"/>
      <c r="M147" s="190"/>
      <c r="N147" s="190"/>
      <c r="O147" s="190"/>
      <c r="P147" s="279"/>
      <c r="Q147" s="282"/>
    </row>
    <row r="148" spans="2:17" ht="22.5" x14ac:dyDescent="0.25">
      <c r="B148" s="290" t="s">
        <v>363</v>
      </c>
      <c r="C148" s="164" t="s">
        <v>982</v>
      </c>
      <c r="D148" s="164" t="s">
        <v>375</v>
      </c>
      <c r="E148" s="168" t="s">
        <v>24</v>
      </c>
      <c r="F148" s="172" t="s">
        <v>649</v>
      </c>
      <c r="G148" s="284" t="s">
        <v>32</v>
      </c>
      <c r="H148" s="285" t="s">
        <v>41</v>
      </c>
      <c r="I148" s="286"/>
      <c r="J148" s="284"/>
      <c r="K148" s="191"/>
      <c r="L148" s="191"/>
      <c r="M148" s="191"/>
      <c r="N148" s="191"/>
      <c r="O148" s="191"/>
      <c r="P148" s="284"/>
      <c r="Q148" s="287"/>
    </row>
    <row r="149" spans="2:17" ht="45" x14ac:dyDescent="0.25">
      <c r="B149" s="290" t="s">
        <v>363</v>
      </c>
      <c r="C149" s="164"/>
      <c r="D149" s="164" t="s">
        <v>486</v>
      </c>
      <c r="E149" s="168" t="s">
        <v>24</v>
      </c>
      <c r="F149" s="172" t="s">
        <v>983</v>
      </c>
      <c r="G149" s="284" t="s">
        <v>32</v>
      </c>
      <c r="H149" s="285" t="s">
        <v>41</v>
      </c>
      <c r="I149" s="286"/>
      <c r="J149" s="284"/>
      <c r="K149" s="191"/>
      <c r="L149" s="191"/>
      <c r="M149" s="191"/>
      <c r="N149" s="191"/>
      <c r="O149" s="191"/>
      <c r="P149" s="284"/>
      <c r="Q149" s="287"/>
    </row>
    <row r="150" spans="2:17" ht="33.75" x14ac:dyDescent="0.25">
      <c r="B150" s="278" t="s">
        <v>376</v>
      </c>
      <c r="C150" s="170" t="s">
        <v>984</v>
      </c>
      <c r="D150" s="170" t="s">
        <v>377</v>
      </c>
      <c r="E150" s="169" t="s">
        <v>24</v>
      </c>
      <c r="F150" s="173" t="s">
        <v>694</v>
      </c>
      <c r="G150" s="279" t="s">
        <v>32</v>
      </c>
      <c r="H150" s="280" t="s">
        <v>41</v>
      </c>
      <c r="I150" s="283"/>
      <c r="J150" s="279"/>
      <c r="K150" s="190"/>
      <c r="L150" s="190"/>
      <c r="M150" s="190"/>
      <c r="N150" s="190"/>
      <c r="O150" s="190"/>
      <c r="P150" s="279"/>
      <c r="Q150" s="282"/>
    </row>
    <row r="151" spans="2:17" ht="33.75" x14ac:dyDescent="0.25">
      <c r="B151" s="278" t="s">
        <v>376</v>
      </c>
      <c r="C151" s="170"/>
      <c r="D151" s="170" t="s">
        <v>378</v>
      </c>
      <c r="E151" s="169" t="s">
        <v>24</v>
      </c>
      <c r="F151" s="173" t="s">
        <v>985</v>
      </c>
      <c r="G151" s="279" t="s">
        <v>32</v>
      </c>
      <c r="H151" s="280" t="s">
        <v>41</v>
      </c>
      <c r="I151" s="283"/>
      <c r="J151" s="279"/>
      <c r="K151" s="190"/>
      <c r="L151" s="190"/>
      <c r="M151" s="190"/>
      <c r="N151" s="190"/>
      <c r="O151" s="190"/>
      <c r="P151" s="279"/>
      <c r="Q151" s="282"/>
    </row>
    <row r="152" spans="2:17" ht="33.75" x14ac:dyDescent="0.25">
      <c r="B152" s="278" t="s">
        <v>376</v>
      </c>
      <c r="C152" s="170"/>
      <c r="D152" s="170" t="s">
        <v>379</v>
      </c>
      <c r="E152" s="169" t="s">
        <v>24</v>
      </c>
      <c r="F152" s="173" t="s">
        <v>695</v>
      </c>
      <c r="G152" s="279" t="s">
        <v>32</v>
      </c>
      <c r="H152" s="280" t="s">
        <v>41</v>
      </c>
      <c r="I152" s="283"/>
      <c r="J152" s="279"/>
      <c r="K152" s="190"/>
      <c r="L152" s="190"/>
      <c r="M152" s="190"/>
      <c r="N152" s="190"/>
      <c r="O152" s="190"/>
      <c r="P152" s="279"/>
      <c r="Q152" s="282"/>
    </row>
    <row r="153" spans="2:17" ht="151.5" customHeight="1" x14ac:dyDescent="0.25">
      <c r="B153" s="278" t="s">
        <v>376</v>
      </c>
      <c r="C153" s="164" t="s">
        <v>986</v>
      </c>
      <c r="D153" s="164" t="s">
        <v>380</v>
      </c>
      <c r="E153" s="168" t="s">
        <v>24</v>
      </c>
      <c r="F153" s="172" t="s">
        <v>987</v>
      </c>
      <c r="G153" s="284" t="s">
        <v>32</v>
      </c>
      <c r="H153" s="285" t="s">
        <v>41</v>
      </c>
      <c r="I153" s="286"/>
      <c r="J153" s="284"/>
      <c r="K153" s="191"/>
      <c r="L153" s="191"/>
      <c r="M153" s="191"/>
      <c r="N153" s="191"/>
      <c r="O153" s="191"/>
      <c r="P153" s="284"/>
      <c r="Q153" s="287"/>
    </row>
    <row r="154" spans="2:17" ht="74.45" customHeight="1" x14ac:dyDescent="0.25">
      <c r="B154" s="278" t="s">
        <v>376</v>
      </c>
      <c r="C154" s="170" t="s">
        <v>988</v>
      </c>
      <c r="D154" s="170" t="s">
        <v>381</v>
      </c>
      <c r="E154" s="169" t="s">
        <v>24</v>
      </c>
      <c r="F154" s="173" t="s">
        <v>989</v>
      </c>
      <c r="G154" s="279" t="s">
        <v>32</v>
      </c>
      <c r="H154" s="280" t="s">
        <v>41</v>
      </c>
      <c r="I154" s="283"/>
      <c r="J154" s="279"/>
      <c r="K154" s="190"/>
      <c r="L154" s="190"/>
      <c r="M154" s="190"/>
      <c r="N154" s="190"/>
      <c r="O154" s="190"/>
      <c r="P154" s="279"/>
      <c r="Q154" s="282"/>
    </row>
    <row r="155" spans="2:17" ht="45" x14ac:dyDescent="0.25">
      <c r="B155" s="278" t="s">
        <v>376</v>
      </c>
      <c r="C155" s="170"/>
      <c r="D155" s="170" t="s">
        <v>382</v>
      </c>
      <c r="E155" s="169" t="s">
        <v>24</v>
      </c>
      <c r="F155" s="173" t="s">
        <v>990</v>
      </c>
      <c r="G155" s="279" t="s">
        <v>32</v>
      </c>
      <c r="H155" s="280" t="s">
        <v>41</v>
      </c>
      <c r="I155" s="283"/>
      <c r="J155" s="279"/>
      <c r="K155" s="190"/>
      <c r="L155" s="190"/>
      <c r="M155" s="190"/>
      <c r="N155" s="190"/>
      <c r="O155" s="190"/>
      <c r="P155" s="279"/>
      <c r="Q155" s="282"/>
    </row>
    <row r="156" spans="2:17" ht="33.75" x14ac:dyDescent="0.25">
      <c r="B156" s="278" t="s">
        <v>376</v>
      </c>
      <c r="C156" s="170"/>
      <c r="D156" s="170" t="s">
        <v>383</v>
      </c>
      <c r="E156" s="169" t="s">
        <v>24</v>
      </c>
      <c r="F156" s="173" t="s">
        <v>991</v>
      </c>
      <c r="G156" s="279" t="s">
        <v>32</v>
      </c>
      <c r="H156" s="280" t="s">
        <v>41</v>
      </c>
      <c r="I156" s="283"/>
      <c r="J156" s="279"/>
      <c r="K156" s="190"/>
      <c r="L156" s="190"/>
      <c r="M156" s="190"/>
      <c r="N156" s="190"/>
      <c r="O156" s="190"/>
      <c r="P156" s="279"/>
      <c r="Q156" s="282"/>
    </row>
    <row r="157" spans="2:17" ht="33.75" x14ac:dyDescent="0.25">
      <c r="B157" s="278" t="s">
        <v>376</v>
      </c>
      <c r="C157" s="164" t="s">
        <v>992</v>
      </c>
      <c r="D157" s="164" t="s">
        <v>384</v>
      </c>
      <c r="E157" s="168" t="s">
        <v>24</v>
      </c>
      <c r="F157" s="172" t="s">
        <v>993</v>
      </c>
      <c r="G157" s="284" t="s">
        <v>32</v>
      </c>
      <c r="H157" s="285" t="s">
        <v>41</v>
      </c>
      <c r="I157" s="286"/>
      <c r="J157" s="284"/>
      <c r="K157" s="191"/>
      <c r="L157" s="191"/>
      <c r="M157" s="191"/>
      <c r="N157" s="191"/>
      <c r="O157" s="191"/>
      <c r="P157" s="284"/>
      <c r="Q157" s="287"/>
    </row>
    <row r="158" spans="2:17" ht="33.75" x14ac:dyDescent="0.25">
      <c r="B158" s="278" t="s">
        <v>376</v>
      </c>
      <c r="C158" s="164"/>
      <c r="D158" s="164" t="s">
        <v>696</v>
      </c>
      <c r="E158" s="168" t="s">
        <v>24</v>
      </c>
      <c r="F158" s="172" t="s">
        <v>994</v>
      </c>
      <c r="G158" s="284" t="s">
        <v>32</v>
      </c>
      <c r="H158" s="285" t="s">
        <v>41</v>
      </c>
      <c r="I158" s="286"/>
      <c r="J158" s="284"/>
      <c r="K158" s="191"/>
      <c r="L158" s="191"/>
      <c r="M158" s="191"/>
      <c r="N158" s="191"/>
      <c r="O158" s="191"/>
      <c r="P158" s="284"/>
      <c r="Q158" s="287"/>
    </row>
    <row r="159" spans="2:17" ht="33.75" x14ac:dyDescent="0.25">
      <c r="B159" s="290" t="s">
        <v>385</v>
      </c>
      <c r="C159" s="170" t="s">
        <v>995</v>
      </c>
      <c r="D159" s="170" t="s">
        <v>386</v>
      </c>
      <c r="E159" s="169" t="s">
        <v>24</v>
      </c>
      <c r="F159" s="173" t="s">
        <v>996</v>
      </c>
      <c r="G159" s="279" t="s">
        <v>32</v>
      </c>
      <c r="H159" s="280" t="s">
        <v>41</v>
      </c>
      <c r="I159" s="283"/>
      <c r="J159" s="279"/>
      <c r="K159" s="190"/>
      <c r="L159" s="190"/>
      <c r="M159" s="190"/>
      <c r="N159" s="190"/>
      <c r="O159" s="190"/>
      <c r="P159" s="279"/>
      <c r="Q159" s="282"/>
    </row>
    <row r="160" spans="2:17" ht="33.75" x14ac:dyDescent="0.25">
      <c r="B160" s="290" t="s">
        <v>385</v>
      </c>
      <c r="C160" s="170"/>
      <c r="D160" s="170" t="s">
        <v>387</v>
      </c>
      <c r="E160" s="169" t="s">
        <v>24</v>
      </c>
      <c r="F160" s="173" t="s">
        <v>997</v>
      </c>
      <c r="G160" s="279" t="s">
        <v>32</v>
      </c>
      <c r="H160" s="280" t="s">
        <v>41</v>
      </c>
      <c r="I160" s="283"/>
      <c r="J160" s="279"/>
      <c r="K160" s="190"/>
      <c r="L160" s="190"/>
      <c r="M160" s="190"/>
      <c r="N160" s="190"/>
      <c r="O160" s="190"/>
      <c r="P160" s="279"/>
      <c r="Q160" s="282"/>
    </row>
    <row r="161" spans="2:17" ht="45" x14ac:dyDescent="0.25">
      <c r="B161" s="290" t="s">
        <v>385</v>
      </c>
      <c r="C161" s="170"/>
      <c r="D161" s="170" t="s">
        <v>388</v>
      </c>
      <c r="E161" s="169" t="s">
        <v>24</v>
      </c>
      <c r="F161" s="170" t="s">
        <v>998</v>
      </c>
      <c r="G161" s="279" t="s">
        <v>32</v>
      </c>
      <c r="H161" s="280" t="s">
        <v>41</v>
      </c>
      <c r="I161" s="283"/>
      <c r="J161" s="279"/>
      <c r="K161" s="190"/>
      <c r="L161" s="190"/>
      <c r="M161" s="190"/>
      <c r="N161" s="190"/>
      <c r="O161" s="190"/>
      <c r="P161" s="279"/>
      <c r="Q161" s="282"/>
    </row>
    <row r="162" spans="2:17" ht="45" x14ac:dyDescent="0.25">
      <c r="B162" s="290" t="s">
        <v>385</v>
      </c>
      <c r="C162" s="322" t="s">
        <v>1229</v>
      </c>
      <c r="D162" s="164" t="s">
        <v>389</v>
      </c>
      <c r="E162" s="168" t="s">
        <v>24</v>
      </c>
      <c r="F162" s="172" t="s">
        <v>999</v>
      </c>
      <c r="G162" s="284" t="s">
        <v>32</v>
      </c>
      <c r="H162" s="285" t="s">
        <v>41</v>
      </c>
      <c r="I162" s="286"/>
      <c r="J162" s="284"/>
      <c r="K162" s="191"/>
      <c r="L162" s="191"/>
      <c r="M162" s="191"/>
      <c r="N162" s="191"/>
      <c r="O162" s="191"/>
      <c r="P162" s="284"/>
      <c r="Q162" s="287"/>
    </row>
    <row r="163" spans="2:17" ht="33.75" x14ac:dyDescent="0.25">
      <c r="B163" s="290" t="s">
        <v>385</v>
      </c>
      <c r="C163" s="170" t="s">
        <v>1000</v>
      </c>
      <c r="D163" s="170" t="s">
        <v>390</v>
      </c>
      <c r="E163" s="169" t="s">
        <v>24</v>
      </c>
      <c r="F163" s="173" t="s">
        <v>1000</v>
      </c>
      <c r="G163" s="279" t="s">
        <v>32</v>
      </c>
      <c r="H163" s="280" t="s">
        <v>41</v>
      </c>
      <c r="I163" s="283"/>
      <c r="J163" s="279"/>
      <c r="K163" s="190"/>
      <c r="L163" s="190"/>
      <c r="M163" s="190"/>
      <c r="N163" s="190"/>
      <c r="O163" s="190"/>
      <c r="P163" s="279"/>
      <c r="Q163" s="282"/>
    </row>
    <row r="164" spans="2:17" ht="78.75" x14ac:dyDescent="0.25">
      <c r="B164" s="290" t="s">
        <v>385</v>
      </c>
      <c r="C164" s="164" t="s">
        <v>1001</v>
      </c>
      <c r="D164" s="164" t="s">
        <v>391</v>
      </c>
      <c r="E164" s="168" t="s">
        <v>25</v>
      </c>
      <c r="F164" s="172" t="s">
        <v>1002</v>
      </c>
      <c r="G164" s="284" t="s">
        <v>32</v>
      </c>
      <c r="H164" s="285" t="s">
        <v>41</v>
      </c>
      <c r="I164" s="286"/>
      <c r="J164" s="284"/>
      <c r="K164" s="191"/>
      <c r="L164" s="191"/>
      <c r="M164" s="191"/>
      <c r="N164" s="191"/>
      <c r="O164" s="191"/>
      <c r="P164" s="284"/>
      <c r="Q164" s="287"/>
    </row>
    <row r="165" spans="2:17" ht="78.75" x14ac:dyDescent="0.25">
      <c r="B165" s="290" t="s">
        <v>385</v>
      </c>
      <c r="C165" s="164"/>
      <c r="D165" s="164" t="s">
        <v>393</v>
      </c>
      <c r="E165" s="168" t="s">
        <v>25</v>
      </c>
      <c r="F165" s="172" t="s">
        <v>1003</v>
      </c>
      <c r="G165" s="284" t="s">
        <v>32</v>
      </c>
      <c r="H165" s="285" t="s">
        <v>41</v>
      </c>
      <c r="I165" s="286"/>
      <c r="J165" s="284"/>
      <c r="K165" s="191"/>
      <c r="L165" s="191"/>
      <c r="M165" s="191"/>
      <c r="N165" s="191"/>
      <c r="O165" s="191"/>
      <c r="P165" s="284"/>
      <c r="Q165" s="287"/>
    </row>
    <row r="166" spans="2:17" ht="67.5" customHeight="1" x14ac:dyDescent="0.25">
      <c r="B166" s="290" t="s">
        <v>385</v>
      </c>
      <c r="C166" s="170" t="s">
        <v>1004</v>
      </c>
      <c r="D166" s="170" t="s">
        <v>392</v>
      </c>
      <c r="E166" s="169" t="s">
        <v>25</v>
      </c>
      <c r="F166" s="173" t="s">
        <v>1005</v>
      </c>
      <c r="G166" s="279" t="s">
        <v>32</v>
      </c>
      <c r="H166" s="280" t="s">
        <v>41</v>
      </c>
      <c r="I166" s="283"/>
      <c r="J166" s="279"/>
      <c r="K166" s="190"/>
      <c r="L166" s="190"/>
      <c r="M166" s="190"/>
      <c r="N166" s="190"/>
      <c r="O166" s="190"/>
      <c r="P166" s="279"/>
      <c r="Q166" s="282"/>
    </row>
    <row r="167" spans="2:17" ht="65.45" customHeight="1" x14ac:dyDescent="0.25">
      <c r="B167" s="290" t="s">
        <v>385</v>
      </c>
      <c r="C167" s="170"/>
      <c r="D167" s="170" t="s">
        <v>394</v>
      </c>
      <c r="E167" s="169" t="s">
        <v>25</v>
      </c>
      <c r="F167" s="173" t="s">
        <v>1006</v>
      </c>
      <c r="G167" s="279" t="s">
        <v>32</v>
      </c>
      <c r="H167" s="280" t="s">
        <v>41</v>
      </c>
      <c r="I167" s="283"/>
      <c r="J167" s="279"/>
      <c r="K167" s="190"/>
      <c r="L167" s="190"/>
      <c r="M167" s="190"/>
      <c r="N167" s="190"/>
      <c r="O167" s="190"/>
      <c r="P167" s="279"/>
      <c r="Q167" s="282"/>
    </row>
    <row r="168" spans="2:17" ht="45" x14ac:dyDescent="0.25">
      <c r="B168" s="290" t="s">
        <v>385</v>
      </c>
      <c r="C168" s="170"/>
      <c r="D168" s="170" t="s">
        <v>395</v>
      </c>
      <c r="E168" s="169" t="s">
        <v>25</v>
      </c>
      <c r="F168" s="173" t="s">
        <v>1007</v>
      </c>
      <c r="G168" s="279" t="s">
        <v>32</v>
      </c>
      <c r="H168" s="280" t="s">
        <v>41</v>
      </c>
      <c r="I168" s="283"/>
      <c r="J168" s="279"/>
      <c r="K168" s="190"/>
      <c r="L168" s="190"/>
      <c r="M168" s="190"/>
      <c r="N168" s="190"/>
      <c r="O168" s="190"/>
      <c r="P168" s="279"/>
      <c r="Q168" s="282"/>
    </row>
    <row r="169" spans="2:17" ht="67.5" x14ac:dyDescent="0.25">
      <c r="B169" s="290" t="s">
        <v>385</v>
      </c>
      <c r="C169" s="164" t="s">
        <v>1008</v>
      </c>
      <c r="D169" s="164" t="s">
        <v>396</v>
      </c>
      <c r="E169" s="168" t="s">
        <v>24</v>
      </c>
      <c r="F169" s="172" t="s">
        <v>1009</v>
      </c>
      <c r="G169" s="284" t="s">
        <v>32</v>
      </c>
      <c r="H169" s="285" t="s">
        <v>41</v>
      </c>
      <c r="I169" s="286"/>
      <c r="J169" s="284"/>
      <c r="K169" s="191"/>
      <c r="L169" s="191"/>
      <c r="M169" s="191"/>
      <c r="N169" s="191"/>
      <c r="O169" s="191"/>
      <c r="P169" s="284"/>
      <c r="Q169" s="287"/>
    </row>
    <row r="170" spans="2:17" ht="45" x14ac:dyDescent="0.25">
      <c r="B170" s="290" t="s">
        <v>385</v>
      </c>
      <c r="C170" s="170" t="s">
        <v>1010</v>
      </c>
      <c r="D170" s="170" t="s">
        <v>397</v>
      </c>
      <c r="E170" s="169" t="s">
        <v>24</v>
      </c>
      <c r="F170" s="173" t="s">
        <v>1011</v>
      </c>
      <c r="G170" s="279" t="s">
        <v>32</v>
      </c>
      <c r="H170" s="280" t="s">
        <v>41</v>
      </c>
      <c r="I170" s="283"/>
      <c r="J170" s="279"/>
      <c r="K170" s="190"/>
      <c r="L170" s="190"/>
      <c r="M170" s="190"/>
      <c r="N170" s="190"/>
      <c r="O170" s="190"/>
      <c r="P170" s="279"/>
      <c r="Q170" s="282"/>
    </row>
    <row r="171" spans="2:17" ht="67.5" x14ac:dyDescent="0.25">
      <c r="B171" s="290" t="s">
        <v>385</v>
      </c>
      <c r="C171" s="164" t="s">
        <v>697</v>
      </c>
      <c r="D171" s="164" t="s">
        <v>398</v>
      </c>
      <c r="E171" s="168" t="s">
        <v>24</v>
      </c>
      <c r="F171" s="164" t="s">
        <v>1012</v>
      </c>
      <c r="G171" s="284" t="s">
        <v>32</v>
      </c>
      <c r="H171" s="285" t="s">
        <v>41</v>
      </c>
      <c r="I171" s="286"/>
      <c r="J171" s="284"/>
      <c r="K171" s="191"/>
      <c r="L171" s="191"/>
      <c r="M171" s="191"/>
      <c r="N171" s="191"/>
      <c r="O171" s="191"/>
      <c r="P171" s="284"/>
      <c r="Q171" s="287"/>
    </row>
    <row r="172" spans="2:17" ht="45" x14ac:dyDescent="0.25">
      <c r="B172" s="290" t="s">
        <v>385</v>
      </c>
      <c r="C172" s="170" t="s">
        <v>1013</v>
      </c>
      <c r="D172" s="170" t="s">
        <v>399</v>
      </c>
      <c r="E172" s="169" t="s">
        <v>24</v>
      </c>
      <c r="F172" s="173" t="s">
        <v>1015</v>
      </c>
      <c r="G172" s="279" t="s">
        <v>32</v>
      </c>
      <c r="H172" s="280" t="s">
        <v>41</v>
      </c>
      <c r="I172" s="283"/>
      <c r="J172" s="279"/>
      <c r="K172" s="190"/>
      <c r="L172" s="190"/>
      <c r="M172" s="190"/>
      <c r="N172" s="190"/>
      <c r="O172" s="190"/>
      <c r="P172" s="279"/>
      <c r="Q172" s="282"/>
    </row>
    <row r="173" spans="2:17" ht="33.75" x14ac:dyDescent="0.25">
      <c r="B173" s="290" t="s">
        <v>385</v>
      </c>
      <c r="C173" s="170"/>
      <c r="D173" s="170" t="s">
        <v>698</v>
      </c>
      <c r="E173" s="169" t="s">
        <v>24</v>
      </c>
      <c r="F173" s="173" t="s">
        <v>1016</v>
      </c>
      <c r="G173" s="279" t="s">
        <v>32</v>
      </c>
      <c r="H173" s="280" t="s">
        <v>41</v>
      </c>
      <c r="I173" s="283"/>
      <c r="J173" s="279"/>
      <c r="K173" s="190"/>
      <c r="L173" s="190"/>
      <c r="M173" s="190"/>
      <c r="N173" s="190"/>
      <c r="O173" s="190"/>
      <c r="P173" s="279"/>
      <c r="Q173" s="282"/>
    </row>
    <row r="174" spans="2:17" ht="33.75" x14ac:dyDescent="0.25">
      <c r="B174" s="290" t="s">
        <v>385</v>
      </c>
      <c r="C174" s="170"/>
      <c r="D174" s="170" t="s">
        <v>699</v>
      </c>
      <c r="E174" s="169" t="s">
        <v>24</v>
      </c>
      <c r="F174" s="173" t="s">
        <v>1017</v>
      </c>
      <c r="G174" s="279" t="s">
        <v>32</v>
      </c>
      <c r="H174" s="280" t="s">
        <v>41</v>
      </c>
      <c r="I174" s="283"/>
      <c r="J174" s="279"/>
      <c r="K174" s="190"/>
      <c r="L174" s="190"/>
      <c r="M174" s="190"/>
      <c r="N174" s="190"/>
      <c r="O174" s="190"/>
      <c r="P174" s="279"/>
      <c r="Q174" s="282"/>
    </row>
    <row r="175" spans="2:17" ht="33.75" x14ac:dyDescent="0.25">
      <c r="B175" s="290" t="s">
        <v>385</v>
      </c>
      <c r="C175" s="170"/>
      <c r="D175" s="170" t="s">
        <v>700</v>
      </c>
      <c r="E175" s="169" t="s">
        <v>24</v>
      </c>
      <c r="F175" s="173" t="s">
        <v>1018</v>
      </c>
      <c r="G175" s="279" t="s">
        <v>32</v>
      </c>
      <c r="H175" s="280" t="s">
        <v>41</v>
      </c>
      <c r="I175" s="283"/>
      <c r="J175" s="279"/>
      <c r="K175" s="190"/>
      <c r="L175" s="190"/>
      <c r="M175" s="190"/>
      <c r="N175" s="190"/>
      <c r="O175" s="190"/>
      <c r="P175" s="279"/>
      <c r="Q175" s="282"/>
    </row>
    <row r="176" spans="2:17" ht="45" x14ac:dyDescent="0.25">
      <c r="B176" s="290" t="s">
        <v>385</v>
      </c>
      <c r="C176" s="164" t="s">
        <v>1014</v>
      </c>
      <c r="D176" s="164" t="s">
        <v>400</v>
      </c>
      <c r="E176" s="168" t="s">
        <v>24</v>
      </c>
      <c r="F176" s="172" t="s">
        <v>1019</v>
      </c>
      <c r="G176" s="284" t="s">
        <v>32</v>
      </c>
      <c r="H176" s="285" t="s">
        <v>41</v>
      </c>
      <c r="I176" s="286"/>
      <c r="J176" s="284"/>
      <c r="K176" s="191"/>
      <c r="L176" s="191"/>
      <c r="M176" s="191"/>
      <c r="N176" s="191"/>
      <c r="O176" s="191"/>
      <c r="P176" s="284"/>
      <c r="Q176" s="287"/>
    </row>
    <row r="177" spans="2:17" ht="33.75" x14ac:dyDescent="0.25">
      <c r="B177" s="290" t="s">
        <v>385</v>
      </c>
      <c r="C177" s="164"/>
      <c r="D177" s="164" t="s">
        <v>701</v>
      </c>
      <c r="E177" s="168" t="s">
        <v>24</v>
      </c>
      <c r="F177" s="172" t="s">
        <v>1020</v>
      </c>
      <c r="G177" s="284" t="s">
        <v>32</v>
      </c>
      <c r="H177" s="285" t="s">
        <v>41</v>
      </c>
      <c r="I177" s="286"/>
      <c r="J177" s="284"/>
      <c r="K177" s="191"/>
      <c r="L177" s="191"/>
      <c r="M177" s="191"/>
      <c r="N177" s="191"/>
      <c r="O177" s="191"/>
      <c r="P177" s="284"/>
      <c r="Q177" s="287"/>
    </row>
    <row r="178" spans="2:17" ht="33.75" x14ac:dyDescent="0.25">
      <c r="B178" s="290" t="s">
        <v>385</v>
      </c>
      <c r="C178" s="164"/>
      <c r="D178" s="164" t="s">
        <v>702</v>
      </c>
      <c r="E178" s="168" t="s">
        <v>24</v>
      </c>
      <c r="F178" s="172" t="s">
        <v>1021</v>
      </c>
      <c r="G178" s="284" t="s">
        <v>32</v>
      </c>
      <c r="H178" s="285" t="s">
        <v>41</v>
      </c>
      <c r="I178" s="286"/>
      <c r="J178" s="284"/>
      <c r="K178" s="191"/>
      <c r="L178" s="191"/>
      <c r="M178" s="191"/>
      <c r="N178" s="191"/>
      <c r="O178" s="191"/>
      <c r="P178" s="284"/>
      <c r="Q178" s="287"/>
    </row>
    <row r="179" spans="2:17" ht="33.75" x14ac:dyDescent="0.25">
      <c r="B179" s="290" t="s">
        <v>385</v>
      </c>
      <c r="C179" s="164"/>
      <c r="D179" s="164" t="s">
        <v>703</v>
      </c>
      <c r="E179" s="168" t="s">
        <v>24</v>
      </c>
      <c r="F179" s="172" t="s">
        <v>1022</v>
      </c>
      <c r="G179" s="284" t="s">
        <v>32</v>
      </c>
      <c r="H179" s="285" t="s">
        <v>41</v>
      </c>
      <c r="I179" s="286"/>
      <c r="J179" s="284"/>
      <c r="K179" s="191"/>
      <c r="L179" s="191"/>
      <c r="M179" s="191"/>
      <c r="N179" s="191"/>
      <c r="O179" s="191"/>
      <c r="P179" s="284"/>
      <c r="Q179" s="287"/>
    </row>
    <row r="180" spans="2:17" ht="78" customHeight="1" x14ac:dyDescent="0.25">
      <c r="B180" s="290" t="s">
        <v>385</v>
      </c>
      <c r="C180" s="322" t="s">
        <v>1230</v>
      </c>
      <c r="D180" s="170" t="s">
        <v>401</v>
      </c>
      <c r="E180" s="169" t="s">
        <v>25</v>
      </c>
      <c r="F180" s="173" t="s">
        <v>1023</v>
      </c>
      <c r="G180" s="279" t="s">
        <v>32</v>
      </c>
      <c r="H180" s="280" t="s">
        <v>41</v>
      </c>
      <c r="I180" s="283"/>
      <c r="J180" s="279"/>
      <c r="K180" s="190"/>
      <c r="L180" s="190"/>
      <c r="M180" s="190"/>
      <c r="N180" s="190"/>
      <c r="O180" s="190"/>
      <c r="P180" s="279"/>
      <c r="Q180" s="282"/>
    </row>
    <row r="181" spans="2:17" ht="75.95" customHeight="1" x14ac:dyDescent="0.25">
      <c r="B181" s="290" t="s">
        <v>385</v>
      </c>
      <c r="C181" s="170"/>
      <c r="D181" s="170" t="s">
        <v>704</v>
      </c>
      <c r="E181" s="169" t="s">
        <v>25</v>
      </c>
      <c r="F181" s="173" t="s">
        <v>1024</v>
      </c>
      <c r="G181" s="292" t="s">
        <v>32</v>
      </c>
      <c r="H181" s="280" t="s">
        <v>41</v>
      </c>
      <c r="I181" s="190"/>
      <c r="J181" s="292"/>
      <c r="K181" s="190"/>
      <c r="L181" s="190"/>
      <c r="M181" s="190"/>
      <c r="N181" s="190"/>
      <c r="O181" s="190"/>
      <c r="P181" s="292"/>
      <c r="Q181" s="293"/>
    </row>
    <row r="182" spans="2:17" ht="78.75" x14ac:dyDescent="0.25">
      <c r="B182" s="290" t="s">
        <v>385</v>
      </c>
      <c r="C182" s="164" t="s">
        <v>1025</v>
      </c>
      <c r="D182" s="164" t="s">
        <v>402</v>
      </c>
      <c r="E182" s="168" t="s">
        <v>25</v>
      </c>
      <c r="F182" s="172" t="s">
        <v>1026</v>
      </c>
      <c r="G182" s="294" t="s">
        <v>32</v>
      </c>
      <c r="H182" s="285" t="s">
        <v>41</v>
      </c>
      <c r="I182" s="191"/>
      <c r="J182" s="294"/>
      <c r="K182" s="191"/>
      <c r="L182" s="191"/>
      <c r="M182" s="191"/>
      <c r="N182" s="191"/>
      <c r="O182" s="191"/>
      <c r="P182" s="294"/>
      <c r="Q182" s="295"/>
    </row>
    <row r="183" spans="2:17" ht="56.25" x14ac:dyDescent="0.25">
      <c r="B183" s="290" t="s">
        <v>385</v>
      </c>
      <c r="C183" s="170" t="s">
        <v>1027</v>
      </c>
      <c r="D183" s="170" t="s">
        <v>403</v>
      </c>
      <c r="E183" s="169" t="s">
        <v>25</v>
      </c>
      <c r="F183" s="173" t="s">
        <v>1028</v>
      </c>
      <c r="G183" s="292" t="s">
        <v>32</v>
      </c>
      <c r="H183" s="280" t="s">
        <v>41</v>
      </c>
      <c r="I183" s="190"/>
      <c r="J183" s="292"/>
      <c r="K183" s="190"/>
      <c r="L183" s="190"/>
      <c r="M183" s="190"/>
      <c r="N183" s="190"/>
      <c r="O183" s="190"/>
      <c r="P183" s="292"/>
      <c r="Q183" s="293"/>
    </row>
    <row r="184" spans="2:17" ht="33.75" x14ac:dyDescent="0.25">
      <c r="B184" s="290" t="s">
        <v>385</v>
      </c>
      <c r="C184" s="170"/>
      <c r="D184" s="170" t="s">
        <v>705</v>
      </c>
      <c r="E184" s="169" t="s">
        <v>25</v>
      </c>
      <c r="F184" s="173" t="s">
        <v>1029</v>
      </c>
      <c r="G184" s="292" t="s">
        <v>32</v>
      </c>
      <c r="H184" s="280" t="s">
        <v>41</v>
      </c>
      <c r="I184" s="190"/>
      <c r="J184" s="292"/>
      <c r="K184" s="190"/>
      <c r="L184" s="190"/>
      <c r="M184" s="190"/>
      <c r="N184" s="190"/>
      <c r="O184" s="190"/>
      <c r="P184" s="292"/>
      <c r="Q184" s="293"/>
    </row>
    <row r="185" spans="2:17" ht="90" x14ac:dyDescent="0.25">
      <c r="B185" s="290" t="s">
        <v>385</v>
      </c>
      <c r="C185" s="170"/>
      <c r="D185" s="170" t="s">
        <v>706</v>
      </c>
      <c r="E185" s="169" t="s">
        <v>25</v>
      </c>
      <c r="F185" s="173" t="s">
        <v>1030</v>
      </c>
      <c r="G185" s="292" t="s">
        <v>32</v>
      </c>
      <c r="H185" s="280" t="s">
        <v>41</v>
      </c>
      <c r="I185" s="190"/>
      <c r="J185" s="292"/>
      <c r="K185" s="190"/>
      <c r="L185" s="190"/>
      <c r="M185" s="190"/>
      <c r="N185" s="190"/>
      <c r="O185" s="190"/>
      <c r="P185" s="292"/>
      <c r="Q185" s="293"/>
    </row>
    <row r="186" spans="2:17" ht="134.1" customHeight="1" x14ac:dyDescent="0.25">
      <c r="B186" s="290" t="s">
        <v>385</v>
      </c>
      <c r="C186" s="164" t="s">
        <v>707</v>
      </c>
      <c r="D186" s="164" t="s">
        <v>404</v>
      </c>
      <c r="E186" s="168" t="s">
        <v>24</v>
      </c>
      <c r="F186" s="172" t="s">
        <v>1031</v>
      </c>
      <c r="G186" s="294" t="s">
        <v>32</v>
      </c>
      <c r="H186" s="285" t="s">
        <v>41</v>
      </c>
      <c r="I186" s="191"/>
      <c r="J186" s="294"/>
      <c r="K186" s="191"/>
      <c r="L186" s="191"/>
      <c r="M186" s="191"/>
      <c r="N186" s="191"/>
      <c r="O186" s="191"/>
      <c r="P186" s="294"/>
      <c r="Q186" s="295"/>
    </row>
    <row r="187" spans="2:17" ht="134.44999999999999" customHeight="1" x14ac:dyDescent="0.25">
      <c r="B187" s="290" t="s">
        <v>385</v>
      </c>
      <c r="C187" s="164"/>
      <c r="D187" s="164" t="s">
        <v>405</v>
      </c>
      <c r="E187" s="168" t="s">
        <v>24</v>
      </c>
      <c r="F187" s="172" t="s">
        <v>1032</v>
      </c>
      <c r="G187" s="294" t="s">
        <v>32</v>
      </c>
      <c r="H187" s="285" t="s">
        <v>41</v>
      </c>
      <c r="I187" s="191"/>
      <c r="J187" s="294"/>
      <c r="K187" s="191"/>
      <c r="L187" s="191"/>
      <c r="M187" s="191"/>
      <c r="N187" s="191"/>
      <c r="O187" s="191"/>
      <c r="P187" s="294"/>
      <c r="Q187" s="295"/>
    </row>
    <row r="188" spans="2:17" ht="101.25" x14ac:dyDescent="0.25">
      <c r="B188" s="278" t="s">
        <v>4</v>
      </c>
      <c r="C188" s="170" t="s">
        <v>1033</v>
      </c>
      <c r="D188" s="170" t="s">
        <v>406</v>
      </c>
      <c r="E188" s="169" t="s">
        <v>24</v>
      </c>
      <c r="F188" s="322" t="s">
        <v>1231</v>
      </c>
      <c r="G188" s="292" t="s">
        <v>32</v>
      </c>
      <c r="H188" s="280" t="s">
        <v>41</v>
      </c>
      <c r="I188" s="190"/>
      <c r="J188" s="292"/>
      <c r="K188" s="190"/>
      <c r="L188" s="190"/>
      <c r="M188" s="190"/>
      <c r="N188" s="190"/>
      <c r="O188" s="190"/>
      <c r="P188" s="292"/>
      <c r="Q188" s="293"/>
    </row>
    <row r="189" spans="2:17" ht="45" x14ac:dyDescent="0.25">
      <c r="B189" s="278" t="s">
        <v>4</v>
      </c>
      <c r="C189" s="170"/>
      <c r="D189" s="170" t="s">
        <v>407</v>
      </c>
      <c r="E189" s="169" t="s">
        <v>24</v>
      </c>
      <c r="F189" s="170" t="s">
        <v>1034</v>
      </c>
      <c r="G189" s="292" t="s">
        <v>32</v>
      </c>
      <c r="H189" s="280" t="s">
        <v>41</v>
      </c>
      <c r="I189" s="190"/>
      <c r="J189" s="292"/>
      <c r="K189" s="190"/>
      <c r="L189" s="190"/>
      <c r="M189" s="190"/>
      <c r="N189" s="190"/>
      <c r="O189" s="190"/>
      <c r="P189" s="292"/>
      <c r="Q189" s="293"/>
    </row>
    <row r="190" spans="2:17" ht="101.25" x14ac:dyDescent="0.25">
      <c r="B190" s="278" t="s">
        <v>4</v>
      </c>
      <c r="C190" s="170"/>
      <c r="D190" s="170" t="s">
        <v>408</v>
      </c>
      <c r="E190" s="169" t="s">
        <v>24</v>
      </c>
      <c r="F190" s="170" t="s">
        <v>1035</v>
      </c>
      <c r="G190" s="292" t="s">
        <v>32</v>
      </c>
      <c r="H190" s="280" t="s">
        <v>41</v>
      </c>
      <c r="I190" s="283"/>
      <c r="J190" s="292"/>
      <c r="K190" s="192"/>
      <c r="L190" s="192"/>
      <c r="M190" s="192"/>
      <c r="N190" s="192"/>
      <c r="O190" s="192"/>
      <c r="P190" s="292"/>
      <c r="Q190" s="293"/>
    </row>
    <row r="191" spans="2:17" ht="33.75" x14ac:dyDescent="0.25">
      <c r="B191" s="278" t="s">
        <v>4</v>
      </c>
      <c r="C191" s="164" t="s">
        <v>1036</v>
      </c>
      <c r="D191" s="164" t="s">
        <v>409</v>
      </c>
      <c r="E191" s="168" t="s">
        <v>24</v>
      </c>
      <c r="F191" s="172" t="s">
        <v>708</v>
      </c>
      <c r="G191" s="294" t="s">
        <v>32</v>
      </c>
      <c r="H191" s="285" t="s">
        <v>41</v>
      </c>
      <c r="I191" s="286"/>
      <c r="J191" s="294"/>
      <c r="K191" s="193"/>
      <c r="L191" s="193"/>
      <c r="M191" s="193"/>
      <c r="N191" s="193"/>
      <c r="O191" s="193"/>
      <c r="P191" s="294"/>
      <c r="Q191" s="295"/>
    </row>
    <row r="192" spans="2:17" ht="22.5" x14ac:dyDescent="0.25">
      <c r="B192" s="278" t="s">
        <v>4</v>
      </c>
      <c r="C192" s="164"/>
      <c r="D192" s="164" t="s">
        <v>411</v>
      </c>
      <c r="E192" s="168" t="s">
        <v>24</v>
      </c>
      <c r="F192" s="172" t="s">
        <v>415</v>
      </c>
      <c r="G192" s="294" t="s">
        <v>32</v>
      </c>
      <c r="H192" s="285" t="s">
        <v>41</v>
      </c>
      <c r="I192" s="286"/>
      <c r="J192" s="294"/>
      <c r="K192" s="193"/>
      <c r="L192" s="193"/>
      <c r="M192" s="193"/>
      <c r="N192" s="193"/>
      <c r="O192" s="193"/>
      <c r="P192" s="294"/>
      <c r="Q192" s="295"/>
    </row>
    <row r="193" spans="2:17" ht="22.5" x14ac:dyDescent="0.25">
      <c r="B193" s="278" t="s">
        <v>4</v>
      </c>
      <c r="C193" s="164"/>
      <c r="D193" s="164" t="s">
        <v>412</v>
      </c>
      <c r="E193" s="168" t="s">
        <v>24</v>
      </c>
      <c r="F193" s="172" t="s">
        <v>1037</v>
      </c>
      <c r="G193" s="294" t="s">
        <v>32</v>
      </c>
      <c r="H193" s="285" t="s">
        <v>41</v>
      </c>
      <c r="I193" s="193"/>
      <c r="J193" s="294"/>
      <c r="K193" s="193"/>
      <c r="L193" s="193"/>
      <c r="M193" s="193"/>
      <c r="N193" s="193"/>
      <c r="O193" s="193"/>
      <c r="P193" s="294"/>
      <c r="Q193" s="295"/>
    </row>
    <row r="194" spans="2:17" ht="22.5" x14ac:dyDescent="0.25">
      <c r="B194" s="278" t="s">
        <v>4</v>
      </c>
      <c r="C194" s="164"/>
      <c r="D194" s="164" t="s">
        <v>413</v>
      </c>
      <c r="E194" s="168" t="s">
        <v>24</v>
      </c>
      <c r="F194" s="172" t="s">
        <v>1038</v>
      </c>
      <c r="G194" s="294" t="s">
        <v>32</v>
      </c>
      <c r="H194" s="285" t="s">
        <v>41</v>
      </c>
      <c r="I194" s="193"/>
      <c r="J194" s="294"/>
      <c r="K194" s="193"/>
      <c r="L194" s="193"/>
      <c r="M194" s="193"/>
      <c r="N194" s="193"/>
      <c r="O194" s="193"/>
      <c r="P194" s="294"/>
      <c r="Q194" s="295"/>
    </row>
    <row r="195" spans="2:17" ht="141" customHeight="1" x14ac:dyDescent="0.25">
      <c r="B195" s="278" t="s">
        <v>4</v>
      </c>
      <c r="C195" s="164"/>
      <c r="D195" s="164" t="s">
        <v>709</v>
      </c>
      <c r="E195" s="168" t="s">
        <v>24</v>
      </c>
      <c r="F195" s="172" t="s">
        <v>1039</v>
      </c>
      <c r="G195" s="294" t="s">
        <v>32</v>
      </c>
      <c r="H195" s="285" t="s">
        <v>41</v>
      </c>
      <c r="I195" s="193"/>
      <c r="J195" s="294"/>
      <c r="K195" s="193"/>
      <c r="L195" s="193"/>
      <c r="M195" s="193"/>
      <c r="N195" s="193"/>
      <c r="O195" s="193"/>
      <c r="P195" s="294"/>
      <c r="Q195" s="295"/>
    </row>
    <row r="196" spans="2:17" ht="33.75" x14ac:dyDescent="0.25">
      <c r="B196" s="278" t="s">
        <v>4</v>
      </c>
      <c r="C196" s="164"/>
      <c r="D196" s="164" t="s">
        <v>710</v>
      </c>
      <c r="E196" s="168" t="s">
        <v>24</v>
      </c>
      <c r="F196" s="172" t="s">
        <v>711</v>
      </c>
      <c r="G196" s="294" t="s">
        <v>32</v>
      </c>
      <c r="H196" s="285" t="s">
        <v>41</v>
      </c>
      <c r="I196" s="193"/>
      <c r="J196" s="294"/>
      <c r="K196" s="193"/>
      <c r="L196" s="193"/>
      <c r="M196" s="193"/>
      <c r="N196" s="193"/>
      <c r="O196" s="193"/>
      <c r="P196" s="294"/>
      <c r="Q196" s="295"/>
    </row>
    <row r="197" spans="2:17" ht="56.25" x14ac:dyDescent="0.25">
      <c r="B197" s="278" t="s">
        <v>4</v>
      </c>
      <c r="C197" s="170" t="s">
        <v>1116</v>
      </c>
      <c r="D197" s="170" t="s">
        <v>410</v>
      </c>
      <c r="E197" s="169" t="s">
        <v>25</v>
      </c>
      <c r="F197" s="173" t="s">
        <v>416</v>
      </c>
      <c r="G197" s="292" t="s">
        <v>32</v>
      </c>
      <c r="H197" s="280" t="s">
        <v>41</v>
      </c>
      <c r="I197" s="192"/>
      <c r="J197" s="292"/>
      <c r="K197" s="192"/>
      <c r="L197" s="192"/>
      <c r="M197" s="192"/>
      <c r="N197" s="192"/>
      <c r="O197" s="192"/>
      <c r="P197" s="292"/>
      <c r="Q197" s="293"/>
    </row>
    <row r="198" spans="2:17" ht="22.5" x14ac:dyDescent="0.25">
      <c r="B198" s="278" t="s">
        <v>4</v>
      </c>
      <c r="C198" s="170"/>
      <c r="D198" s="170" t="s">
        <v>414</v>
      </c>
      <c r="E198" s="169" t="s">
        <v>25</v>
      </c>
      <c r="F198" s="173" t="s">
        <v>417</v>
      </c>
      <c r="G198" s="292" t="s">
        <v>32</v>
      </c>
      <c r="H198" s="280" t="s">
        <v>41</v>
      </c>
      <c r="I198" s="192"/>
      <c r="J198" s="292"/>
      <c r="K198" s="192"/>
      <c r="L198" s="192"/>
      <c r="M198" s="192"/>
      <c r="N198" s="192"/>
      <c r="O198" s="192"/>
      <c r="P198" s="292"/>
      <c r="Q198" s="293"/>
    </row>
    <row r="199" spans="2:17" ht="33.75" x14ac:dyDescent="0.25">
      <c r="B199" s="278" t="s">
        <v>4</v>
      </c>
      <c r="C199" s="164" t="s">
        <v>712</v>
      </c>
      <c r="D199" s="164" t="s">
        <v>418</v>
      </c>
      <c r="E199" s="168" t="s">
        <v>25</v>
      </c>
      <c r="F199" s="172" t="s">
        <v>1040</v>
      </c>
      <c r="G199" s="294" t="s">
        <v>32</v>
      </c>
      <c r="H199" s="285" t="s">
        <v>41</v>
      </c>
      <c r="I199" s="193"/>
      <c r="J199" s="294"/>
      <c r="K199" s="193"/>
      <c r="L199" s="193"/>
      <c r="M199" s="193"/>
      <c r="N199" s="193"/>
      <c r="O199" s="193"/>
      <c r="P199" s="294"/>
      <c r="Q199" s="295"/>
    </row>
    <row r="200" spans="2:17" ht="144" customHeight="1" x14ac:dyDescent="0.25">
      <c r="B200" s="278" t="s">
        <v>4</v>
      </c>
      <c r="C200" s="164"/>
      <c r="D200" s="164" t="s">
        <v>713</v>
      </c>
      <c r="E200" s="168" t="s">
        <v>25</v>
      </c>
      <c r="F200" s="172" t="s">
        <v>1041</v>
      </c>
      <c r="G200" s="294" t="s">
        <v>32</v>
      </c>
      <c r="H200" s="285" t="s">
        <v>41</v>
      </c>
      <c r="I200" s="193"/>
      <c r="J200" s="294"/>
      <c r="K200" s="193"/>
      <c r="L200" s="193"/>
      <c r="M200" s="193"/>
      <c r="N200" s="193"/>
      <c r="O200" s="193"/>
      <c r="P200" s="294"/>
      <c r="Q200" s="295"/>
    </row>
    <row r="201" spans="2:17" ht="78.75" x14ac:dyDescent="0.25">
      <c r="B201" s="278" t="s">
        <v>4</v>
      </c>
      <c r="C201" s="164"/>
      <c r="D201" s="164" t="s">
        <v>714</v>
      </c>
      <c r="E201" s="168" t="s">
        <v>25</v>
      </c>
      <c r="F201" s="321" t="s">
        <v>1232</v>
      </c>
      <c r="G201" s="294" t="s">
        <v>32</v>
      </c>
      <c r="H201" s="285" t="s">
        <v>41</v>
      </c>
      <c r="I201" s="193"/>
      <c r="J201" s="294"/>
      <c r="K201" s="193"/>
      <c r="L201" s="193"/>
      <c r="M201" s="193"/>
      <c r="N201" s="193"/>
      <c r="O201" s="193"/>
      <c r="P201" s="294"/>
      <c r="Q201" s="295"/>
    </row>
    <row r="202" spans="2:17" ht="121.5" customHeight="1" x14ac:dyDescent="0.25">
      <c r="B202" s="278" t="s">
        <v>4</v>
      </c>
      <c r="C202" s="170" t="s">
        <v>1042</v>
      </c>
      <c r="D202" s="170" t="s">
        <v>419</v>
      </c>
      <c r="E202" s="169" t="s">
        <v>24</v>
      </c>
      <c r="F202" s="173" t="s">
        <v>1043</v>
      </c>
      <c r="G202" s="292" t="s">
        <v>32</v>
      </c>
      <c r="H202" s="280" t="s">
        <v>41</v>
      </c>
      <c r="I202" s="192"/>
      <c r="J202" s="292"/>
      <c r="K202" s="192"/>
      <c r="L202" s="192"/>
      <c r="M202" s="192"/>
      <c r="N202" s="192"/>
      <c r="O202" s="192"/>
      <c r="P202" s="292"/>
      <c r="Q202" s="293"/>
    </row>
    <row r="203" spans="2:17" ht="33.75" x14ac:dyDescent="0.25">
      <c r="B203" s="278" t="s">
        <v>4</v>
      </c>
      <c r="C203" s="322" t="s">
        <v>1233</v>
      </c>
      <c r="D203" s="164" t="s">
        <v>420</v>
      </c>
      <c r="E203" s="168" t="s">
        <v>24</v>
      </c>
      <c r="F203" s="172" t="s">
        <v>715</v>
      </c>
      <c r="G203" s="294" t="s">
        <v>32</v>
      </c>
      <c r="H203" s="285" t="s">
        <v>41</v>
      </c>
      <c r="I203" s="193"/>
      <c r="J203" s="294"/>
      <c r="K203" s="193"/>
      <c r="L203" s="193"/>
      <c r="M203" s="193"/>
      <c r="N203" s="193"/>
      <c r="O203" s="193"/>
      <c r="P203" s="294"/>
      <c r="Q203" s="295"/>
    </row>
    <row r="204" spans="2:17" ht="33.75" x14ac:dyDescent="0.25">
      <c r="B204" s="278" t="s">
        <v>4</v>
      </c>
      <c r="C204" s="170" t="s">
        <v>716</v>
      </c>
      <c r="D204" s="170" t="s">
        <v>421</v>
      </c>
      <c r="E204" s="169" t="s">
        <v>24</v>
      </c>
      <c r="F204" s="173" t="s">
        <v>1044</v>
      </c>
      <c r="G204" s="292" t="s">
        <v>32</v>
      </c>
      <c r="H204" s="280" t="s">
        <v>41</v>
      </c>
      <c r="I204" s="192"/>
      <c r="J204" s="292"/>
      <c r="K204" s="192"/>
      <c r="L204" s="192"/>
      <c r="M204" s="192"/>
      <c r="N204" s="192"/>
      <c r="O204" s="192"/>
      <c r="P204" s="292"/>
      <c r="Q204" s="293"/>
    </row>
    <row r="205" spans="2:17" ht="33.75" x14ac:dyDescent="0.25">
      <c r="B205" s="278" t="s">
        <v>4</v>
      </c>
      <c r="C205" s="164" t="s">
        <v>1045</v>
      </c>
      <c r="D205" s="164" t="s">
        <v>422</v>
      </c>
      <c r="E205" s="168" t="s">
        <v>24</v>
      </c>
      <c r="F205" s="172" t="s">
        <v>1046</v>
      </c>
      <c r="G205" s="294" t="s">
        <v>32</v>
      </c>
      <c r="H205" s="285" t="s">
        <v>41</v>
      </c>
      <c r="I205" s="286"/>
      <c r="J205" s="294"/>
      <c r="K205" s="193"/>
      <c r="L205" s="193"/>
      <c r="M205" s="193"/>
      <c r="N205" s="193"/>
      <c r="O205" s="193"/>
      <c r="P205" s="294"/>
      <c r="Q205" s="295"/>
    </row>
    <row r="206" spans="2:17" ht="22.5" x14ac:dyDescent="0.25">
      <c r="B206" s="278" t="s">
        <v>4</v>
      </c>
      <c r="C206" s="164"/>
      <c r="D206" s="164" t="s">
        <v>423</v>
      </c>
      <c r="E206" s="168" t="s">
        <v>24</v>
      </c>
      <c r="F206" s="172" t="s">
        <v>717</v>
      </c>
      <c r="G206" s="294" t="s">
        <v>32</v>
      </c>
      <c r="H206" s="285" t="s">
        <v>41</v>
      </c>
      <c r="I206" s="286"/>
      <c r="J206" s="294"/>
      <c r="K206" s="193"/>
      <c r="L206" s="193"/>
      <c r="M206" s="193"/>
      <c r="N206" s="193"/>
      <c r="O206" s="193"/>
      <c r="P206" s="294"/>
      <c r="Q206" s="295"/>
    </row>
    <row r="207" spans="2:17" ht="37.5" customHeight="1" x14ac:dyDescent="0.25">
      <c r="B207" s="278" t="s">
        <v>4</v>
      </c>
      <c r="C207" s="164"/>
      <c r="D207" s="164" t="s">
        <v>424</v>
      </c>
      <c r="E207" s="168" t="s">
        <v>24</v>
      </c>
      <c r="F207" s="172" t="s">
        <v>1047</v>
      </c>
      <c r="G207" s="294" t="s">
        <v>32</v>
      </c>
      <c r="H207" s="285" t="s">
        <v>41</v>
      </c>
      <c r="I207" s="193"/>
      <c r="J207" s="294"/>
      <c r="K207" s="193"/>
      <c r="L207" s="193"/>
      <c r="M207" s="193"/>
      <c r="N207" s="193"/>
      <c r="O207" s="193"/>
      <c r="P207" s="294"/>
      <c r="Q207" s="295"/>
    </row>
    <row r="208" spans="2:17" ht="141" customHeight="1" x14ac:dyDescent="0.25">
      <c r="B208" s="278" t="s">
        <v>4</v>
      </c>
      <c r="C208" s="170" t="s">
        <v>1048</v>
      </c>
      <c r="D208" s="170" t="s">
        <v>425</v>
      </c>
      <c r="E208" s="169" t="s">
        <v>24</v>
      </c>
      <c r="F208" s="170" t="s">
        <v>1049</v>
      </c>
      <c r="G208" s="292" t="s">
        <v>32</v>
      </c>
      <c r="H208" s="280" t="s">
        <v>41</v>
      </c>
      <c r="I208" s="192"/>
      <c r="J208" s="292"/>
      <c r="K208" s="192"/>
      <c r="L208" s="192"/>
      <c r="M208" s="192"/>
      <c r="N208" s="192"/>
      <c r="O208" s="192"/>
      <c r="P208" s="292"/>
      <c r="Q208" s="293"/>
    </row>
    <row r="209" spans="2:17" ht="123.75" x14ac:dyDescent="0.25">
      <c r="B209" s="278" t="s">
        <v>4</v>
      </c>
      <c r="C209" s="170"/>
      <c r="D209" s="170" t="s">
        <v>426</v>
      </c>
      <c r="E209" s="169" t="s">
        <v>24</v>
      </c>
      <c r="F209" s="170" t="s">
        <v>1050</v>
      </c>
      <c r="G209" s="292" t="s">
        <v>32</v>
      </c>
      <c r="H209" s="280" t="s">
        <v>41</v>
      </c>
      <c r="I209" s="192"/>
      <c r="J209" s="292"/>
      <c r="K209" s="192"/>
      <c r="L209" s="192"/>
      <c r="M209" s="192"/>
      <c r="N209" s="192"/>
      <c r="O209" s="192"/>
      <c r="P209" s="292"/>
      <c r="Q209" s="293"/>
    </row>
    <row r="210" spans="2:17" ht="67.5" x14ac:dyDescent="0.25">
      <c r="B210" s="278" t="s">
        <v>4</v>
      </c>
      <c r="C210" s="164" t="s">
        <v>1051</v>
      </c>
      <c r="D210" s="164" t="s">
        <v>427</v>
      </c>
      <c r="E210" s="168" t="s">
        <v>24</v>
      </c>
      <c r="F210" s="164" t="s">
        <v>1052</v>
      </c>
      <c r="G210" s="294" t="s">
        <v>32</v>
      </c>
      <c r="H210" s="285" t="s">
        <v>41</v>
      </c>
      <c r="I210" s="193"/>
      <c r="J210" s="294"/>
      <c r="K210" s="193"/>
      <c r="L210" s="193"/>
      <c r="M210" s="193"/>
      <c r="N210" s="193"/>
      <c r="O210" s="193"/>
      <c r="P210" s="294"/>
      <c r="Q210" s="295"/>
    </row>
    <row r="211" spans="2:17" ht="67.5" x14ac:dyDescent="0.25">
      <c r="B211" s="278" t="s">
        <v>4</v>
      </c>
      <c r="C211" s="164"/>
      <c r="D211" s="164" t="s">
        <v>428</v>
      </c>
      <c r="E211" s="168" t="s">
        <v>24</v>
      </c>
      <c r="F211" s="172" t="s">
        <v>1053</v>
      </c>
      <c r="G211" s="294" t="s">
        <v>32</v>
      </c>
      <c r="H211" s="285" t="s">
        <v>41</v>
      </c>
      <c r="I211" s="193"/>
      <c r="J211" s="294"/>
      <c r="K211" s="193"/>
      <c r="L211" s="193"/>
      <c r="M211" s="193"/>
      <c r="N211" s="193"/>
      <c r="O211" s="193"/>
      <c r="P211" s="294"/>
      <c r="Q211" s="295"/>
    </row>
    <row r="212" spans="2:17" ht="56.25" x14ac:dyDescent="0.25">
      <c r="B212" s="278" t="s">
        <v>4</v>
      </c>
      <c r="C212" s="164"/>
      <c r="D212" s="164" t="s">
        <v>429</v>
      </c>
      <c r="E212" s="168" t="s">
        <v>24</v>
      </c>
      <c r="F212" s="164" t="s">
        <v>1054</v>
      </c>
      <c r="G212" s="294" t="s">
        <v>32</v>
      </c>
      <c r="H212" s="285" t="s">
        <v>41</v>
      </c>
      <c r="I212" s="193"/>
      <c r="J212" s="294"/>
      <c r="K212" s="193"/>
      <c r="L212" s="193"/>
      <c r="M212" s="193"/>
      <c r="N212" s="193"/>
      <c r="O212" s="193"/>
      <c r="P212" s="294"/>
      <c r="Q212" s="295"/>
    </row>
    <row r="213" spans="2:17" ht="72.95" customHeight="1" x14ac:dyDescent="0.25">
      <c r="B213" s="278" t="s">
        <v>4</v>
      </c>
      <c r="C213" s="164"/>
      <c r="D213" s="164" t="s">
        <v>430</v>
      </c>
      <c r="E213" s="168" t="s">
        <v>24</v>
      </c>
      <c r="F213" s="322" t="s">
        <v>1234</v>
      </c>
      <c r="G213" s="294" t="s">
        <v>32</v>
      </c>
      <c r="H213" s="285" t="s">
        <v>41</v>
      </c>
      <c r="I213" s="193"/>
      <c r="J213" s="294"/>
      <c r="K213" s="193"/>
      <c r="L213" s="193"/>
      <c r="M213" s="193"/>
      <c r="N213" s="193"/>
      <c r="O213" s="193"/>
      <c r="P213" s="294"/>
      <c r="Q213" s="295"/>
    </row>
    <row r="214" spans="2:17" ht="78.75" x14ac:dyDescent="0.25">
      <c r="B214" s="278" t="s">
        <v>4</v>
      </c>
      <c r="C214" s="164"/>
      <c r="D214" s="164" t="s">
        <v>431</v>
      </c>
      <c r="E214" s="168" t="s">
        <v>24</v>
      </c>
      <c r="F214" s="172" t="s">
        <v>1055</v>
      </c>
      <c r="G214" s="294" t="s">
        <v>32</v>
      </c>
      <c r="H214" s="285" t="s">
        <v>41</v>
      </c>
      <c r="I214" s="286"/>
      <c r="J214" s="294"/>
      <c r="K214" s="193"/>
      <c r="L214" s="193"/>
      <c r="M214" s="193"/>
      <c r="N214" s="193"/>
      <c r="O214" s="193"/>
      <c r="P214" s="294"/>
      <c r="Q214" s="295"/>
    </row>
    <row r="215" spans="2:17" ht="67.5" x14ac:dyDescent="0.25">
      <c r="B215" s="278" t="s">
        <v>4</v>
      </c>
      <c r="C215" s="164"/>
      <c r="D215" s="164" t="s">
        <v>432</v>
      </c>
      <c r="E215" s="168" t="s">
        <v>24</v>
      </c>
      <c r="F215" s="164" t="s">
        <v>1056</v>
      </c>
      <c r="G215" s="294" t="s">
        <v>32</v>
      </c>
      <c r="H215" s="285" t="s">
        <v>41</v>
      </c>
      <c r="I215" s="286"/>
      <c r="J215" s="294"/>
      <c r="K215" s="193"/>
      <c r="L215" s="193"/>
      <c r="M215" s="193"/>
      <c r="N215" s="193"/>
      <c r="O215" s="193"/>
      <c r="P215" s="294"/>
      <c r="Q215" s="295"/>
    </row>
    <row r="216" spans="2:17" ht="103.5" customHeight="1" x14ac:dyDescent="0.25">
      <c r="B216" s="278" t="s">
        <v>4</v>
      </c>
      <c r="C216" s="164"/>
      <c r="D216" s="164" t="s">
        <v>433</v>
      </c>
      <c r="E216" s="168" t="s">
        <v>24</v>
      </c>
      <c r="F216" s="164" t="s">
        <v>1057</v>
      </c>
      <c r="G216" s="294" t="s">
        <v>32</v>
      </c>
      <c r="H216" s="285" t="s">
        <v>41</v>
      </c>
      <c r="I216" s="286"/>
      <c r="J216" s="294"/>
      <c r="K216" s="193"/>
      <c r="L216" s="193"/>
      <c r="M216" s="193"/>
      <c r="N216" s="193"/>
      <c r="O216" s="193"/>
      <c r="P216" s="294"/>
      <c r="Q216" s="295"/>
    </row>
    <row r="217" spans="2:17" ht="41.1" customHeight="1" x14ac:dyDescent="0.25">
      <c r="B217" s="278" t="s">
        <v>4</v>
      </c>
      <c r="C217" s="170" t="s">
        <v>1058</v>
      </c>
      <c r="D217" s="170" t="s">
        <v>434</v>
      </c>
      <c r="E217" s="169" t="s">
        <v>25</v>
      </c>
      <c r="F217" s="173" t="s">
        <v>1059</v>
      </c>
      <c r="G217" s="292" t="s">
        <v>32</v>
      </c>
      <c r="H217" s="280" t="s">
        <v>41</v>
      </c>
      <c r="I217" s="283"/>
      <c r="J217" s="292"/>
      <c r="K217" s="192"/>
      <c r="L217" s="192"/>
      <c r="M217" s="192"/>
      <c r="N217" s="192"/>
      <c r="O217" s="192"/>
      <c r="P217" s="292"/>
      <c r="Q217" s="293"/>
    </row>
    <row r="218" spans="2:17" ht="35.450000000000003" customHeight="1" x14ac:dyDescent="0.25">
      <c r="B218" s="278" t="s">
        <v>4</v>
      </c>
      <c r="C218" s="170"/>
      <c r="D218" s="170" t="s">
        <v>436</v>
      </c>
      <c r="E218" s="169" t="s">
        <v>25</v>
      </c>
      <c r="F218" s="173" t="s">
        <v>1060</v>
      </c>
      <c r="G218" s="292" t="s">
        <v>32</v>
      </c>
      <c r="H218" s="280" t="s">
        <v>41</v>
      </c>
      <c r="I218" s="283"/>
      <c r="J218" s="292"/>
      <c r="K218" s="192"/>
      <c r="L218" s="192"/>
      <c r="M218" s="192"/>
      <c r="N218" s="192"/>
      <c r="O218" s="192"/>
      <c r="P218" s="292"/>
      <c r="Q218" s="293"/>
    </row>
    <row r="219" spans="2:17" ht="153.94999999999999" customHeight="1" x14ac:dyDescent="0.25">
      <c r="B219" s="278" t="s">
        <v>4</v>
      </c>
      <c r="C219" s="322" t="s">
        <v>1235</v>
      </c>
      <c r="D219" s="164" t="s">
        <v>435</v>
      </c>
      <c r="E219" s="168" t="s">
        <v>25</v>
      </c>
      <c r="F219" s="164" t="s">
        <v>1061</v>
      </c>
      <c r="G219" s="294" t="s">
        <v>32</v>
      </c>
      <c r="H219" s="285" t="s">
        <v>41</v>
      </c>
      <c r="I219" s="286"/>
      <c r="J219" s="294"/>
      <c r="K219" s="193"/>
      <c r="L219" s="193"/>
      <c r="M219" s="193"/>
      <c r="N219" s="193"/>
      <c r="O219" s="193"/>
      <c r="P219" s="294"/>
      <c r="Q219" s="295"/>
    </row>
    <row r="220" spans="2:17" ht="103.5" customHeight="1" x14ac:dyDescent="0.25">
      <c r="B220" s="278" t="s">
        <v>4</v>
      </c>
      <c r="C220" s="164"/>
      <c r="D220" s="164" t="s">
        <v>437</v>
      </c>
      <c r="E220" s="168" t="s">
        <v>25</v>
      </c>
      <c r="F220" s="164" t="s">
        <v>1062</v>
      </c>
      <c r="G220" s="294" t="s">
        <v>32</v>
      </c>
      <c r="H220" s="285" t="s">
        <v>41</v>
      </c>
      <c r="I220" s="193"/>
      <c r="J220" s="294"/>
      <c r="K220" s="193"/>
      <c r="L220" s="193"/>
      <c r="M220" s="193"/>
      <c r="N220" s="193"/>
      <c r="O220" s="193"/>
      <c r="P220" s="294"/>
      <c r="Q220" s="295"/>
    </row>
    <row r="221" spans="2:17" ht="114.6" customHeight="1" x14ac:dyDescent="0.25">
      <c r="B221" s="278" t="s">
        <v>4</v>
      </c>
      <c r="C221" s="170" t="s">
        <v>1063</v>
      </c>
      <c r="D221" s="170" t="s">
        <v>438</v>
      </c>
      <c r="E221" s="169" t="s">
        <v>25</v>
      </c>
      <c r="F221" s="173" t="s">
        <v>1064</v>
      </c>
      <c r="G221" s="292" t="s">
        <v>32</v>
      </c>
      <c r="H221" s="280" t="s">
        <v>41</v>
      </c>
      <c r="I221" s="192"/>
      <c r="J221" s="292"/>
      <c r="K221" s="192"/>
      <c r="L221" s="192"/>
      <c r="M221" s="192"/>
      <c r="N221" s="192"/>
      <c r="O221" s="192"/>
      <c r="P221" s="292"/>
      <c r="Q221" s="293"/>
    </row>
    <row r="222" spans="2:17" ht="81" customHeight="1" x14ac:dyDescent="0.25">
      <c r="B222" s="290" t="s">
        <v>7</v>
      </c>
      <c r="C222" s="164" t="s">
        <v>439</v>
      </c>
      <c r="D222" s="164" t="s">
        <v>440</v>
      </c>
      <c r="E222" s="168" t="s">
        <v>25</v>
      </c>
      <c r="F222" s="164" t="s">
        <v>1065</v>
      </c>
      <c r="G222" s="294" t="s">
        <v>32</v>
      </c>
      <c r="H222" s="285" t="s">
        <v>41</v>
      </c>
      <c r="I222" s="193"/>
      <c r="J222" s="294"/>
      <c r="K222" s="193"/>
      <c r="L222" s="193"/>
      <c r="M222" s="193"/>
      <c r="N222" s="193"/>
      <c r="O222" s="193"/>
      <c r="P222" s="294"/>
      <c r="Q222" s="295"/>
    </row>
    <row r="223" spans="2:17" ht="83.45" customHeight="1" x14ac:dyDescent="0.25">
      <c r="B223" s="290" t="s">
        <v>7</v>
      </c>
      <c r="C223" s="170" t="s">
        <v>1066</v>
      </c>
      <c r="D223" s="170" t="s">
        <v>441</v>
      </c>
      <c r="E223" s="169" t="s">
        <v>25</v>
      </c>
      <c r="F223" s="173" t="s">
        <v>1067</v>
      </c>
      <c r="G223" s="292" t="s">
        <v>32</v>
      </c>
      <c r="H223" s="280" t="s">
        <v>41</v>
      </c>
      <c r="I223" s="192"/>
      <c r="J223" s="292"/>
      <c r="K223" s="192"/>
      <c r="L223" s="192"/>
      <c r="M223" s="192"/>
      <c r="N223" s="192"/>
      <c r="O223" s="192"/>
      <c r="P223" s="292"/>
      <c r="Q223" s="293"/>
    </row>
    <row r="224" spans="2:17" x14ac:dyDescent="0.25">
      <c r="B224" s="290" t="s">
        <v>7</v>
      </c>
      <c r="C224" s="164" t="s">
        <v>1068</v>
      </c>
      <c r="D224" s="164" t="s">
        <v>442</v>
      </c>
      <c r="E224" s="168" t="s">
        <v>25</v>
      </c>
      <c r="F224" s="172" t="s">
        <v>1069</v>
      </c>
      <c r="G224" s="294" t="s">
        <v>32</v>
      </c>
      <c r="H224" s="285" t="s">
        <v>41</v>
      </c>
      <c r="I224" s="286"/>
      <c r="J224" s="294"/>
      <c r="K224" s="193"/>
      <c r="L224" s="193"/>
      <c r="M224" s="193"/>
      <c r="N224" s="193"/>
      <c r="O224" s="193"/>
      <c r="P224" s="294"/>
      <c r="Q224" s="295"/>
    </row>
    <row r="225" spans="2:17" x14ac:dyDescent="0.25">
      <c r="B225" s="290" t="s">
        <v>7</v>
      </c>
      <c r="C225" s="164"/>
      <c r="D225" s="164" t="s">
        <v>444</v>
      </c>
      <c r="E225" s="168" t="s">
        <v>25</v>
      </c>
      <c r="F225" s="172" t="s">
        <v>447</v>
      </c>
      <c r="G225" s="294" t="s">
        <v>32</v>
      </c>
      <c r="H225" s="285" t="s">
        <v>41</v>
      </c>
      <c r="I225" s="286"/>
      <c r="J225" s="294"/>
      <c r="K225" s="193"/>
      <c r="L225" s="193"/>
      <c r="M225" s="193"/>
      <c r="N225" s="193"/>
      <c r="O225" s="193"/>
      <c r="P225" s="294"/>
      <c r="Q225" s="295"/>
    </row>
    <row r="226" spans="2:17" x14ac:dyDescent="0.25">
      <c r="B226" s="290" t="s">
        <v>7</v>
      </c>
      <c r="C226" s="164"/>
      <c r="D226" s="164" t="s">
        <v>718</v>
      </c>
      <c r="E226" s="168" t="s">
        <v>25</v>
      </c>
      <c r="F226" s="172" t="s">
        <v>448</v>
      </c>
      <c r="G226" s="294" t="s">
        <v>32</v>
      </c>
      <c r="H226" s="285" t="s">
        <v>41</v>
      </c>
      <c r="I226" s="286"/>
      <c r="J226" s="294"/>
      <c r="K226" s="193"/>
      <c r="L226" s="193"/>
      <c r="M226" s="193"/>
      <c r="N226" s="193"/>
      <c r="O226" s="193"/>
      <c r="P226" s="294"/>
      <c r="Q226" s="295"/>
    </row>
    <row r="227" spans="2:17" ht="33.75" x14ac:dyDescent="0.25">
      <c r="B227" s="290" t="s">
        <v>7</v>
      </c>
      <c r="C227" s="170" t="s">
        <v>1070</v>
      </c>
      <c r="D227" s="170" t="s">
        <v>443</v>
      </c>
      <c r="E227" s="169" t="s">
        <v>25</v>
      </c>
      <c r="F227" s="173" t="s">
        <v>1071</v>
      </c>
      <c r="G227" s="292" t="s">
        <v>32</v>
      </c>
      <c r="H227" s="280" t="s">
        <v>41</v>
      </c>
      <c r="I227" s="283"/>
      <c r="J227" s="292"/>
      <c r="K227" s="192"/>
      <c r="L227" s="192"/>
      <c r="M227" s="192"/>
      <c r="N227" s="192"/>
      <c r="O227" s="192"/>
      <c r="P227" s="292"/>
      <c r="Q227" s="293"/>
    </row>
    <row r="228" spans="2:17" ht="42.95" customHeight="1" x14ac:dyDescent="0.25">
      <c r="B228" s="290" t="s">
        <v>7</v>
      </c>
      <c r="C228" s="170"/>
      <c r="D228" s="170" t="s">
        <v>445</v>
      </c>
      <c r="E228" s="169" t="s">
        <v>25</v>
      </c>
      <c r="F228" s="173" t="s">
        <v>1073</v>
      </c>
      <c r="G228" s="292" t="s">
        <v>32</v>
      </c>
      <c r="H228" s="280" t="s">
        <v>41</v>
      </c>
      <c r="I228" s="283"/>
      <c r="J228" s="292"/>
      <c r="K228" s="192"/>
      <c r="L228" s="192"/>
      <c r="M228" s="192"/>
      <c r="N228" s="192"/>
      <c r="O228" s="192"/>
      <c r="P228" s="292"/>
      <c r="Q228" s="293"/>
    </row>
    <row r="229" spans="2:17" ht="22.5" x14ac:dyDescent="0.25">
      <c r="B229" s="290" t="s">
        <v>7</v>
      </c>
      <c r="C229" s="170"/>
      <c r="D229" s="170" t="s">
        <v>446</v>
      </c>
      <c r="E229" s="169" t="s">
        <v>25</v>
      </c>
      <c r="F229" s="173" t="s">
        <v>1072</v>
      </c>
      <c r="G229" s="292" t="s">
        <v>32</v>
      </c>
      <c r="H229" s="280" t="s">
        <v>41</v>
      </c>
      <c r="I229" s="283"/>
      <c r="J229" s="292"/>
      <c r="K229" s="192"/>
      <c r="L229" s="192"/>
      <c r="M229" s="192"/>
      <c r="N229" s="192"/>
      <c r="O229" s="192"/>
      <c r="P229" s="292"/>
      <c r="Q229" s="293"/>
    </row>
    <row r="230" spans="2:17" ht="33.75" x14ac:dyDescent="0.25">
      <c r="B230" s="290" t="s">
        <v>7</v>
      </c>
      <c r="C230" s="164" t="s">
        <v>449</v>
      </c>
      <c r="D230" s="164" t="s">
        <v>450</v>
      </c>
      <c r="E230" s="168" t="s">
        <v>25</v>
      </c>
      <c r="F230" s="172" t="s">
        <v>454</v>
      </c>
      <c r="G230" s="294" t="s">
        <v>32</v>
      </c>
      <c r="H230" s="285" t="s">
        <v>41</v>
      </c>
      <c r="I230" s="286"/>
      <c r="J230" s="294"/>
      <c r="K230" s="193"/>
      <c r="L230" s="193"/>
      <c r="M230" s="193"/>
      <c r="N230" s="193"/>
      <c r="O230" s="193"/>
      <c r="P230" s="294"/>
      <c r="Q230" s="295"/>
    </row>
    <row r="231" spans="2:17" ht="43.5" customHeight="1" x14ac:dyDescent="0.25">
      <c r="B231" s="290" t="s">
        <v>7</v>
      </c>
      <c r="C231" s="164"/>
      <c r="D231" s="164" t="s">
        <v>452</v>
      </c>
      <c r="E231" s="168" t="s">
        <v>25</v>
      </c>
      <c r="F231" s="172" t="s">
        <v>1074</v>
      </c>
      <c r="G231" s="294" t="s">
        <v>32</v>
      </c>
      <c r="H231" s="285" t="s">
        <v>41</v>
      </c>
      <c r="I231" s="286"/>
      <c r="J231" s="294"/>
      <c r="K231" s="193"/>
      <c r="L231" s="193"/>
      <c r="M231" s="193"/>
      <c r="N231" s="193"/>
      <c r="O231" s="193"/>
      <c r="P231" s="294"/>
      <c r="Q231" s="295"/>
    </row>
    <row r="232" spans="2:17" ht="22.5" x14ac:dyDescent="0.25">
      <c r="B232" s="290" t="s">
        <v>7</v>
      </c>
      <c r="C232" s="164"/>
      <c r="D232" s="164" t="s">
        <v>453</v>
      </c>
      <c r="E232" s="168" t="s">
        <v>25</v>
      </c>
      <c r="F232" s="172" t="s">
        <v>455</v>
      </c>
      <c r="G232" s="294" t="s">
        <v>32</v>
      </c>
      <c r="H232" s="285" t="s">
        <v>41</v>
      </c>
      <c r="I232" s="286"/>
      <c r="J232" s="294"/>
      <c r="K232" s="193"/>
      <c r="L232" s="193"/>
      <c r="M232" s="193"/>
      <c r="N232" s="193"/>
      <c r="O232" s="193"/>
      <c r="P232" s="294"/>
      <c r="Q232" s="295"/>
    </row>
    <row r="233" spans="2:17" ht="183.6" customHeight="1" x14ac:dyDescent="0.25">
      <c r="B233" s="290" t="s">
        <v>7</v>
      </c>
      <c r="C233" s="170" t="s">
        <v>1075</v>
      </c>
      <c r="D233" s="170" t="s">
        <v>451</v>
      </c>
      <c r="E233" s="169" t="s">
        <v>24</v>
      </c>
      <c r="F233" s="322" t="s">
        <v>1236</v>
      </c>
      <c r="G233" s="292" t="s">
        <v>32</v>
      </c>
      <c r="H233" s="280" t="s">
        <v>41</v>
      </c>
      <c r="I233" s="192"/>
      <c r="J233" s="292"/>
      <c r="K233" s="192"/>
      <c r="L233" s="192"/>
      <c r="M233" s="192"/>
      <c r="N233" s="192"/>
      <c r="O233" s="192"/>
      <c r="P233" s="292"/>
      <c r="Q233" s="293"/>
    </row>
    <row r="234" spans="2:17" ht="45" x14ac:dyDescent="0.25">
      <c r="B234" s="290" t="s">
        <v>7</v>
      </c>
      <c r="C234" s="164" t="s">
        <v>1076</v>
      </c>
      <c r="D234" s="164" t="s">
        <v>456</v>
      </c>
      <c r="E234" s="168" t="s">
        <v>24</v>
      </c>
      <c r="F234" s="172" t="s">
        <v>719</v>
      </c>
      <c r="G234" s="294" t="s">
        <v>32</v>
      </c>
      <c r="H234" s="285" t="s">
        <v>41</v>
      </c>
      <c r="I234" s="193"/>
      <c r="J234" s="294"/>
      <c r="K234" s="193"/>
      <c r="L234" s="193"/>
      <c r="M234" s="193"/>
      <c r="N234" s="193"/>
      <c r="O234" s="193"/>
      <c r="P234" s="294"/>
      <c r="Q234" s="295"/>
    </row>
    <row r="235" spans="2:17" ht="84" customHeight="1" x14ac:dyDescent="0.25">
      <c r="B235" s="290" t="s">
        <v>7</v>
      </c>
      <c r="C235" s="164"/>
      <c r="D235" s="164" t="s">
        <v>720</v>
      </c>
      <c r="E235" s="168" t="s">
        <v>24</v>
      </c>
      <c r="F235" s="321" t="s">
        <v>1246</v>
      </c>
      <c r="G235" s="294" t="s">
        <v>32</v>
      </c>
      <c r="H235" s="285" t="s">
        <v>41</v>
      </c>
      <c r="I235" s="193"/>
      <c r="J235" s="294"/>
      <c r="K235" s="193"/>
      <c r="L235" s="193"/>
      <c r="M235" s="193"/>
      <c r="N235" s="193"/>
      <c r="O235" s="193"/>
      <c r="P235" s="294"/>
      <c r="Q235" s="295"/>
    </row>
    <row r="236" spans="2:17" ht="22.5" x14ac:dyDescent="0.25">
      <c r="B236" s="290" t="s">
        <v>7</v>
      </c>
      <c r="C236" s="170" t="s">
        <v>1077</v>
      </c>
      <c r="D236" s="170" t="s">
        <v>457</v>
      </c>
      <c r="E236" s="169" t="s">
        <v>24</v>
      </c>
      <c r="F236" s="173" t="s">
        <v>1078</v>
      </c>
      <c r="G236" s="292" t="s">
        <v>32</v>
      </c>
      <c r="H236" s="280" t="s">
        <v>41</v>
      </c>
      <c r="I236" s="192"/>
      <c r="J236" s="292"/>
      <c r="K236" s="192"/>
      <c r="L236" s="192"/>
      <c r="M236" s="192"/>
      <c r="N236" s="192"/>
      <c r="O236" s="192"/>
      <c r="P236" s="292"/>
      <c r="Q236" s="293"/>
    </row>
    <row r="237" spans="2:17" ht="35.450000000000003" customHeight="1" x14ac:dyDescent="0.25">
      <c r="B237" s="290" t="s">
        <v>7</v>
      </c>
      <c r="C237" s="170"/>
      <c r="D237" s="170" t="s">
        <v>721</v>
      </c>
      <c r="E237" s="169" t="s">
        <v>24</v>
      </c>
      <c r="F237" s="173" t="s">
        <v>1079</v>
      </c>
      <c r="G237" s="292" t="s">
        <v>32</v>
      </c>
      <c r="H237" s="280" t="s">
        <v>41</v>
      </c>
      <c r="I237" s="192"/>
      <c r="J237" s="292"/>
      <c r="K237" s="192"/>
      <c r="L237" s="192"/>
      <c r="M237" s="192"/>
      <c r="N237" s="192"/>
      <c r="O237" s="192"/>
      <c r="P237" s="292"/>
      <c r="Q237" s="293"/>
    </row>
    <row r="238" spans="2:17" ht="94.5" customHeight="1" x14ac:dyDescent="0.25">
      <c r="B238" s="290" t="s">
        <v>7</v>
      </c>
      <c r="C238" s="164" t="s">
        <v>1080</v>
      </c>
      <c r="D238" s="164" t="s">
        <v>458</v>
      </c>
      <c r="E238" s="168" t="s">
        <v>24</v>
      </c>
      <c r="F238" s="164" t="s">
        <v>1081</v>
      </c>
      <c r="G238" s="294" t="s">
        <v>32</v>
      </c>
      <c r="H238" s="285" t="s">
        <v>41</v>
      </c>
      <c r="I238" s="193"/>
      <c r="J238" s="294"/>
      <c r="K238" s="193"/>
      <c r="L238" s="193"/>
      <c r="M238" s="193"/>
      <c r="N238" s="193"/>
      <c r="O238" s="193"/>
      <c r="P238" s="294"/>
      <c r="Q238" s="295"/>
    </row>
    <row r="239" spans="2:17" ht="90" x14ac:dyDescent="0.25">
      <c r="B239" s="290" t="s">
        <v>7</v>
      </c>
      <c r="C239" s="170" t="s">
        <v>1082</v>
      </c>
      <c r="D239" s="170" t="s">
        <v>459</v>
      </c>
      <c r="E239" s="169" t="s">
        <v>24</v>
      </c>
      <c r="F239" s="170" t="s">
        <v>1083</v>
      </c>
      <c r="G239" s="292" t="s">
        <v>32</v>
      </c>
      <c r="H239" s="280" t="s">
        <v>41</v>
      </c>
      <c r="I239" s="192"/>
      <c r="J239" s="292"/>
      <c r="K239" s="192"/>
      <c r="L239" s="192"/>
      <c r="M239" s="192"/>
      <c r="N239" s="192"/>
      <c r="O239" s="192"/>
      <c r="P239" s="292"/>
      <c r="Q239" s="293"/>
    </row>
    <row r="240" spans="2:17" ht="54" customHeight="1" x14ac:dyDescent="0.25">
      <c r="B240" s="290" t="s">
        <v>7</v>
      </c>
      <c r="C240" s="164" t="s">
        <v>1084</v>
      </c>
      <c r="D240" s="164" t="s">
        <v>460</v>
      </c>
      <c r="E240" s="168" t="s">
        <v>24</v>
      </c>
      <c r="F240" s="172" t="s">
        <v>1085</v>
      </c>
      <c r="G240" s="294" t="s">
        <v>32</v>
      </c>
      <c r="H240" s="285" t="s">
        <v>41</v>
      </c>
      <c r="I240" s="193"/>
      <c r="J240" s="294"/>
      <c r="K240" s="193"/>
      <c r="L240" s="193"/>
      <c r="M240" s="193"/>
      <c r="N240" s="193"/>
      <c r="O240" s="193"/>
      <c r="P240" s="294"/>
      <c r="Q240" s="295"/>
    </row>
    <row r="241" spans="2:17" ht="153" customHeight="1" x14ac:dyDescent="0.25">
      <c r="B241" s="278" t="s">
        <v>461</v>
      </c>
      <c r="C241" s="170" t="s">
        <v>1086</v>
      </c>
      <c r="D241" s="170" t="s">
        <v>462</v>
      </c>
      <c r="E241" s="169" t="s">
        <v>24</v>
      </c>
      <c r="F241" s="170" t="s">
        <v>1087</v>
      </c>
      <c r="G241" s="292" t="s">
        <v>32</v>
      </c>
      <c r="H241" s="280" t="s">
        <v>41</v>
      </c>
      <c r="I241" s="192"/>
      <c r="J241" s="292"/>
      <c r="K241" s="192"/>
      <c r="L241" s="192"/>
      <c r="M241" s="192"/>
      <c r="N241" s="192"/>
      <c r="O241" s="192"/>
      <c r="P241" s="292"/>
      <c r="Q241" s="293"/>
    </row>
    <row r="242" spans="2:17" ht="22.5" x14ac:dyDescent="0.25">
      <c r="B242" s="278" t="s">
        <v>461</v>
      </c>
      <c r="C242" s="170"/>
      <c r="D242" s="170" t="s">
        <v>463</v>
      </c>
      <c r="E242" s="169" t="s">
        <v>24</v>
      </c>
      <c r="F242" s="173" t="s">
        <v>1088</v>
      </c>
      <c r="G242" s="292" t="s">
        <v>32</v>
      </c>
      <c r="H242" s="280" t="s">
        <v>41</v>
      </c>
      <c r="I242" s="192"/>
      <c r="J242" s="292"/>
      <c r="K242" s="192"/>
      <c r="L242" s="192"/>
      <c r="M242" s="192"/>
      <c r="N242" s="192"/>
      <c r="O242" s="192"/>
      <c r="P242" s="292"/>
      <c r="Q242" s="293"/>
    </row>
    <row r="243" spans="2:17" ht="125.1" customHeight="1" x14ac:dyDescent="0.25">
      <c r="B243" s="278" t="s">
        <v>461</v>
      </c>
      <c r="C243" s="170"/>
      <c r="D243" s="170" t="s">
        <v>464</v>
      </c>
      <c r="E243" s="169" t="s">
        <v>24</v>
      </c>
      <c r="F243" s="170" t="s">
        <v>1089</v>
      </c>
      <c r="G243" s="292" t="s">
        <v>32</v>
      </c>
      <c r="H243" s="280" t="s">
        <v>41</v>
      </c>
      <c r="I243" s="192"/>
      <c r="J243" s="292"/>
      <c r="K243" s="192"/>
      <c r="L243" s="192"/>
      <c r="M243" s="192"/>
      <c r="N243" s="192"/>
      <c r="O243" s="192"/>
      <c r="P243" s="292"/>
      <c r="Q243" s="293"/>
    </row>
    <row r="244" spans="2:17" ht="56.25" x14ac:dyDescent="0.25">
      <c r="B244" s="278" t="s">
        <v>461</v>
      </c>
      <c r="C244" s="170"/>
      <c r="D244" s="170" t="s">
        <v>465</v>
      </c>
      <c r="E244" s="169" t="s">
        <v>24</v>
      </c>
      <c r="F244" s="170" t="s">
        <v>1090</v>
      </c>
      <c r="G244" s="292" t="s">
        <v>32</v>
      </c>
      <c r="H244" s="280" t="s">
        <v>41</v>
      </c>
      <c r="I244" s="192"/>
      <c r="J244" s="292"/>
      <c r="K244" s="192"/>
      <c r="L244" s="192"/>
      <c r="M244" s="192"/>
      <c r="N244" s="192"/>
      <c r="O244" s="192"/>
      <c r="P244" s="292"/>
      <c r="Q244" s="293"/>
    </row>
    <row r="245" spans="2:17" ht="44.1" customHeight="1" x14ac:dyDescent="0.25">
      <c r="B245" s="278" t="s">
        <v>461</v>
      </c>
      <c r="C245" s="164" t="s">
        <v>1091</v>
      </c>
      <c r="D245" s="164" t="s">
        <v>466</v>
      </c>
      <c r="E245" s="168" t="s">
        <v>24</v>
      </c>
      <c r="F245" s="172" t="s">
        <v>1091</v>
      </c>
      <c r="G245" s="294" t="s">
        <v>32</v>
      </c>
      <c r="H245" s="285" t="s">
        <v>41</v>
      </c>
      <c r="I245" s="193"/>
      <c r="J245" s="294"/>
      <c r="K245" s="193"/>
      <c r="L245" s="193"/>
      <c r="M245" s="193"/>
      <c r="N245" s="193"/>
      <c r="O245" s="193"/>
      <c r="P245" s="294"/>
      <c r="Q245" s="295"/>
    </row>
    <row r="246" spans="2:17" ht="67.5" x14ac:dyDescent="0.25">
      <c r="B246" s="278" t="s">
        <v>461</v>
      </c>
      <c r="C246" s="170" t="s">
        <v>1092</v>
      </c>
      <c r="D246" s="170" t="s">
        <v>467</v>
      </c>
      <c r="E246" s="169" t="s">
        <v>24</v>
      </c>
      <c r="F246" s="170" t="s">
        <v>1093</v>
      </c>
      <c r="G246" s="292" t="s">
        <v>32</v>
      </c>
      <c r="H246" s="280" t="s">
        <v>41</v>
      </c>
      <c r="I246" s="192"/>
      <c r="J246" s="292"/>
      <c r="K246" s="192"/>
      <c r="L246" s="192"/>
      <c r="M246" s="192"/>
      <c r="N246" s="192"/>
      <c r="O246" s="192"/>
      <c r="P246" s="292"/>
      <c r="Q246" s="293"/>
    </row>
    <row r="247" spans="2:17" ht="72.95" customHeight="1" x14ac:dyDescent="0.25">
      <c r="B247" s="278" t="s">
        <v>461</v>
      </c>
      <c r="C247" s="164" t="s">
        <v>471</v>
      </c>
      <c r="D247" s="164" t="s">
        <v>468</v>
      </c>
      <c r="E247" s="168" t="s">
        <v>24</v>
      </c>
      <c r="F247" s="164" t="s">
        <v>1094</v>
      </c>
      <c r="G247" s="294" t="s">
        <v>32</v>
      </c>
      <c r="H247" s="285" t="s">
        <v>41</v>
      </c>
      <c r="I247" s="193"/>
      <c r="J247" s="294"/>
      <c r="K247" s="193"/>
      <c r="L247" s="193"/>
      <c r="M247" s="193"/>
      <c r="N247" s="193"/>
      <c r="O247" s="193"/>
      <c r="P247" s="294"/>
      <c r="Q247" s="295"/>
    </row>
    <row r="248" spans="2:17" ht="45" x14ac:dyDescent="0.25">
      <c r="B248" s="278" t="s">
        <v>461</v>
      </c>
      <c r="C248" s="170" t="s">
        <v>1095</v>
      </c>
      <c r="D248" s="170" t="s">
        <v>469</v>
      </c>
      <c r="E248" s="169" t="s">
        <v>24</v>
      </c>
      <c r="F248" s="170" t="s">
        <v>1096</v>
      </c>
      <c r="G248" s="292" t="s">
        <v>32</v>
      </c>
      <c r="H248" s="280" t="s">
        <v>41</v>
      </c>
      <c r="I248" s="192"/>
      <c r="J248" s="292"/>
      <c r="K248" s="192"/>
      <c r="L248" s="192"/>
      <c r="M248" s="192"/>
      <c r="N248" s="192"/>
      <c r="O248" s="192"/>
      <c r="P248" s="292"/>
      <c r="Q248" s="293"/>
    </row>
    <row r="249" spans="2:17" ht="45" x14ac:dyDescent="0.25">
      <c r="B249" s="278" t="s">
        <v>461</v>
      </c>
      <c r="C249" s="164" t="s">
        <v>1097</v>
      </c>
      <c r="D249" s="164" t="s">
        <v>470</v>
      </c>
      <c r="E249" s="168" t="s">
        <v>24</v>
      </c>
      <c r="F249" s="164" t="s">
        <v>1098</v>
      </c>
      <c r="G249" s="294" t="s">
        <v>32</v>
      </c>
      <c r="H249" s="285" t="s">
        <v>41</v>
      </c>
      <c r="I249" s="193"/>
      <c r="J249" s="294"/>
      <c r="K249" s="193"/>
      <c r="L249" s="193"/>
      <c r="M249" s="193"/>
      <c r="N249" s="193"/>
      <c r="O249" s="193"/>
      <c r="P249" s="294"/>
      <c r="Q249" s="295"/>
    </row>
    <row r="250" spans="2:17" ht="93" customHeight="1" x14ac:dyDescent="0.25">
      <c r="B250" s="278" t="s">
        <v>461</v>
      </c>
      <c r="C250" s="170" t="s">
        <v>1099</v>
      </c>
      <c r="D250" s="170" t="s">
        <v>472</v>
      </c>
      <c r="E250" s="169" t="s">
        <v>24</v>
      </c>
      <c r="F250" s="321" t="s">
        <v>1238</v>
      </c>
      <c r="G250" s="292" t="s">
        <v>32</v>
      </c>
      <c r="H250" s="280" t="s">
        <v>41</v>
      </c>
      <c r="I250" s="192"/>
      <c r="J250" s="292"/>
      <c r="K250" s="192"/>
      <c r="L250" s="192"/>
      <c r="M250" s="192"/>
      <c r="N250" s="192"/>
      <c r="O250" s="192"/>
      <c r="P250" s="292"/>
      <c r="Q250" s="293"/>
    </row>
    <row r="251" spans="2:17" ht="84" customHeight="1" x14ac:dyDescent="0.25">
      <c r="B251" s="278" t="s">
        <v>461</v>
      </c>
      <c r="C251" s="170"/>
      <c r="D251" s="170" t="s">
        <v>722</v>
      </c>
      <c r="E251" s="169" t="s">
        <v>24</v>
      </c>
      <c r="F251" s="170" t="s">
        <v>1100</v>
      </c>
      <c r="G251" s="292" t="s">
        <v>32</v>
      </c>
      <c r="H251" s="280" t="s">
        <v>41</v>
      </c>
      <c r="I251" s="283"/>
      <c r="J251" s="292"/>
      <c r="K251" s="192"/>
      <c r="L251" s="192"/>
      <c r="M251" s="192"/>
      <c r="N251" s="192"/>
      <c r="O251" s="192"/>
      <c r="P251" s="292"/>
      <c r="Q251" s="293"/>
    </row>
    <row r="252" spans="2:17" ht="83.45" customHeight="1" x14ac:dyDescent="0.25">
      <c r="B252" s="278" t="s">
        <v>461</v>
      </c>
      <c r="C252" s="170"/>
      <c r="D252" s="170" t="s">
        <v>723</v>
      </c>
      <c r="E252" s="169" t="s">
        <v>24</v>
      </c>
      <c r="F252" s="170" t="s">
        <v>1101</v>
      </c>
      <c r="G252" s="292" t="s">
        <v>32</v>
      </c>
      <c r="H252" s="280" t="s">
        <v>41</v>
      </c>
      <c r="I252" s="283"/>
      <c r="J252" s="292"/>
      <c r="K252" s="192"/>
      <c r="L252" s="192"/>
      <c r="M252" s="192"/>
      <c r="N252" s="192"/>
      <c r="O252" s="192"/>
      <c r="P252" s="292"/>
      <c r="Q252" s="293"/>
    </row>
    <row r="253" spans="2:17" ht="67.5" x14ac:dyDescent="0.25">
      <c r="B253" s="278" t="s">
        <v>461</v>
      </c>
      <c r="C253" s="164" t="s">
        <v>1102</v>
      </c>
      <c r="D253" s="164" t="s">
        <v>473</v>
      </c>
      <c r="E253" s="168" t="s">
        <v>24</v>
      </c>
      <c r="F253" s="164" t="s">
        <v>1103</v>
      </c>
      <c r="G253" s="294" t="s">
        <v>32</v>
      </c>
      <c r="H253" s="285" t="s">
        <v>41</v>
      </c>
      <c r="I253" s="193"/>
      <c r="J253" s="294"/>
      <c r="K253" s="193"/>
      <c r="L253" s="193"/>
      <c r="M253" s="193"/>
      <c r="N253" s="193"/>
      <c r="O253" s="193"/>
      <c r="P253" s="294"/>
      <c r="Q253" s="295"/>
    </row>
    <row r="254" spans="2:17" ht="67.5" x14ac:dyDescent="0.25">
      <c r="B254" s="278" t="s">
        <v>461</v>
      </c>
      <c r="C254" s="164"/>
      <c r="D254" s="164" t="s">
        <v>724</v>
      </c>
      <c r="E254" s="168" t="s">
        <v>24</v>
      </c>
      <c r="F254" s="164" t="s">
        <v>1104</v>
      </c>
      <c r="G254" s="294" t="s">
        <v>32</v>
      </c>
      <c r="H254" s="285" t="s">
        <v>41</v>
      </c>
      <c r="I254" s="193"/>
      <c r="J254" s="294"/>
      <c r="K254" s="193"/>
      <c r="L254" s="193"/>
      <c r="M254" s="193"/>
      <c r="N254" s="193"/>
      <c r="O254" s="193"/>
      <c r="P254" s="294"/>
      <c r="Q254" s="295"/>
    </row>
    <row r="255" spans="2:17" ht="56.25" x14ac:dyDescent="0.25">
      <c r="B255" s="278" t="s">
        <v>461</v>
      </c>
      <c r="C255" s="170" t="s">
        <v>1115</v>
      </c>
      <c r="D255" s="170" t="s">
        <v>474</v>
      </c>
      <c r="E255" s="169" t="s">
        <v>25</v>
      </c>
      <c r="F255" s="173" t="s">
        <v>1105</v>
      </c>
      <c r="G255" s="292" t="s">
        <v>32</v>
      </c>
      <c r="H255" s="280" t="s">
        <v>41</v>
      </c>
      <c r="I255" s="192"/>
      <c r="J255" s="292"/>
      <c r="K255" s="192"/>
      <c r="L255" s="192"/>
      <c r="M255" s="192"/>
      <c r="N255" s="192"/>
      <c r="O255" s="192"/>
      <c r="P255" s="292"/>
      <c r="Q255" s="293"/>
    </row>
    <row r="256" spans="2:17" ht="56.25" x14ac:dyDescent="0.25">
      <c r="B256" s="278" t="s">
        <v>461</v>
      </c>
      <c r="C256" s="164" t="s">
        <v>1106</v>
      </c>
      <c r="D256" s="164" t="s">
        <v>475</v>
      </c>
      <c r="E256" s="168" t="s">
        <v>24</v>
      </c>
      <c r="F256" s="172" t="s">
        <v>1107</v>
      </c>
      <c r="G256" s="294" t="s">
        <v>32</v>
      </c>
      <c r="H256" s="285" t="s">
        <v>41</v>
      </c>
      <c r="I256" s="193"/>
      <c r="J256" s="294"/>
      <c r="K256" s="193"/>
      <c r="L256" s="193"/>
      <c r="M256" s="193"/>
      <c r="N256" s="193"/>
      <c r="O256" s="193"/>
      <c r="P256" s="294"/>
      <c r="Q256" s="295"/>
    </row>
    <row r="257" spans="2:17" ht="66.95" customHeight="1" x14ac:dyDescent="0.25">
      <c r="B257" s="278" t="s">
        <v>461</v>
      </c>
      <c r="C257" s="164"/>
      <c r="D257" s="164" t="s">
        <v>725</v>
      </c>
      <c r="E257" s="168" t="s">
        <v>24</v>
      </c>
      <c r="F257" s="172" t="s">
        <v>1108</v>
      </c>
      <c r="G257" s="294" t="s">
        <v>32</v>
      </c>
      <c r="H257" s="285" t="s">
        <v>41</v>
      </c>
      <c r="I257" s="193"/>
      <c r="J257" s="294"/>
      <c r="K257" s="193"/>
      <c r="L257" s="193"/>
      <c r="M257" s="193"/>
      <c r="N257" s="193"/>
      <c r="O257" s="193"/>
      <c r="P257" s="294"/>
      <c r="Q257" s="295"/>
    </row>
    <row r="258" spans="2:17" ht="90" x14ac:dyDescent="0.25">
      <c r="B258" s="278" t="s">
        <v>461</v>
      </c>
      <c r="C258" s="170" t="s">
        <v>1109</v>
      </c>
      <c r="D258" s="170" t="s">
        <v>476</v>
      </c>
      <c r="E258" s="169" t="s">
        <v>24</v>
      </c>
      <c r="F258" s="173" t="s">
        <v>1110</v>
      </c>
      <c r="G258" s="292" t="s">
        <v>32</v>
      </c>
      <c r="H258" s="280" t="s">
        <v>41</v>
      </c>
      <c r="I258" s="192"/>
      <c r="J258" s="292"/>
      <c r="K258" s="192"/>
      <c r="L258" s="192"/>
      <c r="M258" s="192"/>
      <c r="N258" s="192"/>
      <c r="O258" s="192"/>
      <c r="P258" s="292"/>
      <c r="Q258" s="293"/>
    </row>
    <row r="259" spans="2:17" ht="56.25" x14ac:dyDescent="0.25">
      <c r="B259" s="278" t="s">
        <v>461</v>
      </c>
      <c r="C259" s="164" t="s">
        <v>1111</v>
      </c>
      <c r="D259" s="164" t="s">
        <v>477</v>
      </c>
      <c r="E259" s="168" t="s">
        <v>24</v>
      </c>
      <c r="F259" s="172" t="s">
        <v>1112</v>
      </c>
      <c r="G259" s="294" t="s">
        <v>32</v>
      </c>
      <c r="H259" s="285" t="s">
        <v>41</v>
      </c>
      <c r="I259" s="193"/>
      <c r="J259" s="294"/>
      <c r="K259" s="193"/>
      <c r="L259" s="193"/>
      <c r="M259" s="193"/>
      <c r="N259" s="193"/>
      <c r="O259" s="193"/>
      <c r="P259" s="294"/>
      <c r="Q259" s="295"/>
    </row>
    <row r="260" spans="2:17" ht="33.75" x14ac:dyDescent="0.25">
      <c r="B260" s="278" t="s">
        <v>461</v>
      </c>
      <c r="C260" s="164"/>
      <c r="D260" s="164" t="s">
        <v>726</v>
      </c>
      <c r="E260" s="168" t="s">
        <v>24</v>
      </c>
      <c r="F260" s="172" t="s">
        <v>1113</v>
      </c>
      <c r="G260" s="294" t="s">
        <v>32</v>
      </c>
      <c r="H260" s="285" t="s">
        <v>41</v>
      </c>
      <c r="I260" s="193"/>
      <c r="J260" s="294"/>
      <c r="K260" s="193"/>
      <c r="L260" s="193"/>
      <c r="M260" s="193"/>
      <c r="N260" s="193"/>
      <c r="O260" s="193"/>
      <c r="P260" s="294"/>
      <c r="Q260" s="295"/>
    </row>
    <row r="261" spans="2:17" ht="22.5" x14ac:dyDescent="0.25">
      <c r="B261" s="296" t="s">
        <v>461</v>
      </c>
      <c r="C261" s="297"/>
      <c r="D261" s="297" t="s">
        <v>727</v>
      </c>
      <c r="E261" s="298" t="s">
        <v>24</v>
      </c>
      <c r="F261" s="299" t="s">
        <v>1114</v>
      </c>
      <c r="G261" s="300" t="s">
        <v>32</v>
      </c>
      <c r="H261" s="301" t="s">
        <v>41</v>
      </c>
      <c r="I261" s="302"/>
      <c r="J261" s="300"/>
      <c r="K261" s="302"/>
      <c r="L261" s="302"/>
      <c r="M261" s="302"/>
      <c r="N261" s="302"/>
      <c r="O261" s="302"/>
      <c r="P261" s="300"/>
      <c r="Q261" s="303"/>
    </row>
    <row r="262" spans="2:17" x14ac:dyDescent="0.25">
      <c r="H262" s="115">
        <f>COUNTIF(H4:H261,"=Indéterminé")</f>
        <v>258</v>
      </c>
    </row>
    <row r="265" spans="2:17" x14ac:dyDescent="0.25">
      <c r="F265" s="56"/>
    </row>
    <row r="266" spans="2:17" x14ac:dyDescent="0.25">
      <c r="F266" s="56"/>
    </row>
    <row r="267" spans="2:17" x14ac:dyDescent="0.25">
      <c r="F267" s="56"/>
    </row>
    <row r="268" spans="2:17" x14ac:dyDescent="0.25">
      <c r="F268" s="56"/>
    </row>
    <row r="269" spans="2:17" x14ac:dyDescent="0.25">
      <c r="F269" s="56"/>
    </row>
    <row r="270" spans="2:17" x14ac:dyDescent="0.25">
      <c r="F270" s="56"/>
    </row>
    <row r="271" spans="2:17" x14ac:dyDescent="0.25">
      <c r="F271" s="56"/>
    </row>
    <row r="272" spans="2:17" x14ac:dyDescent="0.25">
      <c r="F272" s="56"/>
    </row>
    <row r="273" spans="2:9" x14ac:dyDescent="0.25">
      <c r="F273" s="56"/>
    </row>
    <row r="274" spans="2:9" x14ac:dyDescent="0.25">
      <c r="F274" s="56"/>
    </row>
    <row r="275" spans="2:9" x14ac:dyDescent="0.25">
      <c r="F275" s="56"/>
    </row>
    <row r="276" spans="2:9" x14ac:dyDescent="0.25">
      <c r="B276" s="108"/>
      <c r="C276" s="108"/>
      <c r="D276" s="108"/>
      <c r="F276" s="56"/>
      <c r="G276" s="108"/>
      <c r="H276" s="108"/>
      <c r="I276" s="108"/>
    </row>
    <row r="277" spans="2:9" x14ac:dyDescent="0.25">
      <c r="B277" s="108"/>
      <c r="C277" s="108"/>
      <c r="D277" s="108"/>
      <c r="F277" s="56"/>
      <c r="G277" s="108"/>
      <c r="H277" s="108"/>
      <c r="I277" s="108"/>
    </row>
    <row r="278" spans="2:9" x14ac:dyDescent="0.25">
      <c r="B278" s="108"/>
      <c r="C278" s="108"/>
      <c r="D278" s="108"/>
      <c r="F278" s="56"/>
      <c r="G278" s="108"/>
      <c r="H278" s="108"/>
      <c r="I278" s="108"/>
    </row>
    <row r="279" spans="2:9" x14ac:dyDescent="0.25">
      <c r="B279" s="108"/>
      <c r="C279" s="108"/>
      <c r="D279" s="108"/>
      <c r="F279" s="56"/>
      <c r="G279" s="108"/>
      <c r="H279" s="108"/>
      <c r="I279" s="108"/>
    </row>
    <row r="280" spans="2:9" x14ac:dyDescent="0.25">
      <c r="B280" s="108"/>
      <c r="C280" s="108"/>
      <c r="D280" s="108"/>
      <c r="F280" s="56"/>
      <c r="G280" s="108"/>
      <c r="H280" s="108"/>
      <c r="I280" s="108"/>
    </row>
    <row r="281" spans="2:9" x14ac:dyDescent="0.25">
      <c r="B281" s="108"/>
      <c r="C281" s="108"/>
      <c r="D281" s="108"/>
      <c r="F281" s="56"/>
      <c r="G281" s="108"/>
      <c r="H281" s="108"/>
      <c r="I281" s="108"/>
    </row>
    <row r="282" spans="2:9" x14ac:dyDescent="0.25">
      <c r="B282" s="108"/>
      <c r="C282" s="108"/>
      <c r="D282" s="108"/>
      <c r="F282" s="56"/>
      <c r="G282" s="108"/>
      <c r="H282" s="108"/>
      <c r="I282" s="108"/>
    </row>
    <row r="283" spans="2:9" x14ac:dyDescent="0.25">
      <c r="B283" s="108"/>
      <c r="C283" s="108"/>
      <c r="D283" s="108"/>
      <c r="F283" s="56"/>
      <c r="G283" s="108"/>
      <c r="H283" s="108"/>
      <c r="I283" s="108"/>
    </row>
    <row r="284" spans="2:9" x14ac:dyDescent="0.25">
      <c r="B284" s="108"/>
      <c r="C284" s="108"/>
      <c r="D284" s="108"/>
      <c r="F284" s="56"/>
      <c r="G284" s="108"/>
      <c r="H284" s="108"/>
      <c r="I284" s="108"/>
    </row>
    <row r="285" spans="2:9" x14ac:dyDescent="0.25">
      <c r="B285" s="108"/>
      <c r="C285" s="108"/>
      <c r="D285" s="108"/>
      <c r="F285" s="56"/>
      <c r="G285" s="108"/>
      <c r="H285" s="108"/>
      <c r="I285" s="108"/>
    </row>
    <row r="286" spans="2:9" x14ac:dyDescent="0.25">
      <c r="B286" s="108"/>
      <c r="C286" s="108"/>
      <c r="D286" s="108"/>
      <c r="F286" s="56"/>
      <c r="G286" s="108"/>
      <c r="H286" s="108"/>
      <c r="I286" s="108"/>
    </row>
    <row r="287" spans="2:9" x14ac:dyDescent="0.25">
      <c r="B287" s="108"/>
      <c r="C287" s="108"/>
      <c r="D287" s="108"/>
      <c r="F287" s="56"/>
      <c r="G287" s="108"/>
      <c r="H287" s="108"/>
      <c r="I287" s="108"/>
    </row>
    <row r="288" spans="2:9" x14ac:dyDescent="0.25">
      <c r="B288" s="108"/>
      <c r="C288" s="108"/>
      <c r="D288" s="108"/>
      <c r="F288" s="56"/>
      <c r="G288" s="108"/>
      <c r="H288" s="108"/>
      <c r="I288" s="108"/>
    </row>
    <row r="289" spans="6:6" s="108" customFormat="1" x14ac:dyDescent="0.25">
      <c r="F289" s="56"/>
    </row>
    <row r="290" spans="6:6" s="108" customFormat="1" x14ac:dyDescent="0.25">
      <c r="F290" s="56"/>
    </row>
    <row r="291" spans="6:6" s="108" customFormat="1" x14ac:dyDescent="0.25">
      <c r="F291" s="56"/>
    </row>
    <row r="292" spans="6:6" s="108" customFormat="1" x14ac:dyDescent="0.25">
      <c r="F292" s="56"/>
    </row>
    <row r="293" spans="6:6" s="108" customFormat="1" x14ac:dyDescent="0.25">
      <c r="F293" s="56"/>
    </row>
    <row r="294" spans="6:6" s="108" customFormat="1" x14ac:dyDescent="0.25">
      <c r="F294" s="56"/>
    </row>
    <row r="295" spans="6:6" s="108" customFormat="1" x14ac:dyDescent="0.25">
      <c r="F295" s="56"/>
    </row>
    <row r="296" spans="6:6" s="108" customFormat="1" x14ac:dyDescent="0.25">
      <c r="F296" s="56"/>
    </row>
    <row r="297" spans="6:6" s="108" customFormat="1" x14ac:dyDescent="0.25">
      <c r="F297" s="56"/>
    </row>
    <row r="298" spans="6:6" s="108" customFormat="1" x14ac:dyDescent="0.25">
      <c r="F298" s="56"/>
    </row>
    <row r="299" spans="6:6" s="108" customFormat="1" x14ac:dyDescent="0.25">
      <c r="F299" s="56"/>
    </row>
    <row r="300" spans="6:6" s="108" customFormat="1" x14ac:dyDescent="0.25">
      <c r="F300" s="56"/>
    </row>
    <row r="301" spans="6:6" s="108" customFormat="1" x14ac:dyDescent="0.25">
      <c r="F301" s="56"/>
    </row>
    <row r="302" spans="6:6" s="108" customFormat="1" x14ac:dyDescent="0.25">
      <c r="F302" s="56"/>
    </row>
    <row r="303" spans="6:6" s="108" customFormat="1" x14ac:dyDescent="0.25">
      <c r="F303" s="56"/>
    </row>
    <row r="304" spans="6:6" s="108" customFormat="1" x14ac:dyDescent="0.25">
      <c r="F304" s="56"/>
    </row>
    <row r="305" spans="6:6" s="108" customFormat="1" x14ac:dyDescent="0.25">
      <c r="F305" s="56"/>
    </row>
    <row r="306" spans="6:6" s="108" customFormat="1" x14ac:dyDescent="0.25">
      <c r="F306" s="56"/>
    </row>
    <row r="307" spans="6:6" s="108" customFormat="1" x14ac:dyDescent="0.25">
      <c r="F307" s="56"/>
    </row>
    <row r="308" spans="6:6" s="108" customFormat="1" x14ac:dyDescent="0.25">
      <c r="F308" s="56"/>
    </row>
    <row r="309" spans="6:6" s="108" customFormat="1" x14ac:dyDescent="0.25">
      <c r="F309" s="56"/>
    </row>
    <row r="310" spans="6:6" s="108" customFormat="1" x14ac:dyDescent="0.25">
      <c r="F310" s="56"/>
    </row>
    <row r="311" spans="6:6" s="108" customFormat="1" x14ac:dyDescent="0.25">
      <c r="F311" s="56"/>
    </row>
    <row r="312" spans="6:6" s="108" customFormat="1" x14ac:dyDescent="0.25">
      <c r="F312" s="56"/>
    </row>
    <row r="313" spans="6:6" s="108" customFormat="1" x14ac:dyDescent="0.25">
      <c r="F313" s="56"/>
    </row>
    <row r="314" spans="6:6" s="108" customFormat="1" x14ac:dyDescent="0.25">
      <c r="F314" s="56"/>
    </row>
    <row r="315" spans="6:6" s="108" customFormat="1" x14ac:dyDescent="0.25">
      <c r="F315" s="56"/>
    </row>
    <row r="316" spans="6:6" s="108" customFormat="1" x14ac:dyDescent="0.25">
      <c r="F316" s="56"/>
    </row>
    <row r="317" spans="6:6" s="108" customFormat="1" x14ac:dyDescent="0.25">
      <c r="F317" s="56"/>
    </row>
    <row r="318" spans="6:6" s="108" customFormat="1" x14ac:dyDescent="0.25">
      <c r="F318" s="56"/>
    </row>
    <row r="319" spans="6:6" s="108" customFormat="1" x14ac:dyDescent="0.25">
      <c r="F319" s="56"/>
    </row>
    <row r="320" spans="6:6" s="108" customFormat="1" x14ac:dyDescent="0.25">
      <c r="F320" s="56"/>
    </row>
    <row r="321" spans="6:6" s="108" customFormat="1" x14ac:dyDescent="0.25">
      <c r="F321" s="56"/>
    </row>
    <row r="322" spans="6:6" s="108" customFormat="1" x14ac:dyDescent="0.25">
      <c r="F322" s="56"/>
    </row>
    <row r="323" spans="6:6" s="108" customFormat="1" x14ac:dyDescent="0.25">
      <c r="F323" s="56"/>
    </row>
    <row r="324" spans="6:6" s="108" customFormat="1" x14ac:dyDescent="0.25">
      <c r="F324" s="56"/>
    </row>
    <row r="325" spans="6:6" s="108" customFormat="1" x14ac:dyDescent="0.25">
      <c r="F325" s="56"/>
    </row>
    <row r="326" spans="6:6" s="108" customFormat="1" x14ac:dyDescent="0.25">
      <c r="F326" s="56"/>
    </row>
    <row r="327" spans="6:6" s="108" customFormat="1" x14ac:dyDescent="0.25">
      <c r="F327" s="56"/>
    </row>
    <row r="328" spans="6:6" s="108" customFormat="1" x14ac:dyDescent="0.25">
      <c r="F328" s="56"/>
    </row>
    <row r="329" spans="6:6" s="108" customFormat="1" x14ac:dyDescent="0.25">
      <c r="F329" s="56"/>
    </row>
    <row r="330" spans="6:6" s="108" customFormat="1" x14ac:dyDescent="0.25">
      <c r="F330" s="56"/>
    </row>
    <row r="331" spans="6:6" s="108" customFormat="1" x14ac:dyDescent="0.25">
      <c r="F331" s="56"/>
    </row>
    <row r="332" spans="6:6" s="108" customFormat="1" x14ac:dyDescent="0.25">
      <c r="F332" s="56"/>
    </row>
    <row r="333" spans="6:6" s="108" customFormat="1" x14ac:dyDescent="0.25">
      <c r="F333" s="56"/>
    </row>
    <row r="334" spans="6:6" s="108" customFormat="1" x14ac:dyDescent="0.25">
      <c r="F334" s="56"/>
    </row>
    <row r="335" spans="6:6" s="108" customFormat="1" x14ac:dyDescent="0.25">
      <c r="F335" s="56"/>
    </row>
    <row r="336" spans="6:6" s="108" customFormat="1" x14ac:dyDescent="0.25">
      <c r="F336" s="56"/>
    </row>
    <row r="337" spans="6:6" s="108" customFormat="1" x14ac:dyDescent="0.25">
      <c r="F337" s="56"/>
    </row>
    <row r="338" spans="6:6" s="108" customFormat="1" x14ac:dyDescent="0.25">
      <c r="F338" s="56"/>
    </row>
    <row r="339" spans="6:6" s="108" customFormat="1" x14ac:dyDescent="0.25">
      <c r="F339" s="56"/>
    </row>
    <row r="340" spans="6:6" s="108" customFormat="1" x14ac:dyDescent="0.25">
      <c r="F340" s="56"/>
    </row>
    <row r="341" spans="6:6" s="108" customFormat="1" x14ac:dyDescent="0.25">
      <c r="F341" s="56"/>
    </row>
    <row r="342" spans="6:6" s="108" customFormat="1" x14ac:dyDescent="0.25">
      <c r="F342" s="56"/>
    </row>
    <row r="343" spans="6:6" s="108" customFormat="1" x14ac:dyDescent="0.25">
      <c r="F343" s="56"/>
    </row>
    <row r="344" spans="6:6" s="108" customFormat="1" x14ac:dyDescent="0.25">
      <c r="F344" s="56"/>
    </row>
    <row r="345" spans="6:6" s="108" customFormat="1" x14ac:dyDescent="0.25">
      <c r="F345" s="56"/>
    </row>
    <row r="346" spans="6:6" s="108" customFormat="1" x14ac:dyDescent="0.25">
      <c r="F346" s="56"/>
    </row>
    <row r="347" spans="6:6" s="108" customFormat="1" x14ac:dyDescent="0.25">
      <c r="F347" s="56"/>
    </row>
    <row r="348" spans="6:6" s="108" customFormat="1" x14ac:dyDescent="0.25">
      <c r="F348" s="56"/>
    </row>
    <row r="349" spans="6:6" s="108" customFormat="1" x14ac:dyDescent="0.25">
      <c r="F349" s="56"/>
    </row>
    <row r="350" spans="6:6" s="108" customFormat="1" x14ac:dyDescent="0.25">
      <c r="F350" s="56"/>
    </row>
    <row r="351" spans="6:6" s="108" customFormat="1" x14ac:dyDescent="0.25">
      <c r="F351" s="56"/>
    </row>
    <row r="352" spans="6:6" s="108" customFormat="1" x14ac:dyDescent="0.25">
      <c r="F352" s="56"/>
    </row>
    <row r="353" spans="6:6" s="108" customFormat="1" x14ac:dyDescent="0.25">
      <c r="F353" s="56"/>
    </row>
    <row r="354" spans="6:6" s="108" customFormat="1" x14ac:dyDescent="0.25">
      <c r="F354" s="56"/>
    </row>
    <row r="355" spans="6:6" s="108" customFormat="1" x14ac:dyDescent="0.25">
      <c r="F355" s="56"/>
    </row>
    <row r="356" spans="6:6" s="108" customFormat="1" x14ac:dyDescent="0.25">
      <c r="F356" s="56"/>
    </row>
    <row r="357" spans="6:6" s="108" customFormat="1" x14ac:dyDescent="0.25">
      <c r="F357" s="56"/>
    </row>
    <row r="358" spans="6:6" s="108" customFormat="1" x14ac:dyDescent="0.25">
      <c r="F358" s="56"/>
    </row>
    <row r="359" spans="6:6" s="108" customFormat="1" x14ac:dyDescent="0.25">
      <c r="F359" s="56"/>
    </row>
    <row r="360" spans="6:6" s="108" customFormat="1" x14ac:dyDescent="0.25">
      <c r="F360" s="56"/>
    </row>
    <row r="361" spans="6:6" s="108" customFormat="1" x14ac:dyDescent="0.25">
      <c r="F361" s="56"/>
    </row>
    <row r="362" spans="6:6" s="108" customFormat="1" x14ac:dyDescent="0.25">
      <c r="F362" s="56"/>
    </row>
    <row r="363" spans="6:6" s="108" customFormat="1" x14ac:dyDescent="0.25">
      <c r="F363" s="56"/>
    </row>
    <row r="364" spans="6:6" s="108" customFormat="1" x14ac:dyDescent="0.25">
      <c r="F364" s="56"/>
    </row>
    <row r="365" spans="6:6" s="108" customFormat="1" x14ac:dyDescent="0.25">
      <c r="F365" s="56"/>
    </row>
    <row r="366" spans="6:6" s="108" customFormat="1" x14ac:dyDescent="0.25">
      <c r="F366" s="56"/>
    </row>
    <row r="367" spans="6:6" s="108" customFormat="1" x14ac:dyDescent="0.25">
      <c r="F367" s="56"/>
    </row>
    <row r="368" spans="6:6" s="108" customFormat="1" x14ac:dyDescent="0.25">
      <c r="F368" s="56"/>
    </row>
    <row r="369" spans="6:6" s="108" customFormat="1" x14ac:dyDescent="0.25">
      <c r="F369" s="56"/>
    </row>
    <row r="370" spans="6:6" s="108" customFormat="1" x14ac:dyDescent="0.25">
      <c r="F370" s="56"/>
    </row>
    <row r="371" spans="6:6" s="108" customFormat="1" x14ac:dyDescent="0.25">
      <c r="F371" s="56"/>
    </row>
    <row r="372" spans="6:6" s="108" customFormat="1" x14ac:dyDescent="0.25">
      <c r="F372" s="56"/>
    </row>
    <row r="373" spans="6:6" s="108" customFormat="1" x14ac:dyDescent="0.25">
      <c r="F373" s="56"/>
    </row>
    <row r="374" spans="6:6" s="108" customFormat="1" x14ac:dyDescent="0.25">
      <c r="F374" s="56"/>
    </row>
    <row r="375" spans="6:6" s="108" customFormat="1" x14ac:dyDescent="0.25">
      <c r="F375" s="56"/>
    </row>
    <row r="376" spans="6:6" s="108" customFormat="1" x14ac:dyDescent="0.25">
      <c r="F376" s="56"/>
    </row>
    <row r="377" spans="6:6" s="108" customFormat="1" x14ac:dyDescent="0.25">
      <c r="F377" s="56"/>
    </row>
    <row r="378" spans="6:6" s="108" customFormat="1" x14ac:dyDescent="0.25">
      <c r="F378" s="56"/>
    </row>
    <row r="379" spans="6:6" s="108" customFormat="1" x14ac:dyDescent="0.25">
      <c r="F379" s="56"/>
    </row>
    <row r="380" spans="6:6" s="108" customFormat="1" x14ac:dyDescent="0.25">
      <c r="F380" s="56"/>
    </row>
    <row r="381" spans="6:6" s="108" customFormat="1" x14ac:dyDescent="0.25">
      <c r="F381" s="56"/>
    </row>
    <row r="382" spans="6:6" s="108" customFormat="1" x14ac:dyDescent="0.25">
      <c r="F382" s="56"/>
    </row>
    <row r="383" spans="6:6" s="108" customFormat="1" x14ac:dyDescent="0.25">
      <c r="F383" s="56"/>
    </row>
    <row r="384" spans="6:6" s="108" customFormat="1" x14ac:dyDescent="0.25">
      <c r="F384" s="56"/>
    </row>
    <row r="385" spans="6:6" s="108" customFormat="1" x14ac:dyDescent="0.25">
      <c r="F385" s="56"/>
    </row>
    <row r="386" spans="6:6" s="108" customFormat="1" x14ac:dyDescent="0.25">
      <c r="F386" s="56"/>
    </row>
    <row r="387" spans="6:6" s="108" customFormat="1" x14ac:dyDescent="0.25">
      <c r="F387" s="56"/>
    </row>
    <row r="388" spans="6:6" s="108" customFormat="1" x14ac:dyDescent="0.25">
      <c r="F388" s="56"/>
    </row>
    <row r="389" spans="6:6" s="108" customFormat="1" x14ac:dyDescent="0.25">
      <c r="F389" s="56"/>
    </row>
    <row r="390" spans="6:6" s="108" customFormat="1" x14ac:dyDescent="0.25">
      <c r="F390" s="56"/>
    </row>
    <row r="391" spans="6:6" s="108" customFormat="1" x14ac:dyDescent="0.25">
      <c r="F391" s="56"/>
    </row>
    <row r="392" spans="6:6" s="108" customFormat="1" x14ac:dyDescent="0.25">
      <c r="F392" s="56"/>
    </row>
    <row r="393" spans="6:6" s="108" customFormat="1" x14ac:dyDescent="0.25">
      <c r="F393" s="56"/>
    </row>
    <row r="394" spans="6:6" s="108" customFormat="1" x14ac:dyDescent="0.25">
      <c r="F394" s="56"/>
    </row>
    <row r="395" spans="6:6" s="108" customFormat="1" x14ac:dyDescent="0.25">
      <c r="F395" s="56"/>
    </row>
    <row r="396" spans="6:6" s="108" customFormat="1" x14ac:dyDescent="0.25">
      <c r="F396" s="56"/>
    </row>
    <row r="397" spans="6:6" s="108" customFormat="1" x14ac:dyDescent="0.25">
      <c r="F397" s="56"/>
    </row>
    <row r="398" spans="6:6" s="108" customFormat="1" x14ac:dyDescent="0.25">
      <c r="F398" s="56"/>
    </row>
    <row r="399" spans="6:6" s="108" customFormat="1" x14ac:dyDescent="0.25">
      <c r="F399" s="56"/>
    </row>
    <row r="400" spans="6:6" s="108" customFormat="1" x14ac:dyDescent="0.25">
      <c r="F400" s="56"/>
    </row>
    <row r="401" spans="6:6" s="108" customFormat="1" x14ac:dyDescent="0.25">
      <c r="F401" s="56"/>
    </row>
    <row r="402" spans="6:6" s="108" customFormat="1" x14ac:dyDescent="0.25">
      <c r="F402" s="56"/>
    </row>
    <row r="403" spans="6:6" s="108" customFormat="1" x14ac:dyDescent="0.25">
      <c r="F403" s="56"/>
    </row>
    <row r="404" spans="6:6" s="108" customFormat="1" x14ac:dyDescent="0.25">
      <c r="F404" s="56"/>
    </row>
    <row r="405" spans="6:6" s="108" customFormat="1" x14ac:dyDescent="0.25">
      <c r="F405" s="56"/>
    </row>
    <row r="406" spans="6:6" s="108" customFormat="1" x14ac:dyDescent="0.25">
      <c r="F406" s="56"/>
    </row>
    <row r="407" spans="6:6" s="108" customFormat="1" x14ac:dyDescent="0.25">
      <c r="F407" s="56"/>
    </row>
    <row r="408" spans="6:6" s="108" customFormat="1" x14ac:dyDescent="0.25">
      <c r="F408" s="56"/>
    </row>
    <row r="409" spans="6:6" s="108" customFormat="1" x14ac:dyDescent="0.25">
      <c r="F409" s="56"/>
    </row>
    <row r="410" spans="6:6" s="108" customFormat="1" x14ac:dyDescent="0.25">
      <c r="F410" s="56"/>
    </row>
    <row r="411" spans="6:6" s="108" customFormat="1" x14ac:dyDescent="0.25">
      <c r="F411" s="56"/>
    </row>
    <row r="412" spans="6:6" s="108" customFormat="1" x14ac:dyDescent="0.25">
      <c r="F412" s="56"/>
    </row>
    <row r="413" spans="6:6" s="108" customFormat="1" x14ac:dyDescent="0.25">
      <c r="F413" s="56"/>
    </row>
    <row r="414" spans="6:6" s="108" customFormat="1" x14ac:dyDescent="0.25">
      <c r="F414" s="56"/>
    </row>
    <row r="415" spans="6:6" s="108" customFormat="1" x14ac:dyDescent="0.25">
      <c r="F415" s="56"/>
    </row>
    <row r="416" spans="6:6" s="108" customFormat="1" x14ac:dyDescent="0.25">
      <c r="F416" s="56"/>
    </row>
    <row r="417" spans="6:6" s="108" customFormat="1" x14ac:dyDescent="0.25">
      <c r="F417" s="56"/>
    </row>
    <row r="418" spans="6:6" s="108" customFormat="1" x14ac:dyDescent="0.25">
      <c r="F418" s="56"/>
    </row>
    <row r="419" spans="6:6" s="108" customFormat="1" x14ac:dyDescent="0.25">
      <c r="F419" s="56"/>
    </row>
    <row r="420" spans="6:6" s="108" customFormat="1" x14ac:dyDescent="0.25">
      <c r="F420" s="56"/>
    </row>
    <row r="421" spans="6:6" s="108" customFormat="1" x14ac:dyDescent="0.25">
      <c r="F421" s="56"/>
    </row>
    <row r="422" spans="6:6" s="108" customFormat="1" x14ac:dyDescent="0.25">
      <c r="F422" s="56"/>
    </row>
    <row r="423" spans="6:6" s="108" customFormat="1" x14ac:dyDescent="0.25">
      <c r="F423" s="56"/>
    </row>
    <row r="424" spans="6:6" s="108" customFormat="1" x14ac:dyDescent="0.25">
      <c r="F424" s="56"/>
    </row>
    <row r="425" spans="6:6" s="108" customFormat="1" x14ac:dyDescent="0.25">
      <c r="F425" s="56"/>
    </row>
    <row r="426" spans="6:6" s="108" customFormat="1" x14ac:dyDescent="0.25">
      <c r="F426" s="56"/>
    </row>
    <row r="427" spans="6:6" s="108" customFormat="1" x14ac:dyDescent="0.25">
      <c r="F427" s="56"/>
    </row>
    <row r="428" spans="6:6" s="108" customFormat="1" x14ac:dyDescent="0.25">
      <c r="F428" s="56"/>
    </row>
    <row r="429" spans="6:6" s="108" customFormat="1" x14ac:dyDescent="0.25">
      <c r="F429" s="56"/>
    </row>
    <row r="430" spans="6:6" s="108" customFormat="1" x14ac:dyDescent="0.25">
      <c r="F430" s="56"/>
    </row>
    <row r="431" spans="6:6" s="108" customFormat="1" x14ac:dyDescent="0.25">
      <c r="F431" s="56"/>
    </row>
    <row r="432" spans="6:6" s="108" customFormat="1" x14ac:dyDescent="0.25">
      <c r="F432" s="56"/>
    </row>
    <row r="433" spans="6:6" s="108" customFormat="1" x14ac:dyDescent="0.25">
      <c r="F433" s="56"/>
    </row>
    <row r="434" spans="6:6" s="108" customFormat="1" x14ac:dyDescent="0.25">
      <c r="F434" s="56"/>
    </row>
    <row r="435" spans="6:6" s="108" customFormat="1" x14ac:dyDescent="0.25">
      <c r="F435" s="56"/>
    </row>
    <row r="436" spans="6:6" s="108" customFormat="1" x14ac:dyDescent="0.25">
      <c r="F436" s="56"/>
    </row>
    <row r="437" spans="6:6" s="108" customFormat="1" x14ac:dyDescent="0.25">
      <c r="F437" s="56"/>
    </row>
    <row r="438" spans="6:6" s="108" customFormat="1" x14ac:dyDescent="0.25">
      <c r="F438" s="56"/>
    </row>
    <row r="439" spans="6:6" s="108" customFormat="1" x14ac:dyDescent="0.25">
      <c r="F439" s="56"/>
    </row>
    <row r="440" spans="6:6" s="108" customFormat="1" x14ac:dyDescent="0.25">
      <c r="F440" s="56"/>
    </row>
    <row r="441" spans="6:6" s="108" customFormat="1" x14ac:dyDescent="0.25">
      <c r="F441" s="56"/>
    </row>
    <row r="442" spans="6:6" s="108" customFormat="1" x14ac:dyDescent="0.25">
      <c r="F442" s="56"/>
    </row>
    <row r="443" spans="6:6" s="108" customFormat="1" x14ac:dyDescent="0.25">
      <c r="F443" s="56"/>
    </row>
    <row r="444" spans="6:6" s="108" customFormat="1" x14ac:dyDescent="0.25">
      <c r="F444" s="56"/>
    </row>
    <row r="445" spans="6:6" s="108" customFormat="1" x14ac:dyDescent="0.25">
      <c r="F445" s="56"/>
    </row>
    <row r="446" spans="6:6" s="108" customFormat="1" x14ac:dyDescent="0.25">
      <c r="F446" s="56"/>
    </row>
    <row r="447" spans="6:6" s="108" customFormat="1" x14ac:dyDescent="0.25">
      <c r="F447" s="56"/>
    </row>
    <row r="448" spans="6:6" s="108" customFormat="1" x14ac:dyDescent="0.25">
      <c r="F448" s="56"/>
    </row>
    <row r="449" spans="6:6" s="108" customFormat="1" x14ac:dyDescent="0.25">
      <c r="F449" s="56"/>
    </row>
    <row r="450" spans="6:6" s="108" customFormat="1" x14ac:dyDescent="0.25">
      <c r="F450" s="56"/>
    </row>
    <row r="451" spans="6:6" s="108" customFormat="1" x14ac:dyDescent="0.25">
      <c r="F451" s="56"/>
    </row>
    <row r="452" spans="6:6" s="108" customFormat="1" x14ac:dyDescent="0.25">
      <c r="F452" s="56"/>
    </row>
    <row r="453" spans="6:6" s="108" customFormat="1" x14ac:dyDescent="0.25">
      <c r="F453" s="56"/>
    </row>
    <row r="454" spans="6:6" s="108" customFormat="1" x14ac:dyDescent="0.25">
      <c r="F454" s="56"/>
    </row>
    <row r="455" spans="6:6" s="108" customFormat="1" x14ac:dyDescent="0.25">
      <c r="F455" s="56"/>
    </row>
    <row r="456" spans="6:6" s="108" customFormat="1" x14ac:dyDescent="0.25">
      <c r="F456" s="56"/>
    </row>
    <row r="457" spans="6:6" s="108" customFormat="1" x14ac:dyDescent="0.25">
      <c r="F457" s="56"/>
    </row>
    <row r="458" spans="6:6" s="108" customFormat="1" x14ac:dyDescent="0.25">
      <c r="F458" s="56"/>
    </row>
    <row r="459" spans="6:6" s="108" customFormat="1" x14ac:dyDescent="0.25">
      <c r="F459" s="56"/>
    </row>
    <row r="460" spans="6:6" s="108" customFormat="1" x14ac:dyDescent="0.25">
      <c r="F460" s="56"/>
    </row>
    <row r="461" spans="6:6" s="108" customFormat="1" x14ac:dyDescent="0.25">
      <c r="F461" s="56"/>
    </row>
    <row r="462" spans="6:6" s="108" customFormat="1" x14ac:dyDescent="0.25">
      <c r="F462" s="56"/>
    </row>
    <row r="463" spans="6:6" s="108" customFormat="1" x14ac:dyDescent="0.25">
      <c r="F463" s="56"/>
    </row>
    <row r="464" spans="6:6" s="108" customFormat="1" x14ac:dyDescent="0.25">
      <c r="F464" s="56"/>
    </row>
    <row r="465" spans="6:6" s="108" customFormat="1" x14ac:dyDescent="0.25">
      <c r="F465" s="56"/>
    </row>
    <row r="466" spans="6:6" s="108" customFormat="1" x14ac:dyDescent="0.25">
      <c r="F466" s="56"/>
    </row>
    <row r="467" spans="6:6" s="108" customFormat="1" x14ac:dyDescent="0.25">
      <c r="F467" s="56"/>
    </row>
    <row r="468" spans="6:6" s="108" customFormat="1" x14ac:dyDescent="0.25">
      <c r="F468" s="56"/>
    </row>
    <row r="469" spans="6:6" s="108" customFormat="1" x14ac:dyDescent="0.25">
      <c r="F469" s="56"/>
    </row>
    <row r="470" spans="6:6" s="108" customFormat="1" x14ac:dyDescent="0.25">
      <c r="F470" s="56"/>
    </row>
    <row r="471" spans="6:6" s="108" customFormat="1" x14ac:dyDescent="0.25">
      <c r="F471" s="56"/>
    </row>
    <row r="472" spans="6:6" s="108" customFormat="1" x14ac:dyDescent="0.25">
      <c r="F472" s="56"/>
    </row>
    <row r="473" spans="6:6" s="108" customFormat="1" x14ac:dyDescent="0.25">
      <c r="F473" s="56"/>
    </row>
    <row r="474" spans="6:6" s="108" customFormat="1" x14ac:dyDescent="0.25">
      <c r="F474" s="56"/>
    </row>
    <row r="475" spans="6:6" s="108" customFormat="1" x14ac:dyDescent="0.25">
      <c r="F475" s="56"/>
    </row>
    <row r="476" spans="6:6" s="108" customFormat="1" x14ac:dyDescent="0.25">
      <c r="F476" s="56"/>
    </row>
    <row r="477" spans="6:6" s="108" customFormat="1" x14ac:dyDescent="0.25">
      <c r="F477" s="56"/>
    </row>
    <row r="478" spans="6:6" s="108" customFormat="1" x14ac:dyDescent="0.25">
      <c r="F478" s="56"/>
    </row>
    <row r="479" spans="6:6" s="108" customFormat="1" x14ac:dyDescent="0.25">
      <c r="F479" s="56"/>
    </row>
    <row r="480" spans="6:6" s="108" customFormat="1" x14ac:dyDescent="0.25">
      <c r="F480" s="56"/>
    </row>
    <row r="481" spans="6:6" s="108" customFormat="1" x14ac:dyDescent="0.25">
      <c r="F481" s="56"/>
    </row>
    <row r="482" spans="6:6" s="108" customFormat="1" x14ac:dyDescent="0.25">
      <c r="F482" s="56"/>
    </row>
    <row r="483" spans="6:6" s="108" customFormat="1" x14ac:dyDescent="0.25">
      <c r="F483" s="56"/>
    </row>
    <row r="484" spans="6:6" s="108" customFormat="1" x14ac:dyDescent="0.25">
      <c r="F484" s="56"/>
    </row>
    <row r="485" spans="6:6" s="108" customFormat="1" x14ac:dyDescent="0.25">
      <c r="F485" s="56"/>
    </row>
    <row r="486" spans="6:6" s="108" customFormat="1" x14ac:dyDescent="0.25">
      <c r="F486" s="56"/>
    </row>
    <row r="487" spans="6:6" s="108" customFormat="1" x14ac:dyDescent="0.25">
      <c r="F487" s="56"/>
    </row>
    <row r="488" spans="6:6" s="108" customFormat="1" x14ac:dyDescent="0.25">
      <c r="F488" s="56"/>
    </row>
    <row r="489" spans="6:6" s="108" customFormat="1" x14ac:dyDescent="0.25">
      <c r="F489" s="56"/>
    </row>
    <row r="490" spans="6:6" s="108" customFormat="1" x14ac:dyDescent="0.25">
      <c r="F490" s="56"/>
    </row>
    <row r="491" spans="6:6" s="108" customFormat="1" x14ac:dyDescent="0.25">
      <c r="F491" s="56"/>
    </row>
    <row r="492" spans="6:6" s="108" customFormat="1" x14ac:dyDescent="0.25">
      <c r="F492" s="56"/>
    </row>
    <row r="493" spans="6:6" s="108" customFormat="1" x14ac:dyDescent="0.25">
      <c r="F493" s="56"/>
    </row>
    <row r="494" spans="6:6" s="108" customFormat="1" x14ac:dyDescent="0.25">
      <c r="F494" s="56"/>
    </row>
    <row r="495" spans="6:6" s="108" customFormat="1" x14ac:dyDescent="0.25">
      <c r="F495" s="56"/>
    </row>
    <row r="496" spans="6:6" s="108" customFormat="1" x14ac:dyDescent="0.25">
      <c r="F496" s="56"/>
    </row>
    <row r="497" spans="6:6" s="108" customFormat="1" x14ac:dyDescent="0.25">
      <c r="F497" s="56"/>
    </row>
    <row r="498" spans="6:6" s="108" customFormat="1" x14ac:dyDescent="0.25">
      <c r="F498" s="56"/>
    </row>
    <row r="499" spans="6:6" s="108" customFormat="1" x14ac:dyDescent="0.25">
      <c r="F499" s="56"/>
    </row>
    <row r="500" spans="6:6" s="108" customFormat="1" x14ac:dyDescent="0.25">
      <c r="F500" s="56"/>
    </row>
    <row r="501" spans="6:6" s="108" customFormat="1" x14ac:dyDescent="0.25">
      <c r="F501" s="56"/>
    </row>
    <row r="502" spans="6:6" s="108" customFormat="1" x14ac:dyDescent="0.25">
      <c r="F502" s="56"/>
    </row>
    <row r="503" spans="6:6" s="108" customFormat="1" x14ac:dyDescent="0.25">
      <c r="F503" s="56"/>
    </row>
    <row r="504" spans="6:6" s="108" customFormat="1" x14ac:dyDescent="0.25">
      <c r="F504" s="56"/>
    </row>
    <row r="505" spans="6:6" s="108" customFormat="1" x14ac:dyDescent="0.25">
      <c r="F505" s="56"/>
    </row>
    <row r="506" spans="6:6" s="108" customFormat="1" x14ac:dyDescent="0.25">
      <c r="F506" s="56"/>
    </row>
    <row r="507" spans="6:6" s="108" customFormat="1" x14ac:dyDescent="0.25">
      <c r="F507" s="56"/>
    </row>
    <row r="508" spans="6:6" s="108" customFormat="1" x14ac:dyDescent="0.25">
      <c r="F508" s="56"/>
    </row>
    <row r="509" spans="6:6" s="108" customFormat="1" x14ac:dyDescent="0.25">
      <c r="F509" s="56"/>
    </row>
    <row r="510" spans="6:6" s="108" customFormat="1" x14ac:dyDescent="0.25">
      <c r="F510" s="56"/>
    </row>
    <row r="511" spans="6:6" s="108" customFormat="1" x14ac:dyDescent="0.25">
      <c r="F511" s="56"/>
    </row>
    <row r="512" spans="6:6" s="108" customFormat="1" x14ac:dyDescent="0.25">
      <c r="F512" s="56"/>
    </row>
    <row r="513" spans="6:6" s="108" customFormat="1" x14ac:dyDescent="0.25">
      <c r="F513" s="56"/>
    </row>
    <row r="514" spans="6:6" s="108" customFormat="1" x14ac:dyDescent="0.25">
      <c r="F514" s="56"/>
    </row>
    <row r="515" spans="6:6" s="108" customFormat="1" x14ac:dyDescent="0.25">
      <c r="F515" s="56"/>
    </row>
    <row r="516" spans="6:6" s="108" customFormat="1" x14ac:dyDescent="0.25">
      <c r="F516" s="56"/>
    </row>
    <row r="517" spans="6:6" s="108" customFormat="1" x14ac:dyDescent="0.25">
      <c r="F517" s="56"/>
    </row>
    <row r="518" spans="6:6" s="108" customFormat="1" x14ac:dyDescent="0.25">
      <c r="F518" s="56"/>
    </row>
    <row r="519" spans="6:6" s="108" customFormat="1" x14ac:dyDescent="0.25">
      <c r="F519" s="56"/>
    </row>
    <row r="520" spans="6:6" s="108" customFormat="1" x14ac:dyDescent="0.25">
      <c r="F520" s="56"/>
    </row>
    <row r="521" spans="6:6" s="108" customFormat="1" x14ac:dyDescent="0.25">
      <c r="F521" s="56"/>
    </row>
    <row r="522" spans="6:6" s="108" customFormat="1" x14ac:dyDescent="0.25">
      <c r="F522" s="56"/>
    </row>
    <row r="523" spans="6:6" s="108" customFormat="1" x14ac:dyDescent="0.25">
      <c r="F523" s="56"/>
    </row>
    <row r="524" spans="6:6" s="108" customFormat="1" x14ac:dyDescent="0.25">
      <c r="F524" s="56"/>
    </row>
    <row r="525" spans="6:6" s="108" customFormat="1" x14ac:dyDescent="0.25">
      <c r="F525" s="56"/>
    </row>
    <row r="526" spans="6:6" s="108" customFormat="1" x14ac:dyDescent="0.25">
      <c r="F526" s="56"/>
    </row>
    <row r="527" spans="6:6" s="108" customFormat="1" x14ac:dyDescent="0.25">
      <c r="F527" s="56"/>
    </row>
    <row r="528" spans="6:6" s="108" customFormat="1" x14ac:dyDescent="0.25">
      <c r="F528" s="56"/>
    </row>
    <row r="529" spans="6:6" s="108" customFormat="1" x14ac:dyDescent="0.25">
      <c r="F529" s="56"/>
    </row>
    <row r="530" spans="6:6" s="108" customFormat="1" x14ac:dyDescent="0.25">
      <c r="F530" s="56"/>
    </row>
    <row r="531" spans="6:6" s="108" customFormat="1" x14ac:dyDescent="0.25">
      <c r="F531" s="56"/>
    </row>
    <row r="532" spans="6:6" s="108" customFormat="1" x14ac:dyDescent="0.25">
      <c r="F532" s="56"/>
    </row>
    <row r="533" spans="6:6" s="108" customFormat="1" x14ac:dyDescent="0.25">
      <c r="F533" s="56"/>
    </row>
    <row r="534" spans="6:6" s="108" customFormat="1" x14ac:dyDescent="0.25">
      <c r="F534" s="56"/>
    </row>
    <row r="535" spans="6:6" s="108" customFormat="1" x14ac:dyDescent="0.25">
      <c r="F535" s="56"/>
    </row>
    <row r="536" spans="6:6" s="108" customFormat="1" x14ac:dyDescent="0.25">
      <c r="F536" s="56"/>
    </row>
    <row r="537" spans="6:6" s="108" customFormat="1" x14ac:dyDescent="0.25">
      <c r="F537" s="56"/>
    </row>
    <row r="538" spans="6:6" s="108" customFormat="1" x14ac:dyDescent="0.25">
      <c r="F538" s="56"/>
    </row>
    <row r="539" spans="6:6" s="108" customFormat="1" x14ac:dyDescent="0.25">
      <c r="F539" s="56"/>
    </row>
    <row r="540" spans="6:6" s="108" customFormat="1" x14ac:dyDescent="0.25">
      <c r="F540" s="56"/>
    </row>
    <row r="541" spans="6:6" s="108" customFormat="1" x14ac:dyDescent="0.25">
      <c r="F541" s="56"/>
    </row>
    <row r="542" spans="6:6" s="108" customFormat="1" x14ac:dyDescent="0.25">
      <c r="F542" s="56"/>
    </row>
    <row r="543" spans="6:6" s="108" customFormat="1" x14ac:dyDescent="0.25">
      <c r="F543" s="56"/>
    </row>
    <row r="544" spans="6:6" s="108" customFormat="1" x14ac:dyDescent="0.25">
      <c r="F544" s="56"/>
    </row>
    <row r="545" spans="6:6" s="108" customFormat="1" x14ac:dyDescent="0.25">
      <c r="F545" s="56"/>
    </row>
    <row r="546" spans="6:6" s="108" customFormat="1" x14ac:dyDescent="0.25">
      <c r="F546" s="56"/>
    </row>
    <row r="547" spans="6:6" s="108" customFormat="1" x14ac:dyDescent="0.25">
      <c r="F547" s="56"/>
    </row>
    <row r="548" spans="6:6" s="108" customFormat="1" x14ac:dyDescent="0.25">
      <c r="F548" s="56"/>
    </row>
    <row r="549" spans="6:6" s="108" customFormat="1" x14ac:dyDescent="0.25">
      <c r="F549" s="56"/>
    </row>
    <row r="550" spans="6:6" s="108" customFormat="1" x14ac:dyDescent="0.25">
      <c r="F550" s="56"/>
    </row>
    <row r="551" spans="6:6" s="108" customFormat="1" x14ac:dyDescent="0.25">
      <c r="F551" s="56"/>
    </row>
    <row r="552" spans="6:6" s="108" customFormat="1" x14ac:dyDescent="0.25">
      <c r="F552" s="56"/>
    </row>
    <row r="553" spans="6:6" s="108" customFormat="1" x14ac:dyDescent="0.25">
      <c r="F553" s="56"/>
    </row>
    <row r="554" spans="6:6" s="108" customFormat="1" x14ac:dyDescent="0.25">
      <c r="F554" s="56"/>
    </row>
    <row r="555" spans="6:6" s="108" customFormat="1" x14ac:dyDescent="0.25">
      <c r="F555" s="56"/>
    </row>
    <row r="556" spans="6:6" s="108" customFormat="1" x14ac:dyDescent="0.25">
      <c r="F556" s="56"/>
    </row>
    <row r="557" spans="6:6" s="108" customFormat="1" x14ac:dyDescent="0.25">
      <c r="F557" s="56"/>
    </row>
    <row r="558" spans="6:6" s="108" customFormat="1" x14ac:dyDescent="0.25">
      <c r="F558" s="56"/>
    </row>
    <row r="559" spans="6:6" s="108" customFormat="1" x14ac:dyDescent="0.25">
      <c r="F559" s="56"/>
    </row>
    <row r="560" spans="6:6" s="108" customFormat="1" x14ac:dyDescent="0.25">
      <c r="F560" s="56"/>
    </row>
    <row r="561" spans="6:6" s="108" customFormat="1" x14ac:dyDescent="0.25">
      <c r="F561" s="56"/>
    </row>
    <row r="562" spans="6:6" s="108" customFormat="1" x14ac:dyDescent="0.25">
      <c r="F562" s="56"/>
    </row>
    <row r="563" spans="6:6" s="108" customFormat="1" x14ac:dyDescent="0.25">
      <c r="F563" s="56"/>
    </row>
    <row r="564" spans="6:6" s="108" customFormat="1" x14ac:dyDescent="0.25">
      <c r="F564" s="56"/>
    </row>
    <row r="565" spans="6:6" s="108" customFormat="1" x14ac:dyDescent="0.25">
      <c r="F565" s="56"/>
    </row>
    <row r="566" spans="6:6" s="108" customFormat="1" x14ac:dyDescent="0.25">
      <c r="F566" s="56"/>
    </row>
    <row r="567" spans="6:6" s="108" customFormat="1" x14ac:dyDescent="0.25">
      <c r="F567" s="56"/>
    </row>
    <row r="568" spans="6:6" s="108" customFormat="1" x14ac:dyDescent="0.25">
      <c r="F568" s="56"/>
    </row>
    <row r="569" spans="6:6" s="108" customFormat="1" x14ac:dyDescent="0.25">
      <c r="F569" s="56"/>
    </row>
    <row r="570" spans="6:6" s="108" customFormat="1" x14ac:dyDescent="0.25">
      <c r="F570" s="56"/>
    </row>
    <row r="571" spans="6:6" s="108" customFormat="1" x14ac:dyDescent="0.25">
      <c r="F571" s="56"/>
    </row>
    <row r="572" spans="6:6" s="108" customFormat="1" x14ac:dyDescent="0.25">
      <c r="F572" s="56"/>
    </row>
    <row r="573" spans="6:6" s="108" customFormat="1" x14ac:dyDescent="0.25">
      <c r="F573" s="56"/>
    </row>
    <row r="574" spans="6:6" s="108" customFormat="1" x14ac:dyDescent="0.25">
      <c r="F574" s="56"/>
    </row>
    <row r="575" spans="6:6" s="108" customFormat="1" x14ac:dyDescent="0.25">
      <c r="F575" s="56"/>
    </row>
    <row r="576" spans="6:6" s="108" customFormat="1" x14ac:dyDescent="0.25">
      <c r="F576" s="56"/>
    </row>
    <row r="577" spans="6:6" s="108" customFormat="1" x14ac:dyDescent="0.25">
      <c r="F577" s="56"/>
    </row>
    <row r="578" spans="6:6" s="108" customFormat="1" x14ac:dyDescent="0.25">
      <c r="F578" s="56"/>
    </row>
    <row r="579" spans="6:6" s="108" customFormat="1" x14ac:dyDescent="0.25">
      <c r="F579" s="56"/>
    </row>
    <row r="580" spans="6:6" s="108" customFormat="1" x14ac:dyDescent="0.25">
      <c r="F580" s="56"/>
    </row>
    <row r="581" spans="6:6" s="108" customFormat="1" x14ac:dyDescent="0.25">
      <c r="F581" s="56"/>
    </row>
    <row r="582" spans="6:6" s="108" customFormat="1" x14ac:dyDescent="0.25">
      <c r="F582" s="56"/>
    </row>
    <row r="583" spans="6:6" s="108" customFormat="1" x14ac:dyDescent="0.25">
      <c r="F583" s="56"/>
    </row>
    <row r="584" spans="6:6" s="108" customFormat="1" x14ac:dyDescent="0.25">
      <c r="F584" s="56"/>
    </row>
    <row r="585" spans="6:6" s="108" customFormat="1" x14ac:dyDescent="0.25">
      <c r="F585" s="56"/>
    </row>
    <row r="586" spans="6:6" s="108" customFormat="1" x14ac:dyDescent="0.25">
      <c r="F586" s="56"/>
    </row>
    <row r="587" spans="6:6" s="108" customFormat="1" x14ac:dyDescent="0.25">
      <c r="F587" s="56"/>
    </row>
    <row r="588" spans="6:6" s="108" customFormat="1" x14ac:dyDescent="0.25">
      <c r="F588" s="56"/>
    </row>
    <row r="589" spans="6:6" s="108" customFormat="1" x14ac:dyDescent="0.25">
      <c r="F589" s="56"/>
    </row>
    <row r="590" spans="6:6" s="108" customFormat="1" x14ac:dyDescent="0.25">
      <c r="F590" s="56"/>
    </row>
    <row r="591" spans="6:6" s="108" customFormat="1" x14ac:dyDescent="0.25">
      <c r="F591" s="56"/>
    </row>
    <row r="592" spans="6:6" s="108" customFormat="1" x14ac:dyDescent="0.25">
      <c r="F592" s="56"/>
    </row>
    <row r="593" spans="6:6" s="108" customFormat="1" x14ac:dyDescent="0.25">
      <c r="F593" s="56"/>
    </row>
    <row r="594" spans="6:6" s="108" customFormat="1" x14ac:dyDescent="0.25">
      <c r="F594" s="56"/>
    </row>
    <row r="595" spans="6:6" s="108" customFormat="1" x14ac:dyDescent="0.25">
      <c r="F595" s="56"/>
    </row>
    <row r="596" spans="6:6" s="108" customFormat="1" x14ac:dyDescent="0.25">
      <c r="F596" s="56"/>
    </row>
    <row r="597" spans="6:6" s="108" customFormat="1" x14ac:dyDescent="0.25">
      <c r="F597" s="56"/>
    </row>
    <row r="598" spans="6:6" s="108" customFormat="1" x14ac:dyDescent="0.25">
      <c r="F598" s="56"/>
    </row>
    <row r="599" spans="6:6" s="108" customFormat="1" x14ac:dyDescent="0.25">
      <c r="F599" s="56"/>
    </row>
    <row r="600" spans="6:6" s="108" customFormat="1" x14ac:dyDescent="0.25">
      <c r="F600" s="56"/>
    </row>
    <row r="601" spans="6:6" s="108" customFormat="1" x14ac:dyDescent="0.25">
      <c r="F601" s="56"/>
    </row>
    <row r="602" spans="6:6" s="108" customFormat="1" x14ac:dyDescent="0.25">
      <c r="F602" s="56"/>
    </row>
    <row r="603" spans="6:6" s="108" customFormat="1" x14ac:dyDescent="0.25">
      <c r="F603" s="56"/>
    </row>
    <row r="604" spans="6:6" s="108" customFormat="1" x14ac:dyDescent="0.25">
      <c r="F604" s="56"/>
    </row>
    <row r="605" spans="6:6" s="108" customFormat="1" x14ac:dyDescent="0.25">
      <c r="F605" s="56"/>
    </row>
    <row r="606" spans="6:6" s="108" customFormat="1" x14ac:dyDescent="0.25">
      <c r="F606" s="56"/>
    </row>
    <row r="607" spans="6:6" s="108" customFormat="1" x14ac:dyDescent="0.25">
      <c r="F607" s="56"/>
    </row>
    <row r="608" spans="6:6" s="108" customFormat="1" x14ac:dyDescent="0.25">
      <c r="F608" s="56"/>
    </row>
    <row r="609" spans="6:6" s="108" customFormat="1" x14ac:dyDescent="0.25">
      <c r="F609" s="56"/>
    </row>
    <row r="610" spans="6:6" s="108" customFormat="1" x14ac:dyDescent="0.25">
      <c r="F610" s="56"/>
    </row>
    <row r="611" spans="6:6" s="108" customFormat="1" x14ac:dyDescent="0.25">
      <c r="F611" s="56"/>
    </row>
    <row r="612" spans="6:6" s="108" customFormat="1" x14ac:dyDescent="0.25">
      <c r="F612" s="56"/>
    </row>
    <row r="613" spans="6:6" s="108" customFormat="1" x14ac:dyDescent="0.25">
      <c r="F613" s="56"/>
    </row>
    <row r="614" spans="6:6" s="108" customFormat="1" x14ac:dyDescent="0.25">
      <c r="F614" s="56"/>
    </row>
    <row r="615" spans="6:6" s="108" customFormat="1" x14ac:dyDescent="0.25">
      <c r="F615" s="56"/>
    </row>
    <row r="616" spans="6:6" s="108" customFormat="1" x14ac:dyDescent="0.25">
      <c r="F616" s="56"/>
    </row>
    <row r="617" spans="6:6" s="108" customFormat="1" x14ac:dyDescent="0.25">
      <c r="F617" s="56"/>
    </row>
    <row r="618" spans="6:6" s="108" customFormat="1" x14ac:dyDescent="0.25">
      <c r="F618" s="56"/>
    </row>
    <row r="619" spans="6:6" s="108" customFormat="1" x14ac:dyDescent="0.25">
      <c r="F619" s="56"/>
    </row>
    <row r="620" spans="6:6" s="108" customFormat="1" x14ac:dyDescent="0.25">
      <c r="F620" s="56"/>
    </row>
    <row r="621" spans="6:6" s="108" customFormat="1" x14ac:dyDescent="0.25">
      <c r="F621" s="56"/>
    </row>
    <row r="622" spans="6:6" s="108" customFormat="1" x14ac:dyDescent="0.25">
      <c r="F622" s="56"/>
    </row>
    <row r="623" spans="6:6" s="108" customFormat="1" x14ac:dyDescent="0.25">
      <c r="F623" s="56"/>
    </row>
    <row r="624" spans="6:6" s="108" customFormat="1" x14ac:dyDescent="0.25">
      <c r="F624" s="56"/>
    </row>
    <row r="625" spans="6:6" s="108" customFormat="1" x14ac:dyDescent="0.25">
      <c r="F625" s="56"/>
    </row>
    <row r="626" spans="6:6" s="108" customFormat="1" x14ac:dyDescent="0.25">
      <c r="F626" s="56"/>
    </row>
    <row r="627" spans="6:6" s="108" customFormat="1" x14ac:dyDescent="0.25">
      <c r="F627" s="56"/>
    </row>
    <row r="628" spans="6:6" s="108" customFormat="1" x14ac:dyDescent="0.25">
      <c r="F628" s="56"/>
    </row>
    <row r="629" spans="6:6" s="108" customFormat="1" x14ac:dyDescent="0.25">
      <c r="F629" s="56"/>
    </row>
    <row r="630" spans="6:6" s="108" customFormat="1" x14ac:dyDescent="0.25">
      <c r="F630" s="56"/>
    </row>
    <row r="631" spans="6:6" s="108" customFormat="1" x14ac:dyDescent="0.25">
      <c r="F631" s="56"/>
    </row>
    <row r="632" spans="6:6" s="108" customFormat="1" x14ac:dyDescent="0.25">
      <c r="F632" s="56"/>
    </row>
    <row r="633" spans="6:6" s="108" customFormat="1" x14ac:dyDescent="0.25">
      <c r="F633" s="56"/>
    </row>
    <row r="634" spans="6:6" s="108" customFormat="1" x14ac:dyDescent="0.25">
      <c r="F634" s="56"/>
    </row>
    <row r="635" spans="6:6" s="108" customFormat="1" x14ac:dyDescent="0.25">
      <c r="F635" s="56"/>
    </row>
    <row r="636" spans="6:6" s="108" customFormat="1" x14ac:dyDescent="0.25">
      <c r="F636" s="56"/>
    </row>
    <row r="637" spans="6:6" s="108" customFormat="1" x14ac:dyDescent="0.25">
      <c r="F637" s="56"/>
    </row>
    <row r="638" spans="6:6" s="108" customFormat="1" x14ac:dyDescent="0.25">
      <c r="F638" s="56"/>
    </row>
    <row r="639" spans="6:6" s="108" customFormat="1" x14ac:dyDescent="0.25">
      <c r="F639" s="56"/>
    </row>
    <row r="640" spans="6:6" s="108" customFormat="1" x14ac:dyDescent="0.25">
      <c r="F640" s="56"/>
    </row>
    <row r="641" spans="6:6" s="108" customFormat="1" x14ac:dyDescent="0.25">
      <c r="F641" s="56"/>
    </row>
    <row r="642" spans="6:6" s="108" customFormat="1" x14ac:dyDescent="0.25">
      <c r="F642" s="56"/>
    </row>
    <row r="643" spans="6:6" s="108" customFormat="1" x14ac:dyDescent="0.25">
      <c r="F643" s="56"/>
    </row>
    <row r="644" spans="6:6" s="108" customFormat="1" x14ac:dyDescent="0.25">
      <c r="F644" s="56"/>
    </row>
    <row r="645" spans="6:6" s="108" customFormat="1" x14ac:dyDescent="0.25">
      <c r="F645" s="56"/>
    </row>
    <row r="646" spans="6:6" s="108" customFormat="1" x14ac:dyDescent="0.25">
      <c r="F646" s="56"/>
    </row>
    <row r="647" spans="6:6" s="108" customFormat="1" x14ac:dyDescent="0.25">
      <c r="F647" s="56"/>
    </row>
    <row r="648" spans="6:6" s="108" customFormat="1" x14ac:dyDescent="0.25">
      <c r="F648" s="56"/>
    </row>
    <row r="649" spans="6:6" s="108" customFormat="1" x14ac:dyDescent="0.25">
      <c r="F649" s="56"/>
    </row>
    <row r="650" spans="6:6" s="108" customFormat="1" x14ac:dyDescent="0.25">
      <c r="F650" s="56"/>
    </row>
    <row r="651" spans="6:6" s="108" customFormat="1" x14ac:dyDescent="0.25">
      <c r="F651" s="56"/>
    </row>
    <row r="652" spans="6:6" s="108" customFormat="1" x14ac:dyDescent="0.25">
      <c r="F652" s="56"/>
    </row>
    <row r="653" spans="6:6" s="108" customFormat="1" x14ac:dyDescent="0.25">
      <c r="F653" s="56"/>
    </row>
    <row r="654" spans="6:6" s="108" customFormat="1" x14ac:dyDescent="0.25">
      <c r="F654" s="56"/>
    </row>
    <row r="655" spans="6:6" s="108" customFormat="1" x14ac:dyDescent="0.25">
      <c r="F655" s="56"/>
    </row>
    <row r="656" spans="6:6" s="108" customFormat="1" x14ac:dyDescent="0.25">
      <c r="F656" s="56"/>
    </row>
    <row r="657" spans="6:6" s="108" customFormat="1" x14ac:dyDescent="0.25">
      <c r="F657" s="56"/>
    </row>
    <row r="658" spans="6:6" s="108" customFormat="1" x14ac:dyDescent="0.25">
      <c r="F658" s="56"/>
    </row>
    <row r="659" spans="6:6" s="108" customFormat="1" x14ac:dyDescent="0.25">
      <c r="F659" s="56"/>
    </row>
    <row r="660" spans="6:6" s="108" customFormat="1" x14ac:dyDescent="0.25">
      <c r="F660" s="56"/>
    </row>
    <row r="661" spans="6:6" s="108" customFormat="1" x14ac:dyDescent="0.25">
      <c r="F661" s="56"/>
    </row>
    <row r="662" spans="6:6" s="108" customFormat="1" x14ac:dyDescent="0.25">
      <c r="F662" s="56"/>
    </row>
    <row r="663" spans="6:6" s="108" customFormat="1" x14ac:dyDescent="0.25">
      <c r="F663" s="56"/>
    </row>
    <row r="664" spans="6:6" s="108" customFormat="1" x14ac:dyDescent="0.25">
      <c r="F664" s="56"/>
    </row>
    <row r="665" spans="6:6" s="108" customFormat="1" x14ac:dyDescent="0.25">
      <c r="F665" s="56"/>
    </row>
    <row r="666" spans="6:6" s="108" customFormat="1" x14ac:dyDescent="0.25">
      <c r="F666" s="56"/>
    </row>
    <row r="667" spans="6:6" s="108" customFormat="1" x14ac:dyDescent="0.25">
      <c r="F667" s="56"/>
    </row>
    <row r="668" spans="6:6" s="108" customFormat="1" x14ac:dyDescent="0.25">
      <c r="F668" s="56"/>
    </row>
    <row r="669" spans="6:6" s="108" customFormat="1" x14ac:dyDescent="0.25">
      <c r="F669" s="56"/>
    </row>
    <row r="670" spans="6:6" s="108" customFormat="1" x14ac:dyDescent="0.25">
      <c r="F670" s="56"/>
    </row>
    <row r="671" spans="6:6" s="108" customFormat="1" x14ac:dyDescent="0.25">
      <c r="F671" s="56"/>
    </row>
    <row r="672" spans="6:6" s="108" customFormat="1" x14ac:dyDescent="0.25">
      <c r="F672" s="56"/>
    </row>
    <row r="673" spans="6:6" s="108" customFormat="1" x14ac:dyDescent="0.25">
      <c r="F673" s="56"/>
    </row>
    <row r="674" spans="6:6" s="108" customFormat="1" x14ac:dyDescent="0.25">
      <c r="F674" s="56"/>
    </row>
    <row r="675" spans="6:6" s="108" customFormat="1" x14ac:dyDescent="0.25">
      <c r="F675" s="56"/>
    </row>
    <row r="676" spans="6:6" s="108" customFormat="1" x14ac:dyDescent="0.25">
      <c r="F676" s="56"/>
    </row>
    <row r="677" spans="6:6" s="108" customFormat="1" x14ac:dyDescent="0.25">
      <c r="F677" s="56"/>
    </row>
    <row r="678" spans="6:6" s="108" customFormat="1" x14ac:dyDescent="0.25">
      <c r="F678" s="56"/>
    </row>
    <row r="679" spans="6:6" s="108" customFormat="1" x14ac:dyDescent="0.25">
      <c r="F679" s="56"/>
    </row>
    <row r="680" spans="6:6" s="108" customFormat="1" x14ac:dyDescent="0.25">
      <c r="F680" s="56"/>
    </row>
    <row r="681" spans="6:6" s="108" customFormat="1" x14ac:dyDescent="0.25">
      <c r="F681" s="56"/>
    </row>
    <row r="682" spans="6:6" s="108" customFormat="1" x14ac:dyDescent="0.25">
      <c r="F682" s="56"/>
    </row>
    <row r="683" spans="6:6" s="108" customFormat="1" x14ac:dyDescent="0.25">
      <c r="F683" s="56"/>
    </row>
    <row r="684" spans="6:6" s="108" customFormat="1" x14ac:dyDescent="0.25">
      <c r="F684" s="56"/>
    </row>
    <row r="685" spans="6:6" s="108" customFormat="1" x14ac:dyDescent="0.25">
      <c r="F685" s="56"/>
    </row>
    <row r="686" spans="6:6" s="108" customFormat="1" x14ac:dyDescent="0.25">
      <c r="F686" s="56"/>
    </row>
    <row r="687" spans="6:6" s="108" customFormat="1" x14ac:dyDescent="0.25">
      <c r="F687" s="56"/>
    </row>
    <row r="688" spans="6:6" s="108" customFormat="1" x14ac:dyDescent="0.25">
      <c r="F688" s="56"/>
    </row>
    <row r="689" spans="6:6" s="108" customFormat="1" x14ac:dyDescent="0.25">
      <c r="F689" s="56"/>
    </row>
    <row r="690" spans="6:6" s="108" customFormat="1" x14ac:dyDescent="0.25">
      <c r="F690" s="56"/>
    </row>
    <row r="691" spans="6:6" s="108" customFormat="1" x14ac:dyDescent="0.25">
      <c r="F691" s="56"/>
    </row>
    <row r="692" spans="6:6" s="108" customFormat="1" x14ac:dyDescent="0.25">
      <c r="F692" s="56"/>
    </row>
    <row r="693" spans="6:6" s="108" customFormat="1" x14ac:dyDescent="0.25">
      <c r="F693" s="56"/>
    </row>
    <row r="694" spans="6:6" s="108" customFormat="1" x14ac:dyDescent="0.25">
      <c r="F694" s="56"/>
    </row>
    <row r="695" spans="6:6" s="108" customFormat="1" x14ac:dyDescent="0.25">
      <c r="F695" s="56"/>
    </row>
    <row r="696" spans="6:6" s="108" customFormat="1" x14ac:dyDescent="0.25">
      <c r="F696" s="56"/>
    </row>
    <row r="697" spans="6:6" s="108" customFormat="1" x14ac:dyDescent="0.25">
      <c r="F697" s="56"/>
    </row>
    <row r="698" spans="6:6" s="108" customFormat="1" x14ac:dyDescent="0.25">
      <c r="F698" s="56"/>
    </row>
    <row r="699" spans="6:6" s="108" customFormat="1" x14ac:dyDescent="0.25">
      <c r="F699" s="56"/>
    </row>
    <row r="700" spans="6:6" s="108" customFormat="1" x14ac:dyDescent="0.25">
      <c r="F700" s="56"/>
    </row>
    <row r="701" spans="6:6" s="108" customFormat="1" x14ac:dyDescent="0.25">
      <c r="F701" s="56"/>
    </row>
    <row r="702" spans="6:6" s="108" customFormat="1" x14ac:dyDescent="0.25">
      <c r="F702" s="56"/>
    </row>
    <row r="703" spans="6:6" s="108" customFormat="1" x14ac:dyDescent="0.25">
      <c r="F703" s="56"/>
    </row>
    <row r="704" spans="6:6" s="108" customFormat="1" x14ac:dyDescent="0.25">
      <c r="F704" s="56"/>
    </row>
    <row r="705" spans="6:6" s="108" customFormat="1" x14ac:dyDescent="0.25">
      <c r="F705" s="56"/>
    </row>
    <row r="706" spans="6:6" s="108" customFormat="1" x14ac:dyDescent="0.25">
      <c r="F706" s="56"/>
    </row>
    <row r="707" spans="6:6" s="108" customFormat="1" x14ac:dyDescent="0.25">
      <c r="F707" s="56"/>
    </row>
    <row r="708" spans="6:6" s="108" customFormat="1" x14ac:dyDescent="0.25">
      <c r="F708" s="56"/>
    </row>
    <row r="709" spans="6:6" s="108" customFormat="1" x14ac:dyDescent="0.25">
      <c r="F709" s="56"/>
    </row>
    <row r="710" spans="6:6" s="108" customFormat="1" x14ac:dyDescent="0.25">
      <c r="F710" s="56"/>
    </row>
    <row r="711" spans="6:6" s="108" customFormat="1" x14ac:dyDescent="0.25">
      <c r="F711" s="56"/>
    </row>
    <row r="712" spans="6:6" s="108" customFormat="1" x14ac:dyDescent="0.25">
      <c r="F712" s="56"/>
    </row>
    <row r="713" spans="6:6" s="108" customFormat="1" x14ac:dyDescent="0.25">
      <c r="F713" s="56"/>
    </row>
    <row r="714" spans="6:6" s="108" customFormat="1" x14ac:dyDescent="0.25">
      <c r="F714" s="56"/>
    </row>
    <row r="715" spans="6:6" s="108" customFormat="1" x14ac:dyDescent="0.25">
      <c r="F715" s="56"/>
    </row>
    <row r="716" spans="6:6" s="108" customFormat="1" x14ac:dyDescent="0.25">
      <c r="F716" s="56"/>
    </row>
    <row r="717" spans="6:6" s="108" customFormat="1" x14ac:dyDescent="0.25">
      <c r="F717" s="56"/>
    </row>
    <row r="718" spans="6:6" s="108" customFormat="1" x14ac:dyDescent="0.25">
      <c r="F718" s="56"/>
    </row>
    <row r="719" spans="6:6" s="108" customFormat="1" x14ac:dyDescent="0.25">
      <c r="F719" s="56"/>
    </row>
    <row r="720" spans="6:6" s="108" customFormat="1" x14ac:dyDescent="0.25">
      <c r="F720" s="56"/>
    </row>
    <row r="721" spans="6:6" s="108" customFormat="1" x14ac:dyDescent="0.25">
      <c r="F721" s="56"/>
    </row>
    <row r="722" spans="6:6" s="108" customFormat="1" x14ac:dyDescent="0.25">
      <c r="F722" s="56"/>
    </row>
    <row r="723" spans="6:6" s="108" customFormat="1" x14ac:dyDescent="0.25">
      <c r="F723" s="56"/>
    </row>
    <row r="724" spans="6:6" s="108" customFormat="1" x14ac:dyDescent="0.25">
      <c r="F724" s="56"/>
    </row>
    <row r="725" spans="6:6" s="108" customFormat="1" x14ac:dyDescent="0.25">
      <c r="F725" s="56"/>
    </row>
    <row r="726" spans="6:6" s="108" customFormat="1" x14ac:dyDescent="0.25">
      <c r="F726" s="56"/>
    </row>
    <row r="727" spans="6:6" s="108" customFormat="1" x14ac:dyDescent="0.25">
      <c r="F727" s="56"/>
    </row>
    <row r="728" spans="6:6" s="108" customFormat="1" x14ac:dyDescent="0.25">
      <c r="F728" s="56"/>
    </row>
    <row r="729" spans="6:6" s="108" customFormat="1" x14ac:dyDescent="0.25">
      <c r="F729" s="56"/>
    </row>
    <row r="730" spans="6:6" s="108" customFormat="1" x14ac:dyDescent="0.25">
      <c r="F730" s="56"/>
    </row>
    <row r="731" spans="6:6" s="108" customFormat="1" x14ac:dyDescent="0.25">
      <c r="F731" s="56"/>
    </row>
    <row r="732" spans="6:6" s="108" customFormat="1" x14ac:dyDescent="0.25">
      <c r="F732" s="56"/>
    </row>
    <row r="733" spans="6:6" s="108" customFormat="1" x14ac:dyDescent="0.25">
      <c r="F733" s="56"/>
    </row>
    <row r="734" spans="6:6" s="108" customFormat="1" x14ac:dyDescent="0.25">
      <c r="F734" s="56"/>
    </row>
    <row r="735" spans="6:6" s="108" customFormat="1" x14ac:dyDescent="0.25">
      <c r="F735" s="56"/>
    </row>
    <row r="736" spans="6:6" s="108" customFormat="1" x14ac:dyDescent="0.25">
      <c r="F736" s="56"/>
    </row>
    <row r="737" spans="6:6" s="108" customFormat="1" x14ac:dyDescent="0.25">
      <c r="F737" s="56"/>
    </row>
    <row r="738" spans="6:6" s="108" customFormat="1" x14ac:dyDescent="0.25">
      <c r="F738" s="56"/>
    </row>
    <row r="739" spans="6:6" s="108" customFormat="1" x14ac:dyDescent="0.25">
      <c r="F739" s="56"/>
    </row>
    <row r="740" spans="6:6" s="108" customFormat="1" x14ac:dyDescent="0.25">
      <c r="F740" s="56"/>
    </row>
    <row r="741" spans="6:6" s="108" customFormat="1" x14ac:dyDescent="0.25">
      <c r="F741" s="56"/>
    </row>
    <row r="742" spans="6:6" s="108" customFormat="1" x14ac:dyDescent="0.25">
      <c r="F742" s="56"/>
    </row>
    <row r="743" spans="6:6" s="108" customFormat="1" x14ac:dyDescent="0.25">
      <c r="F743" s="56"/>
    </row>
    <row r="744" spans="6:6" s="108" customFormat="1" x14ac:dyDescent="0.25">
      <c r="F744" s="56"/>
    </row>
    <row r="745" spans="6:6" s="108" customFormat="1" x14ac:dyDescent="0.25">
      <c r="F745" s="56"/>
    </row>
    <row r="746" spans="6:6" s="108" customFormat="1" x14ac:dyDescent="0.25">
      <c r="F746" s="56"/>
    </row>
    <row r="747" spans="6:6" s="108" customFormat="1" x14ac:dyDescent="0.25">
      <c r="F747" s="56"/>
    </row>
    <row r="748" spans="6:6" s="108" customFormat="1" x14ac:dyDescent="0.25">
      <c r="F748" s="56"/>
    </row>
    <row r="749" spans="6:6" s="108" customFormat="1" x14ac:dyDescent="0.25">
      <c r="F749" s="56"/>
    </row>
    <row r="750" spans="6:6" s="108" customFormat="1" x14ac:dyDescent="0.25">
      <c r="F750" s="56"/>
    </row>
    <row r="751" spans="6:6" s="108" customFormat="1" x14ac:dyDescent="0.25">
      <c r="F751" s="56"/>
    </row>
    <row r="752" spans="6:6" s="108" customFormat="1" x14ac:dyDescent="0.25">
      <c r="F752" s="56"/>
    </row>
    <row r="753" spans="6:6" s="108" customFormat="1" x14ac:dyDescent="0.25">
      <c r="F753" s="56"/>
    </row>
    <row r="754" spans="6:6" s="108" customFormat="1" x14ac:dyDescent="0.25">
      <c r="F754" s="56"/>
    </row>
    <row r="755" spans="6:6" s="108" customFormat="1" x14ac:dyDescent="0.25">
      <c r="F755" s="56"/>
    </row>
    <row r="756" spans="6:6" s="108" customFormat="1" x14ac:dyDescent="0.25">
      <c r="F756" s="56"/>
    </row>
    <row r="757" spans="6:6" s="108" customFormat="1" x14ac:dyDescent="0.25">
      <c r="F757" s="56"/>
    </row>
    <row r="758" spans="6:6" s="108" customFormat="1" x14ac:dyDescent="0.25">
      <c r="F758" s="56"/>
    </row>
    <row r="759" spans="6:6" s="108" customFormat="1" x14ac:dyDescent="0.25">
      <c r="F759" s="56"/>
    </row>
    <row r="760" spans="6:6" s="108" customFormat="1" x14ac:dyDescent="0.25">
      <c r="F760" s="56"/>
    </row>
    <row r="761" spans="6:6" s="108" customFormat="1" x14ac:dyDescent="0.25">
      <c r="F761" s="56"/>
    </row>
    <row r="762" spans="6:6" s="108" customFormat="1" x14ac:dyDescent="0.25">
      <c r="F762" s="56"/>
    </row>
    <row r="763" spans="6:6" s="108" customFormat="1" x14ac:dyDescent="0.25">
      <c r="F763" s="56"/>
    </row>
    <row r="764" spans="6:6" s="108" customFormat="1" x14ac:dyDescent="0.25">
      <c r="F764" s="56"/>
    </row>
    <row r="765" spans="6:6" s="108" customFormat="1" x14ac:dyDescent="0.25">
      <c r="F765" s="56"/>
    </row>
    <row r="766" spans="6:6" s="108" customFormat="1" x14ac:dyDescent="0.25">
      <c r="F766" s="56"/>
    </row>
    <row r="767" spans="6:6" s="108" customFormat="1" x14ac:dyDescent="0.25">
      <c r="F767" s="56"/>
    </row>
    <row r="768" spans="6:6" s="108" customFormat="1" x14ac:dyDescent="0.25">
      <c r="F768" s="56"/>
    </row>
    <row r="769" spans="6:6" s="108" customFormat="1" x14ac:dyDescent="0.25">
      <c r="F769" s="56"/>
    </row>
    <row r="770" spans="6:6" s="108" customFormat="1" x14ac:dyDescent="0.25">
      <c r="F770" s="56"/>
    </row>
    <row r="771" spans="6:6" s="108" customFormat="1" x14ac:dyDescent="0.25">
      <c r="F771" s="56"/>
    </row>
    <row r="772" spans="6:6" s="108" customFormat="1" x14ac:dyDescent="0.25">
      <c r="F772" s="56"/>
    </row>
    <row r="773" spans="6:6" s="108" customFormat="1" x14ac:dyDescent="0.25">
      <c r="F773" s="56"/>
    </row>
    <row r="774" spans="6:6" s="108" customFormat="1" x14ac:dyDescent="0.25">
      <c r="F774" s="56"/>
    </row>
    <row r="775" spans="6:6" s="108" customFormat="1" x14ac:dyDescent="0.25">
      <c r="F775" s="56"/>
    </row>
    <row r="776" spans="6:6" s="108" customFormat="1" x14ac:dyDescent="0.25">
      <c r="F776" s="56"/>
    </row>
    <row r="777" spans="6:6" s="108" customFormat="1" x14ac:dyDescent="0.25">
      <c r="F777" s="56"/>
    </row>
    <row r="778" spans="6:6" s="108" customFormat="1" x14ac:dyDescent="0.25">
      <c r="F778" s="56"/>
    </row>
    <row r="779" spans="6:6" s="108" customFormat="1" x14ac:dyDescent="0.25">
      <c r="F779" s="56"/>
    </row>
    <row r="780" spans="6:6" s="108" customFormat="1" x14ac:dyDescent="0.25">
      <c r="F780" s="56"/>
    </row>
    <row r="781" spans="6:6" s="108" customFormat="1" x14ac:dyDescent="0.25">
      <c r="F781" s="56"/>
    </row>
    <row r="782" spans="6:6" s="108" customFormat="1" x14ac:dyDescent="0.25">
      <c r="F782" s="56"/>
    </row>
    <row r="783" spans="6:6" s="108" customFormat="1" x14ac:dyDescent="0.25">
      <c r="F783" s="56"/>
    </row>
    <row r="784" spans="6:6" s="108" customFormat="1" x14ac:dyDescent="0.25">
      <c r="F784" s="56"/>
    </row>
    <row r="785" spans="6:6" s="108" customFormat="1" x14ac:dyDescent="0.25">
      <c r="F785" s="56"/>
    </row>
    <row r="786" spans="6:6" s="108" customFormat="1" x14ac:dyDescent="0.25">
      <c r="F786" s="56"/>
    </row>
    <row r="787" spans="6:6" s="108" customFormat="1" x14ac:dyDescent="0.25">
      <c r="F787" s="56"/>
    </row>
    <row r="788" spans="6:6" s="108" customFormat="1" x14ac:dyDescent="0.25">
      <c r="F788" s="56"/>
    </row>
    <row r="789" spans="6:6" s="108" customFormat="1" x14ac:dyDescent="0.25">
      <c r="F789" s="56"/>
    </row>
    <row r="790" spans="6:6" s="108" customFormat="1" x14ac:dyDescent="0.25">
      <c r="F790" s="56"/>
    </row>
    <row r="791" spans="6:6" s="108" customFormat="1" x14ac:dyDescent="0.25">
      <c r="F791" s="56"/>
    </row>
    <row r="792" spans="6:6" s="108" customFormat="1" x14ac:dyDescent="0.25">
      <c r="F792" s="56"/>
    </row>
    <row r="793" spans="6:6" s="108" customFormat="1" x14ac:dyDescent="0.25">
      <c r="F793" s="56"/>
    </row>
    <row r="794" spans="6:6" s="108" customFormat="1" x14ac:dyDescent="0.25">
      <c r="F794" s="56"/>
    </row>
    <row r="795" spans="6:6" s="108" customFormat="1" x14ac:dyDescent="0.25">
      <c r="F795" s="56"/>
    </row>
    <row r="796" spans="6:6" s="108" customFormat="1" x14ac:dyDescent="0.25">
      <c r="F796" s="56"/>
    </row>
    <row r="797" spans="6:6" s="108" customFormat="1" x14ac:dyDescent="0.25">
      <c r="F797" s="56"/>
    </row>
    <row r="798" spans="6:6" s="108" customFormat="1" x14ac:dyDescent="0.25">
      <c r="F798" s="56"/>
    </row>
    <row r="799" spans="6:6" s="108" customFormat="1" x14ac:dyDescent="0.25">
      <c r="F799" s="56"/>
    </row>
    <row r="800" spans="6:6" s="108" customFormat="1" x14ac:dyDescent="0.25">
      <c r="F800" s="56"/>
    </row>
    <row r="801" spans="6:6" s="108" customFormat="1" x14ac:dyDescent="0.25">
      <c r="F801" s="56"/>
    </row>
    <row r="802" spans="6:6" s="108" customFormat="1" x14ac:dyDescent="0.25">
      <c r="F802" s="56"/>
    </row>
    <row r="803" spans="6:6" s="108" customFormat="1" x14ac:dyDescent="0.25">
      <c r="F803" s="56"/>
    </row>
    <row r="804" spans="6:6" s="108" customFormat="1" x14ac:dyDescent="0.25">
      <c r="F804" s="56"/>
    </row>
    <row r="805" spans="6:6" s="108" customFormat="1" x14ac:dyDescent="0.25">
      <c r="F805" s="56"/>
    </row>
    <row r="806" spans="6:6" s="108" customFormat="1" x14ac:dyDescent="0.25">
      <c r="F806" s="56"/>
    </row>
    <row r="807" spans="6:6" s="108" customFormat="1" x14ac:dyDescent="0.25">
      <c r="F807" s="56"/>
    </row>
    <row r="808" spans="6:6" s="108" customFormat="1" x14ac:dyDescent="0.25">
      <c r="F808" s="56"/>
    </row>
    <row r="809" spans="6:6" s="108" customFormat="1" x14ac:dyDescent="0.25">
      <c r="F809" s="56"/>
    </row>
    <row r="810" spans="6:6" s="108" customFormat="1" x14ac:dyDescent="0.25">
      <c r="F810" s="56"/>
    </row>
    <row r="811" spans="6:6" s="108" customFormat="1" x14ac:dyDescent="0.25">
      <c r="F811" s="56"/>
    </row>
    <row r="812" spans="6:6" s="108" customFormat="1" x14ac:dyDescent="0.25">
      <c r="F812" s="56"/>
    </row>
    <row r="813" spans="6:6" s="108" customFormat="1" x14ac:dyDescent="0.25">
      <c r="F813" s="56"/>
    </row>
    <row r="814" spans="6:6" s="108" customFormat="1" x14ac:dyDescent="0.25">
      <c r="F814" s="56"/>
    </row>
    <row r="815" spans="6:6" s="108" customFormat="1" x14ac:dyDescent="0.25">
      <c r="F815" s="56"/>
    </row>
    <row r="816" spans="6:6" s="108" customFormat="1" x14ac:dyDescent="0.25">
      <c r="F816" s="56"/>
    </row>
    <row r="817" spans="6:6" s="108" customFormat="1" x14ac:dyDescent="0.25">
      <c r="F817" s="56"/>
    </row>
    <row r="818" spans="6:6" s="108" customFormat="1" x14ac:dyDescent="0.25">
      <c r="F818" s="56"/>
    </row>
  </sheetData>
  <conditionalFormatting sqref="Q1">
    <cfRule type="cellIs" dxfId="36" priority="51" operator="equal">
      <formula>"Indéterminé"</formula>
    </cfRule>
    <cfRule type="cellIs" dxfId="35" priority="52" operator="equal">
      <formula>"NA"</formula>
    </cfRule>
    <cfRule type="cellIs" dxfId="34" priority="53" operator="equal">
      <formula>"Invalidé"</formula>
    </cfRule>
    <cfRule type="cellIs" dxfId="33" priority="54" operator="equal">
      <formula>"Validé"</formula>
    </cfRule>
  </conditionalFormatting>
  <conditionalFormatting sqref="H1:H55 H57:H111 H113:H1048576">
    <cfRule type="cellIs" dxfId="32" priority="357" operator="equal">
      <formula>"Indéterminé"</formula>
    </cfRule>
    <cfRule type="cellIs" dxfId="31" priority="358" operator="equal">
      <formula>"NA"</formula>
    </cfRule>
    <cfRule type="cellIs" dxfId="30" priority="359" operator="equal">
      <formula>"Invalidé"</formula>
    </cfRule>
    <cfRule type="cellIs" dxfId="29" priority="360" operator="equal">
      <formula>"Validé"</formula>
    </cfRule>
  </conditionalFormatting>
  <conditionalFormatting sqref="H56">
    <cfRule type="cellIs" dxfId="28" priority="5" operator="equal">
      <formula>"Indéterminé"</formula>
    </cfRule>
    <cfRule type="cellIs" dxfId="27" priority="6" operator="equal">
      <formula>"NA"</formula>
    </cfRule>
    <cfRule type="cellIs" dxfId="26" priority="7" operator="equal">
      <formula>"Invalidé"</formula>
    </cfRule>
    <cfRule type="cellIs" dxfId="25" priority="8" operator="equal">
      <formula>"Validé"</formula>
    </cfRule>
  </conditionalFormatting>
  <conditionalFormatting sqref="H112">
    <cfRule type="cellIs" dxfId="24" priority="1" operator="equal">
      <formula>"Indéterminé"</formula>
    </cfRule>
    <cfRule type="cellIs" dxfId="23" priority="2" operator="equal">
      <formula>"NA"</formula>
    </cfRule>
    <cfRule type="cellIs" dxfId="22" priority="3" operator="equal">
      <formula>"Invalidé"</formula>
    </cfRule>
    <cfRule type="cellIs" dxfId="21" priority="4" operator="equal">
      <formula>"Validé"</formula>
    </cfRule>
  </conditionalFormatting>
  <dataValidations count="4">
    <dataValidation type="list" allowBlank="1" showInputMessage="1" showErrorMessage="1" sqref="H4:H261" xr:uid="{00000000-0002-0000-0A00-000001000000}">
      <formula1>Etat</formula1>
    </dataValidation>
    <dataValidation type="list" allowBlank="1" showInputMessage="1" showErrorMessage="1" sqref="P4:P261" xr:uid="{00000000-0002-0000-0A00-000002000000}">
      <formula1>Difficulte</formula1>
    </dataValidation>
    <dataValidation type="list" allowBlank="1" showInputMessage="1" showErrorMessage="1" sqref="G4:G261" xr:uid="{00000000-0002-0000-0A00-000003000000}">
      <formula1>méthode</formula1>
    </dataValidation>
    <dataValidation type="list" allowBlank="1" showInputMessage="1" showErrorMessage="1" sqref="Q4:Q261"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S367"/>
  <sheetViews>
    <sheetView topLeftCell="A19" zoomScale="80" zoomScaleNormal="80" workbookViewId="0">
      <selection activeCell="O161" sqref="O161"/>
    </sheetView>
  </sheetViews>
  <sheetFormatPr baseColWidth="10" defaultColWidth="11.42578125" defaultRowHeight="15" x14ac:dyDescent="0.25"/>
  <cols>
    <col min="1" max="1" width="2.7109375" style="16" customWidth="1"/>
    <col min="2" max="2" width="12" style="16" bestFit="1" customWidth="1"/>
    <col min="3" max="3" width="6.28515625" style="16" bestFit="1" customWidth="1"/>
    <col min="4" max="4" width="8" style="16" bestFit="1" customWidth="1"/>
    <col min="5" max="8" width="12.7109375" style="16" customWidth="1"/>
    <col min="9" max="9" width="6.42578125" style="16" bestFit="1" customWidth="1"/>
    <col min="10" max="10" width="2.7109375" style="16" customWidth="1"/>
    <col min="11" max="11" width="11.42578125" style="202"/>
    <col min="12" max="12" width="16.42578125" style="16" customWidth="1"/>
    <col min="13" max="13" width="10.140625" style="16" bestFit="1" customWidth="1"/>
    <col min="14" max="14" width="13.140625" style="16" customWidth="1"/>
    <col min="15" max="15" width="13.42578125" style="16" bestFit="1" customWidth="1"/>
    <col min="16" max="16" width="16.28515625" style="16" bestFit="1" customWidth="1"/>
    <col min="17" max="17" width="13" style="16" customWidth="1"/>
    <col min="18" max="18" width="8.140625" style="16" customWidth="1"/>
    <col min="19" max="19" width="2.7109375" style="16" customWidth="1"/>
    <col min="20" max="20" width="10.140625" style="16" bestFit="1" customWidth="1"/>
    <col min="21" max="21" width="2.7109375" style="16" customWidth="1"/>
    <col min="22" max="22" width="7.42578125" style="16" customWidth="1"/>
    <col min="23" max="23" width="26.7109375" style="16" customWidth="1"/>
    <col min="24" max="24" width="2.7109375" style="16" customWidth="1"/>
    <col min="25" max="25" width="9.28515625" style="16" bestFit="1" customWidth="1"/>
    <col min="26" max="26" width="19.85546875" style="16" bestFit="1" customWidth="1"/>
    <col min="27" max="27" width="2.7109375" style="16" customWidth="1"/>
    <col min="28" max="28" width="13.42578125" style="16" bestFit="1" customWidth="1"/>
    <col min="29" max="29" width="83.42578125" style="16" bestFit="1" customWidth="1"/>
    <col min="30" max="30" width="2.7109375" style="16" customWidth="1"/>
    <col min="31" max="31" width="35.7109375" style="16" bestFit="1" customWidth="1"/>
    <col min="32" max="32" width="9.85546875" style="16" bestFit="1" customWidth="1"/>
    <col min="33" max="33" width="7" style="16" bestFit="1" customWidth="1"/>
    <col min="34" max="42" width="5.7109375" style="16" bestFit="1" customWidth="1"/>
    <col min="43" max="45" width="6.7109375" style="16" bestFit="1" customWidth="1"/>
    <col min="46" max="16384" width="11.42578125" style="16"/>
  </cols>
  <sheetData>
    <row r="1" spans="1:33" s="9" customFormat="1" ht="30" x14ac:dyDescent="0.25">
      <c r="A1" s="68"/>
      <c r="B1" s="204" t="s">
        <v>1119</v>
      </c>
      <c r="C1" s="25" t="s">
        <v>1</v>
      </c>
      <c r="D1" s="25" t="s">
        <v>23</v>
      </c>
      <c r="E1" s="24" t="s">
        <v>11</v>
      </c>
      <c r="F1" s="24" t="s">
        <v>12</v>
      </c>
      <c r="G1" s="24" t="s">
        <v>41</v>
      </c>
      <c r="H1" s="24" t="s">
        <v>13</v>
      </c>
      <c r="I1" s="24" t="s">
        <v>37</v>
      </c>
      <c r="J1" s="68"/>
      <c r="K1" s="96"/>
      <c r="L1" s="351" t="s">
        <v>39</v>
      </c>
      <c r="M1" s="351"/>
      <c r="N1" s="351"/>
      <c r="O1" s="351"/>
      <c r="P1" s="351"/>
      <c r="S1" s="68"/>
      <c r="T1" s="30" t="s">
        <v>26</v>
      </c>
      <c r="U1" s="68"/>
      <c r="V1" s="29" t="s">
        <v>27</v>
      </c>
      <c r="W1" s="15"/>
      <c r="X1" s="68"/>
      <c r="Y1" s="28" t="s">
        <v>31</v>
      </c>
      <c r="Z1" s="27"/>
      <c r="AA1" s="68"/>
      <c r="AB1" s="32" t="s">
        <v>40</v>
      </c>
      <c r="AC1" s="31"/>
      <c r="AD1" s="68" t="s">
        <v>1135</v>
      </c>
      <c r="AE1" s="194" t="s">
        <v>1120</v>
      </c>
      <c r="AF1" s="47" t="s">
        <v>45</v>
      </c>
      <c r="AG1" s="39" t="s">
        <v>46</v>
      </c>
    </row>
    <row r="2" spans="1:33" s="9" customFormat="1" x14ac:dyDescent="0.25">
      <c r="A2" s="68"/>
      <c r="B2" s="74" t="str">
        <f>Modèle!B4</f>
        <v>Images</v>
      </c>
      <c r="C2" s="80" t="str">
        <f>Modèle!D4</f>
        <v>1.1.1</v>
      </c>
      <c r="D2" s="81" t="str">
        <f>Modèle!E4</f>
        <v>A</v>
      </c>
      <c r="E2" s="178">
        <f ca="1">COUNTIF(OFFSET(Synthèse!$G11,0,0,1,COUNTA(Synthèse!$10:$10)-6),"="&amp;$E$1)</f>
        <v>0</v>
      </c>
      <c r="F2" s="178">
        <f ca="1">COUNTIF(OFFSET(Synthèse!$G11,0,0,1,COUNTA(Synthèse!$10:$10)-6),"="&amp;$F$1)</f>
        <v>0</v>
      </c>
      <c r="G2" s="178">
        <f ca="1">COUNTIF(OFFSET(Synthèse!$G11,0,0,1,COUNTA(Synthèse!$10:$10)-6),"="&amp;$G$1)</f>
        <v>0</v>
      </c>
      <c r="H2" s="178">
        <f ca="1">COUNTIF(OFFSET(Synthèse!$G11,0,0,1,COUNTA(Synthèse!$10:$10)-6),"="&amp;$H$1)</f>
        <v>0</v>
      </c>
      <c r="I2" s="203">
        <f ca="1">SUM(E2:H2)</f>
        <v>0</v>
      </c>
      <c r="J2" s="68"/>
      <c r="K2" s="96"/>
      <c r="L2" s="189" t="s">
        <v>44</v>
      </c>
      <c r="M2" s="21" t="s">
        <v>11</v>
      </c>
      <c r="N2" s="21" t="s">
        <v>12</v>
      </c>
      <c r="O2" s="21" t="s">
        <v>41</v>
      </c>
      <c r="P2" s="21" t="s">
        <v>36</v>
      </c>
      <c r="S2" s="68"/>
      <c r="T2" s="19" t="s">
        <v>654</v>
      </c>
      <c r="U2" s="68"/>
      <c r="V2" s="20">
        <v>1</v>
      </c>
      <c r="W2" s="17" t="s">
        <v>28</v>
      </c>
      <c r="X2" s="68"/>
      <c r="Y2" s="18" t="s">
        <v>32</v>
      </c>
      <c r="Z2" s="18" t="s">
        <v>34</v>
      </c>
      <c r="AA2" s="68"/>
      <c r="AB2" s="26" t="s">
        <v>12</v>
      </c>
      <c r="AC2" s="26" t="s">
        <v>18</v>
      </c>
      <c r="AD2" s="68"/>
      <c r="AE2" s="195" t="s">
        <v>1121</v>
      </c>
      <c r="AF2" s="215">
        <f t="shared" ref="AF2:AF11" si="0">SUM($AG2:$YU2)</f>
        <v>0</v>
      </c>
      <c r="AG2" s="216" cm="1">
        <f t="array" ref="AG2">SUMPRODUCT((Synthèse!G$11:G$268="Validé")*(Synthèse!$D$11:$D$268&lt;&gt;"AAA"))</f>
        <v>0</v>
      </c>
    </row>
    <row r="3" spans="1:33" s="9" customFormat="1" x14ac:dyDescent="0.25">
      <c r="A3" s="68"/>
      <c r="B3" s="74" t="str">
        <f>Modèle!B5</f>
        <v>Images</v>
      </c>
      <c r="C3" s="80" t="str">
        <f>Modèle!D5</f>
        <v>1.1.2</v>
      </c>
      <c r="D3" s="81" t="str">
        <f>Modèle!E5</f>
        <v>A</v>
      </c>
      <c r="E3" s="178">
        <f ca="1">COUNTIF(OFFSET(Synthèse!$G12,0,0,1,COUNTA(Synthèse!$10:$10)-6),"="&amp;$E$1)</f>
        <v>0</v>
      </c>
      <c r="F3" s="178">
        <f ca="1">COUNTIF(OFFSET(Synthèse!$G12,0,0,1,COUNTA(Synthèse!$10:$10)-6),"="&amp;$F$1)</f>
        <v>0</v>
      </c>
      <c r="G3" s="178">
        <f ca="1">COUNTIF(OFFSET(Synthèse!$G12,0,0,1,COUNTA(Synthèse!$10:$10)-6),"="&amp;$G$1)</f>
        <v>0</v>
      </c>
      <c r="H3" s="178">
        <f ca="1">COUNTIF(OFFSET(Synthèse!$G12,0,0,1,COUNTA(Synthèse!$10:$10)-6),"="&amp;$H$1)</f>
        <v>0</v>
      </c>
      <c r="I3" s="203">
        <f t="shared" ref="I3:I67" ca="1" si="1">SUM(E3:H3)</f>
        <v>0</v>
      </c>
      <c r="J3" s="69"/>
      <c r="K3" s="96"/>
      <c r="L3" s="175" t="s">
        <v>5</v>
      </c>
      <c r="M3" s="176">
        <f ca="1">SUMIF($D$2:$D$60,"&lt;&gt;AAA",E$2:E$60)</f>
        <v>0</v>
      </c>
      <c r="N3" s="176">
        <f ca="1">SUMIF($D$2:$D$60,"&lt;&gt;AAA",F$2:F$60)</f>
        <v>0</v>
      </c>
      <c r="O3" s="176">
        <f t="shared" ref="O3:P3" ca="1" si="2">SUMIF($D$2:$D$60,"&lt;&gt;AAA",G$2:G$60)</f>
        <v>0</v>
      </c>
      <c r="P3" s="176">
        <f t="shared" ca="1" si="2"/>
        <v>0</v>
      </c>
      <c r="S3" s="69"/>
      <c r="T3" s="19" t="s">
        <v>655</v>
      </c>
      <c r="U3" s="69"/>
      <c r="V3" s="20">
        <v>2</v>
      </c>
      <c r="W3" s="17" t="s">
        <v>29</v>
      </c>
      <c r="X3" s="68"/>
      <c r="Y3" s="18" t="s">
        <v>33</v>
      </c>
      <c r="Z3" s="18" t="s">
        <v>35</v>
      </c>
      <c r="AA3" s="68"/>
      <c r="AB3" s="26" t="s">
        <v>11</v>
      </c>
      <c r="AC3" s="26" t="s">
        <v>19</v>
      </c>
      <c r="AD3" s="68"/>
      <c r="AE3" s="195" t="s">
        <v>1122</v>
      </c>
      <c r="AF3" s="215">
        <f t="shared" si="0"/>
        <v>0</v>
      </c>
      <c r="AG3" s="216" cm="1">
        <f t="array" ref="AG3">SUMPRODUCT((Synthèse!G$11:G$268="Invalidé")*(Synthèse!$D$11:$D$268&lt;&gt;"AAA"))</f>
        <v>0</v>
      </c>
    </row>
    <row r="4" spans="1:33" s="9" customFormat="1" ht="15.75" customHeight="1" x14ac:dyDescent="0.25">
      <c r="A4" s="70"/>
      <c r="B4" s="74" t="str">
        <f>Modèle!B6</f>
        <v>Images</v>
      </c>
      <c r="C4" s="80" t="str">
        <f>Modèle!D6</f>
        <v>1.1.3</v>
      </c>
      <c r="D4" s="81" t="str">
        <f>Modèle!E6</f>
        <v>A</v>
      </c>
      <c r="E4" s="178">
        <f ca="1">COUNTIF(OFFSET(Synthèse!$G13,0,0,1,COUNTA(Synthèse!$10:$10)-6),"="&amp;$E$1)</f>
        <v>0</v>
      </c>
      <c r="F4" s="178">
        <f ca="1">COUNTIF(OFFSET(Synthèse!$G13,0,0,1,COUNTA(Synthèse!$10:$10)-6),"="&amp;$F$1)</f>
        <v>0</v>
      </c>
      <c r="G4" s="178">
        <f ca="1">COUNTIF(OFFSET(Synthèse!$G13,0,0,1,COUNTA(Synthèse!$10:$10)-6),"="&amp;$G$1)</f>
        <v>0</v>
      </c>
      <c r="H4" s="178">
        <f ca="1">COUNTIF(OFFSET(Synthèse!$G13,0,0,1,COUNTA(Synthèse!$10:$10)-6),"="&amp;$H$1)</f>
        <v>0</v>
      </c>
      <c r="I4" s="203">
        <f t="shared" ca="1" si="1"/>
        <v>0</v>
      </c>
      <c r="J4" s="69"/>
      <c r="K4" s="96"/>
      <c r="L4" s="175" t="s">
        <v>38</v>
      </c>
      <c r="M4" s="176">
        <f ca="1">SUMIF($D$61:$D$62,"&lt;&gt;AAA",E$61:E$62)</f>
        <v>0</v>
      </c>
      <c r="N4" s="176">
        <f ca="1">SUMIF($D$61:$D$62,"&lt;&gt;AAA",F$61:F$62)</f>
        <v>0</v>
      </c>
      <c r="O4" s="176">
        <f t="shared" ref="O4:P4" ca="1" si="3">SUMIF($D$61:$D$62,"&lt;&gt;AAA",G$61:G$62)</f>
        <v>0</v>
      </c>
      <c r="P4" s="176">
        <f t="shared" ca="1" si="3"/>
        <v>0</v>
      </c>
      <c r="S4" s="69"/>
      <c r="T4" s="19" t="s">
        <v>656</v>
      </c>
      <c r="U4" s="69"/>
      <c r="V4" s="20">
        <v>3</v>
      </c>
      <c r="W4" s="17" t="s">
        <v>30</v>
      </c>
      <c r="X4" s="68"/>
      <c r="Y4" s="10"/>
      <c r="Z4" s="10"/>
      <c r="AA4" s="68"/>
      <c r="AB4" s="26" t="s">
        <v>41</v>
      </c>
      <c r="AC4" s="26" t="s">
        <v>42</v>
      </c>
      <c r="AD4" s="68"/>
      <c r="AE4" s="195" t="s">
        <v>1123</v>
      </c>
      <c r="AF4" s="215">
        <f t="shared" si="0"/>
        <v>0</v>
      </c>
      <c r="AG4" s="216" cm="1">
        <f t="array" ref="AG4">SUMPRODUCT((Synthèse!G$11:G$268="Indéterminé")*(Synthèse!$D$11:$D$268&lt;&gt;"AAA"))</f>
        <v>0</v>
      </c>
    </row>
    <row r="5" spans="1:33" s="9" customFormat="1" ht="15.75" customHeight="1" x14ac:dyDescent="0.25">
      <c r="A5" s="70"/>
      <c r="B5" s="74" t="str">
        <f>Modèle!B7</f>
        <v>Images</v>
      </c>
      <c r="C5" s="80" t="str">
        <f>Modèle!D7</f>
        <v>1.1.4</v>
      </c>
      <c r="D5" s="81" t="str">
        <f>Modèle!E7</f>
        <v>A</v>
      </c>
      <c r="E5" s="178">
        <f ca="1">COUNTIF(OFFSET(Synthèse!$G14,0,0,1,COUNTA(Synthèse!$10:$10)-6),"="&amp;$E$1)</f>
        <v>0</v>
      </c>
      <c r="F5" s="178">
        <f ca="1">COUNTIF(OFFSET(Synthèse!$G14,0,0,1,COUNTA(Synthèse!$10:$10)-6),"="&amp;$F$1)</f>
        <v>0</v>
      </c>
      <c r="G5" s="178">
        <f ca="1">COUNTIF(OFFSET(Synthèse!$G14,0,0,1,COUNTA(Synthèse!$10:$10)-6),"="&amp;$G$1)</f>
        <v>0</v>
      </c>
      <c r="H5" s="178">
        <f ca="1">COUNTIF(OFFSET(Synthèse!$G14,0,0,1,COUNTA(Synthèse!$10:$10)-6),"="&amp;$H$1)</f>
        <v>0</v>
      </c>
      <c r="I5" s="203">
        <f t="shared" ca="1" si="1"/>
        <v>0</v>
      </c>
      <c r="J5" s="68"/>
      <c r="K5" s="96"/>
      <c r="L5" s="175" t="s">
        <v>3</v>
      </c>
      <c r="M5" s="176">
        <f ca="1">SUMIF($D$63:$D$77,"&lt;&gt;AAA",E$63:E$77)</f>
        <v>0</v>
      </c>
      <c r="N5" s="176">
        <f ca="1">SUMIF($D$63:$D$77,"&lt;&gt;AAA",F$63:F$77)</f>
        <v>0</v>
      </c>
      <c r="O5" s="176">
        <f t="shared" ref="O5:P5" ca="1" si="4">SUMIF($D$63:$D$77,"&lt;&gt;AAA",G$63:G$77)</f>
        <v>0</v>
      </c>
      <c r="P5" s="176">
        <f t="shared" ca="1" si="4"/>
        <v>0</v>
      </c>
      <c r="S5" s="68"/>
      <c r="U5" s="68"/>
      <c r="X5" s="69"/>
      <c r="AA5" s="68"/>
      <c r="AB5" s="26" t="s">
        <v>13</v>
      </c>
      <c r="AC5" s="26" t="s">
        <v>43</v>
      </c>
      <c r="AD5" s="68"/>
      <c r="AE5" s="195" t="s">
        <v>1124</v>
      </c>
      <c r="AF5" s="215">
        <f t="shared" si="0"/>
        <v>0</v>
      </c>
      <c r="AG5" s="216" cm="1">
        <f t="array" ref="AG5">SUMPRODUCT((Synthèse!G$11:G$268="NA")*(Synthèse!$D$11:$D$268&lt;&gt;"AAA"))</f>
        <v>0</v>
      </c>
    </row>
    <row r="6" spans="1:33" s="9" customFormat="1" x14ac:dyDescent="0.25">
      <c r="A6" s="70"/>
      <c r="B6" s="74" t="str">
        <f>Modèle!B8</f>
        <v>Images</v>
      </c>
      <c r="C6" s="80" t="str">
        <f>Modèle!D8</f>
        <v>1.1.5</v>
      </c>
      <c r="D6" s="81" t="str">
        <f>Modèle!E8</f>
        <v>A</v>
      </c>
      <c r="E6" s="178">
        <f ca="1">COUNTIF(OFFSET(Synthèse!$G15,0,0,1,COUNTA(Synthèse!$10:$10)-6),"="&amp;$E$1)</f>
        <v>0</v>
      </c>
      <c r="F6" s="178">
        <f ca="1">COUNTIF(OFFSET(Synthèse!$G15,0,0,1,COUNTA(Synthèse!$10:$10)-6),"="&amp;$F$1)</f>
        <v>0</v>
      </c>
      <c r="G6" s="178">
        <f ca="1">COUNTIF(OFFSET(Synthèse!$G15,0,0,1,COUNTA(Synthèse!$10:$10)-6),"="&amp;$G$1)</f>
        <v>0</v>
      </c>
      <c r="H6" s="178">
        <f ca="1">COUNTIF(OFFSET(Synthèse!$G15,0,0,1,COUNTA(Synthèse!$10:$10)-6),"="&amp;$H$1)</f>
        <v>0</v>
      </c>
      <c r="I6" s="203">
        <f t="shared" ca="1" si="1"/>
        <v>0</v>
      </c>
      <c r="J6" s="68"/>
      <c r="K6" s="96"/>
      <c r="L6" s="175" t="s">
        <v>6</v>
      </c>
      <c r="M6" s="176">
        <f ca="1">SUMIF($D$78:$D$102,"&lt;&gt;AAA",E$78:E$102)</f>
        <v>0</v>
      </c>
      <c r="N6" s="176">
        <f ca="1">SUMIF($D$78:$D$102,"&lt;&gt;AAA",F$78:F$102)</f>
        <v>0</v>
      </c>
      <c r="O6" s="176">
        <f ca="1">SUMIF($D$78:$D$102,"&lt;&gt;AAA",G$78:G$102)</f>
        <v>0</v>
      </c>
      <c r="P6" s="176">
        <f ca="1">SUMIF($D$78:$D$102,"&lt;&gt;AAA",H$78:H$102)</f>
        <v>0</v>
      </c>
      <c r="S6" s="68"/>
      <c r="U6" s="68"/>
      <c r="X6" s="69"/>
      <c r="AA6" s="68"/>
      <c r="AB6" s="26" t="s">
        <v>611</v>
      </c>
      <c r="AC6" s="26" t="s">
        <v>612</v>
      </c>
      <c r="AD6" s="68"/>
      <c r="AE6" s="196" t="s">
        <v>1125</v>
      </c>
      <c r="AF6" s="217">
        <f t="shared" si="0"/>
        <v>0</v>
      </c>
      <c r="AG6" s="324">
        <f>SUMPRODUCT((Synthèse!G$11:G$268="Validé")*(Synthèse!$D$11:$D$268="AAA"))</f>
        <v>0</v>
      </c>
    </row>
    <row r="7" spans="1:33" s="9" customFormat="1" x14ac:dyDescent="0.25">
      <c r="A7" s="68"/>
      <c r="B7" s="74" t="str">
        <f>Modèle!B9</f>
        <v>Images</v>
      </c>
      <c r="C7" s="80" t="str">
        <f>Modèle!D9</f>
        <v>1.1.6</v>
      </c>
      <c r="D7" s="81" t="str">
        <f>Modèle!E9</f>
        <v>A</v>
      </c>
      <c r="E7" s="178">
        <f ca="1">COUNTIF(OFFSET(Synthèse!$G16,0,0,1,COUNTA(Synthèse!$10:$10)-6),"="&amp;$E$1)</f>
        <v>0</v>
      </c>
      <c r="F7" s="178">
        <f ca="1">COUNTIF(OFFSET(Synthèse!$G16,0,0,1,COUNTA(Synthèse!$10:$10)-6),"="&amp;$F$1)</f>
        <v>0</v>
      </c>
      <c r="G7" s="178">
        <f ca="1">COUNTIF(OFFSET(Synthèse!$G16,0,0,1,COUNTA(Synthèse!$10:$10)-6),"="&amp;$G$1)</f>
        <v>0</v>
      </c>
      <c r="H7" s="178">
        <f ca="1">COUNTIF(OFFSET(Synthèse!$G16,0,0,1,COUNTA(Synthèse!$10:$10)-6),"="&amp;$H$1)</f>
        <v>0</v>
      </c>
      <c r="I7" s="203">
        <f t="shared" ca="1" si="1"/>
        <v>0</v>
      </c>
      <c r="J7" s="68"/>
      <c r="K7" s="96"/>
      <c r="L7" s="175" t="s">
        <v>9</v>
      </c>
      <c r="M7" s="176">
        <f ca="1">SUMIF($D$103:$D$117,"&lt;&gt;AAA",E$103:E$117)</f>
        <v>0</v>
      </c>
      <c r="N7" s="176">
        <f ca="1">SUMIF($D$103:$D$117,"&lt;&gt;AAA",F$103:F$117)</f>
        <v>0</v>
      </c>
      <c r="O7" s="176">
        <f ca="1">SUMIF($D$103:$D$117,"&lt;&gt;AAA",G$103:G$117)</f>
        <v>0</v>
      </c>
      <c r="P7" s="176">
        <f t="shared" ref="P7" ca="1" si="5">SUMIF($D$103:$D$117,"&lt;&gt;AAA",H$103:H$117)</f>
        <v>0</v>
      </c>
      <c r="S7" s="68"/>
      <c r="U7" s="68"/>
      <c r="X7" s="68"/>
      <c r="AA7" s="68"/>
      <c r="AD7" s="68"/>
      <c r="AE7" s="196" t="s">
        <v>1126</v>
      </c>
      <c r="AF7" s="217">
        <f t="shared" si="0"/>
        <v>0</v>
      </c>
      <c r="AG7" s="324">
        <f>SUMPRODUCT((Synthèse!G$11:G$268="Invalidé")*(Synthèse!$D$11:$D$268="AAA"))</f>
        <v>0</v>
      </c>
    </row>
    <row r="8" spans="1:33" s="9" customFormat="1" x14ac:dyDescent="0.25">
      <c r="A8" s="68"/>
      <c r="B8" s="74" t="str">
        <f>Modèle!B10</f>
        <v>Images</v>
      </c>
      <c r="C8" s="80" t="str">
        <f>Modèle!D10</f>
        <v>1.1.7</v>
      </c>
      <c r="D8" s="81" t="str">
        <f>Modèle!E10</f>
        <v>A</v>
      </c>
      <c r="E8" s="178">
        <f ca="1">COUNTIF(OFFSET(Synthèse!$G17,0,0,1,COUNTA(Synthèse!$10:$10)-6),"="&amp;$E$1)</f>
        <v>0</v>
      </c>
      <c r="F8" s="178">
        <f ca="1">COUNTIF(OFFSET(Synthèse!$G17,0,0,1,COUNTA(Synthèse!$10:$10)-6),"="&amp;$F$1)</f>
        <v>0</v>
      </c>
      <c r="G8" s="178">
        <f ca="1">COUNTIF(OFFSET(Synthèse!$G17,0,0,1,COUNTA(Synthèse!$10:$10)-6),"="&amp;$G$1)</f>
        <v>0</v>
      </c>
      <c r="H8" s="178">
        <f ca="1">COUNTIF(OFFSET(Synthèse!$G17,0,0,1,COUNTA(Synthèse!$10:$10)-6),"="&amp;$H$1)</f>
        <v>0</v>
      </c>
      <c r="I8" s="203">
        <f t="shared" ca="1" si="1"/>
        <v>0</v>
      </c>
      <c r="J8" s="68"/>
      <c r="K8" s="96"/>
      <c r="L8" s="175" t="s">
        <v>348</v>
      </c>
      <c r="M8" s="176">
        <f ca="1">SUMIF($D$118:$D$123,"&lt;&gt;AAA",E$118:E$123)</f>
        <v>0</v>
      </c>
      <c r="N8" s="176">
        <f ca="1">SUMIF($D$118:$D$123,"&lt;&gt;AAA",F$118:F$123)</f>
        <v>0</v>
      </c>
      <c r="O8" s="176">
        <f t="shared" ref="O8:P8" ca="1" si="6">SUMIF($D$118:$D$123,"&lt;&gt;AAA",G$118:G$123)</f>
        <v>0</v>
      </c>
      <c r="P8" s="176">
        <f t="shared" ca="1" si="6"/>
        <v>0</v>
      </c>
      <c r="S8" s="68"/>
      <c r="U8" s="68"/>
      <c r="X8" s="68"/>
      <c r="AA8" s="68"/>
      <c r="AD8" s="68"/>
      <c r="AE8" s="196" t="s">
        <v>1127</v>
      </c>
      <c r="AF8" s="217">
        <f t="shared" si="0"/>
        <v>0</v>
      </c>
      <c r="AG8" s="324">
        <f>SUMPRODUCT((Synthèse!G$11:G$268="Indéterminé")*(Synthèse!$D$11:$D$268="AAA"))</f>
        <v>0</v>
      </c>
    </row>
    <row r="9" spans="1:33" s="9" customFormat="1" x14ac:dyDescent="0.25">
      <c r="A9" s="68"/>
      <c r="B9" s="74" t="str">
        <f>Modèle!B11</f>
        <v>Images</v>
      </c>
      <c r="C9" s="80" t="str">
        <f>Modèle!D11</f>
        <v>1.1.8</v>
      </c>
      <c r="D9" s="81" t="str">
        <f>Modèle!E11</f>
        <v>A</v>
      </c>
      <c r="E9" s="178">
        <f ca="1">COUNTIF(OFFSET(Synthèse!$G18,0,0,1,COUNTA(Synthèse!$10:$10)-6),"="&amp;$E$1)</f>
        <v>0</v>
      </c>
      <c r="F9" s="178">
        <f ca="1">COUNTIF(OFFSET(Synthèse!$G18,0,0,1,COUNTA(Synthèse!$10:$10)-6),"="&amp;$F$1)</f>
        <v>0</v>
      </c>
      <c r="G9" s="178">
        <f ca="1">COUNTIF(OFFSET(Synthèse!$G18,0,0,1,COUNTA(Synthèse!$10:$10)-6),"="&amp;$G$1)</f>
        <v>0</v>
      </c>
      <c r="H9" s="178">
        <f ca="1">COUNTIF(OFFSET(Synthèse!$G18,0,0,1,COUNTA(Synthèse!$10:$10)-6),"="&amp;$H$1)</f>
        <v>0</v>
      </c>
      <c r="I9" s="203">
        <f t="shared" ca="1" si="1"/>
        <v>0</v>
      </c>
      <c r="J9" s="68"/>
      <c r="K9" s="96"/>
      <c r="L9" s="175" t="s">
        <v>8</v>
      </c>
      <c r="M9" s="176">
        <f ca="1">SUMIF($D$124:$D$134,"&lt;&gt;AAA",E$124:E$134)</f>
        <v>0</v>
      </c>
      <c r="N9" s="176">
        <f ca="1">SUMIF($D$124:$D$134,"&lt;&gt;AAA",F$124:F$134)</f>
        <v>0</v>
      </c>
      <c r="O9" s="176">
        <f t="shared" ref="O9:P9" ca="1" si="7">SUMIF($D$124:$D$134,"&lt;&gt;AAA",G$124:G$134)</f>
        <v>0</v>
      </c>
      <c r="P9" s="176">
        <f t="shared" ca="1" si="7"/>
        <v>0</v>
      </c>
      <c r="S9" s="68"/>
      <c r="U9" s="68"/>
      <c r="X9" s="68"/>
      <c r="AA9" s="68"/>
      <c r="AD9" s="68"/>
      <c r="AE9" s="196" t="s">
        <v>1128</v>
      </c>
      <c r="AF9" s="217">
        <f t="shared" si="0"/>
        <v>0</v>
      </c>
      <c r="AG9" s="324">
        <f>SUMPRODUCT((Synthèse!G$11:G$268="NA")*(Synthèse!$D$11:$D$268="AAA"))</f>
        <v>0</v>
      </c>
    </row>
    <row r="10" spans="1:33" s="9" customFormat="1" ht="30" x14ac:dyDescent="0.25">
      <c r="A10" s="68"/>
      <c r="B10" s="75" t="str">
        <f>Modèle!B12</f>
        <v>Images</v>
      </c>
      <c r="C10" s="82" t="str">
        <f>Modèle!D12</f>
        <v>1.2.1</v>
      </c>
      <c r="D10" s="83" t="str">
        <f>Modèle!E12</f>
        <v>A</v>
      </c>
      <c r="E10" s="179">
        <f ca="1">COUNTIF(OFFSET(Synthèse!$G19,0,0,1,COUNTA(Synthèse!$10:$10)-6),"="&amp;$E$1)</f>
        <v>0</v>
      </c>
      <c r="F10" s="179">
        <f ca="1">COUNTIF(OFFSET(Synthèse!$G19,0,0,1,COUNTA(Synthèse!$10:$10)-6),"="&amp;$F$1)</f>
        <v>0</v>
      </c>
      <c r="G10" s="179">
        <f ca="1">COUNTIF(OFFSET(Synthèse!$G19,0,0,1,COUNTA(Synthèse!$10:$10)-6),"="&amp;$G$1)</f>
        <v>0</v>
      </c>
      <c r="H10" s="179">
        <f ca="1">COUNTIF(OFFSET(Synthèse!$G19,0,0,1,COUNTA(Synthèse!$10:$10)-6),"="&amp;$H$1)</f>
        <v>0</v>
      </c>
      <c r="I10" s="203">
        <f t="shared" ca="1" si="1"/>
        <v>0</v>
      </c>
      <c r="J10" s="68"/>
      <c r="K10" s="96"/>
      <c r="L10" s="177" t="s">
        <v>363</v>
      </c>
      <c r="M10" s="176">
        <f ca="1">SUMIF($D$135:$D$147,"&lt;&gt;AAA",E$135:E$147)</f>
        <v>0</v>
      </c>
      <c r="N10" s="176">
        <f ca="1">SUMIF($D$135:$D$147,"&lt;&gt;AAA",F$135:F$147)</f>
        <v>0</v>
      </c>
      <c r="O10" s="176">
        <f t="shared" ref="O10:P10" ca="1" si="8">SUMIF($D$135:$D$147,"&lt;&gt;AAA",G$135:G$147)</f>
        <v>0</v>
      </c>
      <c r="P10" s="176">
        <f t="shared" ca="1" si="8"/>
        <v>0</v>
      </c>
      <c r="S10" s="68"/>
      <c r="T10" s="234" t="s">
        <v>488</v>
      </c>
      <c r="U10" s="68"/>
      <c r="X10" s="68"/>
      <c r="AA10" s="68"/>
      <c r="AB10" s="32" t="s">
        <v>614</v>
      </c>
      <c r="AC10" s="31"/>
      <c r="AD10" s="68"/>
      <c r="AE10" s="197" t="s">
        <v>1129</v>
      </c>
      <c r="AF10" s="218">
        <f t="shared" si="0"/>
        <v>0</v>
      </c>
      <c r="AG10" s="219">
        <f t="shared" ref="AG10" si="9">SUM(AG$2:AG$5)</f>
        <v>0</v>
      </c>
    </row>
    <row r="11" spans="1:33" s="9" customFormat="1" ht="30" x14ac:dyDescent="0.25">
      <c r="A11" s="70"/>
      <c r="B11" s="75" t="str">
        <f>Modèle!B13</f>
        <v>Images</v>
      </c>
      <c r="C11" s="82" t="str">
        <f>Modèle!D13</f>
        <v>1.2.2</v>
      </c>
      <c r="D11" s="83" t="str">
        <f>Modèle!E13</f>
        <v>A</v>
      </c>
      <c r="E11" s="179">
        <f ca="1">COUNTIF(OFFSET(Synthèse!$G20,0,0,1,COUNTA(Synthèse!$10:$10)-6),"="&amp;$E$1)</f>
        <v>0</v>
      </c>
      <c r="F11" s="179">
        <f ca="1">COUNTIF(OFFSET(Synthèse!$G20,0,0,1,COUNTA(Synthèse!$10:$10)-6),"="&amp;$F$1)</f>
        <v>0</v>
      </c>
      <c r="G11" s="179">
        <f ca="1">COUNTIF(OFFSET(Synthèse!$G20,0,0,1,COUNTA(Synthèse!$10:$10)-6),"="&amp;$G$1)</f>
        <v>0</v>
      </c>
      <c r="H11" s="179">
        <f ca="1">COUNTIF(OFFSET(Synthèse!$G20,0,0,1,COUNTA(Synthèse!$10:$10)-6),"="&amp;$H$1)</f>
        <v>0</v>
      </c>
      <c r="I11" s="203">
        <f t="shared" ca="1" si="1"/>
        <v>0</v>
      </c>
      <c r="J11" s="68"/>
      <c r="K11" s="96"/>
      <c r="L11" s="177" t="s">
        <v>376</v>
      </c>
      <c r="M11" s="176">
        <f ca="1">SUMIF($D$148:$D$156,"&lt;&gt;AAA",E$148:E$156)</f>
        <v>0</v>
      </c>
      <c r="N11" s="176">
        <f ca="1">SUMIF($D$148:$D$156,"&lt;&gt;AAA",F$148:F$156)</f>
        <v>0</v>
      </c>
      <c r="O11" s="176">
        <f t="shared" ref="O11:P11" ca="1" si="10">SUMIF($D$148:$D$156,"&lt;&gt;AAA",G$148:G$156)</f>
        <v>0</v>
      </c>
      <c r="P11" s="176">
        <f t="shared" ca="1" si="10"/>
        <v>0</v>
      </c>
      <c r="S11" s="68"/>
      <c r="T11" s="121" t="s">
        <v>657</v>
      </c>
      <c r="U11" s="68"/>
      <c r="X11" s="68"/>
      <c r="AA11" s="68"/>
      <c r="AB11" s="26" t="s">
        <v>615</v>
      </c>
      <c r="AC11" s="26" t="s">
        <v>619</v>
      </c>
      <c r="AD11" s="68"/>
      <c r="AE11" s="198" t="s">
        <v>1130</v>
      </c>
      <c r="AF11" s="39">
        <f t="shared" si="0"/>
        <v>0</v>
      </c>
      <c r="AG11" s="39">
        <f t="shared" ref="AG11" si="11">SUM(AG$2:AG$9)</f>
        <v>0</v>
      </c>
    </row>
    <row r="12" spans="1:33" s="9" customFormat="1" ht="30" x14ac:dyDescent="0.25">
      <c r="A12" s="70"/>
      <c r="B12" s="75" t="str">
        <f>Modèle!B14</f>
        <v>Images</v>
      </c>
      <c r="C12" s="82" t="str">
        <f>Modèle!D14</f>
        <v>1.2.3</v>
      </c>
      <c r="D12" s="83" t="str">
        <f>Modèle!E14</f>
        <v>A</v>
      </c>
      <c r="E12" s="179">
        <f ca="1">COUNTIF(OFFSET(Synthèse!$G21,0,0,1,COUNTA(Synthèse!$10:$10)-6),"="&amp;$E$1)</f>
        <v>0</v>
      </c>
      <c r="F12" s="179">
        <f ca="1">COUNTIF(OFFSET(Synthèse!$G21,0,0,1,COUNTA(Synthèse!$10:$10)-6),"="&amp;$F$1)</f>
        <v>0</v>
      </c>
      <c r="G12" s="179">
        <f ca="1">COUNTIF(OFFSET(Synthèse!$G21,0,0,1,COUNTA(Synthèse!$10:$10)-6),"="&amp;$G$1)</f>
        <v>0</v>
      </c>
      <c r="H12" s="179">
        <f ca="1">COUNTIF(OFFSET(Synthèse!$G21,0,0,1,COUNTA(Synthèse!$10:$10)-6),"="&amp;$H$1)</f>
        <v>0</v>
      </c>
      <c r="I12" s="203">
        <f t="shared" ca="1" si="1"/>
        <v>0</v>
      </c>
      <c r="J12" s="68"/>
      <c r="K12" s="96"/>
      <c r="L12" s="177" t="s">
        <v>385</v>
      </c>
      <c r="M12" s="176">
        <f ca="1">SUMIF($D$157:$D$185,"&lt;&gt;AAA",E$157:E$185)</f>
        <v>0</v>
      </c>
      <c r="N12" s="176">
        <f ca="1">SUMIF($D$157:$D$185,"&lt;&gt;AAA",F$157:F$185)</f>
        <v>0</v>
      </c>
      <c r="O12" s="176">
        <f ca="1">SUMIF($D$157:$D$185,"&lt;&gt;AAA",G$157:G$185)</f>
        <v>0</v>
      </c>
      <c r="P12" s="176">
        <f ca="1">SUMIF($D$157:$D$185,"&lt;&gt;AAA",H$157:H$185)</f>
        <v>0</v>
      </c>
      <c r="S12" s="68"/>
      <c r="T12" s="121" t="s">
        <v>658</v>
      </c>
      <c r="U12" s="68"/>
      <c r="X12" s="68"/>
      <c r="AA12" s="68"/>
      <c r="AB12" s="26" t="s">
        <v>616</v>
      </c>
      <c r="AC12" s="26" t="s">
        <v>620</v>
      </c>
      <c r="AD12" s="68"/>
      <c r="AE12" s="199"/>
      <c r="AF12" s="38"/>
      <c r="AG12" s="40"/>
    </row>
    <row r="13" spans="1:33" s="9" customFormat="1" x14ac:dyDescent="0.25">
      <c r="A13" s="70"/>
      <c r="B13" s="75" t="str">
        <f>Modèle!B15</f>
        <v>Images</v>
      </c>
      <c r="C13" s="82" t="str">
        <f>Modèle!D15</f>
        <v>1.2.4</v>
      </c>
      <c r="D13" s="83" t="str">
        <f>Modèle!E15</f>
        <v>A</v>
      </c>
      <c r="E13" s="179">
        <f ca="1">COUNTIF(OFFSET(Synthèse!$G22,0,0,1,COUNTA(Synthèse!$10:$10)-6),"="&amp;$E$1)</f>
        <v>0</v>
      </c>
      <c r="F13" s="179">
        <f ca="1">COUNTIF(OFFSET(Synthèse!$G22,0,0,1,COUNTA(Synthèse!$10:$10)-6),"="&amp;$F$1)</f>
        <v>0</v>
      </c>
      <c r="G13" s="179">
        <f ca="1">COUNTIF(OFFSET(Synthèse!$G22,0,0,1,COUNTA(Synthèse!$10:$10)-6),"="&amp;$G$1)</f>
        <v>0</v>
      </c>
      <c r="H13" s="179">
        <f ca="1">COUNTIF(OFFSET(Synthèse!$G22,0,0,1,COUNTA(Synthèse!$10:$10)-6),"="&amp;$H$1)</f>
        <v>0</v>
      </c>
      <c r="I13" s="203">
        <f t="shared" ca="1" si="1"/>
        <v>0</v>
      </c>
      <c r="J13" s="68"/>
      <c r="K13" s="96"/>
      <c r="L13" s="175" t="s">
        <v>4</v>
      </c>
      <c r="M13" s="176">
        <f ca="1">SUMIF($D$186:$D$219,"&lt;&gt;AAA",E$186:E$219)</f>
        <v>0</v>
      </c>
      <c r="N13" s="176">
        <f ca="1">SUMIF($D$186:$D$219,"&lt;&gt;AAA",F$186:F$219)</f>
        <v>0</v>
      </c>
      <c r="O13" s="176">
        <f ca="1">SUMIF($D$186:$D$219,"&lt;&gt;AAA",G$186:G$219)</f>
        <v>0</v>
      </c>
      <c r="P13" s="176">
        <f ca="1">SUMIF($D$186:$D$219,"&lt;&gt;AAA",H$186:H$219)</f>
        <v>0</v>
      </c>
      <c r="S13" s="68"/>
      <c r="T13" s="121" t="s">
        <v>659</v>
      </c>
      <c r="U13" s="68"/>
      <c r="X13" s="68"/>
      <c r="AA13" s="68"/>
      <c r="AB13" s="26" t="s">
        <v>617</v>
      </c>
      <c r="AC13" s="26" t="s">
        <v>652</v>
      </c>
      <c r="AD13" s="68"/>
      <c r="AE13" s="200" t="s">
        <v>1131</v>
      </c>
      <c r="AF13" s="220"/>
      <c r="AG13" s="221">
        <f t="shared" ref="AG13:AG15" si="12">IF(AG$10=0,0,CEILING(AG2/AG$10*100,0.5))</f>
        <v>0</v>
      </c>
    </row>
    <row r="14" spans="1:33" s="9" customFormat="1" x14ac:dyDescent="0.25">
      <c r="A14" s="70"/>
      <c r="B14" s="75" t="str">
        <f>Modèle!B16</f>
        <v>Images</v>
      </c>
      <c r="C14" s="82" t="str">
        <f>Modèle!D16</f>
        <v>1.2.5</v>
      </c>
      <c r="D14" s="83" t="str">
        <f>Modèle!E16</f>
        <v>A</v>
      </c>
      <c r="E14" s="179">
        <f ca="1">COUNTIF(OFFSET(Synthèse!$G23,0,0,1,COUNTA(Synthèse!$10:$10)-6),"="&amp;$E$1)</f>
        <v>0</v>
      </c>
      <c r="F14" s="179">
        <f ca="1">COUNTIF(OFFSET(Synthèse!$G23,0,0,1,COUNTA(Synthèse!$10:$10)-6),"="&amp;$F$1)</f>
        <v>0</v>
      </c>
      <c r="G14" s="179">
        <f ca="1">COUNTIF(OFFSET(Synthèse!$G23,0,0,1,COUNTA(Synthèse!$10:$10)-6),"="&amp;$G$1)</f>
        <v>0</v>
      </c>
      <c r="H14" s="179">
        <f ca="1">COUNTIF(OFFSET(Synthèse!$G23,0,0,1,COUNTA(Synthèse!$10:$10)-6),"="&amp;$H$1)</f>
        <v>0</v>
      </c>
      <c r="I14" s="203">
        <f t="shared" ca="1" si="1"/>
        <v>0</v>
      </c>
      <c r="J14" s="68"/>
      <c r="K14" s="96"/>
      <c r="L14" s="175" t="s">
        <v>7</v>
      </c>
      <c r="M14" s="176">
        <f ca="1">SUMIF($D$220:$D$238,"&lt;&gt;AAA",E$220:E$238)</f>
        <v>0</v>
      </c>
      <c r="N14" s="176">
        <f ca="1">SUMIF($D$220:$D$238,"&lt;&gt;AAA",F$220:F$238)</f>
        <v>0</v>
      </c>
      <c r="O14" s="176">
        <f ca="1">SUMIF($D$220:$D$238,"&lt;&gt;AAA",G$220:G$238)</f>
        <v>0</v>
      </c>
      <c r="P14" s="176">
        <f ca="1">SUMIF($D$220:$D$238,"&lt;&gt;AAA",H$220:H$238)</f>
        <v>0</v>
      </c>
      <c r="S14" s="68"/>
      <c r="T14" s="121" t="s">
        <v>660</v>
      </c>
      <c r="U14" s="68"/>
      <c r="X14" s="68"/>
      <c r="AA14" s="68"/>
      <c r="AB14" s="26" t="s">
        <v>618</v>
      </c>
      <c r="AC14" s="26" t="s">
        <v>653</v>
      </c>
      <c r="AD14" s="68"/>
      <c r="AE14" s="200" t="s">
        <v>1132</v>
      </c>
      <c r="AF14" s="220"/>
      <c r="AG14" s="221">
        <f t="shared" si="12"/>
        <v>0</v>
      </c>
    </row>
    <row r="15" spans="1:33" s="9" customFormat="1" x14ac:dyDescent="0.25">
      <c r="A15" s="70"/>
      <c r="B15" s="75" t="str">
        <f>Modèle!B17</f>
        <v>Images</v>
      </c>
      <c r="C15" s="82" t="str">
        <f>Modèle!D17</f>
        <v>1.2.6</v>
      </c>
      <c r="D15" s="83" t="str">
        <f>Modèle!E17</f>
        <v>A</v>
      </c>
      <c r="E15" s="179">
        <f ca="1">COUNTIF(OFFSET(Synthèse!$G24,0,0,1,COUNTA(Synthèse!$10:$10)-6),"="&amp;$E$1)</f>
        <v>0</v>
      </c>
      <c r="F15" s="179">
        <f ca="1">COUNTIF(OFFSET(Synthèse!$G24,0,0,1,COUNTA(Synthèse!$10:$10)-6),"="&amp;$F$1)</f>
        <v>0</v>
      </c>
      <c r="G15" s="179">
        <f ca="1">COUNTIF(OFFSET(Synthèse!$G24,0,0,1,COUNTA(Synthèse!$10:$10)-6),"="&amp;$G$1)</f>
        <v>0</v>
      </c>
      <c r="H15" s="179">
        <f ca="1">COUNTIF(OFFSET(Synthèse!$G24,0,0,1,COUNTA(Synthèse!$10:$10)-6),"="&amp;$H$1)</f>
        <v>0</v>
      </c>
      <c r="I15" s="203">
        <f t="shared" ca="1" si="1"/>
        <v>0</v>
      </c>
      <c r="J15" s="68"/>
      <c r="K15" s="96"/>
      <c r="L15" s="175" t="s">
        <v>461</v>
      </c>
      <c r="M15" s="176">
        <f ca="1">SUMIF($D$239:$D$259,"&lt;&gt;AAA",E$239:E$259)</f>
        <v>0</v>
      </c>
      <c r="N15" s="176">
        <f ca="1">SUMIF($D$239:$D$259,"&lt;&gt;AAA",F$239:F$259)</f>
        <v>0</v>
      </c>
      <c r="O15" s="176">
        <f ca="1">SUMIF($D$239:$D$259,"&lt;&gt;AAA",G$239:G$259)</f>
        <v>0</v>
      </c>
      <c r="P15" s="176">
        <f ca="1">SUMIF($D$239:$D$259,"&lt;&gt;AAA",H$239:H$259)</f>
        <v>0</v>
      </c>
      <c r="S15" s="68"/>
      <c r="U15" s="68"/>
      <c r="X15" s="68"/>
      <c r="AA15" s="68"/>
      <c r="AD15" s="68"/>
      <c r="AE15" s="200" t="s">
        <v>1133</v>
      </c>
      <c r="AF15" s="220"/>
      <c r="AG15" s="221">
        <f t="shared" si="12"/>
        <v>0</v>
      </c>
    </row>
    <row r="16" spans="1:33" s="9" customFormat="1" ht="30" x14ac:dyDescent="0.25">
      <c r="A16" s="70"/>
      <c r="B16" s="74" t="str">
        <f>Modèle!B18</f>
        <v>Images</v>
      </c>
      <c r="C16" s="80" t="str">
        <f>Modèle!D18</f>
        <v>1.3.1</v>
      </c>
      <c r="D16" s="81" t="str">
        <f>Modèle!E18</f>
        <v>A</v>
      </c>
      <c r="E16" s="178">
        <f ca="1">COUNTIF(OFFSET(Synthèse!$G25,0,0,1,COUNTA(Synthèse!$10:$10)-6),"="&amp;$E$1)</f>
        <v>0</v>
      </c>
      <c r="F16" s="178">
        <f ca="1">COUNTIF(OFFSET(Synthèse!$G25,0,0,1,COUNTA(Synthèse!$10:$10)-6),"="&amp;$F$1)</f>
        <v>0</v>
      </c>
      <c r="G16" s="178">
        <f ca="1">COUNTIF(OFFSET(Synthèse!$G25,0,0,1,COUNTA(Synthèse!$10:$10)-6),"="&amp;$G$1)</f>
        <v>0</v>
      </c>
      <c r="H16" s="178">
        <f ca="1">COUNTIF(OFFSET(Synthèse!$G25,0,0,1,COUNTA(Synthèse!$10:$10)-6),"="&amp;$H$1)</f>
        <v>0</v>
      </c>
      <c r="I16" s="203">
        <f t="shared" ca="1" si="1"/>
        <v>0</v>
      </c>
      <c r="J16" s="68"/>
      <c r="K16" s="96"/>
      <c r="S16" s="68"/>
      <c r="U16" s="68"/>
      <c r="X16" s="68"/>
      <c r="AA16" s="68"/>
      <c r="AD16" s="68"/>
      <c r="AE16" s="201" t="s">
        <v>1134</v>
      </c>
      <c r="AF16" s="222"/>
      <c r="AG16" s="223">
        <f t="shared" ref="AG16" si="13">IF(ISERROR(INT(AG2*100/(SUM(AG$2:AG$3)))),0,INT(AG2*100/(SUM(AG$2:AG$3))))</f>
        <v>0</v>
      </c>
    </row>
    <row r="17" spans="1:33" s="9" customFormat="1" x14ac:dyDescent="0.25">
      <c r="A17" s="70"/>
      <c r="B17" s="74" t="str">
        <f>Modèle!B19</f>
        <v>Images</v>
      </c>
      <c r="C17" s="80" t="str">
        <f>Modèle!D19</f>
        <v>1.3.2</v>
      </c>
      <c r="D17" s="81" t="str">
        <f>Modèle!E19</f>
        <v>A</v>
      </c>
      <c r="E17" s="178">
        <f ca="1">COUNTIF(OFFSET(Synthèse!$G26,0,0,1,COUNTA(Synthèse!$10:$10)-6),"="&amp;$E$1)</f>
        <v>0</v>
      </c>
      <c r="F17" s="178">
        <f ca="1">COUNTIF(OFFSET(Synthèse!$G26,0,0,1,COUNTA(Synthèse!$10:$10)-6),"="&amp;$F$1)</f>
        <v>0</v>
      </c>
      <c r="G17" s="178">
        <f ca="1">COUNTIF(OFFSET(Synthèse!$G26,0,0,1,COUNTA(Synthèse!$10:$10)-6),"="&amp;$G$1)</f>
        <v>0</v>
      </c>
      <c r="H17" s="178">
        <f ca="1">COUNTIF(OFFSET(Synthèse!$G26,0,0,1,COUNTA(Synthèse!$10:$10)-6),"="&amp;$H$1)</f>
        <v>0</v>
      </c>
      <c r="I17" s="203">
        <f t="shared" ca="1" si="1"/>
        <v>0</v>
      </c>
      <c r="J17" s="68"/>
      <c r="K17" s="96"/>
      <c r="L17" s="186" t="s">
        <v>37</v>
      </c>
      <c r="M17" s="187">
        <f ca="1">SUM(M3:M15)</f>
        <v>0</v>
      </c>
      <c r="N17" s="187">
        <f ca="1">SUM(N3:N15)</f>
        <v>0</v>
      </c>
      <c r="O17" s="187">
        <f ca="1">SUM(O3:O15)</f>
        <v>0</v>
      </c>
      <c r="P17" s="187">
        <f ca="1">SUM(P3:P15)</f>
        <v>0</v>
      </c>
      <c r="S17" s="68"/>
      <c r="U17" s="68"/>
      <c r="X17" s="68"/>
      <c r="AA17" s="68"/>
      <c r="AD17" s="68"/>
      <c r="AE17" s="16"/>
    </row>
    <row r="18" spans="1:33" s="9" customFormat="1" x14ac:dyDescent="0.25">
      <c r="A18" s="70"/>
      <c r="B18" s="74" t="str">
        <f>Modèle!B20</f>
        <v>Images</v>
      </c>
      <c r="C18" s="80" t="str">
        <f>Modèle!D20</f>
        <v>1.3.3</v>
      </c>
      <c r="D18" s="81" t="str">
        <f>Modèle!E20</f>
        <v>A</v>
      </c>
      <c r="E18" s="178">
        <f ca="1">COUNTIF(OFFSET(Synthèse!$G27,0,0,1,COUNTA(Synthèse!$10:$10)-6),"="&amp;$E$1)</f>
        <v>0</v>
      </c>
      <c r="F18" s="178">
        <f ca="1">COUNTIF(OFFSET(Synthèse!$G27,0,0,1,COUNTA(Synthèse!$10:$10)-6),"="&amp;$F$1)</f>
        <v>0</v>
      </c>
      <c r="G18" s="178">
        <f ca="1">COUNTIF(OFFSET(Synthèse!$G27,0,0,1,COUNTA(Synthèse!$10:$10)-6),"="&amp;$G$1)</f>
        <v>0</v>
      </c>
      <c r="H18" s="178">
        <f ca="1">COUNTIF(OFFSET(Synthèse!$G27,0,0,1,COUNTA(Synthèse!$10:$10)-6),"="&amp;$H$1)</f>
        <v>0</v>
      </c>
      <c r="I18" s="203">
        <f t="shared" ca="1" si="1"/>
        <v>0</v>
      </c>
      <c r="J18" s="68"/>
      <c r="K18" s="96"/>
      <c r="L18" s="186" t="s">
        <v>490</v>
      </c>
      <c r="M18" s="188" t="str">
        <f ca="1">IFERROR((100/(M17+N17))*M17,"")</f>
        <v/>
      </c>
      <c r="N18" s="188" t="str">
        <f ca="1">IFERROR((100/(M17+N17))*N17,"")</f>
        <v/>
      </c>
      <c r="S18" s="68"/>
      <c r="U18" s="68"/>
      <c r="X18" s="68"/>
      <c r="AA18" s="68"/>
      <c r="AD18" s="68"/>
      <c r="AE18" s="16"/>
    </row>
    <row r="19" spans="1:33" s="9" customFormat="1" ht="15.75" x14ac:dyDescent="0.25">
      <c r="A19" s="70"/>
      <c r="B19" s="74" t="str">
        <f>Modèle!B21</f>
        <v>Images</v>
      </c>
      <c r="C19" s="80" t="str">
        <f>Modèle!D21</f>
        <v>1.3.4</v>
      </c>
      <c r="D19" s="81" t="str">
        <f>Modèle!E21</f>
        <v>A</v>
      </c>
      <c r="E19" s="178">
        <f ca="1">COUNTIF(OFFSET(Synthèse!$G28,0,0,1,COUNTA(Synthèse!$10:$10)-6),"="&amp;$E$1)</f>
        <v>0</v>
      </c>
      <c r="F19" s="178">
        <f ca="1">COUNTIF(OFFSET(Synthèse!$G28,0,0,1,COUNTA(Synthèse!$10:$10)-6),"="&amp;$F$1)</f>
        <v>0</v>
      </c>
      <c r="G19" s="178">
        <f ca="1">COUNTIF(OFFSET(Synthèse!$G28,0,0,1,COUNTA(Synthèse!$10:$10)-6),"="&amp;$G$1)</f>
        <v>0</v>
      </c>
      <c r="H19" s="178">
        <f ca="1">COUNTIF(OFFSET(Synthèse!$G28,0,0,1,COUNTA(Synthèse!$10:$10)-6),"="&amp;$H$1)</f>
        <v>0</v>
      </c>
      <c r="I19" s="203">
        <f t="shared" ca="1" si="1"/>
        <v>0</v>
      </c>
      <c r="J19" s="68"/>
      <c r="K19" s="96"/>
      <c r="S19" s="68"/>
      <c r="U19" s="68"/>
      <c r="X19" s="68"/>
      <c r="AA19" s="68"/>
      <c r="AD19" s="68"/>
      <c r="AE19" s="244" t="s">
        <v>1148</v>
      </c>
      <c r="AF19" s="245"/>
      <c r="AG19" s="237" t="s">
        <v>1140</v>
      </c>
    </row>
    <row r="20" spans="1:33" s="9" customFormat="1" x14ac:dyDescent="0.25">
      <c r="A20" s="70"/>
      <c r="B20" s="74" t="str">
        <f>Modèle!B22</f>
        <v>Images</v>
      </c>
      <c r="C20" s="80" t="str">
        <f>Modèle!D22</f>
        <v>1.3.5</v>
      </c>
      <c r="D20" s="81" t="str">
        <f>Modèle!E22</f>
        <v>A</v>
      </c>
      <c r="E20" s="178">
        <f ca="1">COUNTIF(OFFSET(Synthèse!$G29,0,0,1,COUNTA(Synthèse!$10:$10)-6),"="&amp;$E$1)</f>
        <v>0</v>
      </c>
      <c r="F20" s="178">
        <f ca="1">COUNTIF(OFFSET(Synthèse!$G29,0,0,1,COUNTA(Synthèse!$10:$10)-6),"="&amp;$F$1)</f>
        <v>0</v>
      </c>
      <c r="G20" s="178">
        <f ca="1">COUNTIF(OFFSET(Synthèse!$G29,0,0,1,COUNTA(Synthèse!$10:$10)-6),"="&amp;$G$1)</f>
        <v>0</v>
      </c>
      <c r="H20" s="178">
        <f ca="1">COUNTIF(OFFSET(Synthèse!$G29,0,0,1,COUNTA(Synthèse!$10:$10)-6),"="&amp;$H$1)</f>
        <v>0</v>
      </c>
      <c r="I20" s="203">
        <f t="shared" ca="1" si="1"/>
        <v>0</v>
      </c>
      <c r="J20" s="68"/>
      <c r="K20" s="96"/>
      <c r="L20" s="351" t="s">
        <v>825</v>
      </c>
      <c r="M20" s="351"/>
      <c r="N20" s="351"/>
      <c r="O20"/>
      <c r="P20"/>
      <c r="S20" s="68"/>
      <c r="U20" s="68"/>
      <c r="X20" s="68"/>
      <c r="AA20" s="68"/>
      <c r="AD20" s="68"/>
      <c r="AE20" s="205" t="s">
        <v>1136</v>
      </c>
      <c r="AF20" s="24" t="s">
        <v>1152</v>
      </c>
      <c r="AG20" s="238" t="str">
        <f>AG$1</f>
        <v>Page1</v>
      </c>
    </row>
    <row r="21" spans="1:33" s="9" customFormat="1" x14ac:dyDescent="0.25">
      <c r="A21" s="70"/>
      <c r="B21" s="74" t="str">
        <f>Modèle!B23</f>
        <v>Images</v>
      </c>
      <c r="C21" s="80" t="str">
        <f>Modèle!D23</f>
        <v>1.3.6</v>
      </c>
      <c r="D21" s="81" t="str">
        <f>Modèle!E23</f>
        <v>A</v>
      </c>
      <c r="E21" s="178">
        <f ca="1">COUNTIF(OFFSET(Synthèse!$G30,0,0,1,COUNTA(Synthèse!$10:$10)-6),"="&amp;$E$1)</f>
        <v>0</v>
      </c>
      <c r="F21" s="178">
        <f ca="1">COUNTIF(OFFSET(Synthèse!$G30,0,0,1,COUNTA(Synthèse!$10:$10)-6),"="&amp;$F$1)</f>
        <v>0</v>
      </c>
      <c r="G21" s="178">
        <f ca="1">COUNTIF(OFFSET(Synthèse!$G30,0,0,1,COUNTA(Synthèse!$10:$10)-6),"="&amp;$G$1)</f>
        <v>0</v>
      </c>
      <c r="H21" s="178">
        <f ca="1">COUNTIF(OFFSET(Synthèse!$G30,0,0,1,COUNTA(Synthèse!$10:$10)-6),"="&amp;$H$1)</f>
        <v>0</v>
      </c>
      <c r="I21" s="203">
        <f t="shared" ca="1" si="1"/>
        <v>0</v>
      </c>
      <c r="J21" s="68"/>
      <c r="K21" s="96"/>
      <c r="L21" s="189" t="s">
        <v>491</v>
      </c>
      <c r="M21" s="21" t="s">
        <v>490</v>
      </c>
      <c r="N21" s="21" t="s">
        <v>492</v>
      </c>
      <c r="P21"/>
      <c r="S21" s="68"/>
      <c r="U21" s="68"/>
      <c r="X21" s="68"/>
      <c r="AA21" s="68"/>
      <c r="AD21" s="68"/>
      <c r="AE21" s="257" t="s">
        <v>500</v>
      </c>
      <c r="AF21" s="206">
        <f>COUNTIF(TabTrans[Test],"="&amp;Value!$AE21&amp;".*")</f>
        <v>8</v>
      </c>
      <c r="AG21" s="22">
        <f>IF(COUNTIFS(TabSynthez[Test],"="&amp;$AE21&amp;".*",TabSynthez[Colonne1],"Validé")&gt;0,IF(COUNTIFS(TabSynthez[Test],"="&amp;$AE21&amp;".*",TabSynthez[Colonne1],"Validé")+COUNTIFS(TabSynthez[Test],"="&amp;$AE21&amp;".*",TabSynthez[Colonne1],"NA")=$AF21,1,0),0)</f>
        <v>0</v>
      </c>
    </row>
    <row r="22" spans="1:33" s="9" customFormat="1" x14ac:dyDescent="0.25">
      <c r="A22" s="70"/>
      <c r="B22" s="74" t="str">
        <f>Modèle!B24</f>
        <v>Images</v>
      </c>
      <c r="C22" s="80" t="str">
        <f>Modèle!D24</f>
        <v>1.3.7</v>
      </c>
      <c r="D22" s="81" t="str">
        <f>Modèle!E24</f>
        <v>A</v>
      </c>
      <c r="E22" s="178">
        <f ca="1">COUNTIF(OFFSET(Synthèse!$G31,0,0,1,COUNTA(Synthèse!$10:$10)-6),"="&amp;$E$1)</f>
        <v>0</v>
      </c>
      <c r="F22" s="178">
        <f ca="1">COUNTIF(OFFSET(Synthèse!$G31,0,0,1,COUNTA(Synthèse!$10:$10)-6),"="&amp;$F$1)</f>
        <v>0</v>
      </c>
      <c r="G22" s="178">
        <f ca="1">COUNTIF(OFFSET(Synthèse!$G31,0,0,1,COUNTA(Synthèse!$10:$10)-6),"="&amp;$G$1)</f>
        <v>0</v>
      </c>
      <c r="H22" s="178">
        <f ca="1">COUNTIF(OFFSET(Synthèse!$G31,0,0,1,COUNTA(Synthèse!$10:$10)-6),"="&amp;$H$1)</f>
        <v>0</v>
      </c>
      <c r="I22" s="203">
        <f t="shared" ca="1" si="1"/>
        <v>0</v>
      </c>
      <c r="J22" s="68"/>
      <c r="K22" s="96"/>
      <c r="L22" s="23" t="s">
        <v>493</v>
      </c>
      <c r="M22" s="71" t="str">
        <f ca="1">IFERROR((100/(N22+N23))*N22,"")</f>
        <v/>
      </c>
      <c r="N22" s="22">
        <f ca="1">COUNTIF(E2:E259,"&gt;0")</f>
        <v>0</v>
      </c>
      <c r="P22"/>
      <c r="S22" s="68"/>
      <c r="U22" s="68"/>
      <c r="X22" s="68"/>
      <c r="AA22" s="68"/>
      <c r="AD22" s="68"/>
      <c r="AE22" s="257" t="s">
        <v>502</v>
      </c>
      <c r="AF22" s="206">
        <f>COUNTIF(TabTrans[Test],"="&amp;Value!$AE22&amp;".*")</f>
        <v>6</v>
      </c>
      <c r="AG22" s="22">
        <f>IF(COUNTIFS(TabSynthez[Test],"="&amp;$AE22&amp;".*",TabSynthez[Colonne1],"Validé")&gt;0,IF(COUNTIFS(TabSynthez[Test],"="&amp;$AE22&amp;".*",TabSynthez[Colonne1],"Validé")+COUNTIFS(TabSynthez[Test],"="&amp;$AE22&amp;".*",TabSynthez[Colonne1],"NA")=$AF22,1,0),0)</f>
        <v>0</v>
      </c>
    </row>
    <row r="23" spans="1:33" s="9" customFormat="1" x14ac:dyDescent="0.25">
      <c r="A23" s="70"/>
      <c r="B23" s="74" t="str">
        <f>Modèle!B25</f>
        <v>Images</v>
      </c>
      <c r="C23" s="80" t="str">
        <f>Modèle!D25</f>
        <v>1.3.8</v>
      </c>
      <c r="D23" s="81" t="str">
        <f>Modèle!E25</f>
        <v>A</v>
      </c>
      <c r="E23" s="178">
        <f ca="1">COUNTIF(OFFSET(Synthèse!$G32,0,0,1,COUNTA(Synthèse!$10:$10)-6),"="&amp;$E$1)</f>
        <v>0</v>
      </c>
      <c r="F23" s="178">
        <f ca="1">COUNTIF(OFFSET(Synthèse!$G32,0,0,1,COUNTA(Synthèse!$10:$10)-6),"="&amp;$F$1)</f>
        <v>0</v>
      </c>
      <c r="G23" s="178">
        <f ca="1">COUNTIF(OFFSET(Synthèse!$G32,0,0,1,COUNTA(Synthèse!$10:$10)-6),"="&amp;$G$1)</f>
        <v>0</v>
      </c>
      <c r="H23" s="178">
        <f ca="1">COUNTIF(OFFSET(Synthèse!$G32,0,0,1,COUNTA(Synthèse!$10:$10)-6),"="&amp;$H$1)</f>
        <v>0</v>
      </c>
      <c r="I23" s="203">
        <f t="shared" ca="1" si="1"/>
        <v>0</v>
      </c>
      <c r="J23" s="68"/>
      <c r="K23" s="96"/>
      <c r="L23" s="23" t="s">
        <v>494</v>
      </c>
      <c r="M23" s="71" t="str">
        <f ca="1">IFERROR((100/(N22+N23))*N23,"")</f>
        <v/>
      </c>
      <c r="N23" s="22">
        <f ca="1">COUNTIF(F2:F259,"&gt;0")</f>
        <v>0</v>
      </c>
      <c r="P23"/>
      <c r="S23" s="68"/>
      <c r="U23" s="68"/>
      <c r="X23" s="68"/>
      <c r="AA23" s="68"/>
      <c r="AD23" s="68"/>
      <c r="AE23" s="257" t="s">
        <v>503</v>
      </c>
      <c r="AF23" s="206">
        <f>COUNTIF(TabTrans[Test],"="&amp;Value!$AE23&amp;".*")</f>
        <v>9</v>
      </c>
      <c r="AG23" s="22">
        <f>IF(COUNTIFS(TabSynthez[Test],"="&amp;$AE23&amp;".*",TabSynthez[Colonne1],"Validé")&gt;0,IF(COUNTIFS(TabSynthez[Test],"="&amp;$AE23&amp;".*",TabSynthez[Colonne1],"Validé")+COUNTIFS(TabSynthez[Test],"="&amp;$AE23&amp;".*",TabSynthez[Colonne1],"NA")=$AF23,1,0),0)</f>
        <v>0</v>
      </c>
    </row>
    <row r="24" spans="1:33" s="9" customFormat="1" x14ac:dyDescent="0.25">
      <c r="A24" s="68"/>
      <c r="B24" s="74" t="str">
        <f>Modèle!B26</f>
        <v>Images</v>
      </c>
      <c r="C24" s="80" t="str">
        <f>Modèle!D26</f>
        <v>1.3.9</v>
      </c>
      <c r="D24" s="81" t="str">
        <f>Modèle!E26</f>
        <v>A</v>
      </c>
      <c r="E24" s="178">
        <f ca="1">COUNTIF(OFFSET(Synthèse!$G33,0,0,1,COUNTA(Synthèse!$10:$10)-6),"="&amp;$E$1)</f>
        <v>0</v>
      </c>
      <c r="F24" s="178">
        <f ca="1">COUNTIF(OFFSET(Synthèse!$G33,0,0,1,COUNTA(Synthèse!$10:$10)-6),"="&amp;$F$1)</f>
        <v>0</v>
      </c>
      <c r="G24" s="178">
        <f ca="1">COUNTIF(OFFSET(Synthèse!$G33,0,0,1,COUNTA(Synthèse!$10:$10)-6),"="&amp;$G$1)</f>
        <v>0</v>
      </c>
      <c r="H24" s="178">
        <f ca="1">COUNTIF(OFFSET(Synthèse!$G33,0,0,1,COUNTA(Synthèse!$10:$10)-6),"="&amp;$H$1)</f>
        <v>0</v>
      </c>
      <c r="I24" s="203">
        <f t="shared" ca="1" si="1"/>
        <v>0</v>
      </c>
      <c r="J24" s="68"/>
      <c r="K24" s="96"/>
      <c r="L24"/>
      <c r="M24"/>
      <c r="N24"/>
      <c r="O24"/>
      <c r="P24"/>
      <c r="S24" s="68"/>
      <c r="U24" s="68"/>
      <c r="X24" s="68"/>
      <c r="AA24" s="68"/>
      <c r="AD24" s="68"/>
      <c r="AE24" s="257" t="s">
        <v>504</v>
      </c>
      <c r="AF24" s="206">
        <f>COUNTIF(TabTrans[Test],"="&amp;Value!$AE24&amp;".*")</f>
        <v>7</v>
      </c>
      <c r="AG24" s="22">
        <f>IF(COUNTIFS(TabSynthez[Test],"="&amp;$AE24&amp;".*",TabSynthez[Colonne1],"Validé")&gt;0,IF(COUNTIFS(TabSynthez[Test],"="&amp;$AE24&amp;".*",TabSynthez[Colonne1],"Validé")+COUNTIFS(TabSynthez[Test],"="&amp;$AE24&amp;".*",TabSynthez[Colonne1],"NA")=$AF24,1,0),0)</f>
        <v>0</v>
      </c>
    </row>
    <row r="25" spans="1:33" s="9" customFormat="1" x14ac:dyDescent="0.25">
      <c r="A25" s="68"/>
      <c r="B25" s="75" t="str">
        <f>Modèle!B27</f>
        <v>Images</v>
      </c>
      <c r="C25" s="82" t="str">
        <f>Modèle!D27</f>
        <v>1.4.1</v>
      </c>
      <c r="D25" s="83" t="str">
        <f>Modèle!E27</f>
        <v>A</v>
      </c>
      <c r="E25" s="179">
        <f ca="1">COUNTIF(OFFSET(Synthèse!$G34,0,0,1,COUNTA(Synthèse!$10:$10)-6),"="&amp;$E$1)</f>
        <v>0</v>
      </c>
      <c r="F25" s="179">
        <f ca="1">COUNTIF(OFFSET(Synthèse!$G34,0,0,1,COUNTA(Synthèse!$10:$10)-6),"="&amp;$F$1)</f>
        <v>0</v>
      </c>
      <c r="G25" s="179">
        <f ca="1">COUNTIF(OFFSET(Synthèse!$G34,0,0,1,COUNTA(Synthèse!$10:$10)-6),"="&amp;$G$1)</f>
        <v>0</v>
      </c>
      <c r="H25" s="179">
        <f ca="1">COUNTIF(OFFSET(Synthèse!$G34,0,0,1,COUNTA(Synthèse!$10:$10)-6),"="&amp;$H$1)</f>
        <v>0</v>
      </c>
      <c r="I25" s="203">
        <f t="shared" ca="1" si="1"/>
        <v>0</v>
      </c>
      <c r="J25" s="68"/>
      <c r="K25" s="96"/>
      <c r="L25"/>
      <c r="M25"/>
      <c r="N25"/>
      <c r="O25"/>
      <c r="P25"/>
      <c r="S25" s="68"/>
      <c r="U25" s="68"/>
      <c r="X25" s="68"/>
      <c r="AA25" s="68"/>
      <c r="AD25" s="68"/>
      <c r="AE25" s="257" t="s">
        <v>505</v>
      </c>
      <c r="AF25" s="206">
        <f>COUNTIF(TabTrans[Test],"="&amp;Value!$AE25&amp;".*")</f>
        <v>2</v>
      </c>
      <c r="AG25" s="22">
        <f>IF(COUNTIFS(TabSynthez[Test],"="&amp;$AE25&amp;".*",TabSynthez[Colonne1],"Validé")&gt;0,IF(COUNTIFS(TabSynthez[Test],"="&amp;$AE25&amp;".*",TabSynthez[Colonne1],"Validé")+COUNTIFS(TabSynthez[Test],"="&amp;$AE25&amp;".*",TabSynthez[Colonne1],"NA")=$AF25,1,0),0)</f>
        <v>0</v>
      </c>
    </row>
    <row r="26" spans="1:33" s="9" customFormat="1" x14ac:dyDescent="0.25">
      <c r="A26" s="68"/>
      <c r="B26" s="75" t="str">
        <f>Modèle!B28</f>
        <v>Images</v>
      </c>
      <c r="C26" s="82" t="str">
        <f>Modèle!D28</f>
        <v>1.4.2</v>
      </c>
      <c r="D26" s="83" t="str">
        <f>Modèle!E28</f>
        <v>A</v>
      </c>
      <c r="E26" s="179">
        <f ca="1">COUNTIF(OFFSET(Synthèse!$G35,0,0,1,COUNTA(Synthèse!$10:$10)-6),"="&amp;$E$1)</f>
        <v>0</v>
      </c>
      <c r="F26" s="179">
        <f ca="1">COUNTIF(OFFSET(Synthèse!$G35,0,0,1,COUNTA(Synthèse!$10:$10)-6),"="&amp;$F$1)</f>
        <v>0</v>
      </c>
      <c r="G26" s="179">
        <f ca="1">COUNTIF(OFFSET(Synthèse!$G35,0,0,1,COUNTA(Synthèse!$10:$10)-6),"="&amp;$G$1)</f>
        <v>0</v>
      </c>
      <c r="H26" s="179">
        <f ca="1">COUNTIF(OFFSET(Synthèse!$G35,0,0,1,COUNTA(Synthèse!$10:$10)-6),"="&amp;$H$1)</f>
        <v>0</v>
      </c>
      <c r="I26" s="203">
        <f t="shared" ca="1" si="1"/>
        <v>0</v>
      </c>
      <c r="J26" s="68"/>
      <c r="K26" s="96"/>
      <c r="L26" s="351" t="s">
        <v>495</v>
      </c>
      <c r="M26" s="351"/>
      <c r="N26" s="351"/>
      <c r="O26" s="351"/>
      <c r="P26" s="351"/>
      <c r="Q26" s="351"/>
      <c r="R26" s="185"/>
      <c r="S26" s="68"/>
      <c r="U26" s="68"/>
      <c r="X26" s="68"/>
      <c r="AA26" s="68"/>
      <c r="AD26" s="68"/>
      <c r="AE26" s="257" t="s">
        <v>506</v>
      </c>
      <c r="AF26" s="206">
        <f>COUNTIF(TabTrans[Test],"="&amp;Value!$AE26&amp;".*")</f>
        <v>10</v>
      </c>
      <c r="AG26" s="22">
        <f>IF(COUNTIFS(TabSynthez[Test],"="&amp;$AE26&amp;".*",TabSynthez[Colonne1],"Validé")&gt;0,IF(COUNTIFS(TabSynthez[Test],"="&amp;$AE26&amp;".*",TabSynthez[Colonne1],"Validé")+COUNTIFS(TabSynthez[Test],"="&amp;$AE26&amp;".*",TabSynthez[Colonne1],"NA")=$AF26,1,0),0)</f>
        <v>0</v>
      </c>
    </row>
    <row r="27" spans="1:33" s="9" customFormat="1" x14ac:dyDescent="0.25">
      <c r="A27" s="68"/>
      <c r="B27" s="75" t="str">
        <f>Modèle!B29</f>
        <v>Images</v>
      </c>
      <c r="C27" s="82" t="str">
        <f>Modèle!D29</f>
        <v>1.4.3</v>
      </c>
      <c r="D27" s="83" t="str">
        <f>Modèle!E29</f>
        <v>A</v>
      </c>
      <c r="E27" s="179">
        <f ca="1">COUNTIF(OFFSET(Synthèse!$G36,0,0,1,COUNTA(Synthèse!$10:$10)-6),"="&amp;$E$1)</f>
        <v>0</v>
      </c>
      <c r="F27" s="179">
        <f ca="1">COUNTIF(OFFSET(Synthèse!$G36,0,0,1,COUNTA(Synthèse!$10:$10)-6),"="&amp;$F$1)</f>
        <v>0</v>
      </c>
      <c r="G27" s="179">
        <f ca="1">COUNTIF(OFFSET(Synthèse!$G36,0,0,1,COUNTA(Synthèse!$10:$10)-6),"="&amp;$G$1)</f>
        <v>0</v>
      </c>
      <c r="H27" s="179">
        <f ca="1">COUNTIF(OFFSET(Synthèse!$G36,0,0,1,COUNTA(Synthèse!$10:$10)-6),"="&amp;$H$1)</f>
        <v>0</v>
      </c>
      <c r="I27" s="203">
        <f t="shared" ca="1" si="1"/>
        <v>0</v>
      </c>
      <c r="J27" s="68"/>
      <c r="K27" s="96"/>
      <c r="L27" s="46"/>
      <c r="M27" s="21" t="s">
        <v>479</v>
      </c>
      <c r="N27" s="21" t="s">
        <v>480</v>
      </c>
      <c r="O27" s="21" t="s">
        <v>484</v>
      </c>
      <c r="P27" s="21" t="s">
        <v>496</v>
      </c>
      <c r="Q27" s="93" t="s">
        <v>485</v>
      </c>
      <c r="R27" s="93"/>
      <c r="S27" s="68"/>
      <c r="U27" s="68"/>
      <c r="X27" s="68"/>
      <c r="AA27" s="68"/>
      <c r="AD27" s="68"/>
      <c r="AE27" s="257" t="s">
        <v>507</v>
      </c>
      <c r="AF27" s="206">
        <f>COUNTIF(TabTrans[Test],"="&amp;Value!$AE27&amp;".*")</f>
        <v>6</v>
      </c>
      <c r="AG27" s="22">
        <f>IF(COUNTIFS(TabSynthez[Test],"="&amp;$AE27&amp;".*",TabSynthez[Colonne1],"Validé")&gt;0,IF(COUNTIFS(TabSynthez[Test],"="&amp;$AE27&amp;".*",TabSynthez[Colonne1],"Validé")+COUNTIFS(TabSynthez[Test],"="&amp;$AE27&amp;".*",TabSynthez[Colonne1],"NA")=$AF27,1,0),0)</f>
        <v>0</v>
      </c>
    </row>
    <row r="28" spans="1:33" s="9" customFormat="1" x14ac:dyDescent="0.25">
      <c r="A28" s="68"/>
      <c r="B28" s="75" t="str">
        <f>Modèle!B30</f>
        <v>Images</v>
      </c>
      <c r="C28" s="82" t="str">
        <f>Modèle!D30</f>
        <v>1.4.4</v>
      </c>
      <c r="D28" s="83" t="str">
        <f>Modèle!E30</f>
        <v>A</v>
      </c>
      <c r="E28" s="179">
        <f ca="1">COUNTIF(OFFSET(Synthèse!$G37,0,0,1,COUNTA(Synthèse!$10:$10)-6),"="&amp;$E$1)</f>
        <v>0</v>
      </c>
      <c r="F28" s="179">
        <f ca="1">COUNTIF(OFFSET(Synthèse!$G37,0,0,1,COUNTA(Synthèse!$10:$10)-6),"="&amp;$F$1)</f>
        <v>0</v>
      </c>
      <c r="G28" s="179">
        <f ca="1">COUNTIF(OFFSET(Synthèse!$G37,0,0,1,COUNTA(Synthèse!$10:$10)-6),"="&amp;$G$1)</f>
        <v>0</v>
      </c>
      <c r="H28" s="179">
        <f ca="1">COUNTIF(OFFSET(Synthèse!$G37,0,0,1,COUNTA(Synthèse!$10:$10)-6),"="&amp;$H$1)</f>
        <v>0</v>
      </c>
      <c r="I28" s="203">
        <f t="shared" ca="1" si="1"/>
        <v>0</v>
      </c>
      <c r="J28" s="68"/>
      <c r="K28" s="96"/>
      <c r="L28" s="23" t="s">
        <v>493</v>
      </c>
      <c r="M28" s="171">
        <v>0</v>
      </c>
      <c r="N28" s="171">
        <v>0</v>
      </c>
      <c r="O28" s="171">
        <v>0</v>
      </c>
      <c r="P28" s="171">
        <v>0</v>
      </c>
      <c r="Q28" s="171">
        <v>0</v>
      </c>
      <c r="R28" s="94"/>
      <c r="S28" s="68"/>
      <c r="U28" s="68"/>
      <c r="X28" s="68"/>
      <c r="AA28" s="68"/>
      <c r="AD28" s="68"/>
      <c r="AE28" s="257" t="s">
        <v>509</v>
      </c>
      <c r="AF28" s="206">
        <v>6</v>
      </c>
      <c r="AG28" s="22">
        <f>IF(COUNTIFS(TabSynthez[Test],"="&amp;$AE28&amp;".*",TabSynthez[Colonne1],"Validé")&gt;0,IF(COUNTIFS(TabSynthez[Test],"="&amp;$AE28&amp;".*",TabSynthez[Colonne1],"Validé")+COUNTIFS(TabSynthez[Test],"="&amp;$AE28&amp;".*",TabSynthez[Colonne1],"NA")=$AF28,1,0),0)</f>
        <v>0</v>
      </c>
    </row>
    <row r="29" spans="1:33" s="9" customFormat="1" x14ac:dyDescent="0.25">
      <c r="A29" s="68"/>
      <c r="B29" s="75" t="str">
        <f>Modèle!B31</f>
        <v>Images</v>
      </c>
      <c r="C29" s="82" t="str">
        <f>Modèle!D31</f>
        <v>1.4.5</v>
      </c>
      <c r="D29" s="83" t="str">
        <f>Modèle!E31</f>
        <v>A</v>
      </c>
      <c r="E29" s="179">
        <f ca="1">COUNTIF(OFFSET(Synthèse!$G38,0,0,1,COUNTA(Synthèse!$10:$10)-6),"="&amp;$E$1)</f>
        <v>0</v>
      </c>
      <c r="F29" s="179">
        <f ca="1">COUNTIF(OFFSET(Synthèse!$G38,0,0,1,COUNTA(Synthèse!$10:$10)-6),"="&amp;$F$1)</f>
        <v>0</v>
      </c>
      <c r="G29" s="179">
        <f ca="1">COUNTIF(OFFSET(Synthèse!$G38,0,0,1,COUNTA(Synthèse!$10:$10)-6),"="&amp;$G$1)</f>
        <v>0</v>
      </c>
      <c r="H29" s="179">
        <f ca="1">COUNTIF(OFFSET(Synthèse!$G38,0,0,1,COUNTA(Synthèse!$10:$10)-6),"="&amp;$H$1)</f>
        <v>0</v>
      </c>
      <c r="I29" s="203">
        <f t="shared" ca="1" si="1"/>
        <v>0</v>
      </c>
      <c r="J29" s="68"/>
      <c r="K29" s="96"/>
      <c r="L29" s="23" t="s">
        <v>494</v>
      </c>
      <c r="M29" s="171">
        <v>0</v>
      </c>
      <c r="N29" s="171">
        <v>0</v>
      </c>
      <c r="O29" s="171">
        <v>0</v>
      </c>
      <c r="P29" s="171">
        <v>0</v>
      </c>
      <c r="Q29" s="171">
        <v>0</v>
      </c>
      <c r="R29" s="94"/>
      <c r="S29" s="68"/>
      <c r="T29"/>
      <c r="U29" s="68"/>
      <c r="X29" s="68"/>
      <c r="AA29" s="68"/>
      <c r="AD29" s="68"/>
      <c r="AE29" s="257" t="s">
        <v>511</v>
      </c>
      <c r="AF29" s="206">
        <f>COUNTIF(TabTrans[Test],"="&amp;Value!$AE29&amp;".*")</f>
        <v>5</v>
      </c>
      <c r="AG29" s="22">
        <f>IF(COUNTIFS(TabSynthez[Test],"="&amp;$AE29&amp;".*",TabSynthez[Colonne1],"Validé")&gt;0,IF(COUNTIFS(TabSynthez[Test],"="&amp;$AE29&amp;".*",TabSynthez[Colonne1],"Validé")+COUNTIFS(TabSynthez[Test],"="&amp;$AE29&amp;".*",TabSynthez[Colonne1],"NA")=$AF29,1,0),0)</f>
        <v>0</v>
      </c>
    </row>
    <row r="30" spans="1:33" s="9" customFormat="1" x14ac:dyDescent="0.25">
      <c r="A30" s="68"/>
      <c r="B30" s="75" t="str">
        <f>Modèle!B32</f>
        <v>Images</v>
      </c>
      <c r="C30" s="82" t="str">
        <f>Modèle!D32</f>
        <v>1.4.6</v>
      </c>
      <c r="D30" s="83" t="str">
        <f>Modèle!E32</f>
        <v>A</v>
      </c>
      <c r="E30" s="179">
        <f ca="1">COUNTIF(OFFSET(Synthèse!$G39,0,0,1,COUNTA(Synthèse!$10:$10)-6),"="&amp;$E$1)</f>
        <v>0</v>
      </c>
      <c r="F30" s="179">
        <f ca="1">COUNTIF(OFFSET(Synthèse!$G39,0,0,1,COUNTA(Synthèse!$10:$10)-6),"="&amp;$F$1)</f>
        <v>0</v>
      </c>
      <c r="G30" s="179">
        <f ca="1">COUNTIF(OFFSET(Synthèse!$G39,0,0,1,COUNTA(Synthèse!$10:$10)-6),"="&amp;$G$1)</f>
        <v>0</v>
      </c>
      <c r="H30" s="179">
        <f ca="1">COUNTIF(OFFSET(Synthèse!$G39,0,0,1,COUNTA(Synthèse!$10:$10)-6),"="&amp;$H$1)</f>
        <v>0</v>
      </c>
      <c r="I30" s="203">
        <f t="shared" ca="1" si="1"/>
        <v>0</v>
      </c>
      <c r="J30" s="68"/>
      <c r="K30" s="96"/>
      <c r="L30" s="23" t="s">
        <v>497</v>
      </c>
      <c r="M30" s="72" t="str">
        <f>IFERROR((100/(M28+M29))*M29,"")</f>
        <v/>
      </c>
      <c r="N30" s="72" t="str">
        <f>IFERROR((100/(N28+N29))*N29,"")</f>
        <v/>
      </c>
      <c r="O30" s="72" t="str">
        <f>IFERROR(IF(((100/(O28+O29))*O29)&gt;50,100,(100/(O28+O29))*O29),"")</f>
        <v/>
      </c>
      <c r="P30" s="72" t="str">
        <f>IFERROR((100/(P28+P29))*P29,"")</f>
        <v/>
      </c>
      <c r="Q30" s="95" t="str">
        <f>IFERROR((100/(Q28+Q29))*Q29,"")</f>
        <v/>
      </c>
      <c r="R30" s="95"/>
      <c r="S30" s="68"/>
      <c r="T30"/>
      <c r="U30" s="68"/>
      <c r="X30" s="68"/>
      <c r="AA30" s="68"/>
      <c r="AD30" s="68"/>
      <c r="AE30" s="257" t="s">
        <v>512</v>
      </c>
      <c r="AF30" s="206">
        <f>COUNTIF(TabTrans[Test],"="&amp;Value!$AE30&amp;".*")</f>
        <v>1</v>
      </c>
      <c r="AG30" s="22">
        <f>IF(COUNTIFS(TabSynthez[Test],"="&amp;$AE30&amp;".*",TabSynthez[Colonne1],"Validé")&gt;0,IF(COUNTIFS(TabSynthez[Test],"="&amp;$AE30&amp;".*",TabSynthez[Colonne1],"Validé")+COUNTIFS(TabSynthez[Test],"="&amp;$AE30&amp;".*",TabSynthez[Colonne1],"NA")=$AF30,1,0),0)</f>
        <v>0</v>
      </c>
    </row>
    <row r="31" spans="1:33" s="9" customFormat="1" x14ac:dyDescent="0.25">
      <c r="A31" s="68"/>
      <c r="B31" s="75" t="str">
        <f>Modèle!B33</f>
        <v>Images</v>
      </c>
      <c r="C31" s="82" t="str">
        <f>Modèle!D33</f>
        <v>1.4.7</v>
      </c>
      <c r="D31" s="83" t="str">
        <f>Modèle!E33</f>
        <v>A</v>
      </c>
      <c r="E31" s="179">
        <f ca="1">COUNTIF(OFFSET(Synthèse!$G40,0,0,1,COUNTA(Synthèse!$10:$10)-6),"="&amp;$E$1)</f>
        <v>0</v>
      </c>
      <c r="F31" s="179">
        <f ca="1">COUNTIF(OFFSET(Synthèse!$G40,0,0,1,COUNTA(Synthèse!$10:$10)-6),"="&amp;$F$1)</f>
        <v>0</v>
      </c>
      <c r="G31" s="179">
        <f ca="1">COUNTIF(OFFSET(Synthèse!$G40,0,0,1,COUNTA(Synthèse!$10:$10)-6),"="&amp;$G$1)</f>
        <v>0</v>
      </c>
      <c r="H31" s="179">
        <f ca="1">COUNTIF(OFFSET(Synthèse!$G40,0,0,1,COUNTA(Synthèse!$10:$10)-6),"="&amp;$H$1)</f>
        <v>0</v>
      </c>
      <c r="I31" s="203">
        <f t="shared" ca="1" si="1"/>
        <v>0</v>
      </c>
      <c r="J31" s="68"/>
      <c r="K31" s="96"/>
      <c r="S31" s="68"/>
      <c r="U31" s="68"/>
      <c r="X31" s="68"/>
      <c r="AA31" s="68"/>
      <c r="AD31" s="68"/>
      <c r="AE31" s="257" t="s">
        <v>513</v>
      </c>
      <c r="AF31" s="206">
        <f>COUNTIF(TabTrans[Test],"="&amp;Value!$AE31&amp;".*")</f>
        <v>1</v>
      </c>
      <c r="AG31" s="22">
        <f>IF(COUNTIFS(TabSynthez[Test],"="&amp;$AE31&amp;".*",TabSynthez[Colonne1],"Validé")&gt;0,IF(COUNTIFS(TabSynthez[Test],"="&amp;$AE31&amp;".*",TabSynthez[Colonne1],"Validé")+COUNTIFS(TabSynthez[Test],"="&amp;$AE31&amp;".*",TabSynthez[Colonne1],"NA")=$AF31,1,0),0)</f>
        <v>0</v>
      </c>
    </row>
    <row r="32" spans="1:33" s="9" customFormat="1" x14ac:dyDescent="0.25">
      <c r="A32" s="68"/>
      <c r="B32" s="74" t="str">
        <f>Modèle!B34</f>
        <v>Images</v>
      </c>
      <c r="C32" s="80" t="str">
        <f>Modèle!D34</f>
        <v>1.5.1</v>
      </c>
      <c r="D32" s="81" t="str">
        <f>Modèle!E34</f>
        <v>A</v>
      </c>
      <c r="E32" s="178">
        <f ca="1">COUNTIF(OFFSET(Synthèse!$G41,0,0,1,COUNTA(Synthèse!$10:$10)-6),"="&amp;$E$1)</f>
        <v>0</v>
      </c>
      <c r="F32" s="178">
        <f ca="1">COUNTIF(OFFSET(Synthèse!$G41,0,0,1,COUNTA(Synthèse!$10:$10)-6),"="&amp;$F$1)</f>
        <v>0</v>
      </c>
      <c r="G32" s="178">
        <f ca="1">COUNTIF(OFFSET(Synthèse!$G41,0,0,1,COUNTA(Synthèse!$10:$10)-6),"="&amp;$G$1)</f>
        <v>0</v>
      </c>
      <c r="H32" s="178">
        <f ca="1">COUNTIF(OFFSET(Synthèse!$G41,0,0,1,COUNTA(Synthèse!$10:$10)-6),"="&amp;$H$1)</f>
        <v>0</v>
      </c>
      <c r="I32" s="203">
        <f t="shared" ca="1" si="1"/>
        <v>0</v>
      </c>
      <c r="J32" s="68"/>
      <c r="K32" s="96"/>
      <c r="L32" s="352" t="s">
        <v>824</v>
      </c>
      <c r="M32" s="352"/>
      <c r="N32" s="352"/>
      <c r="O32" s="352"/>
      <c r="P32" s="352"/>
      <c r="Q32" s="352"/>
      <c r="R32" s="352"/>
      <c r="S32" s="68"/>
      <c r="U32" s="68"/>
      <c r="X32" s="68"/>
      <c r="AA32" s="68"/>
      <c r="AD32" s="68"/>
      <c r="AE32" s="257" t="s">
        <v>514</v>
      </c>
      <c r="AF32" s="206">
        <f>COUNTIF(TabTrans[Test],"="&amp;Value!$AE32&amp;".*")</f>
        <v>6</v>
      </c>
      <c r="AG32" s="22">
        <f>IF(COUNTIFS(TabSynthez[Test],"="&amp;$AE32&amp;".*",TabSynthez[Colonne1],"Validé")&gt;0,IF(COUNTIFS(TabSynthez[Test],"="&amp;$AE32&amp;".*",TabSynthez[Colonne1],"Validé")+COUNTIFS(TabSynthez[Test],"="&amp;$AE32&amp;".*",TabSynthez[Colonne1],"NA")=$AF32,1,0),0)</f>
        <v>0</v>
      </c>
    </row>
    <row r="33" spans="1:33" s="9" customFormat="1" ht="25.5" x14ac:dyDescent="0.25">
      <c r="A33" s="68"/>
      <c r="B33" s="74" t="str">
        <f>Modèle!B35</f>
        <v>Images</v>
      </c>
      <c r="C33" s="80" t="str">
        <f>Modèle!D35</f>
        <v>1.5.2</v>
      </c>
      <c r="D33" s="81" t="str">
        <f>Modèle!E35</f>
        <v>A</v>
      </c>
      <c r="E33" s="178">
        <f ca="1">COUNTIF(OFFSET(Synthèse!$G42,0,0,1,COUNTA(Synthèse!$10:$10)-6),"="&amp;$E$1)</f>
        <v>0</v>
      </c>
      <c r="F33" s="178">
        <f ca="1">COUNTIF(OFFSET(Synthèse!$G42,0,0,1,COUNTA(Synthèse!$10:$10)-6),"="&amp;$F$1)</f>
        <v>0</v>
      </c>
      <c r="G33" s="178">
        <f ca="1">COUNTIF(OFFSET(Synthèse!$G42,0,0,1,COUNTA(Synthèse!$10:$10)-6),"="&amp;$G$1)</f>
        <v>0</v>
      </c>
      <c r="H33" s="178">
        <f ca="1">COUNTIF(OFFSET(Synthèse!$G42,0,0,1,COUNTA(Synthèse!$10:$10)-6),"="&amp;$H$1)</f>
        <v>0</v>
      </c>
      <c r="I33" s="203">
        <f t="shared" ca="1" si="1"/>
        <v>0</v>
      </c>
      <c r="J33" s="68"/>
      <c r="K33" s="210" t="s">
        <v>822</v>
      </c>
      <c r="L33" s="211" t="s">
        <v>23</v>
      </c>
      <c r="M33" s="211" t="s">
        <v>1118</v>
      </c>
      <c r="N33" s="211" t="s">
        <v>498</v>
      </c>
      <c r="O33" s="211" t="s">
        <v>11</v>
      </c>
      <c r="P33" s="211" t="s">
        <v>12</v>
      </c>
      <c r="Q33" s="211" t="s">
        <v>622</v>
      </c>
      <c r="R33" s="211" t="s">
        <v>13</v>
      </c>
      <c r="S33" s="68"/>
      <c r="U33" s="68"/>
      <c r="X33" s="68"/>
      <c r="AA33" s="68"/>
      <c r="AD33" s="68"/>
      <c r="AE33" s="257" t="s">
        <v>515</v>
      </c>
      <c r="AF33" s="206">
        <f>COUNTIF(TabTrans[Test],"="&amp;Value!$AE33&amp;".*")</f>
        <v>5</v>
      </c>
      <c r="AG33" s="22">
        <f>IF(COUNTIFS(TabSynthez[Test],"="&amp;$AE33&amp;".*",TabSynthez[Colonne1],"Validé")&gt;0,IF(COUNTIFS(TabSynthez[Test],"="&amp;$AE33&amp;".*",TabSynthez[Colonne1],"Validé")+COUNTIFS(TabSynthez[Test],"="&amp;$AE33&amp;".*",TabSynthez[Colonne1],"NA")=$AF33,1,0),0)</f>
        <v>0</v>
      </c>
    </row>
    <row r="34" spans="1:33" s="9" customFormat="1" x14ac:dyDescent="0.25">
      <c r="A34" s="68"/>
      <c r="B34" s="75" t="str">
        <f>Modèle!B36</f>
        <v>Images</v>
      </c>
      <c r="C34" s="82" t="str">
        <f>Modèle!D36</f>
        <v>1.6.1</v>
      </c>
      <c r="D34" s="83" t="str">
        <f>Modèle!E36</f>
        <v>A</v>
      </c>
      <c r="E34" s="179">
        <f ca="1">COUNTIF(OFFSET(Synthèse!$G43,0,0,1,COUNTA(Synthèse!$10:$10)-6),"="&amp;$E$1)</f>
        <v>0</v>
      </c>
      <c r="F34" s="179">
        <f ca="1">COUNTIF(OFFSET(Synthèse!$G43,0,0,1,COUNTA(Synthèse!$10:$10)-6),"="&amp;$F$1)</f>
        <v>0</v>
      </c>
      <c r="G34" s="179">
        <f ca="1">COUNTIF(OFFSET(Synthèse!$G43,0,0,1,COUNTA(Synthèse!$10:$10)-6),"="&amp;$G$1)</f>
        <v>0</v>
      </c>
      <c r="H34" s="179">
        <f ca="1">COUNTIF(OFFSET(Synthèse!$G43,0,0,1,COUNTA(Synthèse!$10:$10)-6),"="&amp;$H$1)</f>
        <v>0</v>
      </c>
      <c r="I34" s="203">
        <f t="shared" ca="1" si="1"/>
        <v>0</v>
      </c>
      <c r="J34" s="68"/>
      <c r="K34" s="96" t="s">
        <v>728</v>
      </c>
      <c r="L34" s="180" t="s">
        <v>24</v>
      </c>
      <c r="M34" s="180"/>
      <c r="N34" s="180" t="s">
        <v>500</v>
      </c>
      <c r="O34" s="181">
        <f ca="1">IF(SUM(E$2:E$9)&gt;=1,0,1)</f>
        <v>1</v>
      </c>
      <c r="P34" s="181">
        <f ca="1">IF(SUM(E$2:E$9)&gt;=1,1,IF(SUM(G$2:G$9)&gt;=1,1,IF(SUM(F$2:F$9)&gt;=1,0,1)))</f>
        <v>1</v>
      </c>
      <c r="Q34" s="181">
        <f ca="1">IF(SUM(E$2:E$9)&gt;=1,1,IF(SUM(G$2:G$9)&gt;=1,0,1))</f>
        <v>1</v>
      </c>
      <c r="R34" s="181">
        <f ca="1">IF(SUM(E$2:E$9)&gt;=1,1,IF(SUM(G$2:G$9)&gt;=1,1,IF(SUM(F$2:F$9)&gt;=1,1,IF(SUM(H$2:H$9)&gt;=1,0,1))))</f>
        <v>1</v>
      </c>
      <c r="S34" s="68"/>
      <c r="U34" s="68"/>
      <c r="X34" s="68"/>
      <c r="AA34" s="68"/>
      <c r="AD34" s="68"/>
      <c r="AE34" s="257" t="s">
        <v>516</v>
      </c>
      <c r="AF34" s="206">
        <f>COUNTIF(TabTrans[Test],"="&amp;Value!$AE34&amp;".*")</f>
        <v>4</v>
      </c>
      <c r="AG34" s="22">
        <f>IF(COUNTIFS(TabSynthez[Test],"="&amp;$AE34&amp;".*",TabSynthez[Colonne1],"Validé")&gt;0,IF(COUNTIFS(TabSynthez[Test],"="&amp;$AE34&amp;".*",TabSynthez[Colonne1],"Validé")+COUNTIFS(TabSynthez[Test],"="&amp;$AE34&amp;".*",TabSynthez[Colonne1],"NA")=$AF34,1,0),0)</f>
        <v>0</v>
      </c>
    </row>
    <row r="35" spans="1:33" s="9" customFormat="1" x14ac:dyDescent="0.25">
      <c r="A35" s="68"/>
      <c r="B35" s="75" t="str">
        <f>Modèle!B37</f>
        <v>Images</v>
      </c>
      <c r="C35" s="82" t="str">
        <f>Modèle!D37</f>
        <v>1.6.2</v>
      </c>
      <c r="D35" s="83" t="str">
        <f>Modèle!E37</f>
        <v>A</v>
      </c>
      <c r="E35" s="179">
        <f ca="1">COUNTIF(OFFSET(Synthèse!$G44,0,0,1,COUNTA(Synthèse!$10:$10)-6),"="&amp;$E$1)</f>
        <v>0</v>
      </c>
      <c r="F35" s="179">
        <f ca="1">COUNTIF(OFFSET(Synthèse!$G44,0,0,1,COUNTA(Synthèse!$10:$10)-6),"="&amp;$F$1)</f>
        <v>0</v>
      </c>
      <c r="G35" s="179">
        <f ca="1">COUNTIF(OFFSET(Synthèse!$G44,0,0,1,COUNTA(Synthèse!$10:$10)-6),"="&amp;$G$1)</f>
        <v>0</v>
      </c>
      <c r="H35" s="179">
        <f ca="1">COUNTIF(OFFSET(Synthèse!$G44,0,0,1,COUNTA(Synthèse!$10:$10)-6),"="&amp;$H$1)</f>
        <v>0</v>
      </c>
      <c r="I35" s="203">
        <f t="shared" ca="1" si="1"/>
        <v>0</v>
      </c>
      <c r="J35" s="68"/>
      <c r="K35" s="96" t="s">
        <v>729</v>
      </c>
      <c r="L35" s="180" t="s">
        <v>24</v>
      </c>
      <c r="M35" s="180"/>
      <c r="N35" s="180" t="s">
        <v>502</v>
      </c>
      <c r="O35" s="181">
        <f ca="1">IF(SUM(E$10:E$15)&gt;=1,0,1)</f>
        <v>1</v>
      </c>
      <c r="P35" s="181">
        <f ca="1">IF(SUM(E$10:E$15)&gt;=1,1,IF(SUM(G$10:G$15)&gt;=1,1,IF(SUM(F$10:F$15)&gt;=1,0,1)))</f>
        <v>1</v>
      </c>
      <c r="Q35" s="181">
        <f ca="1">IF(SUM(E$10:E$15)&gt;=1,1,IF(SUM(G$10:G$15)&gt;=1,0,1))</f>
        <v>1</v>
      </c>
      <c r="R35" s="181">
        <f ca="1">IF(SUM(E$10:E$15)&gt;=1,1,IF(SUM(G$10:G$15)&gt;=1,1,IF(SUM(F$10:F$15)&gt;=1,1,IF(SUM(H$10:H$15)&gt;=1,0,1))))</f>
        <v>1</v>
      </c>
      <c r="S35" s="68"/>
      <c r="U35" s="68"/>
      <c r="X35" s="68"/>
      <c r="AA35" s="68"/>
      <c r="AD35" s="68"/>
      <c r="AE35" s="257" t="s">
        <v>517</v>
      </c>
      <c r="AF35" s="206">
        <f>COUNTIF(TabTrans[Test],"="&amp;Value!$AE35&amp;".*")</f>
        <v>3</v>
      </c>
      <c r="AG35" s="22">
        <f>IF(COUNTIFS(TabSynthez[Test],"="&amp;$AE35&amp;".*",TabSynthez[Colonne1],"Validé")&gt;0,IF(COUNTIFS(TabSynthez[Test],"="&amp;$AE35&amp;".*",TabSynthez[Colonne1],"Validé")+COUNTIFS(TabSynthez[Test],"="&amp;$AE35&amp;".*",TabSynthez[Colonne1],"NA")=$AF35,1,0),0)</f>
        <v>0</v>
      </c>
    </row>
    <row r="36" spans="1:33" s="9" customFormat="1" x14ac:dyDescent="0.25">
      <c r="A36" s="68"/>
      <c r="B36" s="75" t="str">
        <f>Modèle!B38</f>
        <v>Images</v>
      </c>
      <c r="C36" s="82" t="str">
        <f>Modèle!D38</f>
        <v>1.6.3</v>
      </c>
      <c r="D36" s="83" t="str">
        <f>Modèle!E38</f>
        <v>A</v>
      </c>
      <c r="E36" s="179">
        <f ca="1">COUNTIF(OFFSET(Synthèse!$G45,0,0,1,COUNTA(Synthèse!$10:$10)-6),"="&amp;$E$1)</f>
        <v>0</v>
      </c>
      <c r="F36" s="179">
        <f ca="1">COUNTIF(OFFSET(Synthèse!$G45,0,0,1,COUNTA(Synthèse!$10:$10)-6),"="&amp;$F$1)</f>
        <v>0</v>
      </c>
      <c r="G36" s="179">
        <f ca="1">COUNTIF(OFFSET(Synthèse!$G45,0,0,1,COUNTA(Synthèse!$10:$10)-6),"="&amp;$G$1)</f>
        <v>0</v>
      </c>
      <c r="H36" s="179">
        <f ca="1">COUNTIF(OFFSET(Synthèse!$G45,0,0,1,COUNTA(Synthèse!$10:$10)-6),"="&amp;$H$1)</f>
        <v>0</v>
      </c>
      <c r="I36" s="203">
        <f t="shared" ca="1" si="1"/>
        <v>0</v>
      </c>
      <c r="J36" s="68"/>
      <c r="K36" s="96" t="s">
        <v>730</v>
      </c>
      <c r="L36" s="180" t="s">
        <v>24</v>
      </c>
      <c r="M36" s="180"/>
      <c r="N36" s="180" t="s">
        <v>503</v>
      </c>
      <c r="O36" s="181">
        <f ca="1">IF(SUM(E$16:E$24)&gt;=1,0,1)</f>
        <v>1</v>
      </c>
      <c r="P36" s="181">
        <f ca="1">IF(SUM(E$16:E$24)&gt;=1,1,IF(SUM(G$16:G$24)&gt;=1,1,IF(SUM(F$16:F$24)&gt;=1,0,1)))</f>
        <v>1</v>
      </c>
      <c r="Q36" s="181">
        <f ca="1">IF(SUM(E$16:E$24)&gt;=1,1,IF(SUM(G$16:G$24)&gt;=1,0,1))</f>
        <v>1</v>
      </c>
      <c r="R36" s="181">
        <f ca="1">IF(SUM(E$16:E$24)&gt;=1,1,IF(SUM(G$16:G$24)&gt;=1,1,IF(SUM(F$16:F$24)&gt;=1,1,IF(SUM(H$16:H$24)&gt;=1,0,1))))</f>
        <v>1</v>
      </c>
      <c r="S36" s="68"/>
      <c r="U36" s="68"/>
      <c r="X36" s="68"/>
      <c r="AA36" s="68"/>
      <c r="AD36" s="68"/>
      <c r="AE36" s="257" t="s">
        <v>518</v>
      </c>
      <c r="AF36" s="206">
        <f>COUNTIF(TabTrans[Test],"="&amp;Value!$AE36&amp;".*")</f>
        <v>3</v>
      </c>
      <c r="AG36" s="22">
        <f>IF(COUNTIFS(TabSynthez[Test],"="&amp;$AE36&amp;".*",TabSynthez[Colonne1],"Validé")&gt;0,IF(COUNTIFS(TabSynthez[Test],"="&amp;$AE36&amp;".*",TabSynthez[Colonne1],"Validé")+COUNTIFS(TabSynthez[Test],"="&amp;$AE36&amp;".*",TabSynthez[Colonne1],"NA")=$AF36,1,0),0)</f>
        <v>0</v>
      </c>
    </row>
    <row r="37" spans="1:33" s="9" customFormat="1" x14ac:dyDescent="0.25">
      <c r="A37" s="68"/>
      <c r="B37" s="75" t="str">
        <f>Modèle!B39</f>
        <v>Images</v>
      </c>
      <c r="C37" s="82" t="str">
        <f>Modèle!D39</f>
        <v>1.6.4</v>
      </c>
      <c r="D37" s="83" t="str">
        <f>Modèle!E39</f>
        <v>A</v>
      </c>
      <c r="E37" s="179">
        <f ca="1">COUNTIF(OFFSET(Synthèse!$G46,0,0,1,COUNTA(Synthèse!$10:$10)-6),"="&amp;$E$1)</f>
        <v>0</v>
      </c>
      <c r="F37" s="179">
        <f ca="1">COUNTIF(OFFSET(Synthèse!$G46,0,0,1,COUNTA(Synthèse!$10:$10)-6),"="&amp;$F$1)</f>
        <v>0</v>
      </c>
      <c r="G37" s="179">
        <f ca="1">COUNTIF(OFFSET(Synthèse!$G46,0,0,1,COUNTA(Synthèse!$10:$10)-6),"="&amp;$G$1)</f>
        <v>0</v>
      </c>
      <c r="H37" s="179">
        <f ca="1">COUNTIF(OFFSET(Synthèse!$G46,0,0,1,COUNTA(Synthèse!$10:$10)-6),"="&amp;$H$1)</f>
        <v>0</v>
      </c>
      <c r="I37" s="203">
        <f t="shared" ca="1" si="1"/>
        <v>0</v>
      </c>
      <c r="J37" s="68"/>
      <c r="K37" s="96" t="s">
        <v>731</v>
      </c>
      <c r="L37" s="180" t="s">
        <v>24</v>
      </c>
      <c r="M37" s="180"/>
      <c r="N37" s="180" t="s">
        <v>504</v>
      </c>
      <c r="O37" s="181">
        <f ca="1">IF(SUM(E$25:E$31)&gt;=1,0,1)</f>
        <v>1</v>
      </c>
      <c r="P37" s="181">
        <f ca="1">IF(SUM(E$25:E$31)&gt;=1,1,IF(SUM(G$25:G$31)&gt;=1,1,IF(SUM(F$25:F$31)&gt;=1,0,1)))</f>
        <v>1</v>
      </c>
      <c r="Q37" s="181">
        <f ca="1">IF(SUM(E$25:E$31)&gt;=1,1,IF(SUM(G$25:G$31)&gt;=1,0,1))</f>
        <v>1</v>
      </c>
      <c r="R37" s="181">
        <f ca="1">IF(SUM(E$25:E$31)&gt;=1,1,IF(SUM(G$25:G$31)&gt;=1,1,IF(SUM(F$25:F$31)&gt;=1,1,IF(SUM(H$25:H$31)&gt;=1,0,1))))</f>
        <v>1</v>
      </c>
      <c r="S37" s="68"/>
      <c r="U37" s="68"/>
      <c r="X37" s="68"/>
      <c r="AA37" s="68"/>
      <c r="AD37" s="68"/>
      <c r="AE37" s="257" t="s">
        <v>519</v>
      </c>
      <c r="AF37" s="206">
        <f>COUNTIF(TabTrans[Test],"="&amp;Value!$AE37&amp;".*")</f>
        <v>2</v>
      </c>
      <c r="AG37" s="22">
        <f>IF(COUNTIFS(TabSynthez[Test],"="&amp;$AE37&amp;".*",TabSynthez[Colonne1],"Validé")&gt;0,IF(COUNTIFS(TabSynthez[Test],"="&amp;$AE37&amp;".*",TabSynthez[Colonne1],"Validé")+COUNTIFS(TabSynthez[Test],"="&amp;$AE37&amp;".*",TabSynthez[Colonne1],"NA")=$AF37,1,0),0)</f>
        <v>0</v>
      </c>
    </row>
    <row r="38" spans="1:33" s="9" customFormat="1" x14ac:dyDescent="0.25">
      <c r="A38" s="68"/>
      <c r="B38" s="75" t="str">
        <f>Modèle!B40</f>
        <v>Images</v>
      </c>
      <c r="C38" s="82" t="str">
        <f>Modèle!D40</f>
        <v>1.6.5</v>
      </c>
      <c r="D38" s="83" t="str">
        <f>Modèle!E40</f>
        <v>A</v>
      </c>
      <c r="E38" s="179">
        <f ca="1">COUNTIF(OFFSET(Synthèse!$G47,0,0,1,COUNTA(Synthèse!$10:$10)-6),"="&amp;$E$1)</f>
        <v>0</v>
      </c>
      <c r="F38" s="179">
        <f ca="1">COUNTIF(OFFSET(Synthèse!$G47,0,0,1,COUNTA(Synthèse!$10:$10)-6),"="&amp;$F$1)</f>
        <v>0</v>
      </c>
      <c r="G38" s="179">
        <f ca="1">COUNTIF(OFFSET(Synthèse!$G47,0,0,1,COUNTA(Synthèse!$10:$10)-6),"="&amp;$G$1)</f>
        <v>0</v>
      </c>
      <c r="H38" s="179">
        <f ca="1">COUNTIF(OFFSET(Synthèse!$G47,0,0,1,COUNTA(Synthèse!$10:$10)-6),"="&amp;$H$1)</f>
        <v>0</v>
      </c>
      <c r="I38" s="203">
        <f t="shared" ca="1" si="1"/>
        <v>0</v>
      </c>
      <c r="J38" s="68"/>
      <c r="K38" s="96" t="s">
        <v>732</v>
      </c>
      <c r="L38" s="180" t="s">
        <v>24</v>
      </c>
      <c r="M38" s="180"/>
      <c r="N38" s="180" t="s">
        <v>505</v>
      </c>
      <c r="O38" s="181">
        <f ca="1">IF(SUM(E$32:E$33)&gt;=1,0,1)</f>
        <v>1</v>
      </c>
      <c r="P38" s="181">
        <f ca="1">IF(SUM(E$32:E$33)&gt;=1,1,IF(SUM(G$32:G$33)&gt;=1,1,IF(SUM(F$32:F$33)&gt;=1,0,1)))</f>
        <v>1</v>
      </c>
      <c r="Q38" s="181">
        <f ca="1">IF(SUM(E$32:E$33)&gt;=1,1,IF(SUM(G$32:G$33)&gt;=1,0,1))</f>
        <v>1</v>
      </c>
      <c r="R38" s="181">
        <f ca="1">IF(SUM(E$32:E$33)&gt;=1,1,IF(SUM(G$32:G$33)&gt;=1,1,IF(SUM(F$32:F$33)&gt;=1,1,IF(SUM(H$32:H$33)&gt;=1,0,1))))</f>
        <v>1</v>
      </c>
      <c r="S38" s="68"/>
      <c r="U38" s="68"/>
      <c r="X38" s="68"/>
      <c r="AA38" s="68"/>
      <c r="AD38" s="68"/>
      <c r="AE38" s="257" t="s">
        <v>520</v>
      </c>
      <c r="AF38" s="206">
        <f>COUNTIF(TabTrans[Test],"="&amp;Value!$AE38&amp;".*")</f>
        <v>1</v>
      </c>
      <c r="AG38" s="22">
        <f>IF(COUNTIFS(TabSynthez[Test],"="&amp;$AE38&amp;".*",TabSynthez[Colonne1],"Validé")&gt;0,IF(COUNTIFS(TabSynthez[Test],"="&amp;$AE38&amp;".*",TabSynthez[Colonne1],"Validé")+COUNTIFS(TabSynthez[Test],"="&amp;$AE38&amp;".*",TabSynthez[Colonne1],"NA")=$AF38,1,0),0)</f>
        <v>0</v>
      </c>
    </row>
    <row r="39" spans="1:33" s="9" customFormat="1" x14ac:dyDescent="0.25">
      <c r="A39" s="68"/>
      <c r="B39" s="75" t="str">
        <f>Modèle!B41</f>
        <v>Images</v>
      </c>
      <c r="C39" s="82" t="str">
        <f>Modèle!D41</f>
        <v>1.6.6</v>
      </c>
      <c r="D39" s="83" t="str">
        <f>Modèle!E41</f>
        <v>A</v>
      </c>
      <c r="E39" s="179">
        <f ca="1">COUNTIF(OFFSET(Synthèse!$G48,0,0,1,COUNTA(Synthèse!$10:$10)-6),"="&amp;$E$1)</f>
        <v>0</v>
      </c>
      <c r="F39" s="179">
        <f ca="1">COUNTIF(OFFSET(Synthèse!$G48,0,0,1,COUNTA(Synthèse!$10:$10)-6),"="&amp;$F$1)</f>
        <v>0</v>
      </c>
      <c r="G39" s="179">
        <f ca="1">COUNTIF(OFFSET(Synthèse!$G48,0,0,1,COUNTA(Synthèse!$10:$10)-6),"="&amp;$G$1)</f>
        <v>0</v>
      </c>
      <c r="H39" s="179">
        <f ca="1">COUNTIF(OFFSET(Synthèse!$G48,0,0,1,COUNTA(Synthèse!$10:$10)-6),"="&amp;$H$1)</f>
        <v>0</v>
      </c>
      <c r="I39" s="203">
        <f t="shared" ca="1" si="1"/>
        <v>0</v>
      </c>
      <c r="J39" s="68"/>
      <c r="K39" s="96" t="s">
        <v>733</v>
      </c>
      <c r="L39" s="180" t="s">
        <v>24</v>
      </c>
      <c r="M39" s="180"/>
      <c r="N39" s="180" t="s">
        <v>506</v>
      </c>
      <c r="O39" s="181">
        <f ca="1">IF(SUM(E$34:E$43)&gt;=1,0,1)</f>
        <v>1</v>
      </c>
      <c r="P39" s="181">
        <f ca="1">IF(SUM(E$34:E$43)&gt;=1,1,IF(SUM(G$34:G$43)&gt;=1,1,IF(SUM(F$34:F$43)&gt;=1,0,1)))</f>
        <v>1</v>
      </c>
      <c r="Q39" s="181">
        <f ca="1">IF(SUM(E$34:E$43)&gt;=1,1,IF(SUM(G$34:G$43)&gt;=1,0,1))</f>
        <v>1</v>
      </c>
      <c r="R39" s="181">
        <f ca="1">IF(SUM(E$34:E$43)&gt;=1,1,IF(SUM(G$34:G$43)&gt;=1,1,IF(SUM(F$34:F$43)&gt;=1,1,IF(SUM(H$34:H$43)&gt;=1,0,1))))</f>
        <v>1</v>
      </c>
      <c r="S39" s="68"/>
      <c r="U39" s="68"/>
      <c r="X39" s="68"/>
      <c r="AA39" s="68"/>
      <c r="AD39" s="68"/>
      <c r="AE39" s="257" t="s">
        <v>521</v>
      </c>
      <c r="AF39" s="206">
        <f>COUNTIF(TabTrans[Test],"="&amp;Value!$AE39&amp;".*")</f>
        <v>2</v>
      </c>
      <c r="AG39" s="22">
        <f>IF(COUNTIFS(TabSynthez[Test],"="&amp;$AE39&amp;".*",TabSynthez[Colonne1],"Validé")&gt;0,IF(COUNTIFS(TabSynthez[Test],"="&amp;$AE39&amp;".*",TabSynthez[Colonne1],"Validé")+COUNTIFS(TabSynthez[Test],"="&amp;$AE39&amp;".*",TabSynthez[Colonne1],"NA")=$AF39,1,0),0)</f>
        <v>0</v>
      </c>
    </row>
    <row r="40" spans="1:33" s="9" customFormat="1" x14ac:dyDescent="0.25">
      <c r="A40" s="68"/>
      <c r="B40" s="75" t="str">
        <f>Modèle!B42</f>
        <v>Images</v>
      </c>
      <c r="C40" s="82" t="str">
        <f>Modèle!D42</f>
        <v>1.6.7</v>
      </c>
      <c r="D40" s="83" t="str">
        <f>Modèle!E42</f>
        <v>A</v>
      </c>
      <c r="E40" s="179">
        <f ca="1">COUNTIF(OFFSET(Synthèse!$G49,0,0,1,COUNTA(Synthèse!$10:$10)-6),"="&amp;$E$1)</f>
        <v>0</v>
      </c>
      <c r="F40" s="179">
        <f ca="1">COUNTIF(OFFSET(Synthèse!$G49,0,0,1,COUNTA(Synthèse!$10:$10)-6),"="&amp;$F$1)</f>
        <v>0</v>
      </c>
      <c r="G40" s="179">
        <f ca="1">COUNTIF(OFFSET(Synthèse!$G49,0,0,1,COUNTA(Synthèse!$10:$10)-6),"="&amp;$G$1)</f>
        <v>0</v>
      </c>
      <c r="H40" s="179">
        <f ca="1">COUNTIF(OFFSET(Synthèse!$G49,0,0,1,COUNTA(Synthèse!$10:$10)-6),"="&amp;$H$1)</f>
        <v>0</v>
      </c>
      <c r="I40" s="203">
        <f t="shared" ca="1" si="1"/>
        <v>0</v>
      </c>
      <c r="J40" s="68"/>
      <c r="K40" s="96" t="s">
        <v>734</v>
      </c>
      <c r="L40" s="180" t="s">
        <v>24</v>
      </c>
      <c r="M40" s="180"/>
      <c r="N40" s="180" t="s">
        <v>507</v>
      </c>
      <c r="O40" s="181">
        <f ca="1">IF(SUM(E$44:E$49)&gt;=1,0,1)</f>
        <v>1</v>
      </c>
      <c r="P40" s="181">
        <f ca="1">IF(SUM(E$44:E$49)&gt;=1,1,IF(SUM(G$44:G$49)&gt;=1,1,IF(SUM(F$44:F$49)&gt;=1,0,1)))</f>
        <v>1</v>
      </c>
      <c r="Q40" s="181">
        <f ca="1">IF(SUM(E$44:E$49)&gt;=1,1,IF(SUM(G$44:G$49)&gt;=1,0,1))</f>
        <v>1</v>
      </c>
      <c r="R40" s="181">
        <f ca="1">IF(SUM(E$44:E$49)&gt;=1,1,IF(SUM(G$44:G$49)&gt;=1,1,IF(SUM(F$44:F$49)&gt;=1,1,IF(SUM(H$44:H$49)&gt;=1,0,1))))</f>
        <v>1</v>
      </c>
      <c r="S40" s="68"/>
      <c r="U40" s="68"/>
      <c r="X40" s="68"/>
      <c r="AA40" s="68"/>
      <c r="AD40" s="68"/>
      <c r="AE40" s="257" t="s">
        <v>522</v>
      </c>
      <c r="AF40" s="206">
        <f>COUNTIF(TabTrans[Test],"="&amp;Value!$AE40&amp;".*")</f>
        <v>2</v>
      </c>
      <c r="AG40" s="22">
        <f>IF(COUNTIFS(TabSynthez[Test],"="&amp;$AE40&amp;".*",TabSynthez[Colonne1],"Validé")&gt;0,IF(COUNTIFS(TabSynthez[Test],"="&amp;$AE40&amp;".*",TabSynthez[Colonne1],"Validé")+COUNTIFS(TabSynthez[Test],"="&amp;$AE40&amp;".*",TabSynthez[Colonne1],"NA")=$AF40,1,0),0)</f>
        <v>0</v>
      </c>
    </row>
    <row r="41" spans="1:33" s="9" customFormat="1" x14ac:dyDescent="0.25">
      <c r="A41" s="68"/>
      <c r="B41" s="75" t="str">
        <f>Modèle!B43</f>
        <v>Images</v>
      </c>
      <c r="C41" s="82" t="str">
        <f>Modèle!D43</f>
        <v>1.6.8</v>
      </c>
      <c r="D41" s="83" t="str">
        <f>Modèle!E43</f>
        <v>A</v>
      </c>
      <c r="E41" s="179">
        <f ca="1">COUNTIF(OFFSET(Synthèse!$G50,0,0,1,COUNTA(Synthèse!$10:$10)-6),"="&amp;$E$1)</f>
        <v>0</v>
      </c>
      <c r="F41" s="179">
        <f ca="1">COUNTIF(OFFSET(Synthèse!$G50,0,0,1,COUNTA(Synthèse!$10:$10)-6),"="&amp;$F$1)</f>
        <v>0</v>
      </c>
      <c r="G41" s="179">
        <f ca="1">COUNTIF(OFFSET(Synthèse!$G50,0,0,1,COUNTA(Synthèse!$10:$10)-6),"="&amp;$G$1)</f>
        <v>0</v>
      </c>
      <c r="H41" s="179">
        <f ca="1">COUNTIF(OFFSET(Synthèse!$G50,0,0,1,COUNTA(Synthèse!$10:$10)-6),"="&amp;$H$1)</f>
        <v>0</v>
      </c>
      <c r="I41" s="203">
        <f t="shared" ca="1" si="1"/>
        <v>0</v>
      </c>
      <c r="J41" s="68"/>
      <c r="K41" s="96" t="s">
        <v>735</v>
      </c>
      <c r="L41" s="180" t="s">
        <v>25</v>
      </c>
      <c r="M41" s="180"/>
      <c r="N41" s="180" t="s">
        <v>509</v>
      </c>
      <c r="O41" s="181">
        <f ca="1">IF(SUM(E$50:E$55)&gt;=1,0,1)</f>
        <v>1</v>
      </c>
      <c r="P41" s="181">
        <f ca="1">IF(SUM(E$50:E$55)&gt;=1,1,IF(SUM(G$50:G$55)&gt;=1,1,IF(SUM(F$50:F$55)&gt;=1,0,1)))</f>
        <v>1</v>
      </c>
      <c r="Q41" s="181">
        <f ca="1">IF(SUM(E$50:E$55)&gt;=1,1,IF(SUM(G$50:G$55)&gt;=1,0,1))</f>
        <v>1</v>
      </c>
      <c r="R41" s="181">
        <f ca="1">IF(SUM(E$50:E$55)&gt;=1,1,IF(SUM(G$50:G$55)&gt;=1,1,IF(SUM(F$50:F$55)&gt;=1,1,IF(SUM(H$50:H$55)&gt;=1,0,1))))</f>
        <v>1</v>
      </c>
      <c r="S41" s="68"/>
      <c r="U41" s="68"/>
      <c r="X41" s="68"/>
      <c r="AA41" s="68"/>
      <c r="AD41" s="68"/>
      <c r="AE41" s="257" t="s">
        <v>523</v>
      </c>
      <c r="AF41" s="206">
        <f>COUNTIF(TabTrans[Test],"="&amp;Value!$AE41&amp;".*")</f>
        <v>1</v>
      </c>
      <c r="AG41" s="22">
        <f>IF(COUNTIFS(TabSynthez[Test],"="&amp;$AE41&amp;".*",TabSynthez[Colonne1],"Validé")&gt;0,IF(COUNTIFS(TabSynthez[Test],"="&amp;$AE41&amp;".*",TabSynthez[Colonne1],"Validé")+COUNTIFS(TabSynthez[Test],"="&amp;$AE41&amp;".*",TabSynthez[Colonne1],"NA")=$AF41,1,0),0)</f>
        <v>0</v>
      </c>
    </row>
    <row r="42" spans="1:33" s="9" customFormat="1" x14ac:dyDescent="0.25">
      <c r="A42" s="68"/>
      <c r="B42" s="75" t="str">
        <f>Modèle!B44</f>
        <v>Images</v>
      </c>
      <c r="C42" s="82" t="str">
        <f>Modèle!D44</f>
        <v>1.6.9</v>
      </c>
      <c r="D42" s="83" t="str">
        <f>Modèle!E44</f>
        <v>A</v>
      </c>
      <c r="E42" s="179">
        <f ca="1">COUNTIF(OFFSET(Synthèse!$G51,0,0,1,COUNTA(Synthèse!$10:$10)-6),"="&amp;$E$1)</f>
        <v>0</v>
      </c>
      <c r="F42" s="179">
        <f ca="1">COUNTIF(OFFSET(Synthèse!$G51,0,0,1,COUNTA(Synthèse!$10:$10)-6),"="&amp;$F$1)</f>
        <v>0</v>
      </c>
      <c r="G42" s="179">
        <f ca="1">COUNTIF(OFFSET(Synthèse!$G51,0,0,1,COUNTA(Synthèse!$10:$10)-6),"="&amp;$G$1)</f>
        <v>0</v>
      </c>
      <c r="H42" s="179">
        <f ca="1">COUNTIF(OFFSET(Synthèse!$G51,0,0,1,COUNTA(Synthèse!$10:$10)-6),"="&amp;$H$1)</f>
        <v>0</v>
      </c>
      <c r="I42" s="203">
        <f t="shared" ca="1" si="1"/>
        <v>0</v>
      </c>
      <c r="J42" s="68"/>
      <c r="K42" s="96" t="s">
        <v>736</v>
      </c>
      <c r="L42" s="180" t="s">
        <v>24</v>
      </c>
      <c r="M42" s="180"/>
      <c r="N42" s="180" t="s">
        <v>511</v>
      </c>
      <c r="O42" s="181">
        <f ca="1">IF(SUM(E$56:E$60)&gt;=1,0,1)</f>
        <v>1</v>
      </c>
      <c r="P42" s="181">
        <f ca="1">IF(SUM(E$56:E$60)&gt;=1,1,IF(SUM(G$56:G$60)&gt;=1,1,IF(SUM(F$56:F$60)&gt;=1,0,1)))</f>
        <v>1</v>
      </c>
      <c r="Q42" s="181">
        <f ca="1">IF(SUM(E$56:E$60)&gt;=1,1,IF(SUM(G$56:G$60)&gt;=1,0,1))</f>
        <v>1</v>
      </c>
      <c r="R42" s="181">
        <f ca="1">IF(SUM(E$56:E$60)&gt;=1,1,IF(SUM(G$56:G$60)&gt;=1,1,IF(SUM(F$56:F$60)&gt;=1,1,IF(SUM(H$56:H$60)&gt;=1,0,1))))</f>
        <v>1</v>
      </c>
      <c r="S42" s="68"/>
      <c r="U42" s="68"/>
      <c r="X42" s="68"/>
      <c r="AA42" s="68"/>
      <c r="AD42" s="68"/>
      <c r="AE42" s="257" t="s">
        <v>524</v>
      </c>
      <c r="AF42" s="206">
        <f>COUNTIF(TabTrans[Test],"="&amp;Value!$AE42&amp;".*")</f>
        <v>2</v>
      </c>
      <c r="AG42" s="22">
        <f>IF(COUNTIFS(TabSynthez[Test],"="&amp;$AE42&amp;".*",TabSynthez[Colonne1],"Validé")&gt;0,IF(COUNTIFS(TabSynthez[Test],"="&amp;$AE42&amp;".*",TabSynthez[Colonne1],"Validé")+COUNTIFS(TabSynthez[Test],"="&amp;$AE42&amp;".*",TabSynthez[Colonne1],"NA")=$AF42,1,0),0)</f>
        <v>0</v>
      </c>
    </row>
    <row r="43" spans="1:33" s="9" customFormat="1" x14ac:dyDescent="0.25">
      <c r="A43" s="68"/>
      <c r="B43" s="75" t="str">
        <f>Modèle!B45</f>
        <v>Images</v>
      </c>
      <c r="C43" s="82" t="str">
        <f>Modèle!D45</f>
        <v>1.6.10</v>
      </c>
      <c r="D43" s="83" t="str">
        <f>Modèle!E45</f>
        <v>A</v>
      </c>
      <c r="E43" s="179">
        <f ca="1">COUNTIF(OFFSET(Synthèse!$G52,0,0,1,COUNTA(Synthèse!$10:$10)-6),"="&amp;$E$1)</f>
        <v>0</v>
      </c>
      <c r="F43" s="179">
        <f ca="1">COUNTIF(OFFSET(Synthèse!$G52,0,0,1,COUNTA(Synthèse!$10:$10)-6),"="&amp;$F$1)</f>
        <v>0</v>
      </c>
      <c r="G43" s="179">
        <f ca="1">COUNTIF(OFFSET(Synthèse!$G52,0,0,1,COUNTA(Synthèse!$10:$10)-6),"="&amp;$G$1)</f>
        <v>0</v>
      </c>
      <c r="H43" s="179">
        <f ca="1">COUNTIF(OFFSET(Synthèse!$G52,0,0,1,COUNTA(Synthèse!$10:$10)-6),"="&amp;$H$1)</f>
        <v>0</v>
      </c>
      <c r="I43" s="203">
        <f t="shared" ca="1" si="1"/>
        <v>0</v>
      </c>
      <c r="J43" s="68"/>
      <c r="K43" s="96" t="s">
        <v>737</v>
      </c>
      <c r="L43" s="182" t="s">
        <v>24</v>
      </c>
      <c r="M43" s="182"/>
      <c r="N43" s="182" t="s">
        <v>512</v>
      </c>
      <c r="O43" s="183">
        <f ca="1">IF(SUM(E$61:E$61)&gt;=1,0,1)</f>
        <v>1</v>
      </c>
      <c r="P43" s="183">
        <f ca="1">IF(SUM(E$61:E$61)&gt;=1,1,IF(SUM(G$61:G$61)&gt;=1,1,IF(SUM(F$61:F$61)&gt;=1,0,1)))</f>
        <v>1</v>
      </c>
      <c r="Q43" s="183">
        <f ca="1">IF(SUM(E$61)&gt;=1,1,IF(SUM(G$61)&gt;=1,0,1))</f>
        <v>1</v>
      </c>
      <c r="R43" s="183">
        <f ca="1">IF(SUM(E$61)&gt;=1,1,IF(SUM(G$61)&gt;=1,1,IF(SUM(F$61)&gt;=1,1,IF(SUM(H$61)&gt;=1,0,1))))</f>
        <v>1</v>
      </c>
      <c r="S43" s="68"/>
      <c r="U43" s="68"/>
      <c r="X43" s="68"/>
      <c r="AA43" s="68"/>
      <c r="AD43" s="68"/>
      <c r="AE43" s="257" t="s">
        <v>525</v>
      </c>
      <c r="AF43" s="206">
        <f>COUNTIF(TabTrans[Test],"="&amp;Value!$AE43&amp;".*")</f>
        <v>1</v>
      </c>
      <c r="AG43" s="22">
        <f>IF(COUNTIFS(TabSynthez[Test],"="&amp;$AE43&amp;".*",TabSynthez[Colonne1],"Validé")&gt;0,IF(COUNTIFS(TabSynthez[Test],"="&amp;$AE43&amp;".*",TabSynthez[Colonne1],"Validé")+COUNTIFS(TabSynthez[Test],"="&amp;$AE43&amp;".*",TabSynthez[Colonne1],"NA")=$AF43,1,0),0)</f>
        <v>0</v>
      </c>
    </row>
    <row r="44" spans="1:33" s="9" customFormat="1" x14ac:dyDescent="0.25">
      <c r="A44" s="68"/>
      <c r="B44" s="74" t="str">
        <f>Modèle!B46</f>
        <v>Images</v>
      </c>
      <c r="C44" s="80" t="str">
        <f>Modèle!D46</f>
        <v>1.7.1</v>
      </c>
      <c r="D44" s="81" t="str">
        <f>Modèle!E46</f>
        <v>A</v>
      </c>
      <c r="E44" s="178">
        <f ca="1">COUNTIF(OFFSET(Synthèse!$G53,0,0,1,COUNTA(Synthèse!$10:$10)-6),"="&amp;$E$1)</f>
        <v>0</v>
      </c>
      <c r="F44" s="178">
        <f ca="1">COUNTIF(OFFSET(Synthèse!$G53,0,0,1,COUNTA(Synthèse!$10:$10)-6),"="&amp;$F$1)</f>
        <v>0</v>
      </c>
      <c r="G44" s="178">
        <f ca="1">COUNTIF(OFFSET(Synthèse!$G53,0,0,1,COUNTA(Synthèse!$10:$10)-6),"="&amp;$G$1)</f>
        <v>0</v>
      </c>
      <c r="H44" s="178">
        <f ca="1">COUNTIF(OFFSET(Synthèse!$G53,0,0,1,COUNTA(Synthèse!$10:$10)-6),"="&amp;$H$1)</f>
        <v>0</v>
      </c>
      <c r="I44" s="203">
        <f t="shared" ca="1" si="1"/>
        <v>0</v>
      </c>
      <c r="J44" s="68"/>
      <c r="K44" s="96" t="s">
        <v>738</v>
      </c>
      <c r="L44" s="182" t="s">
        <v>24</v>
      </c>
      <c r="M44" s="182"/>
      <c r="N44" s="182" t="s">
        <v>513</v>
      </c>
      <c r="O44" s="183">
        <f ca="1">IF(SUM(E$62:E$62)&gt;=1,0,1)</f>
        <v>1</v>
      </c>
      <c r="P44" s="183">
        <f ca="1">IF(SUM(E$62:E$62)&gt;=1,1,IF(SUM(G$62:G$62)&gt;=1,1,IF(SUM(F$62:F$62)&gt;=1,0,1)))</f>
        <v>1</v>
      </c>
      <c r="Q44" s="183">
        <f ca="1">IF(SUM(E$62)&gt;=1,1,IF(SUM(G$62)&gt;=1,0,1))</f>
        <v>1</v>
      </c>
      <c r="R44" s="183">
        <f ca="1">IF(SUM(E$62)&gt;=1,1,IF(SUM(G$62)&gt;=1,1,IF(SUM(F$62)&gt;=1,1,IF(SUM(H$62)&gt;=1,0,1))))</f>
        <v>1</v>
      </c>
      <c r="S44" s="68"/>
      <c r="U44" s="68"/>
      <c r="X44" s="68"/>
      <c r="AA44" s="68"/>
      <c r="AD44" s="68"/>
      <c r="AE44" s="257" t="s">
        <v>526</v>
      </c>
      <c r="AF44" s="206">
        <f>COUNTIF(TabTrans[Test],"="&amp;Value!$AE44&amp;".*")</f>
        <v>1</v>
      </c>
      <c r="AG44" s="22">
        <f>IF(COUNTIFS(TabSynthez[Test],"="&amp;$AE44&amp;".*",TabSynthez[Colonne1],"Validé")&gt;0,IF(COUNTIFS(TabSynthez[Test],"="&amp;$AE44&amp;".*",TabSynthez[Colonne1],"Validé")+COUNTIFS(TabSynthez[Test],"="&amp;$AE44&amp;".*",TabSynthez[Colonne1],"NA")=$AF44,1,0),0)</f>
        <v>0</v>
      </c>
    </row>
    <row r="45" spans="1:33" s="9" customFormat="1" x14ac:dyDescent="0.25">
      <c r="A45" s="68"/>
      <c r="B45" s="74" t="str">
        <f>Modèle!B47</f>
        <v>Images</v>
      </c>
      <c r="C45" s="80" t="str">
        <f>Modèle!D47</f>
        <v>1.7.2</v>
      </c>
      <c r="D45" s="81" t="str">
        <f>Modèle!E47</f>
        <v>A</v>
      </c>
      <c r="E45" s="178">
        <f ca="1">COUNTIF(OFFSET(Synthèse!$G54,0,0,1,COUNTA(Synthèse!$10:$10)-6),"="&amp;$E$1)</f>
        <v>0</v>
      </c>
      <c r="F45" s="178">
        <f ca="1">COUNTIF(OFFSET(Synthèse!$G54,0,0,1,COUNTA(Synthèse!$10:$10)-6),"="&amp;$F$1)</f>
        <v>0</v>
      </c>
      <c r="G45" s="178">
        <f ca="1">COUNTIF(OFFSET(Synthèse!$G54,0,0,1,COUNTA(Synthèse!$10:$10)-6),"="&amp;$G$1)</f>
        <v>0</v>
      </c>
      <c r="H45" s="178">
        <f ca="1">COUNTIF(OFFSET(Synthèse!$G54,0,0,1,COUNTA(Synthèse!$10:$10)-6),"="&amp;$H$1)</f>
        <v>0</v>
      </c>
      <c r="I45" s="203">
        <f t="shared" ca="1" si="1"/>
        <v>0</v>
      </c>
      <c r="J45" s="68"/>
      <c r="K45" s="96" t="s">
        <v>739</v>
      </c>
      <c r="L45" s="180" t="s">
        <v>24</v>
      </c>
      <c r="M45" s="180"/>
      <c r="N45" s="180" t="s">
        <v>514</v>
      </c>
      <c r="O45" s="181">
        <f ca="1">IF(SUM(E$63:E$68)&gt;=1,0,1)</f>
        <v>1</v>
      </c>
      <c r="P45" s="181">
        <f ca="1">IF(SUM(E$63:E$68)&gt;=1,1,IF(SUM(G$63:G$68)&gt;=1,1,IF(SUM(F$63:F$68)&gt;=1,0,1)))</f>
        <v>1</v>
      </c>
      <c r="Q45" s="181">
        <f ca="1">IF(SUM(E$63:E$68)&gt;=1,1,IF(SUM(G$63:G$68)&gt;=1,0,1))</f>
        <v>1</v>
      </c>
      <c r="R45" s="181">
        <f ca="1">IF(SUM(E$63:E$68)&gt;=1,1,IF(SUM(G$63:G$68)&gt;=1,1,IF(SUM(F$63:F$68)&gt;=1,1,IF(SUM(H$63:H$68)&gt;=1,0,1))))</f>
        <v>1</v>
      </c>
      <c r="S45" s="68"/>
      <c r="U45" s="68"/>
      <c r="X45" s="68"/>
      <c r="AA45" s="68"/>
      <c r="AD45" s="68"/>
      <c r="AE45" s="257" t="s">
        <v>527</v>
      </c>
      <c r="AF45" s="206">
        <f>COUNTIF(TabTrans[Test],"="&amp;Value!$AE45&amp;".*")</f>
        <v>3</v>
      </c>
      <c r="AG45" s="22">
        <f>IF(COUNTIFS(TabSynthez[Test],"="&amp;$AE45&amp;".*",TabSynthez[Colonne1],"Validé")&gt;0,IF(COUNTIFS(TabSynthez[Test],"="&amp;$AE45&amp;".*",TabSynthez[Colonne1],"Validé")+COUNTIFS(TabSynthez[Test],"="&amp;$AE45&amp;".*",TabSynthez[Colonne1],"NA")=$AF45,1,0),0)</f>
        <v>0</v>
      </c>
    </row>
    <row r="46" spans="1:33" s="9" customFormat="1" x14ac:dyDescent="0.25">
      <c r="A46" s="68"/>
      <c r="B46" s="74" t="str">
        <f>Modèle!B48</f>
        <v>Images</v>
      </c>
      <c r="C46" s="80" t="str">
        <f>Modèle!D48</f>
        <v>1.7.3</v>
      </c>
      <c r="D46" s="81" t="str">
        <f>Modèle!E48</f>
        <v>A</v>
      </c>
      <c r="E46" s="178">
        <f ca="1">COUNTIF(OFFSET(Synthèse!$G55,0,0,1,COUNTA(Synthèse!$10:$10)-6),"="&amp;$E$1)</f>
        <v>0</v>
      </c>
      <c r="F46" s="178">
        <f ca="1">COUNTIF(OFFSET(Synthèse!$G55,0,0,1,COUNTA(Synthèse!$10:$10)-6),"="&amp;$F$1)</f>
        <v>0</v>
      </c>
      <c r="G46" s="178">
        <f ca="1">COUNTIF(OFFSET(Synthèse!$G55,0,0,1,COUNTA(Synthèse!$10:$10)-6),"="&amp;$G$1)</f>
        <v>0</v>
      </c>
      <c r="H46" s="178">
        <f ca="1">COUNTIF(OFFSET(Synthèse!$G55,0,0,1,COUNTA(Synthèse!$10:$10)-6),"="&amp;$H$1)</f>
        <v>0</v>
      </c>
      <c r="I46" s="203">
        <f t="shared" ca="1" si="1"/>
        <v>0</v>
      </c>
      <c r="J46" s="68"/>
      <c r="K46" s="96" t="s">
        <v>740</v>
      </c>
      <c r="L46" s="180" t="s">
        <v>25</v>
      </c>
      <c r="M46" s="180"/>
      <c r="N46" s="180" t="s">
        <v>515</v>
      </c>
      <c r="O46" s="181">
        <f ca="1">IF(SUM(E$69:E$73)&gt;=1,0,1)</f>
        <v>1</v>
      </c>
      <c r="P46" s="181">
        <f ca="1">IF(SUM(E$69:E$73)&gt;=1,1,IF(SUM(G$69:G$73)&gt;=1,1,IF(SUM(F$69:F$73)&gt;=1,0,1)))</f>
        <v>1</v>
      </c>
      <c r="Q46" s="181">
        <f ca="1">IF(SUM(E$69:E$73)&gt;=1,1,IF(SUM(G$69:G$73)&gt;=1,0,1))</f>
        <v>1</v>
      </c>
      <c r="R46" s="181">
        <f ca="1">IF(SUM(E$69:E$73)&gt;=1,1,IF(SUM(G$69:G$73)&gt;=1,1,IF(SUM(F$69:F$73)&gt;=1,1,IF(SUM(H$69:H$73)&gt;=1,0,1))))</f>
        <v>1</v>
      </c>
      <c r="S46" s="68"/>
      <c r="U46" s="68"/>
      <c r="X46" s="68"/>
      <c r="AA46" s="68"/>
      <c r="AD46" s="68"/>
      <c r="AE46" s="257" t="s">
        <v>528</v>
      </c>
      <c r="AF46" s="206">
        <f>COUNTIF(TabTrans[Test],"="&amp;Value!$AE46&amp;".*")</f>
        <v>2</v>
      </c>
      <c r="AG46" s="22">
        <f>IF(COUNTIFS(TabSynthez[Test],"="&amp;$AE46&amp;".*",TabSynthez[Colonne1],"Validé")&gt;0,IF(COUNTIFS(TabSynthez[Test],"="&amp;$AE46&amp;".*",TabSynthez[Colonne1],"Validé")+COUNTIFS(TabSynthez[Test],"="&amp;$AE46&amp;".*",TabSynthez[Colonne1],"NA")=$AF46,1,0),0)</f>
        <v>0</v>
      </c>
    </row>
    <row r="47" spans="1:33" s="9" customFormat="1" x14ac:dyDescent="0.25">
      <c r="A47" s="68"/>
      <c r="B47" s="74" t="str">
        <f>Modèle!B49</f>
        <v>Images</v>
      </c>
      <c r="C47" s="80" t="str">
        <f>Modèle!D49</f>
        <v>1.7.4</v>
      </c>
      <c r="D47" s="81" t="str">
        <f>Modèle!E49</f>
        <v>A</v>
      </c>
      <c r="E47" s="178">
        <f ca="1">COUNTIF(OFFSET(Synthèse!$G56,0,0,1,COUNTA(Synthèse!$10:$10)-6),"="&amp;$E$1)</f>
        <v>0</v>
      </c>
      <c r="F47" s="178">
        <f ca="1">COUNTIF(OFFSET(Synthèse!$G56,0,0,1,COUNTA(Synthèse!$10:$10)-6),"="&amp;$F$1)</f>
        <v>0</v>
      </c>
      <c r="G47" s="178">
        <f ca="1">COUNTIF(OFFSET(Synthèse!$G56,0,0,1,COUNTA(Synthèse!$10:$10)-6),"="&amp;$G$1)</f>
        <v>0</v>
      </c>
      <c r="H47" s="178">
        <f ca="1">COUNTIF(OFFSET(Synthèse!$G56,0,0,1,COUNTA(Synthèse!$10:$10)-6),"="&amp;$H$1)</f>
        <v>0</v>
      </c>
      <c r="I47" s="203">
        <f t="shared" ca="1" si="1"/>
        <v>0</v>
      </c>
      <c r="J47" s="68"/>
      <c r="K47" s="96" t="s">
        <v>741</v>
      </c>
      <c r="L47" s="180" t="s">
        <v>25</v>
      </c>
      <c r="M47" s="180"/>
      <c r="N47" s="180" t="s">
        <v>516</v>
      </c>
      <c r="O47" s="181">
        <f ca="1">IF(SUM(E$74:E$77)&gt;=1,0,1)</f>
        <v>1</v>
      </c>
      <c r="P47" s="181">
        <f ca="1">IF(SUM(E$74:E$77)&gt;=1,1,IF(SUM(G$74:G$77)&gt;=1,1,IF(SUM(F$74:F$77)&gt;=1,0,1)))</f>
        <v>1</v>
      </c>
      <c r="Q47" s="181">
        <f ca="1">IF(SUM(E$74:E$77)&gt;=1,1,IF(SUM(G$74:G$77)&gt;=1,0,1))</f>
        <v>1</v>
      </c>
      <c r="R47" s="181">
        <f ca="1">IF(SUM(E$74:E$77)&gt;=1,1,IF(SUM(G$74:G$77)&gt;=1,1,IF(SUM(F$74:F$77)&gt;=1,1,IF(SUM(H$74:H$77)&gt;=1,0,1))))</f>
        <v>1</v>
      </c>
      <c r="S47" s="68"/>
      <c r="U47" s="68"/>
      <c r="X47" s="68"/>
      <c r="AA47" s="68"/>
      <c r="AD47" s="68"/>
      <c r="AE47" s="257" t="s">
        <v>529</v>
      </c>
      <c r="AF47" s="206">
        <f>COUNTIF(TabTrans[Test],"="&amp;Value!$AE47&amp;".*")</f>
        <v>2</v>
      </c>
      <c r="AG47" s="22">
        <f>IF(COUNTIFS(TabSynthez[Test],"="&amp;$AE47&amp;".*",TabSynthez[Colonne1],"Validé")&gt;0,IF(COUNTIFS(TabSynthez[Test],"="&amp;$AE47&amp;".*",TabSynthez[Colonne1],"Validé")+COUNTIFS(TabSynthez[Test],"="&amp;$AE47&amp;".*",TabSynthez[Colonne1],"NA")=$AF47,1,0),0)</f>
        <v>0</v>
      </c>
    </row>
    <row r="48" spans="1:33" s="9" customFormat="1" x14ac:dyDescent="0.25">
      <c r="A48" s="68"/>
      <c r="B48" s="74" t="str">
        <f>Modèle!B50</f>
        <v>Images</v>
      </c>
      <c r="C48" s="80" t="str">
        <f>Modèle!D50</f>
        <v>1.7.5</v>
      </c>
      <c r="D48" s="81" t="str">
        <f>Modèle!E50</f>
        <v>A</v>
      </c>
      <c r="E48" s="178">
        <f ca="1">COUNTIF(OFFSET(Synthèse!$G57,0,0,1,COUNTA(Synthèse!$10:$10)-6),"="&amp;$E$1)</f>
        <v>0</v>
      </c>
      <c r="F48" s="178">
        <f ca="1">COUNTIF(OFFSET(Synthèse!$G57,0,0,1,COUNTA(Synthèse!$10:$10)-6),"="&amp;$F$1)</f>
        <v>0</v>
      </c>
      <c r="G48" s="178">
        <f ca="1">COUNTIF(OFFSET(Synthèse!$G57,0,0,1,COUNTA(Synthèse!$10:$10)-6),"="&amp;$G$1)</f>
        <v>0</v>
      </c>
      <c r="H48" s="178">
        <f ca="1">COUNTIF(OFFSET(Synthèse!$G57,0,0,1,COUNTA(Synthèse!$10:$10)-6),"="&amp;$H$1)</f>
        <v>0</v>
      </c>
      <c r="I48" s="203">
        <f t="shared" ca="1" si="1"/>
        <v>0</v>
      </c>
      <c r="J48" s="68"/>
      <c r="K48" s="96" t="s">
        <v>742</v>
      </c>
      <c r="L48" s="182" t="s">
        <v>24</v>
      </c>
      <c r="M48" s="182"/>
      <c r="N48" s="182" t="s">
        <v>517</v>
      </c>
      <c r="O48" s="183">
        <f ca="1">IF(SUM(E$78:E$80)&gt;=1,0,1)</f>
        <v>1</v>
      </c>
      <c r="P48" s="183">
        <f ca="1">IF(SUM(E$78:E$80)&gt;=1,1,IF(SUM(G$78:G$80)&gt;=1,1,IF(SUM(F$78:F$80)&gt;=1,0,1)))</f>
        <v>1</v>
      </c>
      <c r="Q48" s="183">
        <f ca="1">IF(SUM(E$78:E$80)&gt;=1,1,IF(SUM(G$78:G$80)&gt;=1,0,1))</f>
        <v>1</v>
      </c>
      <c r="R48" s="183">
        <f ca="1">IF(SUM(E$78:E$80)&gt;=1,1,IF(SUM(G$78:G$80)&gt;=1,1,IF(SUM(F$78:F$80)&gt;=1,1,IF(SUM(H$78:H$80)&gt;=1,0,1))))</f>
        <v>1</v>
      </c>
      <c r="S48" s="68"/>
      <c r="U48" s="68"/>
      <c r="X48" s="68"/>
      <c r="AA48" s="68"/>
      <c r="AD48" s="68"/>
      <c r="AE48" s="257" t="s">
        <v>530</v>
      </c>
      <c r="AF48" s="206">
        <f>COUNTIF(TabTrans[Test],"="&amp;Value!$AE48&amp;".*")</f>
        <v>1</v>
      </c>
      <c r="AG48" s="22">
        <f>IF(COUNTIFS(TabSynthez[Test],"="&amp;$AE48&amp;".*",TabSynthez[Colonne1],"Validé")&gt;0,IF(COUNTIFS(TabSynthez[Test],"="&amp;$AE48&amp;".*",TabSynthez[Colonne1],"Validé")+COUNTIFS(TabSynthez[Test],"="&amp;$AE48&amp;".*",TabSynthez[Colonne1],"NA")=$AF48,1,0),0)</f>
        <v>0</v>
      </c>
    </row>
    <row r="49" spans="1:33" s="9" customFormat="1" x14ac:dyDescent="0.25">
      <c r="A49" s="68"/>
      <c r="B49" s="74" t="str">
        <f>Modèle!B51</f>
        <v>Images</v>
      </c>
      <c r="C49" s="80" t="str">
        <f>Modèle!D51</f>
        <v>1.7.6</v>
      </c>
      <c r="D49" s="81" t="str">
        <f>Modèle!E51</f>
        <v>A</v>
      </c>
      <c r="E49" s="178">
        <f ca="1">COUNTIF(OFFSET(Synthèse!$G58,0,0,1,COUNTA(Synthèse!$10:$10)-6),"="&amp;$E$1)</f>
        <v>0</v>
      </c>
      <c r="F49" s="178">
        <f ca="1">COUNTIF(OFFSET(Synthèse!$G58,0,0,1,COUNTA(Synthèse!$10:$10)-6),"="&amp;$F$1)</f>
        <v>0</v>
      </c>
      <c r="G49" s="178">
        <f ca="1">COUNTIF(OFFSET(Synthèse!$G58,0,0,1,COUNTA(Synthèse!$10:$10)-6),"="&amp;$G$1)</f>
        <v>0</v>
      </c>
      <c r="H49" s="178">
        <f ca="1">COUNTIF(OFFSET(Synthèse!$G58,0,0,1,COUNTA(Synthèse!$10:$10)-6),"="&amp;$H$1)</f>
        <v>0</v>
      </c>
      <c r="I49" s="203">
        <f t="shared" ca="1" si="1"/>
        <v>0</v>
      </c>
      <c r="J49" s="68"/>
      <c r="K49" s="96" t="s">
        <v>743</v>
      </c>
      <c r="L49" s="182" t="s">
        <v>24</v>
      </c>
      <c r="M49" s="182"/>
      <c r="N49" s="182" t="s">
        <v>518</v>
      </c>
      <c r="O49" s="183">
        <f ca="1">IF(SUM(E$81:E$83)&gt;=1,0,1)</f>
        <v>1</v>
      </c>
      <c r="P49" s="183">
        <f ca="1">IF(SUM(E$81:E$83)&gt;=1,1,IF(SUM(G$81:G$83)&gt;=1,1,IF(SUM(F$81:F$83)&gt;=1,0,1)))</f>
        <v>1</v>
      </c>
      <c r="Q49" s="183">
        <f ca="1">IF(SUM(E$81:E$83)&gt;=1,1,IF(SUM(G$81:G$83)&gt;=1,0,1))</f>
        <v>1</v>
      </c>
      <c r="R49" s="183">
        <f ca="1">IF(SUM(E$81:E$83)&gt;=1,1,IF(SUM(G$81:G$83)&gt;=1,1,IF(SUM(F$81:F$83)&gt;=1,1,IF(SUM(H$81:H$83)&gt;=1,0,1))))</f>
        <v>1</v>
      </c>
      <c r="S49" s="68"/>
      <c r="U49" s="68"/>
      <c r="X49" s="68"/>
      <c r="AA49" s="68"/>
      <c r="AD49" s="68"/>
      <c r="AE49" s="257" t="s">
        <v>531</v>
      </c>
      <c r="AF49" s="206">
        <f>COUNTIF(TabTrans[Test],"="&amp;Value!$AE49&amp;".*")</f>
        <v>1</v>
      </c>
      <c r="AG49" s="22">
        <f>IF(COUNTIFS(TabSynthez[Test],"="&amp;$AE49&amp;".*",TabSynthez[Colonne1],"Validé")&gt;0,IF(COUNTIFS(TabSynthez[Test],"="&amp;$AE49&amp;".*",TabSynthez[Colonne1],"Validé")+COUNTIFS(TabSynthez[Test],"="&amp;$AE49&amp;".*",TabSynthez[Colonne1],"NA")=$AF49,1,0),0)</f>
        <v>0</v>
      </c>
    </row>
    <row r="50" spans="1:33" s="9" customFormat="1" x14ac:dyDescent="0.25">
      <c r="A50" s="68"/>
      <c r="B50" s="75" t="str">
        <f>Modèle!B52</f>
        <v>Images</v>
      </c>
      <c r="C50" s="82" t="str">
        <f>Modèle!D52</f>
        <v>1.8.1</v>
      </c>
      <c r="D50" s="83" t="str">
        <f>Modèle!E52</f>
        <v>AA</v>
      </c>
      <c r="E50" s="179">
        <f ca="1">COUNTIF(OFFSET(Synthèse!$G59,0,0,1,COUNTA(Synthèse!$10:$10)-6),"="&amp;$E$1)</f>
        <v>0</v>
      </c>
      <c r="F50" s="179">
        <f ca="1">COUNTIF(OFFSET(Synthèse!$G59,0,0,1,COUNTA(Synthèse!$10:$10)-6),"="&amp;$F$1)</f>
        <v>0</v>
      </c>
      <c r="G50" s="179">
        <f ca="1">COUNTIF(OFFSET(Synthèse!$G59,0,0,1,COUNTA(Synthèse!$10:$10)-6),"="&amp;$G$1)</f>
        <v>0</v>
      </c>
      <c r="H50" s="179">
        <f ca="1">COUNTIF(OFFSET(Synthèse!$G59,0,0,1,COUNTA(Synthèse!$10:$10)-6),"="&amp;$H$1)</f>
        <v>0</v>
      </c>
      <c r="I50" s="203">
        <f t="shared" ca="1" si="1"/>
        <v>0</v>
      </c>
      <c r="J50" s="68"/>
      <c r="K50" s="96" t="s">
        <v>744</v>
      </c>
      <c r="L50" s="182" t="s">
        <v>24</v>
      </c>
      <c r="M50" s="182"/>
      <c r="N50" s="182" t="s">
        <v>519</v>
      </c>
      <c r="O50" s="183">
        <f ca="1">IF(SUM(E$84:E$85)&gt;=1,0,1)</f>
        <v>1</v>
      </c>
      <c r="P50" s="183">
        <f ca="1">IF(SUM(E$84:E$85)&gt;=1,1,IF(SUM(G$84:G$85)&gt;=1,1,IF(SUM(F$84:F$85)&gt;=1,0,1)))</f>
        <v>1</v>
      </c>
      <c r="Q50" s="183">
        <f ca="1">IF(SUM(E$84:E$85)&gt;=1,1,IF(SUM(G$84:G$85)&gt;=1,0,1))</f>
        <v>1</v>
      </c>
      <c r="R50" s="183">
        <f ca="1">IF(SUM(E$84:E$85)&gt;=1,1,IF(SUM(G$84:G$85)&gt;=1,1,IF(SUM(F$84:F$85)&gt;=1,1,IF(SUM(H$84:H$85)&gt;=1,0,1))))</f>
        <v>1</v>
      </c>
      <c r="S50" s="68"/>
      <c r="U50" s="68"/>
      <c r="X50" s="68"/>
      <c r="AA50" s="68"/>
      <c r="AD50" s="68"/>
      <c r="AE50" s="257" t="s">
        <v>532</v>
      </c>
      <c r="AF50" s="206">
        <f>COUNTIF(TabTrans[Test],"="&amp;Value!$AE50&amp;".*")</f>
        <v>1</v>
      </c>
      <c r="AG50" s="22">
        <f>IF(COUNTIFS(TabSynthez[Test],"="&amp;$AE50&amp;".*",TabSynthez[Colonne1],"Validé")&gt;0,IF(COUNTIFS(TabSynthez[Test],"="&amp;$AE50&amp;".*",TabSynthez[Colonne1],"Validé")+COUNTIFS(TabSynthez[Test],"="&amp;$AE50&amp;".*",TabSynthez[Colonne1],"NA")=$AF50,1,0),0)</f>
        <v>0</v>
      </c>
    </row>
    <row r="51" spans="1:33" s="9" customFormat="1" x14ac:dyDescent="0.25">
      <c r="A51" s="68"/>
      <c r="B51" s="75" t="str">
        <f>Modèle!B53</f>
        <v>Images</v>
      </c>
      <c r="C51" s="82" t="str">
        <f>Modèle!D53</f>
        <v>1.8.2</v>
      </c>
      <c r="D51" s="83" t="str">
        <f>Modèle!E53</f>
        <v>AA</v>
      </c>
      <c r="E51" s="179">
        <f ca="1">COUNTIF(OFFSET(Synthèse!$G60,0,0,1,COUNTA(Synthèse!$10:$10)-6),"="&amp;$E$1)</f>
        <v>0</v>
      </c>
      <c r="F51" s="179">
        <f ca="1">COUNTIF(OFFSET(Synthèse!$G60,0,0,1,COUNTA(Synthèse!$10:$10)-6),"="&amp;$F$1)</f>
        <v>0</v>
      </c>
      <c r="G51" s="179">
        <f ca="1">COUNTIF(OFFSET(Synthèse!$G60,0,0,1,COUNTA(Synthèse!$10:$10)-6),"="&amp;$G$1)</f>
        <v>0</v>
      </c>
      <c r="H51" s="179">
        <f ca="1">COUNTIF(OFFSET(Synthèse!$G60,0,0,1,COUNTA(Synthèse!$10:$10)-6),"="&amp;$H$1)</f>
        <v>0</v>
      </c>
      <c r="I51" s="203">
        <f t="shared" ca="1" si="1"/>
        <v>0</v>
      </c>
      <c r="J51" s="68"/>
      <c r="K51" s="96" t="s">
        <v>826</v>
      </c>
      <c r="L51" s="182" t="s">
        <v>24</v>
      </c>
      <c r="M51" s="182"/>
      <c r="N51" s="182" t="s">
        <v>520</v>
      </c>
      <c r="O51" s="183">
        <f ca="1">IF(SUM(E$86:E$86)&gt;=1,0,1)</f>
        <v>1</v>
      </c>
      <c r="P51" s="183">
        <f ca="1">IF(SUM(E$86)&gt;=1,1,IF(SUM(G$86)&gt;=1,1,IF(SUM(F$86)&gt;=1,0,1)))</f>
        <v>1</v>
      </c>
      <c r="Q51" s="183">
        <f ca="1">IF(SUM(E$86)&gt;=1,1,IF(SUM(G$86)&gt;=1,0,1))</f>
        <v>1</v>
      </c>
      <c r="R51" s="183">
        <f ca="1">IF(SUM(E$86)&gt;=1,1,IF(SUM(G$86)&gt;=1,1,IF(SUM(F$86)&gt;=1,1,IF(SUM(H$86)&gt;=1,0,1))))</f>
        <v>1</v>
      </c>
      <c r="S51" s="68"/>
      <c r="U51" s="68"/>
      <c r="X51" s="68"/>
      <c r="AA51" s="68"/>
      <c r="AD51" s="68"/>
      <c r="AE51" s="257" t="s">
        <v>533</v>
      </c>
      <c r="AF51" s="206">
        <f>COUNTIF(TabTrans[Test],"="&amp;Value!$AE51&amp;".*")</f>
        <v>1</v>
      </c>
      <c r="AG51" s="22">
        <f>IF(COUNTIFS(TabSynthez[Test],"="&amp;$AE51&amp;".*",TabSynthez[Colonne1],"Validé")&gt;0,IF(COUNTIFS(TabSynthez[Test],"="&amp;$AE51&amp;".*",TabSynthez[Colonne1],"Validé")+COUNTIFS(TabSynthez[Test],"="&amp;$AE51&amp;".*",TabSynthez[Colonne1],"NA")=$AF51,1,0),0)</f>
        <v>0</v>
      </c>
    </row>
    <row r="52" spans="1:33" s="9" customFormat="1" x14ac:dyDescent="0.25">
      <c r="A52" s="68"/>
      <c r="B52" s="75" t="str">
        <f>Modèle!B54</f>
        <v>Images</v>
      </c>
      <c r="C52" s="82" t="str">
        <f>Modèle!D54</f>
        <v>1.8.3</v>
      </c>
      <c r="D52" s="83" t="str">
        <f>Modèle!E54</f>
        <v>AA</v>
      </c>
      <c r="E52" s="179">
        <f ca="1">COUNTIF(OFFSET(Synthèse!$G61,0,0,1,COUNTA(Synthèse!$10:$10)-6),"="&amp;$E$1)</f>
        <v>0</v>
      </c>
      <c r="F52" s="179">
        <f ca="1">COUNTIF(OFFSET(Synthèse!$G61,0,0,1,COUNTA(Synthèse!$10:$10)-6),"="&amp;$F$1)</f>
        <v>0</v>
      </c>
      <c r="G52" s="179">
        <f ca="1">COUNTIF(OFFSET(Synthèse!$G61,0,0,1,COUNTA(Synthèse!$10:$10)-6),"="&amp;$G$1)</f>
        <v>0</v>
      </c>
      <c r="H52" s="179">
        <f ca="1">COUNTIF(OFFSET(Synthèse!$G61,0,0,1,COUNTA(Synthèse!$10:$10)-6),"="&amp;$H$1)</f>
        <v>0</v>
      </c>
      <c r="I52" s="203">
        <f t="shared" ca="1" si="1"/>
        <v>0</v>
      </c>
      <c r="J52" s="68"/>
      <c r="K52" s="96" t="s">
        <v>745</v>
      </c>
      <c r="L52" s="182" t="s">
        <v>25</v>
      </c>
      <c r="M52" s="182"/>
      <c r="N52" s="182" t="s">
        <v>521</v>
      </c>
      <c r="O52" s="183">
        <f ca="1">IF(SUM(E$87:E$88)&gt;=1,0,1)</f>
        <v>1</v>
      </c>
      <c r="P52" s="183">
        <f ca="1">IF(SUM(E$87:E$88)&gt;=1,1,IF(SUM(G$87:G$88)&gt;=1,1,IF(SUM(F$87:F$88)&gt;=1,0,1)))</f>
        <v>1</v>
      </c>
      <c r="Q52" s="183">
        <f ca="1">IF(SUM(E$87:E$88)&gt;=1,1,IF(SUM(G$87:G$88)&gt;=1,0,1))</f>
        <v>1</v>
      </c>
      <c r="R52" s="183">
        <f ca="1">IF(SUM(E$87:E$88)&gt;=1,1,IF(SUM(G$87:G$88)&gt;=1,1,IF(SUM(F$87:F$88)&gt;=1,1,IF(SUM(H$87:H$88)&gt;=1,0,1))))</f>
        <v>1</v>
      </c>
      <c r="S52" s="68"/>
      <c r="U52" s="68"/>
      <c r="X52" s="68"/>
      <c r="AA52" s="68"/>
      <c r="AD52" s="68"/>
      <c r="AE52" s="257" t="s">
        <v>534</v>
      </c>
      <c r="AF52" s="206">
        <f>COUNTIF(TabTrans[Test],"="&amp;Value!$AE52&amp;".*")</f>
        <v>1</v>
      </c>
      <c r="AG52" s="22">
        <f>IF(COUNTIFS(TabSynthez[Test],"="&amp;$AE52&amp;".*",TabSynthez[Colonne1],"Validé")&gt;0,IF(COUNTIFS(TabSynthez[Test],"="&amp;$AE52&amp;".*",TabSynthez[Colonne1],"Validé")+COUNTIFS(TabSynthez[Test],"="&amp;$AE52&amp;".*",TabSynthez[Colonne1],"NA")=$AF52,1,0),0)</f>
        <v>0</v>
      </c>
    </row>
    <row r="53" spans="1:33" s="9" customFormat="1" x14ac:dyDescent="0.25">
      <c r="A53" s="68"/>
      <c r="B53" s="75" t="str">
        <f>Modèle!B55</f>
        <v>Images</v>
      </c>
      <c r="C53" s="82" t="str">
        <f>Modèle!D55</f>
        <v>1.8.4</v>
      </c>
      <c r="D53" s="83" t="str">
        <f>Modèle!E55</f>
        <v>AA</v>
      </c>
      <c r="E53" s="179">
        <f ca="1">COUNTIF(OFFSET(Synthèse!$G62,0,0,1,COUNTA(Synthèse!$10:$10)-6),"="&amp;$E$1)</f>
        <v>0</v>
      </c>
      <c r="F53" s="179">
        <f ca="1">COUNTIF(OFFSET(Synthèse!$G62,0,0,1,COUNTA(Synthèse!$10:$10)-6),"="&amp;$F$1)</f>
        <v>0</v>
      </c>
      <c r="G53" s="179">
        <f ca="1">COUNTIF(OFFSET(Synthèse!$G62,0,0,1,COUNTA(Synthèse!$10:$10)-6),"="&amp;$G$1)</f>
        <v>0</v>
      </c>
      <c r="H53" s="179">
        <f ca="1">COUNTIF(OFFSET(Synthèse!$G62,0,0,1,COUNTA(Synthèse!$10:$10)-6),"="&amp;$H$1)</f>
        <v>0</v>
      </c>
      <c r="I53" s="203">
        <f t="shared" ca="1" si="1"/>
        <v>0</v>
      </c>
      <c r="J53" s="68"/>
      <c r="K53" s="96" t="s">
        <v>746</v>
      </c>
      <c r="L53" s="182" t="s">
        <v>25</v>
      </c>
      <c r="M53" s="182"/>
      <c r="N53" s="182" t="s">
        <v>522</v>
      </c>
      <c r="O53" s="183">
        <f ca="1">IF(SUM(E$89:E$90)&gt;=1,0,1)</f>
        <v>1</v>
      </c>
      <c r="P53" s="183">
        <f ca="1">IF(SUM(E$89:E$90)&gt;=1,1,IF(SUM(G$89:G$90)&gt;=1,1,IF(SUM(F$89:F$90)&gt;=1,0,1)))</f>
        <v>1</v>
      </c>
      <c r="Q53" s="183">
        <f ca="1">IF(SUM(E$89:E$90)&gt;=1,1,IF(SUM(G$89:G$90)&gt;=1,0,1))</f>
        <v>1</v>
      </c>
      <c r="R53" s="183">
        <f ca="1">IF(SUM(E$89:E$90)&gt;=1,1,IF(SUM(G$89:G$90)&gt;=1,1,IF(SUM(F$89:F$90)&gt;=1,1,IF(SUM(H$89:H$90)&gt;=1,0,1))))</f>
        <v>1</v>
      </c>
      <c r="S53" s="68"/>
      <c r="U53" s="68"/>
      <c r="X53" s="68"/>
      <c r="AA53" s="68"/>
      <c r="AD53" s="68"/>
      <c r="AE53" s="257" t="s">
        <v>535</v>
      </c>
      <c r="AF53" s="206">
        <v>4</v>
      </c>
      <c r="AG53" s="22">
        <f>IF(COUNTIFS(TabSynthez[Test],"="&amp;$AE53&amp;".*",TabSynthez[Colonne1],"Validé")&gt;0,IF(COUNTIFS(TabSynthez[Test],"="&amp;$AE53&amp;".*",TabSynthez[Colonne1],"Validé")+COUNTIFS(TabSynthez[Test],"="&amp;$AE53&amp;".*",TabSynthez[Colonne1],"NA")=$AF53,1,0),0)</f>
        <v>0</v>
      </c>
    </row>
    <row r="54" spans="1:33" s="9" customFormat="1" x14ac:dyDescent="0.25">
      <c r="A54" s="68"/>
      <c r="B54" s="75" t="str">
        <f>Modèle!B56</f>
        <v>Images</v>
      </c>
      <c r="C54" s="82" t="str">
        <f>Modèle!D56</f>
        <v>1.8.5</v>
      </c>
      <c r="D54" s="83" t="str">
        <f>Modèle!E56</f>
        <v>AA</v>
      </c>
      <c r="E54" s="179">
        <f ca="1">COUNTIF(OFFSET(Synthèse!$G63,0,0,1,COUNTA(Synthèse!$10:$10)-6),"="&amp;$E$1)</f>
        <v>0</v>
      </c>
      <c r="F54" s="179">
        <f ca="1">COUNTIF(OFFSET(Synthèse!$G63,0,0,1,COUNTA(Synthèse!$10:$10)-6),"="&amp;$F$1)</f>
        <v>0</v>
      </c>
      <c r="G54" s="179">
        <f ca="1">COUNTIF(OFFSET(Synthèse!$G63,0,0,1,COUNTA(Synthèse!$10:$10)-6),"="&amp;$G$1)</f>
        <v>0</v>
      </c>
      <c r="H54" s="179">
        <f ca="1">COUNTIF(OFFSET(Synthèse!$G63,0,0,1,COUNTA(Synthèse!$10:$10)-6),"="&amp;$H$1)</f>
        <v>0</v>
      </c>
      <c r="I54" s="203">
        <f t="shared" ref="I54:I55" ca="1" si="14">SUM(E54:H54)</f>
        <v>0</v>
      </c>
      <c r="J54" s="68"/>
      <c r="K54" s="96"/>
      <c r="L54" s="182"/>
      <c r="M54" s="182"/>
      <c r="N54" s="182"/>
      <c r="O54" s="183"/>
      <c r="P54" s="183"/>
      <c r="Q54" s="183"/>
      <c r="R54" s="183"/>
      <c r="S54" s="68"/>
      <c r="U54" s="68"/>
      <c r="X54" s="68"/>
      <c r="AA54" s="68"/>
      <c r="AD54" s="68"/>
      <c r="AE54" s="257"/>
      <c r="AF54" s="206"/>
      <c r="AG54" s="22"/>
    </row>
    <row r="55" spans="1:33" s="9" customFormat="1" x14ac:dyDescent="0.25">
      <c r="A55" s="68"/>
      <c r="B55" s="75" t="str">
        <f>Modèle!B57</f>
        <v>Images</v>
      </c>
      <c r="C55" s="82" t="str">
        <f>Modèle!D57</f>
        <v>1.8.6</v>
      </c>
      <c r="D55" s="83" t="str">
        <f>Modèle!E57</f>
        <v>AA</v>
      </c>
      <c r="E55" s="179">
        <f ca="1">COUNTIF(OFFSET(Synthèse!$G64,0,0,1,COUNTA(Synthèse!$10:$10)-6),"="&amp;$E$1)</f>
        <v>0</v>
      </c>
      <c r="F55" s="179">
        <f ca="1">COUNTIF(OFFSET(Synthèse!$G64,0,0,1,COUNTA(Synthèse!$10:$10)-6),"="&amp;$F$1)</f>
        <v>0</v>
      </c>
      <c r="G55" s="179">
        <f ca="1">COUNTIF(OFFSET(Synthèse!$G64,0,0,1,COUNTA(Synthèse!$10:$10)-6),"="&amp;$G$1)</f>
        <v>0</v>
      </c>
      <c r="H55" s="179">
        <f ca="1">COUNTIF(OFFSET(Synthèse!$G64,0,0,1,COUNTA(Synthèse!$10:$10)-6),"="&amp;$H$1)</f>
        <v>0</v>
      </c>
      <c r="I55" s="203">
        <f t="shared" ca="1" si="14"/>
        <v>0</v>
      </c>
      <c r="J55" s="68"/>
      <c r="K55" s="96" t="s">
        <v>747</v>
      </c>
      <c r="L55" s="182" t="s">
        <v>24</v>
      </c>
      <c r="M55" s="182"/>
      <c r="N55" s="182" t="s">
        <v>523</v>
      </c>
      <c r="O55" s="183">
        <f ca="1">IF(SUM(E$91:E$91)&gt;=1,0,1)</f>
        <v>1</v>
      </c>
      <c r="P55" s="183">
        <f ca="1">IF(SUM(E$91)&gt;=1,1,IF(SUM(G$91)&gt;=1,1,IF(SUM(F$91)&gt;=1,0,1)))</f>
        <v>1</v>
      </c>
      <c r="Q55" s="183">
        <f ca="1">IF(SUM(E$91)&gt;=1,1,IF(SUM(G$91)&gt;=1,0,1))</f>
        <v>1</v>
      </c>
      <c r="R55" s="183">
        <f ca="1">IF(SUM(E$91)&gt;=1,1,IF(SUM(G$91)&gt;=1,1,IF(SUM(F$91)&gt;=1,1,IF(SUM(H$91)&gt;=1,0,1))))</f>
        <v>1</v>
      </c>
      <c r="S55" s="68"/>
      <c r="U55" s="68"/>
      <c r="X55" s="68"/>
      <c r="AA55" s="68"/>
      <c r="AD55" s="68"/>
      <c r="AE55" s="257" t="s">
        <v>536</v>
      </c>
      <c r="AF55" s="206">
        <f>COUNTIF(TabTrans[Test],"="&amp;Value!$AE55&amp;".*")</f>
        <v>5</v>
      </c>
      <c r="AG55" s="22">
        <f>IF(COUNTIFS(TabSynthez[Test],"="&amp;$AE55&amp;".*",TabSynthez[Colonne1],"Validé")&gt;0,IF(COUNTIFS(TabSynthez[Test],"="&amp;$AE55&amp;".*",TabSynthez[Colonne1],"Validé")+COUNTIFS(TabSynthez[Test],"="&amp;$AE55&amp;".*",TabSynthez[Colonne1],"NA")=$AF55,1,0),0)</f>
        <v>0</v>
      </c>
    </row>
    <row r="56" spans="1:33" s="9" customFormat="1" x14ac:dyDescent="0.25">
      <c r="A56" s="68"/>
      <c r="B56" s="74" t="str">
        <f>Modèle!B58</f>
        <v>Images</v>
      </c>
      <c r="C56" s="80" t="str">
        <f>Modèle!D58</f>
        <v>1.9.1</v>
      </c>
      <c r="D56" s="81" t="str">
        <f>Modèle!E58</f>
        <v>A</v>
      </c>
      <c r="E56" s="80">
        <f ca="1">COUNTIF(OFFSET(Synthèse!$G65,0,0,1,COUNTA(Synthèse!$10:$10)-6),"="&amp;$E$1)</f>
        <v>0</v>
      </c>
      <c r="F56" s="80">
        <f ca="1">COUNTIF(OFFSET(Synthèse!$G65,0,0,1,COUNTA(Synthèse!$10:$10)-6),"="&amp;$F$1)</f>
        <v>0</v>
      </c>
      <c r="G56" s="80">
        <f ca="1">COUNTIF(OFFSET(Synthèse!$G65,0,0,1,COUNTA(Synthèse!$10:$10)-6),"="&amp;$G$1)</f>
        <v>0</v>
      </c>
      <c r="H56" s="80">
        <f ca="1">COUNTIF(OFFSET(Synthèse!$G65,0,0,1,COUNTA(Synthèse!$10:$10)-6),"="&amp;$H$1)</f>
        <v>0</v>
      </c>
      <c r="I56" s="203">
        <f t="shared" ca="1" si="1"/>
        <v>0</v>
      </c>
      <c r="J56" s="68"/>
      <c r="K56" s="96" t="s">
        <v>748</v>
      </c>
      <c r="L56" s="182" t="s">
        <v>24</v>
      </c>
      <c r="M56" s="182"/>
      <c r="N56" s="182" t="s">
        <v>524</v>
      </c>
      <c r="O56" s="183">
        <f ca="1">IF(SUM(E$92:E$93)&gt;=1,0,1)</f>
        <v>1</v>
      </c>
      <c r="P56" s="183">
        <f ca="1">IF(SUM(E$92:E$93)&gt;=1,1,IF(SUM(G$92:G$93)&gt;=1,1,IF(SUM(F$92:F$93)&gt;=1,0,1)))</f>
        <v>1</v>
      </c>
      <c r="Q56" s="183">
        <f ca="1">IF(SUM(E$92:E$93)&gt;=1,1,IF(SUM(G$92:G$93)&gt;=1,0,1))</f>
        <v>1</v>
      </c>
      <c r="R56" s="183">
        <f ca="1">IF(SUM(E$92:E$93)&gt;=1,1,IF(SUM(G$92:G$93)&gt;=1,1,IF(SUM(F$92:F$93)&gt;=1,1,IF(SUM(H$92:H$93)&gt;=1,0,1))))</f>
        <v>1</v>
      </c>
      <c r="S56" s="68"/>
      <c r="U56" s="68"/>
      <c r="X56" s="68"/>
      <c r="AA56" s="68"/>
      <c r="AD56" s="68"/>
      <c r="AE56" s="257" t="s">
        <v>537</v>
      </c>
      <c r="AF56" s="206">
        <f>COUNTIF(TabTrans[Test],"="&amp;Value!$AE56&amp;".*")</f>
        <v>1</v>
      </c>
      <c r="AG56" s="22">
        <f>IF(COUNTIFS(TabSynthez[Test],"="&amp;$AE56&amp;".*",TabSynthez[Colonne1],"Validé")&gt;0,IF(COUNTIFS(TabSynthez[Test],"="&amp;$AE56&amp;".*",TabSynthez[Colonne1],"Validé")+COUNTIFS(TabSynthez[Test],"="&amp;$AE56&amp;".*",TabSynthez[Colonne1],"NA")=$AF56,1,0),0)</f>
        <v>0</v>
      </c>
    </row>
    <row r="57" spans="1:33" s="9" customFormat="1" x14ac:dyDescent="0.25">
      <c r="A57" s="68"/>
      <c r="B57" s="74" t="str">
        <f>Modèle!B59</f>
        <v>Images</v>
      </c>
      <c r="C57" s="80" t="str">
        <f>Modèle!D59</f>
        <v>1.9.2</v>
      </c>
      <c r="D57" s="81" t="str">
        <f>Modèle!E59</f>
        <v>A</v>
      </c>
      <c r="E57" s="80">
        <f ca="1">COUNTIF(OFFSET(Synthèse!$G66,0,0,1,COUNTA(Synthèse!$10:$10)-6),"="&amp;$E$1)</f>
        <v>0</v>
      </c>
      <c r="F57" s="80">
        <f ca="1">COUNTIF(OFFSET(Synthèse!$G66,0,0,1,COUNTA(Synthèse!$10:$10)-6),"="&amp;$F$1)</f>
        <v>0</v>
      </c>
      <c r="G57" s="80">
        <f ca="1">COUNTIF(OFFSET(Synthèse!$G66,0,0,1,COUNTA(Synthèse!$10:$10)-6),"="&amp;$G$1)</f>
        <v>0</v>
      </c>
      <c r="H57" s="80">
        <f ca="1">COUNTIF(OFFSET(Synthèse!$G66,0,0,1,COUNTA(Synthèse!$10:$10)-6),"="&amp;$H$1)</f>
        <v>0</v>
      </c>
      <c r="I57" s="203">
        <f t="shared" ca="1" si="1"/>
        <v>0</v>
      </c>
      <c r="J57" s="68"/>
      <c r="K57" s="96" t="s">
        <v>827</v>
      </c>
      <c r="L57" s="182" t="s">
        <v>24</v>
      </c>
      <c r="M57" s="182"/>
      <c r="N57" s="182" t="s">
        <v>525</v>
      </c>
      <c r="O57" s="183">
        <f ca="1">IF(SUM(E$94:E$94)&gt;=1,0,1)</f>
        <v>1</v>
      </c>
      <c r="P57" s="183">
        <f ca="1">IF(SUM(E$94)&gt;=1,1,IF(SUM(G$94)&gt;=1,1,IF(SUM(F$94)&gt;=1,0,1)))</f>
        <v>1</v>
      </c>
      <c r="Q57" s="183">
        <f ca="1">IF(SUM(E$94)&gt;=1,1,IF(SUM(G$94)&gt;=1,0,1))</f>
        <v>1</v>
      </c>
      <c r="R57" s="183">
        <f ca="1">IF(SUM(E$94)&gt;=1,1,IF(SUM(G$94)&gt;=1,1,IF(SUM(F$94)&gt;=1,1,IF(SUM(H$94)&gt;=1,0,1))))</f>
        <v>1</v>
      </c>
      <c r="S57" s="68"/>
      <c r="U57" s="68"/>
      <c r="X57" s="68"/>
      <c r="AA57" s="68"/>
      <c r="AD57" s="68"/>
      <c r="AE57" s="257" t="s">
        <v>538</v>
      </c>
      <c r="AF57" s="206">
        <f>COUNTIF(TabTrans[Test],"="&amp;Value!$AE57&amp;".*")</f>
        <v>5</v>
      </c>
      <c r="AG57" s="22">
        <f>IF(COUNTIFS(TabSynthez[Test],"="&amp;$AE57&amp;".*",TabSynthez[Colonne1],"Validé")&gt;0,IF(COUNTIFS(TabSynthez[Test],"="&amp;$AE57&amp;".*",TabSynthez[Colonne1],"Validé")+COUNTIFS(TabSynthez[Test],"="&amp;$AE57&amp;".*",TabSynthez[Colonne1],"NA")=$AF57,1,0),0)</f>
        <v>0</v>
      </c>
    </row>
    <row r="58" spans="1:33" s="9" customFormat="1" x14ac:dyDescent="0.25">
      <c r="A58" s="68"/>
      <c r="B58" s="74" t="str">
        <f>Modèle!B60</f>
        <v>Images</v>
      </c>
      <c r="C58" s="80" t="str">
        <f>Modèle!D60</f>
        <v>1.9.3</v>
      </c>
      <c r="D58" s="81" t="str">
        <f>Modèle!E60</f>
        <v>A</v>
      </c>
      <c r="E58" s="80">
        <f ca="1">COUNTIF(OFFSET(Synthèse!$G67,0,0,1,COUNTA(Synthèse!$10:$10)-6),"="&amp;$E$1)</f>
        <v>0</v>
      </c>
      <c r="F58" s="80">
        <f ca="1">COUNTIF(OFFSET(Synthèse!$G67,0,0,1,COUNTA(Synthèse!$10:$10)-6),"="&amp;$F$1)</f>
        <v>0</v>
      </c>
      <c r="G58" s="80">
        <f ca="1">COUNTIF(OFFSET(Synthèse!$G67,0,0,1,COUNTA(Synthèse!$10:$10)-6),"="&amp;$G$1)</f>
        <v>0</v>
      </c>
      <c r="H58" s="80">
        <f ca="1">COUNTIF(OFFSET(Synthèse!$G67,0,0,1,COUNTA(Synthèse!$10:$10)-6),"="&amp;$H$1)</f>
        <v>0</v>
      </c>
      <c r="I58" s="203">
        <f t="shared" ca="1" si="1"/>
        <v>0</v>
      </c>
      <c r="J58" s="68"/>
      <c r="K58" s="96" t="s">
        <v>828</v>
      </c>
      <c r="L58" s="182" t="s">
        <v>24</v>
      </c>
      <c r="M58" s="182"/>
      <c r="N58" s="182" t="s">
        <v>526</v>
      </c>
      <c r="O58" s="183">
        <f ca="1">IF(SUM(E$95:E$95)&gt;=1,0,1)</f>
        <v>1</v>
      </c>
      <c r="P58" s="183">
        <f ca="1">IF(SUM(E$95)&gt;=1,1,IF(SUM(G$95)&gt;=1,1,IF(SUM(F$95)&gt;=1,0,1)))</f>
        <v>1</v>
      </c>
      <c r="Q58" s="183">
        <f ca="1">IF(SUM(E$95)&gt;=1,1,IF(SUM(G$95)&gt;=1,0,1))</f>
        <v>1</v>
      </c>
      <c r="R58" s="183">
        <f ca="1">IF(SUM(E$95)&gt;=1,1,IF(SUM(G$95)&gt;=1,1,IF(SUM(F$95)&gt;=1,1,IF(SUM(H$95)&gt;=1,0,1))))</f>
        <v>1</v>
      </c>
      <c r="S58" s="68"/>
      <c r="U58" s="68"/>
      <c r="X58" s="68"/>
      <c r="AA58" s="68"/>
      <c r="AD58" s="68"/>
      <c r="AE58" s="257" t="s">
        <v>539</v>
      </c>
      <c r="AF58" s="206">
        <f>COUNTIF(TabTrans[Test],"="&amp;Value!$AE58&amp;".*")</f>
        <v>1</v>
      </c>
      <c r="AG58" s="22">
        <f>IF(COUNTIFS(TabSynthez[Test],"="&amp;$AE58&amp;".*",TabSynthez[Colonne1],"Validé")&gt;0,IF(COUNTIFS(TabSynthez[Test],"="&amp;$AE58&amp;".*",TabSynthez[Colonne1],"Validé")+COUNTIFS(TabSynthez[Test],"="&amp;$AE58&amp;".*",TabSynthez[Colonne1],"NA")=$AF58,1,0),0)</f>
        <v>0</v>
      </c>
    </row>
    <row r="59" spans="1:33" s="9" customFormat="1" x14ac:dyDescent="0.25">
      <c r="A59" s="68"/>
      <c r="B59" s="74" t="str">
        <f>Modèle!B61</f>
        <v>Images</v>
      </c>
      <c r="C59" s="80" t="str">
        <f>Modèle!D61</f>
        <v>1.9.4</v>
      </c>
      <c r="D59" s="81" t="str">
        <f>Modèle!E61</f>
        <v>A</v>
      </c>
      <c r="E59" s="80">
        <f ca="1">COUNTIF(OFFSET(Synthèse!$G68,0,0,1,COUNTA(Synthèse!$10:$10)-6),"="&amp;$E$1)</f>
        <v>0</v>
      </c>
      <c r="F59" s="80">
        <f ca="1">COUNTIF(OFFSET(Synthèse!$G68,0,0,1,COUNTA(Synthèse!$10:$10)-6),"="&amp;$F$1)</f>
        <v>0</v>
      </c>
      <c r="G59" s="80">
        <f ca="1">COUNTIF(OFFSET(Synthèse!$G68,0,0,1,COUNTA(Synthèse!$10:$10)-6),"="&amp;$G$1)</f>
        <v>0</v>
      </c>
      <c r="H59" s="80">
        <f ca="1">COUNTIF(OFFSET(Synthèse!$G68,0,0,1,COUNTA(Synthèse!$10:$10)-6),"="&amp;$H$1)</f>
        <v>0</v>
      </c>
      <c r="I59" s="203">
        <f t="shared" ca="1" si="1"/>
        <v>0</v>
      </c>
      <c r="J59" s="68"/>
      <c r="K59" s="96" t="s">
        <v>749</v>
      </c>
      <c r="L59" s="182" t="s">
        <v>24</v>
      </c>
      <c r="M59" s="182"/>
      <c r="N59" s="182" t="s">
        <v>527</v>
      </c>
      <c r="O59" s="183">
        <f ca="1">IF(SUM(E$96:E$98)&gt;=1,0,1)</f>
        <v>1</v>
      </c>
      <c r="P59" s="183">
        <f ca="1">IF(SUM(E$96:E$98)&gt;=1,1,IF(SUM(G$96:G$98)&gt;=1,1,IF(SUM(F$96:F$98)&gt;=1,0,1)))</f>
        <v>1</v>
      </c>
      <c r="Q59" s="183">
        <f ca="1">IF(SUM(E$96:E$98)&gt;=1,1,IF(SUM(G$96:G$98)&gt;=1,0,1))</f>
        <v>1</v>
      </c>
      <c r="R59" s="183">
        <f ca="1">IF(SUM(E$96:E$98)&gt;=1,1,IF(SUM(G$96:G$98)&gt;=1,1,IF(SUM(F$96:F$98)&gt;=1,1,IF(SUM(H$96:H$98)&gt;=1,0,1))))</f>
        <v>1</v>
      </c>
      <c r="S59" s="68"/>
      <c r="U59" s="68"/>
      <c r="X59" s="68"/>
      <c r="AA59" s="68"/>
      <c r="AD59" s="68"/>
      <c r="AE59" s="257" t="s">
        <v>540</v>
      </c>
      <c r="AF59" s="206">
        <f>COUNTIF(TabTrans[Test],"="&amp;Value!$AE59&amp;".*")</f>
        <v>3</v>
      </c>
      <c r="AG59" s="22">
        <f>IF(COUNTIFS(TabSynthez[Test],"="&amp;$AE59&amp;".*",TabSynthez[Colonne1],"Validé")&gt;0,IF(COUNTIFS(TabSynthez[Test],"="&amp;$AE59&amp;".*",TabSynthez[Colonne1],"Validé")+COUNTIFS(TabSynthez[Test],"="&amp;$AE59&amp;".*",TabSynthez[Colonne1],"NA")=$AF59,1,0),0)</f>
        <v>0</v>
      </c>
    </row>
    <row r="60" spans="1:33" s="9" customFormat="1" x14ac:dyDescent="0.25">
      <c r="A60" s="68"/>
      <c r="B60" s="74" t="str">
        <f>Modèle!B62</f>
        <v>Images</v>
      </c>
      <c r="C60" s="80" t="str">
        <f>Modèle!D62</f>
        <v>1.9.5</v>
      </c>
      <c r="D60" s="81" t="str">
        <f>Modèle!E62</f>
        <v>A</v>
      </c>
      <c r="E60" s="80">
        <f ca="1">COUNTIF(OFFSET(Synthèse!$G69,0,0,1,COUNTA(Synthèse!$10:$10)-6),"="&amp;$E$1)</f>
        <v>0</v>
      </c>
      <c r="F60" s="80">
        <f ca="1">COUNTIF(OFFSET(Synthèse!$G69,0,0,1,COUNTA(Synthèse!$10:$10)-6),"="&amp;$F$1)</f>
        <v>0</v>
      </c>
      <c r="G60" s="80">
        <f ca="1">COUNTIF(OFFSET(Synthèse!$G69,0,0,1,COUNTA(Synthèse!$10:$10)-6),"="&amp;$G$1)</f>
        <v>0</v>
      </c>
      <c r="H60" s="80">
        <f ca="1">COUNTIF(OFFSET(Synthèse!$G69,0,0,1,COUNTA(Synthèse!$10:$10)-6),"="&amp;$H$1)</f>
        <v>0</v>
      </c>
      <c r="I60" s="203">
        <f t="shared" ca="1" si="1"/>
        <v>0</v>
      </c>
      <c r="J60" s="68"/>
      <c r="K60" s="96" t="s">
        <v>750</v>
      </c>
      <c r="L60" s="182" t="s">
        <v>24</v>
      </c>
      <c r="M60" s="182"/>
      <c r="N60" s="182" t="s">
        <v>528</v>
      </c>
      <c r="O60" s="183">
        <f ca="1">IF(SUM(E$99:E$100)&gt;=1,0,1)</f>
        <v>1</v>
      </c>
      <c r="P60" s="183">
        <f ca="1">IF(SUM(E$99:E$100)&gt;=1,1,IF(SUM(G$99:G$100)&gt;=1,1,IF(SUM(F$99:F$100)&gt;=1,0,1)))</f>
        <v>1</v>
      </c>
      <c r="Q60" s="183">
        <f ca="1">IF(SUM(E$99:E$100)&gt;=1,1,IF(SUM(G$99:G$100)&gt;=1,0,1))</f>
        <v>1</v>
      </c>
      <c r="R60" s="183">
        <f ca="1">IF(SUM(E$99:E$100)&gt;=1,1,IF(SUM(G$99:G$100)&gt;=1,1,IF(SUM(F$99:F$100)&gt;=1,1,IF(SUM(H$99:H$100)&gt;=1,0,1))))</f>
        <v>1</v>
      </c>
      <c r="S60" s="68"/>
      <c r="U60" s="68"/>
      <c r="X60" s="68"/>
      <c r="AA60" s="68"/>
      <c r="AD60" s="68"/>
      <c r="AE60" s="257" t="s">
        <v>541</v>
      </c>
      <c r="AF60" s="206">
        <f>COUNTIF(TabTrans[Test],"="&amp;Value!$AE60&amp;".*")</f>
        <v>2</v>
      </c>
      <c r="AG60" s="22">
        <f>IF(COUNTIFS(TabSynthez[Test],"="&amp;$AE60&amp;".*",TabSynthez[Colonne1],"Validé")&gt;0,IF(COUNTIFS(TabSynthez[Test],"="&amp;$AE60&amp;".*",TabSynthez[Colonne1],"Validé")+COUNTIFS(TabSynthez[Test],"="&amp;$AE60&amp;".*",TabSynthez[Colonne1],"NA")=$AF60,1,0),0)</f>
        <v>0</v>
      </c>
    </row>
    <row r="61" spans="1:33" s="9" customFormat="1" x14ac:dyDescent="0.25">
      <c r="A61" s="68"/>
      <c r="B61" s="75" t="str">
        <f>Modèle!B63</f>
        <v>Cadres</v>
      </c>
      <c r="C61" s="82" t="str">
        <f>Modèle!D63</f>
        <v>2.1.1</v>
      </c>
      <c r="D61" s="83" t="str">
        <f>Modèle!E63</f>
        <v>A</v>
      </c>
      <c r="E61" s="179">
        <f ca="1">COUNTIF(OFFSET(Synthèse!$G70,0,0,1,COUNTA(Synthèse!$10:$10)-6),"="&amp;$E$1)</f>
        <v>0</v>
      </c>
      <c r="F61" s="179">
        <f ca="1">COUNTIF(OFFSET(Synthèse!$G70,0,0,1,COUNTA(Synthèse!$10:$10)-6),"="&amp;$F$1)</f>
        <v>0</v>
      </c>
      <c r="G61" s="179">
        <f ca="1">COUNTIF(OFFSET(Synthèse!$G70,0,0,1,COUNTA(Synthèse!$10:$10)-6),"="&amp;$G$1)</f>
        <v>0</v>
      </c>
      <c r="H61" s="179">
        <f ca="1">COUNTIF(OFFSET(Synthèse!$G70,0,0,1,COUNTA(Synthèse!$10:$10)-6),"="&amp;$H$1)</f>
        <v>0</v>
      </c>
      <c r="I61" s="203">
        <f t="shared" ca="1" si="1"/>
        <v>0</v>
      </c>
      <c r="J61" s="68"/>
      <c r="K61" s="96" t="s">
        <v>623</v>
      </c>
      <c r="L61" s="182" t="s">
        <v>24</v>
      </c>
      <c r="M61" s="182"/>
      <c r="N61" s="182" t="s">
        <v>529</v>
      </c>
      <c r="O61" s="183">
        <f ca="1">IF(SUM(E$101:E$102)&gt;=1,0,1)</f>
        <v>1</v>
      </c>
      <c r="P61" s="183">
        <f ca="1">IF(SUM(E$101:E$102)&gt;=1,1,IF(SUM(G$101:G$102)&gt;=1,1,IF(SUM(F$101:F$102)&gt;=1,0,1)))</f>
        <v>1</v>
      </c>
      <c r="Q61" s="183">
        <f ca="1">IF(SUM(E$101:E$102)&gt;=1,1,IF(SUM(G$101:G$102)&gt;=1,0,1))</f>
        <v>1</v>
      </c>
      <c r="R61" s="183">
        <f ca="1">IF(SUM(E$101:E$102)&gt;=1,1,IF(SUM(G$101:G$102)&gt;=1,1,IF(SUM(F$101:F$102)&gt;=1,1,IF(SUM(H$101:H$102)&gt;=1,0,1))))</f>
        <v>1</v>
      </c>
      <c r="S61" s="68"/>
      <c r="U61" s="68"/>
      <c r="X61" s="68"/>
      <c r="AA61" s="68"/>
      <c r="AD61" s="68"/>
      <c r="AE61" s="257" t="s">
        <v>542</v>
      </c>
      <c r="AF61" s="206">
        <f>COUNTIF(TabTrans[Test],"="&amp;Value!$AE61&amp;".*")</f>
        <v>2</v>
      </c>
      <c r="AG61" s="22">
        <f>IF(COUNTIFS(TabSynthez[Test],"="&amp;$AE61&amp;".*",TabSynthez[Colonne1],"Validé")&gt;0,IF(COUNTIFS(TabSynthez[Test],"="&amp;$AE61&amp;".*",TabSynthez[Colonne1],"Validé")+COUNTIFS(TabSynthez[Test],"="&amp;$AE61&amp;".*",TabSynthez[Colonne1],"NA")=$AF61,1,0),0)</f>
        <v>0</v>
      </c>
    </row>
    <row r="62" spans="1:33" s="9" customFormat="1" x14ac:dyDescent="0.25">
      <c r="A62" s="68"/>
      <c r="B62" s="74" t="str">
        <f>Modèle!B64</f>
        <v>Cadres</v>
      </c>
      <c r="C62" s="80" t="str">
        <f>Modèle!D64</f>
        <v>2.2.1</v>
      </c>
      <c r="D62" s="81" t="str">
        <f>Modèle!E64</f>
        <v>A</v>
      </c>
      <c r="E62" s="80">
        <f ca="1">COUNTIF(OFFSET(Synthèse!$G71,0,0,1,COUNTA(Synthèse!$10:$10)-6),"="&amp;$E$1)</f>
        <v>0</v>
      </c>
      <c r="F62" s="80">
        <f ca="1">COUNTIF(OFFSET(Synthèse!$G71,0,0,1,COUNTA(Synthèse!$10:$10)-6),"="&amp;$F$1)</f>
        <v>0</v>
      </c>
      <c r="G62" s="80">
        <f ca="1">COUNTIF(OFFSET(Synthèse!$G71,0,0,1,COUNTA(Synthèse!$10:$10)-6),"="&amp;$G$1)</f>
        <v>0</v>
      </c>
      <c r="H62" s="80">
        <f ca="1">COUNTIF(OFFSET(Synthèse!$G71,0,0,1,COUNTA(Synthèse!$10:$10)-6),"="&amp;$H$1)</f>
        <v>0</v>
      </c>
      <c r="I62" s="203">
        <f t="shared" ca="1" si="1"/>
        <v>0</v>
      </c>
      <c r="J62" s="68"/>
      <c r="K62" s="96" t="s">
        <v>829</v>
      </c>
      <c r="L62" s="180" t="s">
        <v>24</v>
      </c>
      <c r="M62" s="180"/>
      <c r="N62" s="180" t="s">
        <v>530</v>
      </c>
      <c r="O62" s="181">
        <f ca="1">IF(SUM(E$103:E$103)&gt;=1,0,1)</f>
        <v>1</v>
      </c>
      <c r="P62" s="181">
        <f ca="1">IF(SUM(E$103)&gt;=1,1,IF(SUM(G$103)&gt;=1,1,IF(SUM(F$103)&gt;=1,0,1)))</f>
        <v>1</v>
      </c>
      <c r="Q62" s="181">
        <f ca="1">IF(SUM(E$103)&gt;=1,1,IF(SUM(G$103)&gt;=1,0,1))</f>
        <v>1</v>
      </c>
      <c r="R62" s="181">
        <f ca="1">IF(SUM(E$103)&gt;=1,1,IF(SUM(G$103)&gt;=1,1,IF(SUM(F$103)&gt;=1,1,IF(SUM(H$103)&gt;=1,0,1))))</f>
        <v>1</v>
      </c>
      <c r="S62" s="68"/>
      <c r="U62" s="68"/>
      <c r="X62" s="68"/>
      <c r="AA62" s="68"/>
      <c r="AD62" s="68"/>
      <c r="AE62" s="257" t="s">
        <v>543</v>
      </c>
      <c r="AF62" s="206">
        <f>COUNTIF(TabTrans[Test],"="&amp;Value!$AE62&amp;".*")</f>
        <v>1</v>
      </c>
      <c r="AG62" s="22">
        <f>IF(COUNTIFS(TabSynthez[Test],"="&amp;$AE62&amp;".*",TabSynthez[Colonne1],"Validé")&gt;0,IF(COUNTIFS(TabSynthez[Test],"="&amp;$AE62&amp;".*",TabSynthez[Colonne1],"Validé")+COUNTIFS(TabSynthez[Test],"="&amp;$AE62&amp;".*",TabSynthez[Colonne1],"NA")=$AF62,1,0),0)</f>
        <v>0</v>
      </c>
    </row>
    <row r="63" spans="1:33" s="9" customFormat="1" x14ac:dyDescent="0.25">
      <c r="A63" s="68"/>
      <c r="B63" s="75" t="str">
        <f>Modèle!B65</f>
        <v>Couleurs</v>
      </c>
      <c r="C63" s="82" t="str">
        <f>Modèle!D65</f>
        <v>3.1.1</v>
      </c>
      <c r="D63" s="83" t="str">
        <f>Modèle!E65</f>
        <v>A</v>
      </c>
      <c r="E63" s="179">
        <f ca="1">COUNTIF(OFFSET(Synthèse!$G72,0,0,1,COUNTA(Synthèse!$10:$10)-6),"="&amp;$E$1)</f>
        <v>0</v>
      </c>
      <c r="F63" s="179">
        <f ca="1">COUNTIF(OFFSET(Synthèse!$G72,0,0,1,COUNTA(Synthèse!$10:$10)-6),"="&amp;$F$1)</f>
        <v>0</v>
      </c>
      <c r="G63" s="179">
        <f ca="1">COUNTIF(OFFSET(Synthèse!$G72,0,0,1,COUNTA(Synthèse!$10:$10)-6),"="&amp;$G$1)</f>
        <v>0</v>
      </c>
      <c r="H63" s="179">
        <f ca="1">COUNTIF(OFFSET(Synthèse!$G72,0,0,1,COUNTA(Synthèse!$10:$10)-6),"="&amp;$H$1)</f>
        <v>0</v>
      </c>
      <c r="I63" s="203">
        <f t="shared" ca="1" si="1"/>
        <v>0</v>
      </c>
      <c r="J63" s="68"/>
      <c r="K63" s="96" t="s">
        <v>830</v>
      </c>
      <c r="L63" s="180" t="s">
        <v>24</v>
      </c>
      <c r="M63" s="180"/>
      <c r="N63" s="180" t="s">
        <v>531</v>
      </c>
      <c r="O63" s="181">
        <f ca="1">IF(SUM(E$104:E$104)&gt;=1,0,1)</f>
        <v>1</v>
      </c>
      <c r="P63" s="181">
        <f ca="1">IF(SUM(E$104)&gt;=1,1,IF(SUM(G$104)&gt;=1,1,IF(SUM(F$104)&gt;=1,0,1)))</f>
        <v>1</v>
      </c>
      <c r="Q63" s="181">
        <f ca="1">IF(SUM(E$104)&gt;=1,1,IF(SUM(G$104)&gt;=1,0,1))</f>
        <v>1</v>
      </c>
      <c r="R63" s="181">
        <f ca="1">IF(SUM(E$104)&gt;=1,1,IF(SUM(G$104)&gt;=1,1,IF(SUM(F$104)&gt;=1,1,IF(SUM(H$104)&gt;=1,0,1))))</f>
        <v>1</v>
      </c>
      <c r="S63" s="68"/>
      <c r="U63" s="68"/>
      <c r="X63" s="68"/>
      <c r="AA63" s="68"/>
      <c r="AD63" s="68"/>
      <c r="AE63" s="257" t="s">
        <v>544</v>
      </c>
      <c r="AF63" s="206">
        <f>COUNTIF(TabTrans[Test],"="&amp;Value!$AE63&amp;".*")</f>
        <v>3</v>
      </c>
      <c r="AG63" s="22">
        <f>IF(COUNTIFS(TabSynthez[Test],"="&amp;$AE63&amp;".*",TabSynthez[Colonne1],"Validé")&gt;0,IF(COUNTIFS(TabSynthez[Test],"="&amp;$AE63&amp;".*",TabSynthez[Colonne1],"Validé")+COUNTIFS(TabSynthez[Test],"="&amp;$AE63&amp;".*",TabSynthez[Colonne1],"NA")=$AF63,1,0),0)</f>
        <v>0</v>
      </c>
    </row>
    <row r="64" spans="1:33" s="9" customFormat="1" x14ac:dyDescent="0.25">
      <c r="A64" s="68"/>
      <c r="B64" s="75" t="str">
        <f>Modèle!B66</f>
        <v>Couleurs</v>
      </c>
      <c r="C64" s="82" t="str">
        <f>Modèle!D66</f>
        <v>3.1.2</v>
      </c>
      <c r="D64" s="83" t="str">
        <f>Modèle!E66</f>
        <v>A</v>
      </c>
      <c r="E64" s="179">
        <f ca="1">COUNTIF(OFFSET(Synthèse!$G73,0,0,1,COUNTA(Synthèse!$10:$10)-6),"="&amp;$E$1)</f>
        <v>0</v>
      </c>
      <c r="F64" s="179">
        <f ca="1">COUNTIF(OFFSET(Synthèse!$G73,0,0,1,COUNTA(Synthèse!$10:$10)-6),"="&amp;$F$1)</f>
        <v>0</v>
      </c>
      <c r="G64" s="179">
        <f ca="1">COUNTIF(OFFSET(Synthèse!$G73,0,0,1,COUNTA(Synthèse!$10:$10)-6),"="&amp;$G$1)</f>
        <v>0</v>
      </c>
      <c r="H64" s="179">
        <f ca="1">COUNTIF(OFFSET(Synthèse!$G73,0,0,1,COUNTA(Synthèse!$10:$10)-6),"="&amp;$H$1)</f>
        <v>0</v>
      </c>
      <c r="I64" s="203">
        <f t="shared" ca="1" si="1"/>
        <v>0</v>
      </c>
      <c r="J64" s="68"/>
      <c r="K64" s="96" t="s">
        <v>831</v>
      </c>
      <c r="L64" s="180" t="s">
        <v>24</v>
      </c>
      <c r="M64" s="180"/>
      <c r="N64" s="180" t="s">
        <v>532</v>
      </c>
      <c r="O64" s="181">
        <f ca="1">IF(SUM(E$105:E$105)&gt;=1,0,1)</f>
        <v>1</v>
      </c>
      <c r="P64" s="181">
        <f ca="1">IF(SUM(E$105)&gt;=1,1,IF(SUM(G$105)&gt;=1,1,IF(SUM(F$105)&gt;=1,0,1)))</f>
        <v>1</v>
      </c>
      <c r="Q64" s="181">
        <f ca="1">IF(SUM(E$105)&gt;=1,1,IF(SUM(G$105)&gt;=1,0,1))</f>
        <v>1</v>
      </c>
      <c r="R64" s="181">
        <f ca="1">IF(SUM(E$105)&gt;=1,1,IF(SUM(G$105)&gt;=1,1,IF(SUM(F$105)&gt;=1,1,IF(SUM(H$105)&gt;=1,0,1))))</f>
        <v>1</v>
      </c>
      <c r="S64" s="68"/>
      <c r="U64" s="68"/>
      <c r="X64" s="68"/>
      <c r="AA64" s="68"/>
      <c r="AD64" s="68"/>
      <c r="AE64" s="257" t="s">
        <v>545</v>
      </c>
      <c r="AF64" s="206">
        <f>COUNTIF(TabTrans[Test],"="&amp;Value!$AE64&amp;".*")</f>
        <v>3</v>
      </c>
      <c r="AG64" s="22">
        <f>IF(COUNTIFS(TabSynthez[Test],"="&amp;$AE64&amp;".*",TabSynthez[Colonne1],"Validé")&gt;0,IF(COUNTIFS(TabSynthez[Test],"="&amp;$AE64&amp;".*",TabSynthez[Colonne1],"Validé")+COUNTIFS(TabSynthez[Test],"="&amp;$AE64&amp;".*",TabSynthez[Colonne1],"NA")=$AF64,1,0),0)</f>
        <v>0</v>
      </c>
    </row>
    <row r="65" spans="1:33" s="9" customFormat="1" x14ac:dyDescent="0.25">
      <c r="A65" s="68"/>
      <c r="B65" s="75" t="str">
        <f>Modèle!B67</f>
        <v>Couleurs</v>
      </c>
      <c r="C65" s="82" t="str">
        <f>Modèle!D67</f>
        <v>3.1.3</v>
      </c>
      <c r="D65" s="83" t="str">
        <f>Modèle!E67</f>
        <v>A</v>
      </c>
      <c r="E65" s="179">
        <f ca="1">COUNTIF(OFFSET(Synthèse!$G74,0,0,1,COUNTA(Synthèse!$10:$10)-6),"="&amp;$E$1)</f>
        <v>0</v>
      </c>
      <c r="F65" s="179">
        <f ca="1">COUNTIF(OFFSET(Synthèse!$G74,0,0,1,COUNTA(Synthèse!$10:$10)-6),"="&amp;$F$1)</f>
        <v>0</v>
      </c>
      <c r="G65" s="179">
        <f ca="1">COUNTIF(OFFSET(Synthèse!$G74,0,0,1,COUNTA(Synthèse!$10:$10)-6),"="&amp;$G$1)</f>
        <v>0</v>
      </c>
      <c r="H65" s="179">
        <f ca="1">COUNTIF(OFFSET(Synthèse!$G74,0,0,1,COUNTA(Synthèse!$10:$10)-6),"="&amp;$H$1)</f>
        <v>0</v>
      </c>
      <c r="I65" s="203">
        <f t="shared" ca="1" si="1"/>
        <v>0</v>
      </c>
      <c r="J65" s="68"/>
      <c r="K65" s="96" t="s">
        <v>751</v>
      </c>
      <c r="L65" s="180" t="s">
        <v>24</v>
      </c>
      <c r="M65" s="180"/>
      <c r="N65" s="180" t="s">
        <v>533</v>
      </c>
      <c r="O65" s="181">
        <f ca="1">IF(SUM(E$106:E$106)&gt;=1,0,1)</f>
        <v>1</v>
      </c>
      <c r="P65" s="181">
        <f ca="1">IF(SUM(E$106)&gt;=1,1,IF(SUM(G$106)&gt;=1,1,IF(SUM(F$106)&gt;=1,0,1)))</f>
        <v>1</v>
      </c>
      <c r="Q65" s="181">
        <f ca="1">IF(SUM(E$106)&gt;=1,1,IF(SUM(G$106)&gt;=1,0,1))</f>
        <v>1</v>
      </c>
      <c r="R65" s="181">
        <f ca="1">IF(SUM(E$106)&gt;=1,1,IF(SUM(G$106)&gt;=1,1,IF(SUM(F$106)&gt;=1,1,IF(SUM(H$106)&gt;=1,0,1))))</f>
        <v>1</v>
      </c>
      <c r="S65" s="68"/>
      <c r="U65" s="68"/>
      <c r="X65" s="68"/>
      <c r="AA65" s="68"/>
      <c r="AD65" s="68"/>
      <c r="AE65" s="257" t="s">
        <v>546</v>
      </c>
      <c r="AF65" s="206">
        <f>COUNTIF(TabTrans[Test],"="&amp;Value!$AE65&amp;".*")</f>
        <v>1</v>
      </c>
      <c r="AG65" s="22">
        <f>IF(COUNTIFS(TabSynthez[Test],"="&amp;$AE65&amp;".*",TabSynthez[Colonne1],"Validé")&gt;0,IF(COUNTIFS(TabSynthez[Test],"="&amp;$AE65&amp;".*",TabSynthez[Colonne1],"Validé")+COUNTIFS(TabSynthez[Test],"="&amp;$AE65&amp;".*",TabSynthez[Colonne1],"NA")=$AF65,1,0),0)</f>
        <v>0</v>
      </c>
    </row>
    <row r="66" spans="1:33" s="9" customFormat="1" x14ac:dyDescent="0.25">
      <c r="A66" s="68"/>
      <c r="B66" s="75" t="str">
        <f>Modèle!B68</f>
        <v>Couleurs</v>
      </c>
      <c r="C66" s="82" t="str">
        <f>Modèle!D68</f>
        <v>3.1.4</v>
      </c>
      <c r="D66" s="83" t="str">
        <f>Modèle!E68</f>
        <v>A</v>
      </c>
      <c r="E66" s="179">
        <f ca="1">COUNTIF(OFFSET(Synthèse!$G75,0,0,1,COUNTA(Synthèse!$10:$10)-6),"="&amp;$E$1)</f>
        <v>0</v>
      </c>
      <c r="F66" s="179">
        <f ca="1">COUNTIF(OFFSET(Synthèse!$G75,0,0,1,COUNTA(Synthèse!$10:$10)-6),"="&amp;$F$1)</f>
        <v>0</v>
      </c>
      <c r="G66" s="179">
        <f ca="1">COUNTIF(OFFSET(Synthèse!$G75,0,0,1,COUNTA(Synthèse!$10:$10)-6),"="&amp;$G$1)</f>
        <v>0</v>
      </c>
      <c r="H66" s="179">
        <f ca="1">COUNTIF(OFFSET(Synthèse!$G75,0,0,1,COUNTA(Synthèse!$10:$10)-6),"="&amp;$H$1)</f>
        <v>0</v>
      </c>
      <c r="I66" s="203">
        <f t="shared" ca="1" si="1"/>
        <v>0</v>
      </c>
      <c r="J66" s="68"/>
      <c r="K66" s="96" t="s">
        <v>752</v>
      </c>
      <c r="L66" s="180" t="s">
        <v>24</v>
      </c>
      <c r="M66" s="180"/>
      <c r="N66" s="180" t="s">
        <v>534</v>
      </c>
      <c r="O66" s="181">
        <f ca="1">IF(SUM(E$107:E$107)&gt;=1,0,1)</f>
        <v>1</v>
      </c>
      <c r="P66" s="181">
        <f ca="1">IF(SUM(E$107)&gt;=1,1,IF(SUM(G$107)&gt;=1,1,IF(SUM(F$107)&gt;=1,0,1)))</f>
        <v>1</v>
      </c>
      <c r="Q66" s="181">
        <f ca="1">IF(SUM(E$107)&gt;=1,1,IF(SUM(G$107)&gt;=1,0,1))</f>
        <v>1</v>
      </c>
      <c r="R66" s="181">
        <f ca="1">IF(SUM(E$107)&gt;=1,1,IF(SUM(G$107)&gt;=1,1,IF(SUM(F$107)&gt;=1,1,IF(SUM(H$107)&gt;=1,0,1))))</f>
        <v>1</v>
      </c>
      <c r="S66" s="68"/>
      <c r="U66" s="68"/>
      <c r="X66" s="68"/>
      <c r="AA66" s="68"/>
      <c r="AD66" s="68"/>
      <c r="AE66" s="257" t="s">
        <v>547</v>
      </c>
      <c r="AF66" s="206">
        <f>COUNTIF(TabTrans[Test],"="&amp;Value!$AE66&amp;".*")</f>
        <v>1</v>
      </c>
      <c r="AG66" s="22">
        <f>IF(COUNTIFS(TabSynthez[Test],"="&amp;$AE66&amp;".*",TabSynthez[Colonne1],"Validé")&gt;0,IF(COUNTIFS(TabSynthez[Test],"="&amp;$AE66&amp;".*",TabSynthez[Colonne1],"Validé")+COUNTIFS(TabSynthez[Test],"="&amp;$AE66&amp;".*",TabSynthez[Colonne1],"NA")=$AF66,1,0),0)</f>
        <v>0</v>
      </c>
    </row>
    <row r="67" spans="1:33" s="9" customFormat="1" x14ac:dyDescent="0.25">
      <c r="A67" s="68"/>
      <c r="B67" s="75" t="str">
        <f>Modèle!B69</f>
        <v>Couleurs</v>
      </c>
      <c r="C67" s="82" t="str">
        <f>Modèle!D69</f>
        <v>3.1.5</v>
      </c>
      <c r="D67" s="83" t="str">
        <f>Modèle!E69</f>
        <v>A</v>
      </c>
      <c r="E67" s="179">
        <f ca="1">COUNTIF(OFFSET(Synthèse!$G76,0,0,1,COUNTA(Synthèse!$10:$10)-6),"="&amp;$E$1)</f>
        <v>0</v>
      </c>
      <c r="F67" s="179">
        <f ca="1">COUNTIF(OFFSET(Synthèse!$G76,0,0,1,COUNTA(Synthèse!$10:$10)-6),"="&amp;$F$1)</f>
        <v>0</v>
      </c>
      <c r="G67" s="179">
        <f ca="1">COUNTIF(OFFSET(Synthèse!$G76,0,0,1,COUNTA(Synthèse!$10:$10)-6),"="&amp;$G$1)</f>
        <v>0</v>
      </c>
      <c r="H67" s="179">
        <f ca="1">COUNTIF(OFFSET(Synthèse!$G76,0,0,1,COUNTA(Synthèse!$10:$10)-6),"="&amp;$H$1)</f>
        <v>0</v>
      </c>
      <c r="I67" s="203">
        <f t="shared" ca="1" si="1"/>
        <v>0</v>
      </c>
      <c r="J67" s="68"/>
      <c r="K67" s="323" t="s">
        <v>753</v>
      </c>
      <c r="L67" s="180" t="s">
        <v>24</v>
      </c>
      <c r="M67" s="180"/>
      <c r="N67" s="180" t="s">
        <v>535</v>
      </c>
      <c r="O67" s="181">
        <f ca="1">IF(SUM(E$108:E$111)&gt;=1,0,1)</f>
        <v>1</v>
      </c>
      <c r="P67" s="181">
        <f ca="1">IF(SUM(E$108:E$111)&gt;=1,1,IF(SUM(G$108:G$111)&gt;=1,1,IF(SUM(F$108:F$111)&gt;=1,0,1)))</f>
        <v>1</v>
      </c>
      <c r="Q67" s="181">
        <f ca="1">IF(SUM(E$108:E$111)&gt;=1,1,IF(SUM(G$108:G$111)&gt;=1,0,1))</f>
        <v>1</v>
      </c>
      <c r="R67" s="181">
        <f ca="1">IF(SUM(E$108:E$111)&gt;=1,1,IF(SUM(G$108:G$111)&gt;=1,1,IF(SUM(F$108:F$111)&gt;=1,1,IF(SUM(H$108:H$111)&gt;=1,0,1))))</f>
        <v>1</v>
      </c>
      <c r="S67" s="68"/>
      <c r="U67" s="68"/>
      <c r="X67" s="68"/>
      <c r="AA67" s="68"/>
      <c r="AD67" s="68"/>
      <c r="AE67" s="257" t="s">
        <v>548</v>
      </c>
      <c r="AF67" s="206">
        <f>COUNTIF(TabTrans[Test],"="&amp;Value!$AE67&amp;".*")</f>
        <v>1</v>
      </c>
      <c r="AG67" s="22">
        <f>IF(COUNTIFS(TabSynthez[Test],"="&amp;$AE67&amp;".*",TabSynthez[Colonne1],"Validé")&gt;0,IF(COUNTIFS(TabSynthez[Test],"="&amp;$AE67&amp;".*",TabSynthez[Colonne1],"Validé")+COUNTIFS(TabSynthez[Test],"="&amp;$AE67&amp;".*",TabSynthez[Colonne1],"NA")=$AF67,1,0),0)</f>
        <v>0</v>
      </c>
    </row>
    <row r="68" spans="1:33" s="9" customFormat="1" x14ac:dyDescent="0.25">
      <c r="A68" s="68"/>
      <c r="B68" s="75" t="str">
        <f>Modèle!B70</f>
        <v>Couleurs</v>
      </c>
      <c r="C68" s="82" t="str">
        <f>Modèle!D70</f>
        <v>3.1.6</v>
      </c>
      <c r="D68" s="83" t="str">
        <f>Modèle!E70</f>
        <v>A</v>
      </c>
      <c r="E68" s="179">
        <f ca="1">COUNTIF(OFFSET(Synthèse!$G77,0,0,1,COUNTA(Synthèse!$10:$10)-6),"="&amp;$E$1)</f>
        <v>0</v>
      </c>
      <c r="F68" s="179">
        <f ca="1">COUNTIF(OFFSET(Synthèse!$G77,0,0,1,COUNTA(Synthèse!$10:$10)-6),"="&amp;$F$1)</f>
        <v>0</v>
      </c>
      <c r="G68" s="179">
        <f ca="1">COUNTIF(OFFSET(Synthèse!$G77,0,0,1,COUNTA(Synthèse!$10:$10)-6),"="&amp;$G$1)</f>
        <v>0</v>
      </c>
      <c r="H68" s="179">
        <f ca="1">COUNTIF(OFFSET(Synthèse!$G77,0,0,1,COUNTA(Synthèse!$10:$10)-6),"="&amp;$H$1)</f>
        <v>0</v>
      </c>
      <c r="I68" s="203">
        <f t="shared" ref="I68:I135" ca="1" si="15">SUM(E68:H68)</f>
        <v>0</v>
      </c>
      <c r="J68" s="68"/>
      <c r="K68" s="96" t="s">
        <v>754</v>
      </c>
      <c r="L68" s="180" t="s">
        <v>24</v>
      </c>
      <c r="M68" s="180"/>
      <c r="N68" s="180" t="s">
        <v>536</v>
      </c>
      <c r="O68" s="181">
        <f ca="1">IF(SUM(E$112:E$116)&gt;=1,0,1)</f>
        <v>1</v>
      </c>
      <c r="P68" s="181">
        <f ca="1">IF(SUM(E$112:E$116)&gt;=1,1,IF(SUM(G$112:G$116)&gt;=1,1,IF(SUM(F$112:F$116)&gt;=1,0,1)))</f>
        <v>1</v>
      </c>
      <c r="Q68" s="181">
        <f ca="1">IF(SUM(E$112:E$116)&gt;=1,1,IF(SUM(G$112:G$116)&gt;=1,0,1))</f>
        <v>1</v>
      </c>
      <c r="R68" s="181">
        <f ca="1">IF(SUM(E$112:E$116)&gt;=1,1,IF(SUM(G$112:G$116)&gt;=1,1,IF(SUM(F$112:F$116)&gt;=1,1,IF(SUM(H$112:H$116)&gt;=1,0,1))))</f>
        <v>1</v>
      </c>
      <c r="S68" s="68"/>
      <c r="U68" s="68"/>
      <c r="X68" s="68"/>
      <c r="AA68" s="68"/>
      <c r="AD68" s="68"/>
      <c r="AE68" s="257" t="s">
        <v>549</v>
      </c>
      <c r="AF68" s="206">
        <f>COUNTIF(TabTrans[Test],"="&amp;Value!$AE68&amp;".*")</f>
        <v>1</v>
      </c>
      <c r="AG68" s="22">
        <f>IF(COUNTIFS(TabSynthez[Test],"="&amp;$AE68&amp;".*",TabSynthez[Colonne1],"Validé")&gt;0,IF(COUNTIFS(TabSynthez[Test],"="&amp;$AE68&amp;".*",TabSynthez[Colonne1],"Validé")+COUNTIFS(TabSynthez[Test],"="&amp;$AE68&amp;".*",TabSynthez[Colonne1],"NA")=$AF68,1,0),0)</f>
        <v>0</v>
      </c>
    </row>
    <row r="69" spans="1:33" s="9" customFormat="1" x14ac:dyDescent="0.25">
      <c r="A69" s="68"/>
      <c r="B69" s="74" t="str">
        <f>Modèle!B71</f>
        <v>Couleurs</v>
      </c>
      <c r="C69" s="80" t="str">
        <f>Modèle!D71</f>
        <v>3.2.1</v>
      </c>
      <c r="D69" s="81" t="str">
        <f>Modèle!E71</f>
        <v>AA</v>
      </c>
      <c r="E69" s="80">
        <f ca="1">COUNTIF(OFFSET(Synthèse!$G78,0,0,1,COUNTA(Synthèse!$10:$10)-6),"="&amp;$E$1)</f>
        <v>0</v>
      </c>
      <c r="F69" s="80">
        <f ca="1">COUNTIF(OFFSET(Synthèse!$G78,0,0,1,COUNTA(Synthèse!$10:$10)-6),"="&amp;$F$1)</f>
        <v>0</v>
      </c>
      <c r="G69" s="80">
        <f ca="1">COUNTIF(OFFSET(Synthèse!$G78,0,0,1,COUNTA(Synthèse!$10:$10)-6),"="&amp;$G$1)</f>
        <v>0</v>
      </c>
      <c r="H69" s="80">
        <f ca="1">COUNTIF(OFFSET(Synthèse!$G78,0,0,1,COUNTA(Synthèse!$10:$10)-6),"="&amp;$H$1)</f>
        <v>0</v>
      </c>
      <c r="I69" s="203">
        <f t="shared" ca="1" si="15"/>
        <v>0</v>
      </c>
      <c r="J69" s="68"/>
      <c r="K69" s="96" t="s">
        <v>755</v>
      </c>
      <c r="L69" s="180" t="s">
        <v>24</v>
      </c>
      <c r="M69" s="180"/>
      <c r="N69" s="180" t="s">
        <v>537</v>
      </c>
      <c r="O69" s="181">
        <f ca="1">IF(SUM(E$117:E$117)&gt;=1,0,1)</f>
        <v>1</v>
      </c>
      <c r="P69" s="181">
        <f ca="1">IF(SUM(E$117)&gt;=1,1,IF(SUM(G$117)&gt;=1,1,IF(SUM(F$117)&gt;=1,0,1)))</f>
        <v>1</v>
      </c>
      <c r="Q69" s="181">
        <f ca="1">IF(SUM(E$117)&gt;=1,1,IF(SUM(G$117)&gt;=1,0,1))</f>
        <v>1</v>
      </c>
      <c r="R69" s="181">
        <f ca="1">IF(SUM(E$117)&gt;=1,1,IF(SUM(G$117)&gt;=1,1,IF(SUM(F$117)&gt;=1,1,IF(SUM(H$117)&gt;=1,0,1))))</f>
        <v>1</v>
      </c>
      <c r="S69" s="68"/>
      <c r="U69" s="68"/>
      <c r="X69" s="68"/>
      <c r="AA69" s="68"/>
      <c r="AD69" s="68"/>
      <c r="AE69" s="257" t="s">
        <v>550</v>
      </c>
      <c r="AF69" s="206">
        <f>COUNTIF(TabTrans[Test],"="&amp;Value!$AE69&amp;".*")</f>
        <v>1</v>
      </c>
      <c r="AG69" s="22">
        <f>IF(COUNTIFS(TabSynthez[Test],"="&amp;$AE69&amp;".*",TabSynthez[Colonne1],"Validé")&gt;0,IF(COUNTIFS(TabSynthez[Test],"="&amp;$AE69&amp;".*",TabSynthez[Colonne1],"Validé")+COUNTIFS(TabSynthez[Test],"="&amp;$AE69&amp;".*",TabSynthez[Colonne1],"NA")=$AF69,1,0),0)</f>
        <v>0</v>
      </c>
    </row>
    <row r="70" spans="1:33" s="9" customFormat="1" x14ac:dyDescent="0.25">
      <c r="A70" s="68"/>
      <c r="B70" s="74" t="str">
        <f>Modèle!B72</f>
        <v>Couleurs</v>
      </c>
      <c r="C70" s="80" t="str">
        <f>Modèle!D72</f>
        <v>3.2.2</v>
      </c>
      <c r="D70" s="81" t="str">
        <f>Modèle!E72</f>
        <v>AA</v>
      </c>
      <c r="E70" s="80">
        <f ca="1">COUNTIF(OFFSET(Synthèse!$G79,0,0,1,COUNTA(Synthèse!$10:$10)-6),"="&amp;$E$1)</f>
        <v>0</v>
      </c>
      <c r="F70" s="80">
        <f ca="1">COUNTIF(OFFSET(Synthèse!$G79,0,0,1,COUNTA(Synthèse!$10:$10)-6),"="&amp;$F$1)</f>
        <v>0</v>
      </c>
      <c r="G70" s="80">
        <f ca="1">COUNTIF(OFFSET(Synthèse!$G79,0,0,1,COUNTA(Synthèse!$10:$10)-6),"="&amp;$G$1)</f>
        <v>0</v>
      </c>
      <c r="H70" s="80">
        <f ca="1">COUNTIF(OFFSET(Synthèse!$G79,0,0,1,COUNTA(Synthèse!$10:$10)-6),"="&amp;$H$1)</f>
        <v>0</v>
      </c>
      <c r="I70" s="203">
        <f t="shared" ca="1" si="15"/>
        <v>0</v>
      </c>
      <c r="J70" s="68"/>
      <c r="K70" s="96" t="s">
        <v>756</v>
      </c>
      <c r="L70" s="182" t="s">
        <v>24</v>
      </c>
      <c r="M70" s="182"/>
      <c r="N70" s="182" t="s">
        <v>538</v>
      </c>
      <c r="O70" s="183">
        <f ca="1">IF(SUM(E$118:E$122)&gt;=1,0,1)</f>
        <v>1</v>
      </c>
      <c r="P70" s="183">
        <f ca="1">IF(SUM(E$118:E$122)&gt;=1,1,IF(SUM(G$118:G$122)&gt;=1,1,IF(SUM(F$118:F$122)&gt;=1,0,1)))</f>
        <v>1</v>
      </c>
      <c r="Q70" s="183">
        <f ca="1">IF(SUM(E$118:E$122)&gt;=1,1,IF(SUM(G$118:G$122)&gt;=1,0,1))</f>
        <v>1</v>
      </c>
      <c r="R70" s="183">
        <f ca="1">IF(SUM(E$118:E$122)&gt;=1,1,IF(SUM(G$118:G$122)&gt;=1,1,IF(SUM(F$118:F$122)&gt;=1,1,IF(SUM(H$118:H$122)&gt;=1,0,1))))</f>
        <v>1</v>
      </c>
      <c r="S70" s="68"/>
      <c r="U70" s="68"/>
      <c r="X70" s="68"/>
      <c r="AA70" s="68"/>
      <c r="AD70" s="68"/>
      <c r="AE70" s="257" t="s">
        <v>551</v>
      </c>
      <c r="AF70" s="206">
        <f>COUNTIF(TabTrans[Test],"="&amp;Value!$AE70&amp;".*")</f>
        <v>1</v>
      </c>
      <c r="AG70" s="22">
        <f>IF(COUNTIFS(TabSynthez[Test],"="&amp;$AE70&amp;".*",TabSynthez[Colonne1],"Validé")&gt;0,IF(COUNTIFS(TabSynthez[Test],"="&amp;$AE70&amp;".*",TabSynthez[Colonne1],"Validé")+COUNTIFS(TabSynthez[Test],"="&amp;$AE70&amp;".*",TabSynthez[Colonne1],"NA")=$AF70,1,0),0)</f>
        <v>0</v>
      </c>
    </row>
    <row r="71" spans="1:33" s="9" customFormat="1" x14ac:dyDescent="0.25">
      <c r="A71" s="68"/>
      <c r="B71" s="74" t="str">
        <f>Modèle!B73</f>
        <v>Couleurs</v>
      </c>
      <c r="C71" s="80" t="str">
        <f>Modèle!D73</f>
        <v>3.2.3</v>
      </c>
      <c r="D71" s="81" t="str">
        <f>Modèle!E73</f>
        <v>AA</v>
      </c>
      <c r="E71" s="80">
        <f ca="1">COUNTIF(OFFSET(Synthèse!$G80,0,0,1,COUNTA(Synthèse!$10:$10)-6),"="&amp;$E$1)</f>
        <v>0</v>
      </c>
      <c r="F71" s="80">
        <f ca="1">COUNTIF(OFFSET(Synthèse!$G80,0,0,1,COUNTA(Synthèse!$10:$10)-6),"="&amp;$F$1)</f>
        <v>0</v>
      </c>
      <c r="G71" s="80">
        <f ca="1">COUNTIF(OFFSET(Synthèse!$G80,0,0,1,COUNTA(Synthèse!$10:$10)-6),"="&amp;$G$1)</f>
        <v>0</v>
      </c>
      <c r="H71" s="80">
        <f ca="1">COUNTIF(OFFSET(Synthèse!$G80,0,0,1,COUNTA(Synthèse!$10:$10)-6),"="&amp;$H$1)</f>
        <v>0</v>
      </c>
      <c r="I71" s="203">
        <f t="shared" ca="1" si="15"/>
        <v>0</v>
      </c>
      <c r="J71" s="68"/>
      <c r="K71" s="96" t="s">
        <v>757</v>
      </c>
      <c r="L71" s="182" t="s">
        <v>24</v>
      </c>
      <c r="M71" s="182"/>
      <c r="N71" s="182" t="s">
        <v>539</v>
      </c>
      <c r="O71" s="183">
        <f ca="1">IF(SUM(E$123:E$123)&gt;=1,0,1)</f>
        <v>1</v>
      </c>
      <c r="P71" s="183">
        <f ca="1">IF(SUM(E$123)&gt;=1,1,IF(SUM(G$123)&gt;=1,1,IF(SUM(F$123)&gt;=1,0,1)))</f>
        <v>1</v>
      </c>
      <c r="Q71" s="183">
        <f ca="1">IF(SUM(E$123)&gt;=1,1,IF(SUM(G$123)&gt;=1,0,1))</f>
        <v>1</v>
      </c>
      <c r="R71" s="183">
        <f ca="1">IF(SUM(E$123)&gt;=1,1,IF(SUM(G$123)&gt;=1,1,IF(SUM(F$123)&gt;=1,1,IF(SUM(H$123)&gt;=1,0,1))))</f>
        <v>1</v>
      </c>
      <c r="S71" s="68"/>
      <c r="U71" s="68"/>
      <c r="X71" s="68"/>
      <c r="AA71" s="68"/>
      <c r="AD71" s="68"/>
      <c r="AE71" s="257" t="s">
        <v>552</v>
      </c>
      <c r="AF71" s="206">
        <f>COUNTIF(TabTrans[Test],"="&amp;Value!$AE71&amp;".*")</f>
        <v>1</v>
      </c>
      <c r="AG71" s="22">
        <f>IF(COUNTIFS(TabSynthez[Test],"="&amp;$AE71&amp;".*",TabSynthez[Colonne1],"Validé")&gt;0,IF(COUNTIFS(TabSynthez[Test],"="&amp;$AE71&amp;".*",TabSynthez[Colonne1],"Validé")+COUNTIFS(TabSynthez[Test],"="&amp;$AE71&amp;".*",TabSynthez[Colonne1],"NA")=$AF71,1,0),0)</f>
        <v>0</v>
      </c>
    </row>
    <row r="72" spans="1:33" s="9" customFormat="1" x14ac:dyDescent="0.25">
      <c r="A72" s="68"/>
      <c r="B72" s="74" t="str">
        <f>Modèle!B74</f>
        <v>Couleurs</v>
      </c>
      <c r="C72" s="80" t="str">
        <f>Modèle!D74</f>
        <v>3.2.4</v>
      </c>
      <c r="D72" s="81" t="str">
        <f>Modèle!E74</f>
        <v>AA</v>
      </c>
      <c r="E72" s="80">
        <f ca="1">COUNTIF(OFFSET(Synthèse!$G81,0,0,1,COUNTA(Synthèse!$10:$10)-6),"="&amp;$E$1)</f>
        <v>0</v>
      </c>
      <c r="F72" s="80">
        <f ca="1">COUNTIF(OFFSET(Synthèse!$G81,0,0,1,COUNTA(Synthèse!$10:$10)-6),"="&amp;$F$1)</f>
        <v>0</v>
      </c>
      <c r="G72" s="80">
        <f ca="1">COUNTIF(OFFSET(Synthèse!$G81,0,0,1,COUNTA(Synthèse!$10:$10)-6),"="&amp;$G$1)</f>
        <v>0</v>
      </c>
      <c r="H72" s="80">
        <f ca="1">COUNTIF(OFFSET(Synthèse!$G81,0,0,1,COUNTA(Synthèse!$10:$10)-6),"="&amp;$H$1)</f>
        <v>0</v>
      </c>
      <c r="I72" s="203">
        <f t="shared" ca="1" si="15"/>
        <v>0</v>
      </c>
      <c r="J72" s="68"/>
      <c r="K72" s="96" t="s">
        <v>758</v>
      </c>
      <c r="L72" s="180" t="s">
        <v>24</v>
      </c>
      <c r="M72" s="180"/>
      <c r="N72" s="180" t="s">
        <v>540</v>
      </c>
      <c r="O72" s="181">
        <f ca="1">IF(SUM(E$124:E$126)&gt;=1,0,1)</f>
        <v>1</v>
      </c>
      <c r="P72" s="181">
        <f ca="1">IF(SUM(E$124:E$126)&gt;=1,1,IF(SUM(G$124:G$126)&gt;=1,1,IF(SUM(F$124:F$126)&gt;=1,0,1)))</f>
        <v>1</v>
      </c>
      <c r="Q72" s="181">
        <f ca="1">IF(SUM(E$124:E$126)&gt;=1,1,IF(SUM(G$124:G$126)&gt;=1,0,1))</f>
        <v>1</v>
      </c>
      <c r="R72" s="181">
        <f ca="1">IF(SUM(E$124:E$126)&gt;=1,1,IF(SUM(G$124:G$126)&gt;=1,1,IF(SUM(F$124:F$126)&gt;=1,1,IF(SUM(H$124:H$126)&gt;=1,0,1))))</f>
        <v>1</v>
      </c>
      <c r="S72" s="68"/>
      <c r="U72" s="68"/>
      <c r="X72" s="68"/>
      <c r="AA72" s="68"/>
      <c r="AD72" s="68"/>
      <c r="AE72" s="257" t="s">
        <v>553</v>
      </c>
      <c r="AF72" s="206">
        <f>COUNTIF(TabTrans[Test],"="&amp;Value!$AE72&amp;".*")</f>
        <v>1</v>
      </c>
      <c r="AG72" s="22">
        <f>IF(COUNTIFS(TabSynthez[Test],"="&amp;$AE72&amp;".*",TabSynthez[Colonne1],"Validé")&gt;0,IF(COUNTIFS(TabSynthez[Test],"="&amp;$AE72&amp;".*",TabSynthez[Colonne1],"Validé")+COUNTIFS(TabSynthez[Test],"="&amp;$AE72&amp;".*",TabSynthez[Colonne1],"NA")=$AF72,1,0),0)</f>
        <v>0</v>
      </c>
    </row>
    <row r="73" spans="1:33" s="9" customFormat="1" x14ac:dyDescent="0.25">
      <c r="A73" s="68"/>
      <c r="B73" s="74" t="str">
        <f>Modèle!B75</f>
        <v>Couleurs</v>
      </c>
      <c r="C73" s="80" t="str">
        <f>Modèle!D75</f>
        <v>3.2.5</v>
      </c>
      <c r="D73" s="81" t="str">
        <f>Modèle!E75</f>
        <v>AA</v>
      </c>
      <c r="E73" s="80">
        <f ca="1">COUNTIF(OFFSET(Synthèse!$G82,0,0,1,COUNTA(Synthèse!$10:$10)-6),"="&amp;$E$1)</f>
        <v>0</v>
      </c>
      <c r="F73" s="80">
        <f ca="1">COUNTIF(OFFSET(Synthèse!$G82,0,0,1,COUNTA(Synthèse!$10:$10)-6),"="&amp;$F$1)</f>
        <v>0</v>
      </c>
      <c r="G73" s="80">
        <f ca="1">COUNTIF(OFFSET(Synthèse!$G82,0,0,1,COUNTA(Synthèse!$10:$10)-6),"="&amp;$G$1)</f>
        <v>0</v>
      </c>
      <c r="H73" s="80">
        <f ca="1">COUNTIF(OFFSET(Synthèse!$G82,0,0,1,COUNTA(Synthèse!$10:$10)-6),"="&amp;$H$1)</f>
        <v>0</v>
      </c>
      <c r="I73" s="203">
        <f t="shared" ca="1" si="15"/>
        <v>0</v>
      </c>
      <c r="J73" s="68"/>
      <c r="K73" s="96" t="s">
        <v>624</v>
      </c>
      <c r="L73" s="180" t="s">
        <v>24</v>
      </c>
      <c r="M73" s="180"/>
      <c r="N73" s="180" t="s">
        <v>541</v>
      </c>
      <c r="O73" s="181">
        <f ca="1">IF(SUM(E$127:E$128)&gt;=1,0,1)</f>
        <v>1</v>
      </c>
      <c r="P73" s="181">
        <f ca="1">IF(SUM(E$127:E$128)&gt;=1,1,IF(SUM(G$127:G$128)&gt;=1,1,IF(SUM(F$127:F$128)&gt;=1,0,1)))</f>
        <v>1</v>
      </c>
      <c r="Q73" s="181">
        <f ca="1">IF(SUM(E$127:E$128)&gt;=1,1,IF(SUM(G$127:G$128)&gt;=1,0,1))</f>
        <v>1</v>
      </c>
      <c r="R73" s="181">
        <f ca="1">IF(SUM(E$127:E$128)&gt;=1,1,IF(SUM(G$127:G$128)&gt;=1,1,IF(SUM(F$127:F$128)&gt;=1,1,IF(SUM(H$127:H$128)&gt;=1,0,1))))</f>
        <v>1</v>
      </c>
      <c r="S73" s="68"/>
      <c r="U73" s="68"/>
      <c r="X73" s="68"/>
      <c r="AA73" s="68"/>
      <c r="AD73" s="68"/>
      <c r="AE73" s="257" t="s">
        <v>554</v>
      </c>
      <c r="AF73" s="206">
        <f>COUNTIF(TabTrans[Test],"="&amp;Value!$AE73&amp;".*")</f>
        <v>2</v>
      </c>
      <c r="AG73" s="22">
        <f>IF(COUNTIFS(TabSynthez[Test],"="&amp;$AE73&amp;".*",TabSynthez[Colonne1],"Validé")&gt;0,IF(COUNTIFS(TabSynthez[Test],"="&amp;$AE73&amp;".*",TabSynthez[Colonne1],"Validé")+COUNTIFS(TabSynthez[Test],"="&amp;$AE73&amp;".*",TabSynthez[Colonne1],"NA")=$AF73,1,0),0)</f>
        <v>0</v>
      </c>
    </row>
    <row r="74" spans="1:33" s="9" customFormat="1" x14ac:dyDescent="0.25">
      <c r="A74" s="68"/>
      <c r="B74" s="75" t="str">
        <f>Modèle!B76</f>
        <v>Couleurs</v>
      </c>
      <c r="C74" s="82" t="str">
        <f>Modèle!D76</f>
        <v>3.3.1</v>
      </c>
      <c r="D74" s="83" t="str">
        <f>Modèle!E76</f>
        <v>AA</v>
      </c>
      <c r="E74" s="179">
        <f ca="1">COUNTIF(OFFSET(Synthèse!$G83,0,0,1,COUNTA(Synthèse!$10:$10)-6),"="&amp;$E$1)</f>
        <v>0</v>
      </c>
      <c r="F74" s="179">
        <f ca="1">COUNTIF(OFFSET(Synthèse!$G83,0,0,1,COUNTA(Synthèse!$10:$10)-6),"="&amp;$F$1)</f>
        <v>0</v>
      </c>
      <c r="G74" s="179">
        <f ca="1">COUNTIF(OFFSET(Synthèse!$G83,0,0,1,COUNTA(Synthèse!$10:$10)-6),"="&amp;$G$1)</f>
        <v>0</v>
      </c>
      <c r="H74" s="179">
        <f ca="1">COUNTIF(OFFSET(Synthèse!$G83,0,0,1,COUNTA(Synthèse!$10:$10)-6),"="&amp;$H$1)</f>
        <v>0</v>
      </c>
      <c r="I74" s="203">
        <f t="shared" ca="1" si="15"/>
        <v>0</v>
      </c>
      <c r="J74" s="68"/>
      <c r="K74" s="96" t="s">
        <v>759</v>
      </c>
      <c r="L74" s="180" t="s">
        <v>24</v>
      </c>
      <c r="M74" s="180"/>
      <c r="N74" s="180" t="s">
        <v>542</v>
      </c>
      <c r="O74" s="181">
        <f ca="1">IF(SUM(E$129:E$130)&gt;=1,0,1)</f>
        <v>1</v>
      </c>
      <c r="P74" s="181">
        <f ca="1">IF(SUM(E$129:E$130)&gt;=1,1,IF(SUM(G$129:G$130)&gt;=1,1,IF(SUM(F$129:F$130)&gt;=1,0,1)))</f>
        <v>1</v>
      </c>
      <c r="Q74" s="181">
        <f ca="1">IF(SUM(E$129:E$130)&gt;=1,1,IF(SUM(G$129:G$130)&gt;=1,0,1))</f>
        <v>1</v>
      </c>
      <c r="R74" s="181">
        <f ca="1">IF(SUM(E$129:E$130)&gt;=1,1,IF(SUM(G$129:G$130)&gt;=1,1,IF(SUM(F$129:F$130)&gt;=1,1,IF(SUM(H$129:H$130)&gt;=1,0,1))))</f>
        <v>1</v>
      </c>
      <c r="S74" s="68"/>
      <c r="U74" s="68"/>
      <c r="X74" s="68"/>
      <c r="AA74" s="68"/>
      <c r="AD74" s="68"/>
      <c r="AE74" s="257" t="s">
        <v>555</v>
      </c>
      <c r="AF74" s="206">
        <f>COUNTIF(TabTrans[Test],"="&amp;Value!$AE74&amp;".*")</f>
        <v>3</v>
      </c>
      <c r="AG74" s="22">
        <f>IF(COUNTIFS(TabSynthez[Test],"="&amp;$AE74&amp;".*",TabSynthez[Colonne1],"Validé")&gt;0,IF(COUNTIFS(TabSynthez[Test],"="&amp;$AE74&amp;".*",TabSynthez[Colonne1],"Validé")+COUNTIFS(TabSynthez[Test],"="&amp;$AE74&amp;".*",TabSynthez[Colonne1],"NA")=$AF74,1,0),0)</f>
        <v>0</v>
      </c>
    </row>
    <row r="75" spans="1:33" s="9" customFormat="1" x14ac:dyDescent="0.25">
      <c r="A75" s="68"/>
      <c r="B75" s="75" t="str">
        <f>Modèle!B77</f>
        <v>Couleurs</v>
      </c>
      <c r="C75" s="82" t="str">
        <f>Modèle!D77</f>
        <v>3.3.2</v>
      </c>
      <c r="D75" s="83" t="str">
        <f>Modèle!E77</f>
        <v>AA</v>
      </c>
      <c r="E75" s="179">
        <f ca="1">COUNTIF(OFFSET(Synthèse!$G84,0,0,1,COUNTA(Synthèse!$10:$10)-6),"="&amp;$E$1)</f>
        <v>0</v>
      </c>
      <c r="F75" s="179">
        <f ca="1">COUNTIF(OFFSET(Synthèse!$G84,0,0,1,COUNTA(Synthèse!$10:$10)-6),"="&amp;$F$1)</f>
        <v>0</v>
      </c>
      <c r="G75" s="179">
        <f ca="1">COUNTIF(OFFSET(Synthèse!$G84,0,0,1,COUNTA(Synthèse!$10:$10)-6),"="&amp;$G$1)</f>
        <v>0</v>
      </c>
      <c r="H75" s="179">
        <f ca="1">COUNTIF(OFFSET(Synthèse!$G84,0,0,1,COUNTA(Synthèse!$10:$10)-6),"="&amp;$H$1)</f>
        <v>0</v>
      </c>
      <c r="I75" s="203">
        <f t="shared" ca="1" si="15"/>
        <v>0</v>
      </c>
      <c r="J75" s="68"/>
      <c r="K75" s="96" t="s">
        <v>760</v>
      </c>
      <c r="L75" s="180" t="s">
        <v>24</v>
      </c>
      <c r="M75" s="180"/>
      <c r="N75" s="180" t="s">
        <v>543</v>
      </c>
      <c r="O75" s="181">
        <f ca="1">IF(SUM(E$131:E$131)&gt;=1,0,1)</f>
        <v>1</v>
      </c>
      <c r="P75" s="181">
        <f ca="1">IF(SUM(E$131)&gt;=1,1,IF(SUM(G$131)&gt;=1,1,IF(SUM(F$131)&gt;=1,0,1)))</f>
        <v>1</v>
      </c>
      <c r="Q75" s="181">
        <f ca="1">IF(SUM(E$131)&gt;=1,1,IF(SUM(G$131)&gt;=1,0,1))</f>
        <v>1</v>
      </c>
      <c r="R75" s="181">
        <f ca="1">IF(SUM(E$131)&gt;=1,1,IF(SUM(G$131)&gt;=1,1,IF(SUM(F$131)&gt;=1,1,IF(SUM(H$131)&gt;=1,0,1))))</f>
        <v>1</v>
      </c>
      <c r="S75" s="68"/>
      <c r="U75" s="68"/>
      <c r="X75" s="68"/>
      <c r="AA75" s="68"/>
      <c r="AD75" s="68"/>
      <c r="AE75" s="257" t="s">
        <v>556</v>
      </c>
      <c r="AF75" s="206">
        <f>COUNTIF(TabTrans[Test],"="&amp;Value!$AE75&amp;".*")</f>
        <v>1</v>
      </c>
      <c r="AG75" s="22">
        <f>IF(COUNTIFS(TabSynthez[Test],"="&amp;$AE75&amp;".*",TabSynthez[Colonne1],"Validé")&gt;0,IF(COUNTIFS(TabSynthez[Test],"="&amp;$AE75&amp;".*",TabSynthez[Colonne1],"Validé")+COUNTIFS(TabSynthez[Test],"="&amp;$AE75&amp;".*",TabSynthez[Colonne1],"NA")=$AF75,1,0),0)</f>
        <v>0</v>
      </c>
    </row>
    <row r="76" spans="1:33" s="9" customFormat="1" x14ac:dyDescent="0.25">
      <c r="A76" s="68"/>
      <c r="B76" s="75" t="str">
        <f>Modèle!B78</f>
        <v>Couleurs</v>
      </c>
      <c r="C76" s="82" t="str">
        <f>Modèle!D78</f>
        <v>3.3.3</v>
      </c>
      <c r="D76" s="83" t="str">
        <f>Modèle!E78</f>
        <v>AA</v>
      </c>
      <c r="E76" s="179">
        <f ca="1">COUNTIF(OFFSET(Synthèse!$G85,0,0,1,COUNTA(Synthèse!$10:$10)-6),"="&amp;$E$1)</f>
        <v>0</v>
      </c>
      <c r="F76" s="179">
        <f ca="1">COUNTIF(OFFSET(Synthèse!$G85,0,0,1,COUNTA(Synthèse!$10:$10)-6),"="&amp;$F$1)</f>
        <v>0</v>
      </c>
      <c r="G76" s="179">
        <f ca="1">COUNTIF(OFFSET(Synthèse!$G85,0,0,1,COUNTA(Synthèse!$10:$10)-6),"="&amp;$G$1)</f>
        <v>0</v>
      </c>
      <c r="H76" s="179">
        <f ca="1">COUNTIF(OFFSET(Synthèse!$G85,0,0,1,COUNTA(Synthèse!$10:$10)-6),"="&amp;$H$1)</f>
        <v>0</v>
      </c>
      <c r="I76" s="203">
        <f t="shared" ca="1" si="15"/>
        <v>0</v>
      </c>
      <c r="J76" s="68"/>
      <c r="K76" s="96" t="s">
        <v>625</v>
      </c>
      <c r="L76" s="180" t="s">
        <v>25</v>
      </c>
      <c r="M76" s="180"/>
      <c r="N76" s="180" t="s">
        <v>544</v>
      </c>
      <c r="O76" s="181">
        <f ca="1">IF(SUM(E$132:E$134)&gt;=1,0,1)</f>
        <v>1</v>
      </c>
      <c r="P76" s="181">
        <f ca="1">IF(SUM(E$132:E$134)&gt;=1,1,IF(SUM(G$132:G$134)&gt;=1,1,IF(SUM(F$132:F$134)&gt;=1,0,1)))</f>
        <v>1</v>
      </c>
      <c r="Q76" s="181">
        <f ca="1">IF(SUM(E$132:E$134)&gt;=1,1,IF(SUM(G$132:G$134)&gt;=1,0,1))</f>
        <v>1</v>
      </c>
      <c r="R76" s="181">
        <f ca="1">IF(SUM(E$132:E$134)&gt;=1,1,IF(SUM(G$132:G$134)&gt;=1,1,IF(SUM(F$132:F$134)&gt;=1,1,IF(SUM(H$132:H$134)&gt;=1,0,1))))</f>
        <v>1</v>
      </c>
      <c r="S76" s="68"/>
      <c r="U76" s="68"/>
      <c r="X76" s="68"/>
      <c r="AA76" s="68"/>
      <c r="AD76" s="68"/>
      <c r="AE76" s="257" t="s">
        <v>557</v>
      </c>
      <c r="AF76" s="206">
        <f>COUNTIF(TabTrans[Test],"="&amp;Value!$AE76&amp;".*")</f>
        <v>3</v>
      </c>
      <c r="AG76" s="22">
        <f>IF(COUNTIFS(TabSynthez[Test],"="&amp;$AE76&amp;".*",TabSynthez[Colonne1],"Validé")&gt;0,IF(COUNTIFS(TabSynthez[Test],"="&amp;$AE76&amp;".*",TabSynthez[Colonne1],"Validé")+COUNTIFS(TabSynthez[Test],"="&amp;$AE76&amp;".*",TabSynthez[Colonne1],"NA")=$AF76,1,0),0)</f>
        <v>0</v>
      </c>
    </row>
    <row r="77" spans="1:33" s="9" customFormat="1" x14ac:dyDescent="0.25">
      <c r="A77" s="68"/>
      <c r="B77" s="75" t="str">
        <f>Modèle!B79</f>
        <v>Couleurs</v>
      </c>
      <c r="C77" s="82" t="str">
        <f>Modèle!D79</f>
        <v>3.3.4</v>
      </c>
      <c r="D77" s="83" t="str">
        <f>Modèle!E79</f>
        <v>AA</v>
      </c>
      <c r="E77" s="179">
        <f ca="1">COUNTIF(OFFSET(Synthèse!$G86,0,0,1,COUNTA(Synthèse!$10:$10)-6),"="&amp;$E$1)</f>
        <v>0</v>
      </c>
      <c r="F77" s="179">
        <f ca="1">COUNTIF(OFFSET(Synthèse!$G86,0,0,1,COUNTA(Synthèse!$10:$10)-6),"="&amp;$F$1)</f>
        <v>0</v>
      </c>
      <c r="G77" s="179">
        <f ca="1">COUNTIF(OFFSET(Synthèse!$G86,0,0,1,COUNTA(Synthèse!$10:$10)-6),"="&amp;$G$1)</f>
        <v>0</v>
      </c>
      <c r="H77" s="179">
        <f ca="1">COUNTIF(OFFSET(Synthèse!$G86,0,0,1,COUNTA(Synthèse!$10:$10)-6),"="&amp;$H$1)</f>
        <v>0</v>
      </c>
      <c r="I77" s="203">
        <f t="shared" ca="1" si="15"/>
        <v>0</v>
      </c>
      <c r="J77" s="68"/>
      <c r="K77" s="96" t="s">
        <v>761</v>
      </c>
      <c r="L77" s="182" t="s">
        <v>24</v>
      </c>
      <c r="M77" s="182"/>
      <c r="N77" s="182" t="s">
        <v>545</v>
      </c>
      <c r="O77" s="183">
        <f ca="1">IF(SUM(E$135:E$137)&gt;=1,0,1)</f>
        <v>1</v>
      </c>
      <c r="P77" s="183">
        <f ca="1">IF(SUM(E$135:E$137)&gt;=1,1,IF(SUM(G$135:G$137)&gt;=1,1,IF(SUM(F$135:F$137)&gt;=1,0,1)))</f>
        <v>1</v>
      </c>
      <c r="Q77" s="183">
        <f ca="1">IF(SUM(E$135:E$137)&gt;=1,1,IF(SUM(G$135:G$137)&gt;=1,0,1))</f>
        <v>1</v>
      </c>
      <c r="R77" s="183">
        <f ca="1">IF(SUM(E$135:E$137)&gt;=1,1,IF(SUM(G$135:G$137)&gt;=1,1,IF(SUM(F$135:F$137)&gt;=1,1,IF(SUM(H$135:H$137)&gt;=1,0,1))))</f>
        <v>1</v>
      </c>
      <c r="S77" s="68"/>
      <c r="U77" s="68"/>
      <c r="X77" s="68"/>
      <c r="AA77" s="68"/>
      <c r="AD77" s="68"/>
      <c r="AE77" s="257" t="s">
        <v>558</v>
      </c>
      <c r="AF77" s="206">
        <f>COUNTIF(TabTrans[Test],"="&amp;Value!$AE77&amp;".*")</f>
        <v>2</v>
      </c>
      <c r="AG77" s="22">
        <f>IF(COUNTIFS(TabSynthez[Test],"="&amp;$AE77&amp;".*",TabSynthez[Colonne1],"Validé")&gt;0,IF(COUNTIFS(TabSynthez[Test],"="&amp;$AE77&amp;".*",TabSynthez[Colonne1],"Validé")+COUNTIFS(TabSynthez[Test],"="&amp;$AE77&amp;".*",TabSynthez[Colonne1],"NA")=$AF77,1,0),0)</f>
        <v>0</v>
      </c>
    </row>
    <row r="78" spans="1:33" s="9" customFormat="1" x14ac:dyDescent="0.25">
      <c r="A78" s="68"/>
      <c r="B78" s="74" t="str">
        <f>Modèle!B80</f>
        <v>Multimédia</v>
      </c>
      <c r="C78" s="80" t="str">
        <f>Modèle!D80</f>
        <v>4.1.1</v>
      </c>
      <c r="D78" s="81" t="str">
        <f>Modèle!E80</f>
        <v>A</v>
      </c>
      <c r="E78" s="80">
        <f ca="1">COUNTIF(OFFSET(Synthèse!$G87,0,0,1,COUNTA(Synthèse!$10:$10)-6),"="&amp;$E$1)</f>
        <v>0</v>
      </c>
      <c r="F78" s="80">
        <f ca="1">COUNTIF(OFFSET(Synthèse!$G87,0,0,1,COUNTA(Synthèse!$10:$10)-6),"="&amp;$F$1)</f>
        <v>0</v>
      </c>
      <c r="G78" s="80">
        <f ca="1">COUNTIF(OFFSET(Synthèse!$G87,0,0,1,COUNTA(Synthèse!$10:$10)-6),"="&amp;$G$1)</f>
        <v>0</v>
      </c>
      <c r="H78" s="80">
        <f ca="1">COUNTIF(OFFSET(Synthèse!$G87,0,0,1,COUNTA(Synthèse!$10:$10)-6),"="&amp;$H$1)</f>
        <v>0</v>
      </c>
      <c r="I78" s="203">
        <f t="shared" ca="1" si="15"/>
        <v>0</v>
      </c>
      <c r="J78" s="68"/>
      <c r="K78" s="96" t="s">
        <v>762</v>
      </c>
      <c r="L78" s="182" t="s">
        <v>24</v>
      </c>
      <c r="M78" s="182"/>
      <c r="N78" s="182" t="s">
        <v>546</v>
      </c>
      <c r="O78" s="183">
        <f ca="1">IF(SUM(E$138:E$138)&gt;=1,0,1)</f>
        <v>1</v>
      </c>
      <c r="P78" s="183">
        <f ca="1">IF(SUM(E$138)&gt;=1,1,IF(SUM(G$138)&gt;=1,1,IF(SUM(F$138)&gt;=1,0,1)))</f>
        <v>1</v>
      </c>
      <c r="Q78" s="183">
        <f ca="1">IF(SUM(E$138)&gt;=1,1,IF(SUM(G$138)&gt;=1,0,1))</f>
        <v>1</v>
      </c>
      <c r="R78" s="183">
        <f ca="1">IF(SUM(E$138)&gt;=1,1,IF(SUM(G$138)&gt;=1,1,IF(SUM(F$138)&gt;=1,1,IF(SUM(H$138)&gt;=1,0,1))))</f>
        <v>1</v>
      </c>
      <c r="S78" s="68"/>
      <c r="U78" s="68"/>
      <c r="X78" s="68"/>
      <c r="AA78" s="68"/>
      <c r="AD78" s="68"/>
      <c r="AE78" s="257" t="s">
        <v>559</v>
      </c>
      <c r="AF78" s="206">
        <f>COUNTIF(TabTrans[Test],"="&amp;Value!$AE78&amp;".*")</f>
        <v>3</v>
      </c>
      <c r="AG78" s="22">
        <f>IF(COUNTIFS(TabSynthez[Test],"="&amp;$AE78&amp;".*",TabSynthez[Colonne1],"Validé")&gt;0,IF(COUNTIFS(TabSynthez[Test],"="&amp;$AE78&amp;".*",TabSynthez[Colonne1],"Validé")+COUNTIFS(TabSynthez[Test],"="&amp;$AE78&amp;".*",TabSynthez[Colonne1],"NA")=$AF78,1,0),0)</f>
        <v>0</v>
      </c>
    </row>
    <row r="79" spans="1:33" s="9" customFormat="1" x14ac:dyDescent="0.25">
      <c r="A79" s="68"/>
      <c r="B79" s="74" t="str">
        <f>Modèle!B81</f>
        <v>Multimédia</v>
      </c>
      <c r="C79" s="80" t="str">
        <f>Modèle!D81</f>
        <v>4.1.2</v>
      </c>
      <c r="D79" s="81" t="str">
        <f>Modèle!E81</f>
        <v>A</v>
      </c>
      <c r="E79" s="80">
        <f ca="1">COUNTIF(OFFSET(Synthèse!$G88,0,0,1,COUNTA(Synthèse!$10:$10)-6),"="&amp;$E$1)</f>
        <v>0</v>
      </c>
      <c r="F79" s="80">
        <f ca="1">COUNTIF(OFFSET(Synthèse!$G88,0,0,1,COUNTA(Synthèse!$10:$10)-6),"="&amp;$F$1)</f>
        <v>0</v>
      </c>
      <c r="G79" s="80">
        <f ca="1">COUNTIF(OFFSET(Synthèse!$G88,0,0,1,COUNTA(Synthèse!$10:$10)-6),"="&amp;$G$1)</f>
        <v>0</v>
      </c>
      <c r="H79" s="80">
        <f ca="1">COUNTIF(OFFSET(Synthèse!$G88,0,0,1,COUNTA(Synthèse!$10:$10)-6),"="&amp;$H$1)</f>
        <v>0</v>
      </c>
      <c r="I79" s="203">
        <f t="shared" ca="1" si="15"/>
        <v>0</v>
      </c>
      <c r="J79" s="68"/>
      <c r="K79" s="96" t="s">
        <v>763</v>
      </c>
      <c r="L79" s="182" t="s">
        <v>24</v>
      </c>
      <c r="M79" s="182"/>
      <c r="N79" s="182" t="s">
        <v>547</v>
      </c>
      <c r="O79" s="183">
        <f ca="1">IF(SUM(E$139:E$139)&gt;=1,0,1)</f>
        <v>1</v>
      </c>
      <c r="P79" s="183">
        <f ca="1">IF(SUM(E$139)&gt;=1,1,IF(SUM(G$139)&gt;=1,1,IF(SUM(F$139)&gt;=1,0,1)))</f>
        <v>1</v>
      </c>
      <c r="Q79" s="183">
        <f ca="1">IF(SUM(E$139)&gt;=1,1,IF(SUM(G$139)&gt;=1,0,1))</f>
        <v>1</v>
      </c>
      <c r="R79" s="183">
        <f ca="1">IF(SUM(E$139)&gt;=1,1,IF(SUM(G$139)&gt;=1,1,IF(SUM(F$139)&gt;=1,1,IF(SUM(H$139)&gt;=1,0,1))))</f>
        <v>1</v>
      </c>
      <c r="S79" s="68"/>
      <c r="U79" s="68"/>
      <c r="X79" s="68"/>
      <c r="AA79" s="68"/>
      <c r="AD79" s="68"/>
      <c r="AE79" s="257" t="s">
        <v>560</v>
      </c>
      <c r="AF79" s="206">
        <f>COUNTIF(TabTrans[Test],"="&amp;Value!$AE79&amp;".*")</f>
        <v>1</v>
      </c>
      <c r="AG79" s="22">
        <f>IF(COUNTIFS(TabSynthez[Test],"="&amp;$AE79&amp;".*",TabSynthez[Colonne1],"Validé")&gt;0,IF(COUNTIFS(TabSynthez[Test],"="&amp;$AE79&amp;".*",TabSynthez[Colonne1],"Validé")+COUNTIFS(TabSynthez[Test],"="&amp;$AE79&amp;".*",TabSynthez[Colonne1],"NA")=$AF79,1,0),0)</f>
        <v>0</v>
      </c>
    </row>
    <row r="80" spans="1:33" s="9" customFormat="1" x14ac:dyDescent="0.25">
      <c r="A80" s="68"/>
      <c r="B80" s="74" t="str">
        <f>Modèle!B82</f>
        <v>Multimédia</v>
      </c>
      <c r="C80" s="80" t="str">
        <f>Modèle!D82</f>
        <v>4.1.3</v>
      </c>
      <c r="D80" s="81" t="str">
        <f>Modèle!E82</f>
        <v>A</v>
      </c>
      <c r="E80" s="80">
        <f ca="1">COUNTIF(OFFSET(Synthèse!$G89,0,0,1,COUNTA(Synthèse!$10:$10)-6),"="&amp;$E$1)</f>
        <v>0</v>
      </c>
      <c r="F80" s="80">
        <f ca="1">COUNTIF(OFFSET(Synthèse!$G89,0,0,1,COUNTA(Synthèse!$10:$10)-6),"="&amp;$F$1)</f>
        <v>0</v>
      </c>
      <c r="G80" s="80">
        <f ca="1">COUNTIF(OFFSET(Synthèse!$G89,0,0,1,COUNTA(Synthèse!$10:$10)-6),"="&amp;$G$1)</f>
        <v>0</v>
      </c>
      <c r="H80" s="80">
        <f ca="1">COUNTIF(OFFSET(Synthèse!$G89,0,0,1,COUNTA(Synthèse!$10:$10)-6),"="&amp;$H$1)</f>
        <v>0</v>
      </c>
      <c r="I80" s="203">
        <f t="shared" ca="1" si="15"/>
        <v>0</v>
      </c>
      <c r="J80" s="68"/>
      <c r="K80" s="96" t="s">
        <v>764</v>
      </c>
      <c r="L80" s="182" t="s">
        <v>24</v>
      </c>
      <c r="M80" s="182"/>
      <c r="N80" s="182" t="s">
        <v>548</v>
      </c>
      <c r="O80" s="183">
        <f ca="1">IF(SUM(E$140:E$140)&gt;=1,0,1)</f>
        <v>1</v>
      </c>
      <c r="P80" s="183">
        <f ca="1">IF(SUM(E$140)&gt;=1,1,IF(SUM(G$140)&gt;=1,1,IF(SUM(F$140)&gt;=1,0,1)))</f>
        <v>1</v>
      </c>
      <c r="Q80" s="183">
        <f ca="1">IF(SUM(E$140)&gt;=1,1,IF(SUM(G$140)&gt;=1,0,1))</f>
        <v>1</v>
      </c>
      <c r="R80" s="183">
        <f ca="1">IF(SUM(E$140)&gt;=1,1,IF(SUM(G$140)&gt;=1,1,IF(SUM(F$140)&gt;=1,1,IF(SUM(H$140)&gt;=1,0,1))))</f>
        <v>1</v>
      </c>
      <c r="S80" s="68"/>
      <c r="U80" s="68"/>
      <c r="X80" s="68"/>
      <c r="AA80" s="68"/>
      <c r="AD80" s="68"/>
      <c r="AE80" s="257" t="s">
        <v>561</v>
      </c>
      <c r="AF80" s="206">
        <f>COUNTIF(TabTrans[Test],"="&amp;Value!$AE80&amp;".*")</f>
        <v>1</v>
      </c>
      <c r="AG80" s="22">
        <f>IF(COUNTIFS(TabSynthez[Test],"="&amp;$AE80&amp;".*",TabSynthez[Colonne1],"Validé")&gt;0,IF(COUNTIFS(TabSynthez[Test],"="&amp;$AE80&amp;".*",TabSynthez[Colonne1],"Validé")+COUNTIFS(TabSynthez[Test],"="&amp;$AE80&amp;".*",TabSynthez[Colonne1],"NA")=$AF80,1,0),0)</f>
        <v>0</v>
      </c>
    </row>
    <row r="81" spans="1:33" s="9" customFormat="1" x14ac:dyDescent="0.25">
      <c r="A81" s="68"/>
      <c r="B81" s="75" t="str">
        <f>Modèle!B83</f>
        <v>Multimédia</v>
      </c>
      <c r="C81" s="82" t="str">
        <f>Modèle!D83</f>
        <v>4.2.1</v>
      </c>
      <c r="D81" s="83" t="str">
        <f>Modèle!E83</f>
        <v>A</v>
      </c>
      <c r="E81" s="179">
        <f ca="1">COUNTIF(OFFSET(Synthèse!$G90,0,0,1,COUNTA(Synthèse!$10:$10)-6),"="&amp;$E$1)</f>
        <v>0</v>
      </c>
      <c r="F81" s="179">
        <f ca="1">COUNTIF(OFFSET(Synthèse!$G90,0,0,1,COUNTA(Synthèse!$10:$10)-6),"="&amp;$F$1)</f>
        <v>0</v>
      </c>
      <c r="G81" s="179">
        <f ca="1">COUNTIF(OFFSET(Synthèse!$G90,0,0,1,COUNTA(Synthèse!$10:$10)-6),"="&amp;$G$1)</f>
        <v>0</v>
      </c>
      <c r="H81" s="179">
        <f ca="1">COUNTIF(OFFSET(Synthèse!$G90,0,0,1,COUNTA(Synthèse!$10:$10)-6),"="&amp;$H$1)</f>
        <v>0</v>
      </c>
      <c r="I81" s="203">
        <f t="shared" ca="1" si="15"/>
        <v>0</v>
      </c>
      <c r="J81" s="68"/>
      <c r="K81" s="96" t="s">
        <v>765</v>
      </c>
      <c r="L81" s="182" t="s">
        <v>24</v>
      </c>
      <c r="M81" s="182"/>
      <c r="N81" s="182" t="s">
        <v>549</v>
      </c>
      <c r="O81" s="183">
        <f ca="1">IF(SUM(E$141:E$141)&gt;=1,0,1)</f>
        <v>1</v>
      </c>
      <c r="P81" s="183">
        <f ca="1">IF(SUM(E$141)&gt;=1,1,IF(SUM(G$141)&gt;=1,1,IF(SUM(F$141)&gt;=1,0,1)))</f>
        <v>1</v>
      </c>
      <c r="Q81" s="183">
        <f ca="1">IF(SUM(E$141)&gt;=1,1,IF(SUM(G$141)&gt;=1,0,1))</f>
        <v>1</v>
      </c>
      <c r="R81" s="183">
        <f ca="1">IF(SUM(E$141)&gt;=1,1,IF(SUM(G$141)&gt;=1,1,IF(SUM(F$141)&gt;=1,1,IF(SUM(H$141)&gt;=1,0,1))))</f>
        <v>1</v>
      </c>
      <c r="S81" s="68"/>
      <c r="U81" s="68"/>
      <c r="X81" s="68"/>
      <c r="AA81" s="68"/>
      <c r="AD81" s="68"/>
      <c r="AE81" s="257" t="s">
        <v>562</v>
      </c>
      <c r="AF81" s="206">
        <v>2</v>
      </c>
      <c r="AG81" s="22">
        <f>IF(COUNTIFS(TabSynthez[Test],"="&amp;$AE81&amp;".*",TabSynthez[Colonne1],"Validé")&gt;0,IF(COUNTIFS(TabSynthez[Test],"="&amp;$AE81&amp;".*",TabSynthez[Colonne1],"Validé")+COUNTIFS(TabSynthez[Test],"="&amp;$AE81&amp;".*",TabSynthez[Colonne1],"NA")=$AF81,1,0),0)</f>
        <v>0</v>
      </c>
    </row>
    <row r="82" spans="1:33" s="9" customFormat="1" x14ac:dyDescent="0.25">
      <c r="A82" s="68"/>
      <c r="B82" s="75" t="str">
        <f>Modèle!B84</f>
        <v>Multimédia</v>
      </c>
      <c r="C82" s="82" t="str">
        <f>Modèle!D84</f>
        <v>4.2.2</v>
      </c>
      <c r="D82" s="83" t="str">
        <f>Modèle!E84</f>
        <v>A</v>
      </c>
      <c r="E82" s="179">
        <f ca="1">COUNTIF(OFFSET(Synthèse!$G91,0,0,1,COUNTA(Synthèse!$10:$10)-6),"="&amp;$E$1)</f>
        <v>0</v>
      </c>
      <c r="F82" s="179">
        <f ca="1">COUNTIF(OFFSET(Synthèse!$G91,0,0,1,COUNTA(Synthèse!$10:$10)-6),"="&amp;$F$1)</f>
        <v>0</v>
      </c>
      <c r="G82" s="179">
        <f ca="1">COUNTIF(OFFSET(Synthèse!$G91,0,0,1,COUNTA(Synthèse!$10:$10)-6),"="&amp;$G$1)</f>
        <v>0</v>
      </c>
      <c r="H82" s="179">
        <f ca="1">COUNTIF(OFFSET(Synthèse!$G91,0,0,1,COUNTA(Synthèse!$10:$10)-6),"="&amp;$H$1)</f>
        <v>0</v>
      </c>
      <c r="I82" s="203">
        <f t="shared" ca="1" si="15"/>
        <v>0</v>
      </c>
      <c r="J82" s="68"/>
      <c r="K82" s="96" t="s">
        <v>766</v>
      </c>
      <c r="L82" s="182" t="s">
        <v>24</v>
      </c>
      <c r="M82" s="182"/>
      <c r="N82" s="182" t="s">
        <v>550</v>
      </c>
      <c r="O82" s="183">
        <f ca="1">IF(SUM(E$142:E$142)&gt;=1,0,1)</f>
        <v>1</v>
      </c>
      <c r="P82" s="183">
        <f ca="1">IF(SUM(E$142)&gt;=1,1,IF(SUM(G$142)&gt;=1,1,IF(SUM(F$142)&gt;=1,0,1)))</f>
        <v>1</v>
      </c>
      <c r="Q82" s="183">
        <f ca="1">IF(SUM(E$142)&gt;=1,1,IF(SUM(G$142)&gt;=1,0,1))</f>
        <v>1</v>
      </c>
      <c r="R82" s="183">
        <f ca="1">IF(SUM(E$142)&gt;=1,1,IF(SUM(G$142)&gt;=1,1,IF(SUM(F$142)&gt;=1,1,IF(SUM(H$142)&gt;=1,0,1))))</f>
        <v>1</v>
      </c>
      <c r="S82" s="68"/>
      <c r="U82" s="68"/>
      <c r="X82" s="68"/>
      <c r="AA82" s="68"/>
      <c r="AD82" s="68"/>
      <c r="AE82" s="257" t="s">
        <v>563</v>
      </c>
      <c r="AF82" s="206">
        <f>COUNTIF(TabTrans[Test],"="&amp;Value!$AE82&amp;".*")</f>
        <v>3</v>
      </c>
      <c r="AG82" s="22">
        <f>IF(COUNTIFS(TabSynthez[Test],"="&amp;$AE82&amp;".*",TabSynthez[Colonne1],"Validé")&gt;0,IF(COUNTIFS(TabSynthez[Test],"="&amp;$AE82&amp;".*",TabSynthez[Colonne1],"Validé")+COUNTIFS(TabSynthez[Test],"="&amp;$AE82&amp;".*",TabSynthez[Colonne1],"NA")=$AF82,1,0),0)</f>
        <v>0</v>
      </c>
    </row>
    <row r="83" spans="1:33" s="9" customFormat="1" x14ac:dyDescent="0.25">
      <c r="A83" s="68"/>
      <c r="B83" s="75" t="str">
        <f>Modèle!B85</f>
        <v>Multimédia</v>
      </c>
      <c r="C83" s="82" t="str">
        <f>Modèle!D85</f>
        <v>4.2.3</v>
      </c>
      <c r="D83" s="83" t="str">
        <f>Modèle!E85</f>
        <v>A</v>
      </c>
      <c r="E83" s="179">
        <f ca="1">COUNTIF(OFFSET(Synthèse!$G92,0,0,1,COUNTA(Synthèse!$10:$10)-6),"="&amp;$E$1)</f>
        <v>0</v>
      </c>
      <c r="F83" s="179">
        <f ca="1">COUNTIF(OFFSET(Synthèse!$G92,0,0,1,COUNTA(Synthèse!$10:$10)-6),"="&amp;$F$1)</f>
        <v>0</v>
      </c>
      <c r="G83" s="179">
        <f ca="1">COUNTIF(OFFSET(Synthèse!$G92,0,0,1,COUNTA(Synthèse!$10:$10)-6),"="&amp;$G$1)</f>
        <v>0</v>
      </c>
      <c r="H83" s="179">
        <f ca="1">COUNTIF(OFFSET(Synthèse!$G92,0,0,1,COUNTA(Synthèse!$10:$10)-6),"="&amp;$H$1)</f>
        <v>0</v>
      </c>
      <c r="I83" s="203">
        <f t="shared" ca="1" si="15"/>
        <v>0</v>
      </c>
      <c r="J83" s="68"/>
      <c r="K83" s="96" t="s">
        <v>767</v>
      </c>
      <c r="L83" s="182" t="s">
        <v>25</v>
      </c>
      <c r="M83" s="182"/>
      <c r="N83" s="182" t="s">
        <v>551</v>
      </c>
      <c r="O83" s="183">
        <f ca="1">IF(SUM(E$143:E$143)&gt;=1,0,1)</f>
        <v>1</v>
      </c>
      <c r="P83" s="183">
        <f ca="1">IF(SUM(E$143)&gt;=1,1,IF(SUM(G$143)&gt;=1,1,IF(SUM(F$143)&gt;=1,0,1)))</f>
        <v>1</v>
      </c>
      <c r="Q83" s="183">
        <f ca="1">IF(SUM(E$143)&gt;=1,1,IF(SUM(G$143)&gt;=1,0,1))</f>
        <v>1</v>
      </c>
      <c r="R83" s="183">
        <f ca="1">IF(SUM(E$143)&gt;=1,1,IF(SUM(G$143)&gt;=1,1,IF(SUM(F$143)&gt;=1,1,IF(SUM(H$143)&gt;=1,0,1))))</f>
        <v>1</v>
      </c>
      <c r="S83" s="68"/>
      <c r="U83" s="68"/>
      <c r="X83" s="68"/>
      <c r="AA83" s="68"/>
      <c r="AD83" s="68"/>
      <c r="AE83" s="257" t="s">
        <v>564</v>
      </c>
      <c r="AF83" s="206">
        <f>COUNTIF(TabTrans[Test],"="&amp;Value!$AE83&amp;".*")</f>
        <v>1</v>
      </c>
      <c r="AG83" s="22">
        <f>IF(COUNTIFS(TabSynthez[Test],"="&amp;$AE83&amp;".*",TabSynthez[Colonne1],"Validé")&gt;0,IF(COUNTIFS(TabSynthez[Test],"="&amp;$AE83&amp;".*",TabSynthez[Colonne1],"Validé")+COUNTIFS(TabSynthez[Test],"="&amp;$AE83&amp;".*",TabSynthez[Colonne1],"NA")=$AF83,1,0),0)</f>
        <v>0</v>
      </c>
    </row>
    <row r="84" spans="1:33" s="9" customFormat="1" x14ac:dyDescent="0.25">
      <c r="A84" s="68"/>
      <c r="B84" s="74" t="str">
        <f>Modèle!B86</f>
        <v>Multimédia</v>
      </c>
      <c r="C84" s="80" t="str">
        <f>Modèle!D86</f>
        <v>4.3.1</v>
      </c>
      <c r="D84" s="81" t="str">
        <f>Modèle!E86</f>
        <v>A</v>
      </c>
      <c r="E84" s="80">
        <f ca="1">COUNTIF(OFFSET(Synthèse!$G93,0,0,1,COUNTA(Synthèse!$10:$10)-6),"="&amp;$E$1)</f>
        <v>0</v>
      </c>
      <c r="F84" s="80">
        <f ca="1">COUNTIF(OFFSET(Synthèse!$G93,0,0,1,COUNTA(Synthèse!$10:$10)-6),"="&amp;$F$1)</f>
        <v>0</v>
      </c>
      <c r="G84" s="80">
        <f ca="1">COUNTIF(OFFSET(Synthèse!$G93,0,0,1,COUNTA(Synthèse!$10:$10)-6),"="&amp;$G$1)</f>
        <v>0</v>
      </c>
      <c r="H84" s="80">
        <f ca="1">COUNTIF(OFFSET(Synthèse!$G93,0,0,1,COUNTA(Synthèse!$10:$10)-6),"="&amp;$H$1)</f>
        <v>0</v>
      </c>
      <c r="I84" s="203">
        <f t="shared" ca="1" si="15"/>
        <v>0</v>
      </c>
      <c r="J84" s="68"/>
      <c r="K84" s="96" t="s">
        <v>768</v>
      </c>
      <c r="L84" s="182" t="s">
        <v>25</v>
      </c>
      <c r="M84" s="182"/>
      <c r="N84" s="182" t="s">
        <v>552</v>
      </c>
      <c r="O84" s="183">
        <f ca="1">IF(SUM(E$144:E$144)&gt;=1,0,1)</f>
        <v>1</v>
      </c>
      <c r="P84" s="183">
        <f ca="1">IF(SUM(E$144)&gt;=1,1,IF(SUM(G$144)&gt;=1,1,IF(SUM(F$144)&gt;=1,0,1)))</f>
        <v>1</v>
      </c>
      <c r="Q84" s="183">
        <f ca="1">IF(SUM(E$144)&gt;=1,1,IF(SUM(G$144)&gt;=1,0,1))</f>
        <v>1</v>
      </c>
      <c r="R84" s="183">
        <f ca="1">IF(SUM(E$144)&gt;=1,1,IF(SUM(G$144)&gt;=1,1,IF(SUM(F$144)&gt;=1,1,IF(SUM(H$144)&gt;=1,0,1))))</f>
        <v>1</v>
      </c>
      <c r="S84" s="68"/>
      <c r="U84" s="68"/>
      <c r="X84" s="68"/>
      <c r="AA84" s="68"/>
      <c r="AD84" s="68"/>
      <c r="AE84" s="257" t="s">
        <v>565</v>
      </c>
      <c r="AF84" s="206">
        <f>COUNTIF(TabTrans[Test],"="&amp;Value!$AE84&amp;".*")</f>
        <v>1</v>
      </c>
      <c r="AG84" s="22">
        <f>IF(COUNTIFS(TabSynthez[Test],"="&amp;$AE84&amp;".*",TabSynthez[Colonne1],"Validé")&gt;0,IF(COUNTIFS(TabSynthez[Test],"="&amp;$AE84&amp;".*",TabSynthez[Colonne1],"Validé")+COUNTIFS(TabSynthez[Test],"="&amp;$AE84&amp;".*",TabSynthez[Colonne1],"NA")=$AF84,1,0),0)</f>
        <v>0</v>
      </c>
    </row>
    <row r="85" spans="1:33" s="9" customFormat="1" x14ac:dyDescent="0.25">
      <c r="A85" s="68"/>
      <c r="B85" s="74" t="str">
        <f>Modèle!B87</f>
        <v>Multimédia</v>
      </c>
      <c r="C85" s="80" t="str">
        <f>Modèle!D87</f>
        <v>4.3.2</v>
      </c>
      <c r="D85" s="81" t="str">
        <f>Modèle!E87</f>
        <v>A</v>
      </c>
      <c r="E85" s="80">
        <f ca="1">COUNTIF(OFFSET(Synthèse!$G94,0,0,1,COUNTA(Synthèse!$10:$10)-6),"="&amp;$E$1)</f>
        <v>0</v>
      </c>
      <c r="F85" s="80">
        <f ca="1">COUNTIF(OFFSET(Synthèse!$G94,0,0,1,COUNTA(Synthèse!$10:$10)-6),"="&amp;$F$1)</f>
        <v>0</v>
      </c>
      <c r="G85" s="80">
        <f ca="1">COUNTIF(OFFSET(Synthèse!$G94,0,0,1,COUNTA(Synthèse!$10:$10)-6),"="&amp;$G$1)</f>
        <v>0</v>
      </c>
      <c r="H85" s="80">
        <f ca="1">COUNTIF(OFFSET(Synthèse!$G94,0,0,1,COUNTA(Synthèse!$10:$10)-6),"="&amp;$H$1)</f>
        <v>0</v>
      </c>
      <c r="I85" s="203">
        <f t="shared" ca="1" si="15"/>
        <v>0</v>
      </c>
      <c r="J85" s="68"/>
      <c r="K85" s="96" t="s">
        <v>769</v>
      </c>
      <c r="L85" s="182" t="s">
        <v>24</v>
      </c>
      <c r="M85" s="182"/>
      <c r="N85" s="182" t="s">
        <v>553</v>
      </c>
      <c r="O85" s="183">
        <f ca="1">IF(SUM(E$145:E$145)&gt;=1,0,1)</f>
        <v>1</v>
      </c>
      <c r="P85" s="183">
        <f ca="1">IF(SUM(E$145)&gt;=1,1,IF(SUM(G$145)&gt;=1,1,IF(SUM(F$145)&gt;=1,0,1)))</f>
        <v>1</v>
      </c>
      <c r="Q85" s="183">
        <f ca="1">IF(SUM(E$145)&gt;=1,1,IF(SUM(G$145)&gt;=1,0,1))</f>
        <v>1</v>
      </c>
      <c r="R85" s="183">
        <f ca="1">IF(SUM(E$145)&gt;=1,1,IF(SUM(G$145)&gt;=1,1,IF(SUM(F$145)&gt;=1,1,IF(SUM(H$145)&gt;=1,0,1))))</f>
        <v>1</v>
      </c>
      <c r="S85" s="68"/>
      <c r="U85" s="68"/>
      <c r="X85" s="68"/>
      <c r="AA85" s="68"/>
      <c r="AD85" s="68"/>
      <c r="AE85" s="257" t="s">
        <v>566</v>
      </c>
      <c r="AF85" s="206">
        <f>COUNTIF(TabTrans[Test],"="&amp;Value!$AE85&amp;".*")</f>
        <v>1</v>
      </c>
      <c r="AG85" s="22">
        <f>IF(COUNTIFS(TabSynthez[Test],"="&amp;$AE85&amp;".*",TabSynthez[Colonne1],"Validé")&gt;0,IF(COUNTIFS(TabSynthez[Test],"="&amp;$AE85&amp;".*",TabSynthez[Colonne1],"Validé")+COUNTIFS(TabSynthez[Test],"="&amp;$AE85&amp;".*",TabSynthez[Colonne1],"NA")=$AF85,1,0),0)</f>
        <v>0</v>
      </c>
    </row>
    <row r="86" spans="1:33" s="9" customFormat="1" x14ac:dyDescent="0.25">
      <c r="A86" s="68"/>
      <c r="B86" s="75" t="str">
        <f>Modèle!B88</f>
        <v>Multimédia</v>
      </c>
      <c r="C86" s="82" t="str">
        <f>Modèle!D88</f>
        <v>4.4.1</v>
      </c>
      <c r="D86" s="83" t="str">
        <f>Modèle!E88</f>
        <v>A</v>
      </c>
      <c r="E86" s="179">
        <f ca="1">COUNTIF(OFFSET(Synthèse!$G95,0,0,1,COUNTA(Synthèse!$10:$10)-6),"="&amp;$E$1)</f>
        <v>0</v>
      </c>
      <c r="F86" s="179">
        <f ca="1">COUNTIF(OFFSET(Synthèse!$G95,0,0,1,COUNTA(Synthèse!$10:$10)-6),"="&amp;$F$1)</f>
        <v>0</v>
      </c>
      <c r="G86" s="179">
        <f ca="1">COUNTIF(OFFSET(Synthèse!$G95,0,0,1,COUNTA(Synthèse!$10:$10)-6),"="&amp;$G$1)</f>
        <v>0</v>
      </c>
      <c r="H86" s="179">
        <f ca="1">COUNTIF(OFFSET(Synthèse!$G95,0,0,1,COUNTA(Synthèse!$10:$10)-6),"="&amp;$H$1)</f>
        <v>0</v>
      </c>
      <c r="I86" s="203">
        <f t="shared" ca="1" si="15"/>
        <v>0</v>
      </c>
      <c r="J86" s="68"/>
      <c r="K86" s="96" t="s">
        <v>770</v>
      </c>
      <c r="L86" s="182" t="s">
        <v>24</v>
      </c>
      <c r="M86" s="182"/>
      <c r="N86" s="182" t="s">
        <v>554</v>
      </c>
      <c r="O86" s="183">
        <f ca="1">IF(SUM(E$146:E$147)&gt;=1,0,1)</f>
        <v>1</v>
      </c>
      <c r="P86" s="183">
        <f ca="1">IF(SUM(E$146:E$147)&gt;=1,1,IF(SUM(G$146:G$147)&gt;=1,1,IF(SUM(F$146:F$147)&gt;=1,0,1)))</f>
        <v>1</v>
      </c>
      <c r="Q86" s="183">
        <f ca="1">IF(SUM(E$146:E$147)&gt;=1,1,IF(SUM(G$146:G$147)&gt;=1,0,1))</f>
        <v>1</v>
      </c>
      <c r="R86" s="183">
        <f ca="1">IF(SUM(E$146:E$147)&gt;=1,1,IF(SUM(G$146:G$147)&gt;=1,1,IF(SUM(F$146:F$147)&gt;=1,1,IF(SUM(H$146:H$147)&gt;=1,0,1))))</f>
        <v>1</v>
      </c>
      <c r="S86" s="68"/>
      <c r="U86" s="68"/>
      <c r="X86" s="68"/>
      <c r="AA86" s="68"/>
      <c r="AD86" s="68"/>
      <c r="AE86" s="257" t="s">
        <v>567</v>
      </c>
      <c r="AF86" s="206">
        <f>COUNTIF(TabTrans[Test],"="&amp;Value!$AE86&amp;".*")</f>
        <v>4</v>
      </c>
      <c r="AG86" s="22">
        <f>IF(COUNTIFS(TabSynthez[Test],"="&amp;$AE86&amp;".*",TabSynthez[Colonne1],"Validé")&gt;0,IF(COUNTIFS(TabSynthez[Test],"="&amp;$AE86&amp;".*",TabSynthez[Colonne1],"Validé")+COUNTIFS(TabSynthez[Test],"="&amp;$AE86&amp;".*",TabSynthez[Colonne1],"NA")=$AF86,1,0),0)</f>
        <v>0</v>
      </c>
    </row>
    <row r="87" spans="1:33" s="9" customFormat="1" x14ac:dyDescent="0.25">
      <c r="A87" s="68"/>
      <c r="B87" s="74" t="str">
        <f>Modèle!B89</f>
        <v>Multimédia</v>
      </c>
      <c r="C87" s="80" t="str">
        <f>Modèle!D89</f>
        <v>4.5.1</v>
      </c>
      <c r="D87" s="81" t="str">
        <f>Modèle!E89</f>
        <v>AA</v>
      </c>
      <c r="E87" s="80">
        <f ca="1">COUNTIF(OFFSET(Synthèse!$G96,0,0,1,COUNTA(Synthèse!$10:$10)-6),"="&amp;$E$1)</f>
        <v>0</v>
      </c>
      <c r="F87" s="80">
        <f ca="1">COUNTIF(OFFSET(Synthèse!$G96,0,0,1,COUNTA(Synthèse!$10:$10)-6),"="&amp;$F$1)</f>
        <v>0</v>
      </c>
      <c r="G87" s="80">
        <f ca="1">COUNTIF(OFFSET(Synthèse!$G96,0,0,1,COUNTA(Synthèse!$10:$10)-6),"="&amp;$G$1)</f>
        <v>0</v>
      </c>
      <c r="H87" s="80">
        <f ca="1">COUNTIF(OFFSET(Synthèse!$G96,0,0,1,COUNTA(Synthèse!$10:$10)-6),"="&amp;$H$1)</f>
        <v>0</v>
      </c>
      <c r="I87" s="203">
        <f t="shared" ca="1" si="15"/>
        <v>0</v>
      </c>
      <c r="J87" s="68"/>
      <c r="K87" s="96" t="s">
        <v>771</v>
      </c>
      <c r="L87" s="180" t="s">
        <v>24</v>
      </c>
      <c r="M87" s="180"/>
      <c r="N87" s="180" t="s">
        <v>555</v>
      </c>
      <c r="O87" s="181">
        <f ca="1">IF(SUM(E$148:E$150)&gt;=1,0,1)</f>
        <v>1</v>
      </c>
      <c r="P87" s="181">
        <f ca="1">IF(SUM(E$148:E$150)&gt;=1,1,IF(SUM(G$148:G$150)&gt;=1,1,IF(SUM(F$148:F$150)&gt;=1,0,1)))</f>
        <v>1</v>
      </c>
      <c r="Q87" s="181">
        <f ca="1">IF(SUM(E$148:E$150)&gt;=1,1,IF(SUM(G$148:G$150)&gt;=1,0,1))</f>
        <v>1</v>
      </c>
      <c r="R87" s="181">
        <f ca="1">IF(SUM(E$148:E$150)&gt;=1,1,IF(SUM(G$148:G$150)&gt;=1,1,IF(SUM(F$148:F$150)&gt;=1,1,IF(SUM(H$148:H$150)&gt;=1,0,1))))</f>
        <v>1</v>
      </c>
      <c r="S87" s="68"/>
      <c r="U87" s="68"/>
      <c r="X87" s="68"/>
      <c r="AA87" s="68"/>
      <c r="AD87" s="68"/>
      <c r="AE87" s="257" t="s">
        <v>568</v>
      </c>
      <c r="AF87" s="206">
        <f>COUNTIF(TabTrans[Test],"="&amp;Value!$AE87&amp;".*")</f>
        <v>4</v>
      </c>
      <c r="AG87" s="22">
        <f>IF(COUNTIFS(TabSynthez[Test],"="&amp;$AE87&amp;".*",TabSynthez[Colonne1],"Validé")&gt;0,IF(COUNTIFS(TabSynthez[Test],"="&amp;$AE87&amp;".*",TabSynthez[Colonne1],"Validé")+COUNTIFS(TabSynthez[Test],"="&amp;$AE87&amp;".*",TabSynthez[Colonne1],"NA")=$AF87,1,0),0)</f>
        <v>0</v>
      </c>
    </row>
    <row r="88" spans="1:33" s="9" customFormat="1" x14ac:dyDescent="0.25">
      <c r="A88" s="68"/>
      <c r="B88" s="74" t="str">
        <f>Modèle!B90</f>
        <v>Multimédia</v>
      </c>
      <c r="C88" s="80" t="str">
        <f>Modèle!D90</f>
        <v>4.5.2</v>
      </c>
      <c r="D88" s="81" t="str">
        <f>Modèle!E90</f>
        <v>AA</v>
      </c>
      <c r="E88" s="80">
        <f ca="1">COUNTIF(OFFSET(Synthèse!$G97,0,0,1,COUNTA(Synthèse!$10:$10)-6),"="&amp;$E$1)</f>
        <v>0</v>
      </c>
      <c r="F88" s="80">
        <f ca="1">COUNTIF(OFFSET(Synthèse!$G97,0,0,1,COUNTA(Synthèse!$10:$10)-6),"="&amp;$F$1)</f>
        <v>0</v>
      </c>
      <c r="G88" s="80">
        <f ca="1">COUNTIF(OFFSET(Synthèse!$G97,0,0,1,COUNTA(Synthèse!$10:$10)-6),"="&amp;$G$1)</f>
        <v>0</v>
      </c>
      <c r="H88" s="80">
        <f ca="1">COUNTIF(OFFSET(Synthèse!$G97,0,0,1,COUNTA(Synthèse!$10:$10)-6),"="&amp;$H$1)</f>
        <v>0</v>
      </c>
      <c r="I88" s="203">
        <f t="shared" ca="1" si="15"/>
        <v>0</v>
      </c>
      <c r="J88" s="68"/>
      <c r="K88" s="96" t="s">
        <v>772</v>
      </c>
      <c r="L88" s="180" t="s">
        <v>24</v>
      </c>
      <c r="M88" s="180"/>
      <c r="N88" s="180" t="s">
        <v>556</v>
      </c>
      <c r="O88" s="181">
        <f ca="1">IF(SUM(E$151:E$151)&gt;=1,0,1)</f>
        <v>1</v>
      </c>
      <c r="P88" s="181">
        <f ca="1">IF(SUM(E$151)&gt;=1,1,IF(SUM(G$151)&gt;=1,1,IF(SUM(F$151)&gt;=1,0,1)))</f>
        <v>1</v>
      </c>
      <c r="Q88" s="181">
        <f ca="1">IF(SUM(E$151)&gt;=1,1,IF(SUM(G$151)&gt;=1,0,1))</f>
        <v>1</v>
      </c>
      <c r="R88" s="181">
        <f ca="1">IF(SUM(E$151)&gt;=1,1,IF(SUM(G$151)&gt;=1,1,IF(SUM(F$151)&gt;=1,1,IF(SUM(H$151)&gt;=1,0,1))))</f>
        <v>1</v>
      </c>
      <c r="S88" s="68"/>
      <c r="U88" s="68"/>
      <c r="X88" s="68"/>
      <c r="AA88" s="68"/>
      <c r="AD88" s="68"/>
      <c r="AE88" s="257" t="s">
        <v>569</v>
      </c>
      <c r="AF88" s="206">
        <f>COUNTIF(TabTrans[Test],"="&amp;Value!$AE88&amp;".*")</f>
        <v>2</v>
      </c>
      <c r="AG88" s="22">
        <f>IF(COUNTIFS(TabSynthez[Test],"="&amp;$AE88&amp;".*",TabSynthez[Colonne1],"Validé")&gt;0,IF(COUNTIFS(TabSynthez[Test],"="&amp;$AE88&amp;".*",TabSynthez[Colonne1],"Validé")+COUNTIFS(TabSynthez[Test],"="&amp;$AE88&amp;".*",TabSynthez[Colonne1],"NA")=$AF88,1,0),0)</f>
        <v>0</v>
      </c>
    </row>
    <row r="89" spans="1:33" s="9" customFormat="1" x14ac:dyDescent="0.25">
      <c r="A89" s="68"/>
      <c r="B89" s="75" t="str">
        <f>Modèle!B91</f>
        <v>Multimédia</v>
      </c>
      <c r="C89" s="82" t="str">
        <f>Modèle!D91</f>
        <v>4.6.1</v>
      </c>
      <c r="D89" s="83" t="str">
        <f>Modèle!E91</f>
        <v>AA</v>
      </c>
      <c r="E89" s="179">
        <f ca="1">COUNTIF(OFFSET(Synthèse!$G98,0,0,1,COUNTA(Synthèse!$10:$10)-6),"="&amp;$E$1)</f>
        <v>0</v>
      </c>
      <c r="F89" s="179">
        <f ca="1">COUNTIF(OFFSET(Synthèse!$G98,0,0,1,COUNTA(Synthèse!$10:$10)-6),"="&amp;$F$1)</f>
        <v>0</v>
      </c>
      <c r="G89" s="179">
        <f ca="1">COUNTIF(OFFSET(Synthèse!$G98,0,0,1,COUNTA(Synthèse!$10:$10)-6),"="&amp;$G$1)</f>
        <v>0</v>
      </c>
      <c r="H89" s="179">
        <f ca="1">COUNTIF(OFFSET(Synthèse!$G98,0,0,1,COUNTA(Synthèse!$10:$10)-6),"="&amp;$H$1)</f>
        <v>0</v>
      </c>
      <c r="I89" s="203">
        <f t="shared" ca="1" si="15"/>
        <v>0</v>
      </c>
      <c r="J89" s="68"/>
      <c r="K89" s="96" t="s">
        <v>773</v>
      </c>
      <c r="L89" s="180" t="s">
        <v>24</v>
      </c>
      <c r="M89" s="180"/>
      <c r="N89" s="180" t="s">
        <v>557</v>
      </c>
      <c r="O89" s="181">
        <f ca="1">IF(SUM(E$152:E$154)&gt;=1,0,1)</f>
        <v>1</v>
      </c>
      <c r="P89" s="181">
        <f ca="1">IF(SUM(E$152:E$154)&gt;=1,1,IF(SUM(G$152:G$154)&gt;=1,1,IF(SUM(F$152:F$154)&gt;=1,0,1)))</f>
        <v>1</v>
      </c>
      <c r="Q89" s="181">
        <f ca="1">IF(SUM(E$152:E$154)&gt;=1,1,IF(SUM(G$152:G$154)&gt;=1,0,1))</f>
        <v>1</v>
      </c>
      <c r="R89" s="181">
        <f ca="1">IF(SUM(E$152:E$154)&gt;=1,1,IF(SUM(G$152:G$154)&gt;=1,1,IF(SUM(F$152:F$154)&gt;=1,1,IF(SUM(H$152:H$154)&gt;=1,0,1))))</f>
        <v>1</v>
      </c>
      <c r="S89" s="68"/>
      <c r="U89" s="68"/>
      <c r="X89" s="68"/>
      <c r="AA89" s="68"/>
      <c r="AD89" s="68"/>
      <c r="AE89" s="257" t="s">
        <v>570</v>
      </c>
      <c r="AF89" s="206">
        <f>COUNTIF(TabTrans[Test],"="&amp;Value!$AE89&amp;".*")</f>
        <v>1</v>
      </c>
      <c r="AG89" s="22">
        <f>IF(COUNTIFS(TabSynthez[Test],"="&amp;$AE89&amp;".*",TabSynthez[Colonne1],"Validé")&gt;0,IF(COUNTIFS(TabSynthez[Test],"="&amp;$AE89&amp;".*",TabSynthez[Colonne1],"Validé")+COUNTIFS(TabSynthez[Test],"="&amp;$AE89&amp;".*",TabSynthez[Colonne1],"NA")=$AF89,1,0),0)</f>
        <v>0</v>
      </c>
    </row>
    <row r="90" spans="1:33" s="9" customFormat="1" x14ac:dyDescent="0.25">
      <c r="A90" s="68"/>
      <c r="B90" s="75" t="str">
        <f>Modèle!B92</f>
        <v>Multimédia</v>
      </c>
      <c r="C90" s="82" t="str">
        <f>Modèle!D92</f>
        <v>4.6.2</v>
      </c>
      <c r="D90" s="83" t="str">
        <f>Modèle!E92</f>
        <v>AA</v>
      </c>
      <c r="E90" s="179">
        <f ca="1">COUNTIF(OFFSET(Synthèse!$G99,0,0,1,COUNTA(Synthèse!$10:$10)-6),"="&amp;$E$1)</f>
        <v>0</v>
      </c>
      <c r="F90" s="179">
        <f ca="1">COUNTIF(OFFSET(Synthèse!$G99,0,0,1,COUNTA(Synthèse!$10:$10)-6),"="&amp;$F$1)</f>
        <v>0</v>
      </c>
      <c r="G90" s="179">
        <f ca="1">COUNTIF(OFFSET(Synthèse!$G99,0,0,1,COUNTA(Synthèse!$10:$10)-6),"="&amp;$G$1)</f>
        <v>0</v>
      </c>
      <c r="H90" s="179">
        <f ca="1">COUNTIF(OFFSET(Synthèse!$G99,0,0,1,COUNTA(Synthèse!$10:$10)-6),"="&amp;$H$1)</f>
        <v>0</v>
      </c>
      <c r="I90" s="203">
        <f t="shared" ca="1" si="15"/>
        <v>0</v>
      </c>
      <c r="J90" s="68"/>
      <c r="K90" s="96" t="s">
        <v>774</v>
      </c>
      <c r="L90" s="180" t="s">
        <v>24</v>
      </c>
      <c r="M90" s="180"/>
      <c r="N90" s="180" t="s">
        <v>558</v>
      </c>
      <c r="O90" s="181">
        <f ca="1">IF(SUM(E$155:E$156)&gt;=1,0,1)</f>
        <v>1</v>
      </c>
      <c r="P90" s="181">
        <f ca="1">IF(SUM(E$155:E$156)&gt;=1,1,IF(SUM(G$155:G$156)&gt;=1,1,IF(SUM(F$155:F$156)&gt;=1,0,1)))</f>
        <v>1</v>
      </c>
      <c r="Q90" s="181">
        <f ca="1">IF(SUM(E$155:E$156)&gt;=1,1,IF(SUM(G$155:G$156)&gt;=1,0,1))</f>
        <v>1</v>
      </c>
      <c r="R90" s="181">
        <f ca="1">IF(SUM(E$155:E$156)&gt;=1,1,IF(SUM(G$155:G$156)&gt;=1,1,IF(SUM(F$155:F$156)&gt;=1,1,IF(SUM(H$155:H$156)&gt;=1,0,1))))</f>
        <v>1</v>
      </c>
      <c r="S90" s="68"/>
      <c r="U90" s="68"/>
      <c r="X90" s="68"/>
      <c r="AA90" s="68"/>
      <c r="AD90" s="68"/>
      <c r="AE90" s="257" t="s">
        <v>571</v>
      </c>
      <c r="AF90" s="206">
        <f>COUNTIF(TabTrans[Test],"="&amp;Value!$AE90&amp;".*")</f>
        <v>3</v>
      </c>
      <c r="AG90" s="22">
        <f>IF(COUNTIFS(TabSynthez[Test],"="&amp;$AE90&amp;".*",TabSynthez[Colonne1],"Validé")&gt;0,IF(COUNTIFS(TabSynthez[Test],"="&amp;$AE90&amp;".*",TabSynthez[Colonne1],"Validé")+COUNTIFS(TabSynthez[Test],"="&amp;$AE90&amp;".*",TabSynthez[Colonne1],"NA")=$AF90,1,0),0)</f>
        <v>0</v>
      </c>
    </row>
    <row r="91" spans="1:33" s="9" customFormat="1" x14ac:dyDescent="0.25">
      <c r="A91" s="68"/>
      <c r="B91" s="74" t="str">
        <f>Modèle!B93</f>
        <v>Multimédia</v>
      </c>
      <c r="C91" s="80" t="str">
        <f>Modèle!D93</f>
        <v>4.7.1</v>
      </c>
      <c r="D91" s="81" t="str">
        <f>Modèle!E93</f>
        <v>A</v>
      </c>
      <c r="E91" s="80">
        <f ca="1">COUNTIF(OFFSET(Synthèse!$G100,0,0,1,COUNTA(Synthèse!$10:$10)-6),"="&amp;$E$1)</f>
        <v>0</v>
      </c>
      <c r="F91" s="80">
        <f ca="1">COUNTIF(OFFSET(Synthèse!$G100,0,0,1,COUNTA(Synthèse!$10:$10)-6),"="&amp;$F$1)</f>
        <v>0</v>
      </c>
      <c r="G91" s="80">
        <f ca="1">COUNTIF(OFFSET(Synthèse!$G100,0,0,1,COUNTA(Synthèse!$10:$10)-6),"="&amp;$G$1)</f>
        <v>0</v>
      </c>
      <c r="H91" s="80">
        <f ca="1">COUNTIF(OFFSET(Synthèse!$G100,0,0,1,COUNTA(Synthèse!$10:$10)-6),"="&amp;$H$1)</f>
        <v>0</v>
      </c>
      <c r="I91" s="203">
        <f t="shared" ca="1" si="15"/>
        <v>0</v>
      </c>
      <c r="J91" s="68"/>
      <c r="K91" s="96" t="s">
        <v>626</v>
      </c>
      <c r="L91" s="182" t="s">
        <v>24</v>
      </c>
      <c r="M91" s="182"/>
      <c r="N91" s="182" t="s">
        <v>559</v>
      </c>
      <c r="O91" s="183">
        <f ca="1">IF(SUM(E$157:E$159)&gt;=1,0,1)</f>
        <v>1</v>
      </c>
      <c r="P91" s="183">
        <f ca="1">IF(SUM(E$157:E$159)&gt;=1,1,IF(SUM(G$157:G$159)&gt;=1,1,IF(SUM(F$157:F$159)&gt;=1,0,1)))</f>
        <v>1</v>
      </c>
      <c r="Q91" s="183">
        <f ca="1">IF(SUM(E$157:E$159)&gt;=1,1,IF(SUM(G$157:G$159)&gt;=1,0,1))</f>
        <v>1</v>
      </c>
      <c r="R91" s="183">
        <f ca="1">IF(SUM(E$157:E$159)&gt;=1,1,IF(SUM(G$157:G$159)&gt;=1,1,IF(SUM(F$157:F$159)&gt;=1,1,IF(SUM(H$157:H$159)&gt;=1,0,1))))</f>
        <v>1</v>
      </c>
      <c r="S91" s="68"/>
      <c r="U91" s="68"/>
      <c r="X91" s="68"/>
      <c r="AA91" s="68"/>
      <c r="AD91" s="68"/>
      <c r="AE91" s="257" t="s">
        <v>572</v>
      </c>
      <c r="AF91" s="206">
        <f>COUNTIF(TabTrans[Test],"="&amp;Value!$AE91&amp;".*")</f>
        <v>2</v>
      </c>
      <c r="AG91" s="22">
        <f>IF(COUNTIFS(TabSynthez[Test],"="&amp;$AE91&amp;".*",TabSynthez[Colonne1],"Validé")&gt;0,IF(COUNTIFS(TabSynthez[Test],"="&amp;$AE91&amp;".*",TabSynthez[Colonne1],"Validé")+COUNTIFS(TabSynthez[Test],"="&amp;$AE91&amp;".*",TabSynthez[Colonne1],"NA")=$AF91,1,0),0)</f>
        <v>0</v>
      </c>
    </row>
    <row r="92" spans="1:33" s="9" customFormat="1" x14ac:dyDescent="0.25">
      <c r="A92" s="68"/>
      <c r="B92" s="75" t="str">
        <f>Modèle!B94</f>
        <v>Multimédia</v>
      </c>
      <c r="C92" s="82" t="str">
        <f>Modèle!D94</f>
        <v>4.8.1</v>
      </c>
      <c r="D92" s="83" t="str">
        <f>Modèle!E94</f>
        <v>A</v>
      </c>
      <c r="E92" s="179">
        <f ca="1">COUNTIF(OFFSET(Synthèse!$G101,0,0,1,COUNTA(Synthèse!$10:$10)-6),"="&amp;$E$1)</f>
        <v>0</v>
      </c>
      <c r="F92" s="179">
        <f ca="1">COUNTIF(OFFSET(Synthèse!$G101,0,0,1,COUNTA(Synthèse!$10:$10)-6),"="&amp;$F$1)</f>
        <v>0</v>
      </c>
      <c r="G92" s="179">
        <f ca="1">COUNTIF(OFFSET(Synthèse!$G101,0,0,1,COUNTA(Synthèse!$10:$10)-6),"="&amp;$G$1)</f>
        <v>0</v>
      </c>
      <c r="H92" s="179">
        <f ca="1">COUNTIF(OFFSET(Synthèse!$G101,0,0,1,COUNTA(Synthèse!$10:$10)-6),"="&amp;$H$1)</f>
        <v>0</v>
      </c>
      <c r="I92" s="203">
        <f t="shared" ca="1" si="15"/>
        <v>0</v>
      </c>
      <c r="J92" s="68"/>
      <c r="K92" s="96" t="s">
        <v>775</v>
      </c>
      <c r="L92" s="182" t="s">
        <v>24</v>
      </c>
      <c r="M92" s="182"/>
      <c r="N92" s="182" t="s">
        <v>560</v>
      </c>
      <c r="O92" s="183">
        <f ca="1">IF(SUM(E$160:E$160)&gt;=1,0,1)</f>
        <v>1</v>
      </c>
      <c r="P92" s="183">
        <f ca="1">IF(SUM(E$160)&gt;=1,1,IF(SUM(G$160)&gt;=1,1,IF(SUM(F$160)&gt;=1,0,1)))</f>
        <v>1</v>
      </c>
      <c r="Q92" s="183">
        <f ca="1">IF(SUM(E$160)&gt;=1,1,IF(SUM(G$160)&gt;=1,0,1))</f>
        <v>1</v>
      </c>
      <c r="R92" s="183">
        <f ca="1">IF(SUM(E$160)&gt;=1,1,IF(SUM(G$160)&gt;=1,1,IF(SUM(F$160)&gt;=1,1,IF(SUM(H$160)&gt;=1,0,1))))</f>
        <v>1</v>
      </c>
      <c r="S92" s="68"/>
      <c r="U92" s="68"/>
      <c r="X92" s="68"/>
      <c r="AA92" s="68"/>
      <c r="AD92" s="68"/>
      <c r="AE92" s="257" t="s">
        <v>573</v>
      </c>
      <c r="AF92" s="206">
        <f>COUNTIF(TabTrans[Test],"="&amp;Value!$AE92&amp;".*")</f>
        <v>3</v>
      </c>
      <c r="AG92" s="22">
        <f>IF(COUNTIFS(TabSynthez[Test],"="&amp;$AE92&amp;".*",TabSynthez[Colonne1],"Validé")&gt;0,IF(COUNTIFS(TabSynthez[Test],"="&amp;$AE92&amp;".*",TabSynthez[Colonne1],"Validé")+COUNTIFS(TabSynthez[Test],"="&amp;$AE92&amp;".*",TabSynthez[Colonne1],"NA")=$AF92,1,0),0)</f>
        <v>0</v>
      </c>
    </row>
    <row r="93" spans="1:33" s="9" customFormat="1" x14ac:dyDescent="0.25">
      <c r="A93" s="68"/>
      <c r="B93" s="75" t="str">
        <f>Modèle!B95</f>
        <v>Multimédia</v>
      </c>
      <c r="C93" s="82" t="str">
        <f>Modèle!D95</f>
        <v>4.8.2</v>
      </c>
      <c r="D93" s="83" t="str">
        <f>Modèle!E95</f>
        <v>A</v>
      </c>
      <c r="E93" s="179">
        <f ca="1">COUNTIF(OFFSET(Synthèse!$G102,0,0,1,COUNTA(Synthèse!$10:$10)-6),"="&amp;$E$1)</f>
        <v>0</v>
      </c>
      <c r="F93" s="179">
        <f ca="1">COUNTIF(OFFSET(Synthèse!$G102,0,0,1,COUNTA(Synthèse!$10:$10)-6),"="&amp;$F$1)</f>
        <v>0</v>
      </c>
      <c r="G93" s="179">
        <f ca="1">COUNTIF(OFFSET(Synthèse!$G102,0,0,1,COUNTA(Synthèse!$10:$10)-6),"="&amp;$G$1)</f>
        <v>0</v>
      </c>
      <c r="H93" s="179">
        <f ca="1">COUNTIF(OFFSET(Synthèse!$G102,0,0,1,COUNTA(Synthèse!$10:$10)-6),"="&amp;$H$1)</f>
        <v>0</v>
      </c>
      <c r="I93" s="203">
        <f t="shared" ca="1" si="15"/>
        <v>0</v>
      </c>
      <c r="J93" s="68"/>
      <c r="K93" s="96" t="s">
        <v>776</v>
      </c>
      <c r="L93" s="182" t="s">
        <v>24</v>
      </c>
      <c r="M93" s="182"/>
      <c r="N93" s="182" t="s">
        <v>561</v>
      </c>
      <c r="O93" s="183">
        <f ca="1">IF(SUM(E$161:E$161)&gt;=1,0,1)</f>
        <v>1</v>
      </c>
      <c r="P93" s="183">
        <f ca="1">IF(SUM(E$161)&gt;=1,1,IF(SUM(G$161)&gt;=1,1,IF(SUM(F$161)&gt;=1,0,1)))</f>
        <v>1</v>
      </c>
      <c r="Q93" s="183">
        <f ca="1">IF(SUM(E$161)&gt;=1,1,IF(SUM(G$161)&gt;=1,0,1))</f>
        <v>1</v>
      </c>
      <c r="R93" s="183">
        <f ca="1">IF(SUM(E$161)&gt;=1,1,IF(SUM(G$161)&gt;=1,1,IF(SUM(F$161)&gt;=1,1,IF(SUM(H$161)&gt;=1,0,1))))</f>
        <v>1</v>
      </c>
      <c r="S93" s="68"/>
      <c r="U93" s="68"/>
      <c r="X93" s="68"/>
      <c r="AA93" s="68"/>
      <c r="AD93" s="68"/>
      <c r="AE93" s="257" t="s">
        <v>574</v>
      </c>
      <c r="AF93" s="206">
        <f>COUNTIF(TabTrans[Test],"="&amp;Value!$AE93&amp;".*")</f>
        <v>6</v>
      </c>
      <c r="AG93" s="22">
        <f>IF(COUNTIFS(TabSynthez[Test],"="&amp;$AE93&amp;".*",TabSynthez[Colonne1],"Validé")&gt;0,IF(COUNTIFS(TabSynthez[Test],"="&amp;$AE93&amp;".*",TabSynthez[Colonne1],"Validé")+COUNTIFS(TabSynthez[Test],"="&amp;$AE93&amp;".*",TabSynthez[Colonne1],"NA")=$AF93,1,0),0)</f>
        <v>0</v>
      </c>
    </row>
    <row r="94" spans="1:33" s="9" customFormat="1" x14ac:dyDescent="0.25">
      <c r="A94" s="68"/>
      <c r="B94" s="74" t="str">
        <f>Modèle!B96</f>
        <v>Multimédia</v>
      </c>
      <c r="C94" s="80" t="str">
        <f>Modèle!D96</f>
        <v>4.9.1</v>
      </c>
      <c r="D94" s="81" t="str">
        <f>Modèle!E96</f>
        <v>A</v>
      </c>
      <c r="E94" s="80">
        <f ca="1">COUNTIF(OFFSET(Synthèse!$G103,0,0,1,COUNTA(Synthèse!$10:$10)-6),"="&amp;$E$1)</f>
        <v>0</v>
      </c>
      <c r="F94" s="80">
        <f ca="1">COUNTIF(OFFSET(Synthèse!$G103,0,0,1,COUNTA(Synthèse!$10:$10)-6),"="&amp;$F$1)</f>
        <v>0</v>
      </c>
      <c r="G94" s="80">
        <f ca="1">COUNTIF(OFFSET(Synthèse!$G103,0,0,1,COUNTA(Synthèse!$10:$10)-6),"="&amp;$G$1)</f>
        <v>0</v>
      </c>
      <c r="H94" s="80">
        <f ca="1">COUNTIF(OFFSET(Synthèse!$G103,0,0,1,COUNTA(Synthèse!$10:$10)-6),"="&amp;$H$1)</f>
        <v>0</v>
      </c>
      <c r="I94" s="203">
        <f t="shared" ca="1" si="15"/>
        <v>0</v>
      </c>
      <c r="J94" s="68"/>
      <c r="K94" s="323" t="s">
        <v>777</v>
      </c>
      <c r="L94" s="182" t="s">
        <v>25</v>
      </c>
      <c r="M94" s="182"/>
      <c r="N94" s="182" t="s">
        <v>562</v>
      </c>
      <c r="O94" s="183">
        <f ca="1">IF(SUM(E$162:E$163)&gt;=1,0,1)</f>
        <v>1</v>
      </c>
      <c r="P94" s="183">
        <f ca="1">IF(SUM(E$162:E$163)&gt;=1,1,IF(SUM(G$162:G$163)&gt;=1,1,IF(SUM(F$162:F$163)&gt;=1,0,1)))</f>
        <v>1</v>
      </c>
      <c r="Q94" s="183">
        <f ca="1">IF(SUM(E$162:E$163)&gt;=1,1,IF(SUM(G$162:G$163)&gt;=1,0,1))</f>
        <v>1</v>
      </c>
      <c r="R94" s="183">
        <f ca="1">IF(SUM(E$162:E$163)&gt;=1,1,IF(SUM(G$162:G$163)&gt;=1,1,IF(SUM(F$162:F$163)&gt;=1,1,IF(SUM(H$162:H$163)&gt;=1,0,1))))</f>
        <v>1</v>
      </c>
      <c r="S94" s="68"/>
      <c r="U94" s="68"/>
      <c r="X94" s="68"/>
      <c r="AA94" s="68"/>
      <c r="AD94" s="68"/>
      <c r="AE94" s="257" t="s">
        <v>575</v>
      </c>
      <c r="AF94" s="206">
        <f>COUNTIF(TabTrans[Test],"="&amp;Value!$AE94&amp;".*")</f>
        <v>2</v>
      </c>
      <c r="AG94" s="22">
        <f>IF(COUNTIFS(TabSynthez[Test],"="&amp;$AE94&amp;".*",TabSynthez[Colonne1],"Validé")&gt;0,IF(COUNTIFS(TabSynthez[Test],"="&amp;$AE94&amp;".*",TabSynthez[Colonne1],"Validé")+COUNTIFS(TabSynthez[Test],"="&amp;$AE94&amp;".*",TabSynthez[Colonne1],"NA")=$AF94,1,0),0)</f>
        <v>0</v>
      </c>
    </row>
    <row r="95" spans="1:33" s="9" customFormat="1" x14ac:dyDescent="0.25">
      <c r="A95" s="68"/>
      <c r="B95" s="75" t="str">
        <f>Modèle!B97</f>
        <v>Multimédia</v>
      </c>
      <c r="C95" s="82" t="str">
        <f>Modèle!D97</f>
        <v>4.10.1</v>
      </c>
      <c r="D95" s="83" t="str">
        <f>Modèle!E97</f>
        <v>A</v>
      </c>
      <c r="E95" s="179">
        <f ca="1">COUNTIF(OFFSET(Synthèse!$G104,0,0,1,COUNTA(Synthèse!$10:$10)-6),"="&amp;$E$1)</f>
        <v>0</v>
      </c>
      <c r="F95" s="179">
        <f ca="1">COUNTIF(OFFSET(Synthèse!$G104,0,0,1,COUNTA(Synthèse!$10:$10)-6),"="&amp;$F$1)</f>
        <v>0</v>
      </c>
      <c r="G95" s="179">
        <f ca="1">COUNTIF(OFFSET(Synthèse!$G104,0,0,1,COUNTA(Synthèse!$10:$10)-6),"="&amp;$G$1)</f>
        <v>0</v>
      </c>
      <c r="H95" s="179">
        <f ca="1">COUNTIF(OFFSET(Synthèse!$G104,0,0,1,COUNTA(Synthèse!$10:$10)-6),"="&amp;$H$1)</f>
        <v>0</v>
      </c>
      <c r="I95" s="203">
        <f t="shared" ca="1" si="15"/>
        <v>0</v>
      </c>
      <c r="J95" s="68"/>
      <c r="K95" s="96" t="s">
        <v>778</v>
      </c>
      <c r="L95" s="182" t="s">
        <v>25</v>
      </c>
      <c r="M95" s="182"/>
      <c r="N95" s="182" t="s">
        <v>563</v>
      </c>
      <c r="O95" s="183">
        <f ca="1">IF(SUM(E$164:E$166)&gt;=1,0,1)</f>
        <v>1</v>
      </c>
      <c r="P95" s="183">
        <f ca="1">IF(SUM(E$164:E$166)&gt;=1,1,IF(SUM(G$164:G$166)&gt;=1,1,IF(SUM(F$164:F$166)&gt;=1,0,1)))</f>
        <v>1</v>
      </c>
      <c r="Q95" s="183">
        <f ca="1">IF(SUM(E$164:E$166)&gt;=1,1,IF(SUM(G$164:G$166)&gt;=1,0,1))</f>
        <v>1</v>
      </c>
      <c r="R95" s="183">
        <f ca="1">IF(SUM(E$164:E$166)&gt;=1,1,IF(SUM(G$164:G$166)&gt;=1,1,IF(SUM(F$164:F$166)&gt;=1,1,IF(SUM(H$164:H$166)&gt;=1,0,1))))</f>
        <v>1</v>
      </c>
      <c r="S95" s="68"/>
      <c r="U95" s="68"/>
      <c r="X95" s="68"/>
      <c r="AA95" s="68"/>
      <c r="AD95" s="68"/>
      <c r="AE95" s="257" t="s">
        <v>576</v>
      </c>
      <c r="AF95" s="206">
        <f>COUNTIF(TabTrans[Test],"="&amp;Value!$AE95&amp;".*")</f>
        <v>3</v>
      </c>
      <c r="AG95" s="22">
        <f>IF(COUNTIFS(TabSynthez[Test],"="&amp;$AE95&amp;".*",TabSynthez[Colonne1],"Validé")&gt;0,IF(COUNTIFS(TabSynthez[Test],"="&amp;$AE95&amp;".*",TabSynthez[Colonne1],"Validé")+COUNTIFS(TabSynthez[Test],"="&amp;$AE95&amp;".*",TabSynthez[Colonne1],"NA")=$AF95,1,0),0)</f>
        <v>0</v>
      </c>
    </row>
    <row r="96" spans="1:33" s="9" customFormat="1" x14ac:dyDescent="0.25">
      <c r="A96" s="68"/>
      <c r="B96" s="74" t="str">
        <f>Modèle!B98</f>
        <v>Multimédia</v>
      </c>
      <c r="C96" s="80" t="str">
        <f>Modèle!D98</f>
        <v>4.11.1</v>
      </c>
      <c r="D96" s="81" t="str">
        <f>Modèle!E98</f>
        <v>A</v>
      </c>
      <c r="E96" s="80">
        <f ca="1">COUNTIF(OFFSET(Synthèse!$G105,0,0,1,COUNTA(Synthèse!$10:$10)-6),"="&amp;$E$1)</f>
        <v>0</v>
      </c>
      <c r="F96" s="80">
        <f ca="1">COUNTIF(OFFSET(Synthèse!$G105,0,0,1,COUNTA(Synthèse!$10:$10)-6),"="&amp;$F$1)</f>
        <v>0</v>
      </c>
      <c r="G96" s="80">
        <f ca="1">COUNTIF(OFFSET(Synthèse!$G105,0,0,1,COUNTA(Synthèse!$10:$10)-6),"="&amp;$G$1)</f>
        <v>0</v>
      </c>
      <c r="H96" s="80">
        <f ca="1">COUNTIF(OFFSET(Synthèse!$G105,0,0,1,COUNTA(Synthèse!$10:$10)-6),"="&amp;$H$1)</f>
        <v>0</v>
      </c>
      <c r="I96" s="203">
        <f t="shared" ca="1" si="15"/>
        <v>0</v>
      </c>
      <c r="J96" s="68"/>
      <c r="K96" s="96" t="s">
        <v>779</v>
      </c>
      <c r="L96" s="182" t="s">
        <v>24</v>
      </c>
      <c r="M96" s="182"/>
      <c r="N96" s="182" t="s">
        <v>564</v>
      </c>
      <c r="O96" s="183">
        <f ca="1">IF(SUM(E$167:E$167)&gt;=1,0,1)</f>
        <v>1</v>
      </c>
      <c r="P96" s="183">
        <f ca="1">IF(SUM(E$167)&gt;=1,1,IF(SUM(G$167)&gt;=1,1,IF(SUM(F$167)&gt;=1,0,1)))</f>
        <v>1</v>
      </c>
      <c r="Q96" s="183">
        <f ca="1">IF(SUM(E$167)&gt;=1,1,IF(SUM(G$167)&gt;=1,0,1))</f>
        <v>1</v>
      </c>
      <c r="R96" s="183">
        <f ca="1">IF(SUM(E$167)&gt;=1,1,IF(SUM(G$167)&gt;=1,1,IF(SUM(F$167)&gt;=1,1,IF(SUM(H$167)&gt;=1,0,1))))</f>
        <v>1</v>
      </c>
      <c r="S96" s="68"/>
      <c r="U96" s="68"/>
      <c r="X96" s="68"/>
      <c r="AA96" s="68"/>
      <c r="AD96" s="68"/>
      <c r="AE96" s="257" t="s">
        <v>577</v>
      </c>
      <c r="AF96" s="206">
        <f>COUNTIF(TabTrans[Test],"="&amp;Value!$AE96&amp;".*")</f>
        <v>1</v>
      </c>
      <c r="AG96" s="22">
        <f>IF(COUNTIFS(TabSynthez[Test],"="&amp;$AE96&amp;".*",TabSynthez[Colonne1],"Validé")&gt;0,IF(COUNTIFS(TabSynthez[Test],"="&amp;$AE96&amp;".*",TabSynthez[Colonne1],"Validé")+COUNTIFS(TabSynthez[Test],"="&amp;$AE96&amp;".*",TabSynthez[Colonne1],"NA")=$AF96,1,0),0)</f>
        <v>0</v>
      </c>
    </row>
    <row r="97" spans="1:33" s="9" customFormat="1" x14ac:dyDescent="0.25">
      <c r="A97" s="68"/>
      <c r="B97" s="74" t="str">
        <f>Modèle!B99</f>
        <v>Multimédia</v>
      </c>
      <c r="C97" s="80" t="str">
        <f>Modèle!D99</f>
        <v>4.11.2</v>
      </c>
      <c r="D97" s="81" t="str">
        <f>Modèle!E99</f>
        <v>A</v>
      </c>
      <c r="E97" s="80">
        <f ca="1">COUNTIF(OFFSET(Synthèse!$G106,0,0,1,COUNTA(Synthèse!$10:$10)-6),"="&amp;$E$1)</f>
        <v>0</v>
      </c>
      <c r="F97" s="80">
        <f ca="1">COUNTIF(OFFSET(Synthèse!$G106,0,0,1,COUNTA(Synthèse!$10:$10)-6),"="&amp;$F$1)</f>
        <v>0</v>
      </c>
      <c r="G97" s="80">
        <f ca="1">COUNTIF(OFFSET(Synthèse!$G106,0,0,1,COUNTA(Synthèse!$10:$10)-6),"="&amp;$G$1)</f>
        <v>0</v>
      </c>
      <c r="H97" s="80">
        <f ca="1">COUNTIF(OFFSET(Synthèse!$G106,0,0,1,COUNTA(Synthèse!$10:$10)-6),"="&amp;$H$1)</f>
        <v>0</v>
      </c>
      <c r="I97" s="203">
        <f t="shared" ca="1" si="15"/>
        <v>0</v>
      </c>
      <c r="J97" s="68"/>
      <c r="K97" s="96" t="s">
        <v>780</v>
      </c>
      <c r="L97" s="182" t="s">
        <v>24</v>
      </c>
      <c r="M97" s="182"/>
      <c r="N97" s="182" t="s">
        <v>565</v>
      </c>
      <c r="O97" s="183">
        <f ca="1">IF(SUM(E$168:E$168)&gt;=1,0,1)</f>
        <v>1</v>
      </c>
      <c r="P97" s="183">
        <f ca="1">IF(SUM(E$168)&gt;=1,1,IF(SUM(G$168)&gt;=1,1,IF(SUM(F$168)&gt;=1,0,1)))</f>
        <v>1</v>
      </c>
      <c r="Q97" s="183">
        <f ca="1">IF(SUM(E$168)&gt;=1,1,IF(SUM(G$168)&gt;=1,0,1))</f>
        <v>1</v>
      </c>
      <c r="R97" s="183">
        <f ca="1">IF(SUM(E$168)&gt;=1,1,IF(SUM(G$168)&gt;=1,1,IF(SUM(F$168)&gt;=1,1,IF(SUM(H$168)&gt;=1,0,1))))</f>
        <v>1</v>
      </c>
      <c r="S97" s="68"/>
      <c r="U97" s="68"/>
      <c r="X97" s="68"/>
      <c r="AA97" s="68"/>
      <c r="AD97" s="68"/>
      <c r="AE97" s="257" t="s">
        <v>578</v>
      </c>
      <c r="AF97" s="206">
        <f>COUNTIF(TabTrans[Test],"="&amp;Value!$AE97&amp;".*")</f>
        <v>1</v>
      </c>
      <c r="AG97" s="22">
        <f>IF(COUNTIFS(TabSynthez[Test],"="&amp;$AE97&amp;".*",TabSynthez[Colonne1],"Validé")&gt;0,IF(COUNTIFS(TabSynthez[Test],"="&amp;$AE97&amp;".*",TabSynthez[Colonne1],"Validé")+COUNTIFS(TabSynthez[Test],"="&amp;$AE97&amp;".*",TabSynthez[Colonne1],"NA")=$AF97,1,0),0)</f>
        <v>0</v>
      </c>
    </row>
    <row r="98" spans="1:33" s="9" customFormat="1" x14ac:dyDescent="0.25">
      <c r="A98" s="68"/>
      <c r="B98" s="74" t="str">
        <f>Modèle!B100</f>
        <v>Multimédia</v>
      </c>
      <c r="C98" s="80" t="str">
        <f>Modèle!D100</f>
        <v>4.11.3</v>
      </c>
      <c r="D98" s="81" t="str">
        <f>Modèle!E100</f>
        <v>A</v>
      </c>
      <c r="E98" s="80">
        <f ca="1">COUNTIF(OFFSET(Synthèse!$G107,0,0,1,COUNTA(Synthèse!$10:$10)-6),"="&amp;$E$1)</f>
        <v>0</v>
      </c>
      <c r="F98" s="80">
        <f ca="1">COUNTIF(OFFSET(Synthèse!$G107,0,0,1,COUNTA(Synthèse!$10:$10)-6),"="&amp;$F$1)</f>
        <v>0</v>
      </c>
      <c r="G98" s="80">
        <f ca="1">COUNTIF(OFFSET(Synthèse!$G107,0,0,1,COUNTA(Synthèse!$10:$10)-6),"="&amp;$G$1)</f>
        <v>0</v>
      </c>
      <c r="H98" s="80">
        <f ca="1">COUNTIF(OFFSET(Synthèse!$G107,0,0,1,COUNTA(Synthèse!$10:$10)-6),"="&amp;$H$1)</f>
        <v>0</v>
      </c>
      <c r="I98" s="203">
        <f t="shared" ca="1" si="15"/>
        <v>0</v>
      </c>
      <c r="J98" s="68"/>
      <c r="K98" s="96" t="s">
        <v>781</v>
      </c>
      <c r="L98" s="182" t="s">
        <v>24</v>
      </c>
      <c r="M98" s="182"/>
      <c r="N98" s="182" t="s">
        <v>566</v>
      </c>
      <c r="O98" s="183">
        <f ca="1">IF(SUM(E$169:E$169)&gt;=1,0,1)</f>
        <v>1</v>
      </c>
      <c r="P98" s="183">
        <f ca="1">IF(SUM(E$169)&gt;=1,1,IF(SUM(G$169)&gt;=1,1,IF(SUM(F$169)&gt;=1,0,1)))</f>
        <v>1</v>
      </c>
      <c r="Q98" s="183">
        <f ca="1">IF(SUM(E$169)&gt;=1,1,IF(SUM(G$169)&gt;=1,0,1))</f>
        <v>1</v>
      </c>
      <c r="R98" s="183">
        <f ca="1">IF(SUM(E$169)&gt;=1,1,IF(SUM(G$169)&gt;=1,1,IF(SUM(F$169)&gt;=1,1,IF(SUM(H$169)&gt;=1,0,1))))</f>
        <v>1</v>
      </c>
      <c r="S98" s="68"/>
      <c r="U98" s="68"/>
      <c r="X98" s="68"/>
      <c r="AA98" s="68"/>
      <c r="AD98" s="68"/>
      <c r="AE98" s="257" t="s">
        <v>579</v>
      </c>
      <c r="AF98" s="206">
        <f>COUNTIF(TabTrans[Test],"="&amp;Value!$AE98&amp;".*")</f>
        <v>1</v>
      </c>
      <c r="AG98" s="22">
        <f>IF(COUNTIFS(TabSynthez[Test],"="&amp;$AE98&amp;".*",TabSynthez[Colonne1],"Validé")&gt;0,IF(COUNTIFS(TabSynthez[Test],"="&amp;$AE98&amp;".*",TabSynthez[Colonne1],"Validé")+COUNTIFS(TabSynthez[Test],"="&amp;$AE98&amp;".*",TabSynthez[Colonne1],"NA")=$AF98,1,0),0)</f>
        <v>0</v>
      </c>
    </row>
    <row r="99" spans="1:33" s="9" customFormat="1" x14ac:dyDescent="0.25">
      <c r="A99" s="68"/>
      <c r="B99" s="75" t="str">
        <f>Modèle!B101</f>
        <v>Multimédia</v>
      </c>
      <c r="C99" s="82" t="str">
        <f>Modèle!D101</f>
        <v>4.12.1</v>
      </c>
      <c r="D99" s="83" t="str">
        <f>Modèle!E101</f>
        <v>A</v>
      </c>
      <c r="E99" s="179">
        <f ca="1">COUNTIF(OFFSET(Synthèse!$G108,0,0,1,COUNTA(Synthèse!$10:$10)-6),"="&amp;$E$1)</f>
        <v>0</v>
      </c>
      <c r="F99" s="179">
        <f ca="1">COUNTIF(OFFSET(Synthèse!$G108,0,0,1,COUNTA(Synthèse!$10:$10)-6),"="&amp;$F$1)</f>
        <v>0</v>
      </c>
      <c r="G99" s="179">
        <f ca="1">COUNTIF(OFFSET(Synthèse!$G108,0,0,1,COUNTA(Synthèse!$10:$10)-6),"="&amp;$G$1)</f>
        <v>0</v>
      </c>
      <c r="H99" s="179">
        <f ca="1">COUNTIF(OFFSET(Synthèse!$G108,0,0,1,COUNTA(Synthèse!$10:$10)-6),"="&amp;$H$1)</f>
        <v>0</v>
      </c>
      <c r="I99" s="203">
        <f t="shared" ca="1" si="15"/>
        <v>0</v>
      </c>
      <c r="J99" s="68"/>
      <c r="K99" s="96" t="s">
        <v>782</v>
      </c>
      <c r="L99" s="182" t="s">
        <v>24</v>
      </c>
      <c r="M99" s="182"/>
      <c r="N99" s="182" t="s">
        <v>567</v>
      </c>
      <c r="O99" s="183">
        <f ca="1">IF(SUM(E$170:E$173)&gt;=1,0,1)</f>
        <v>1</v>
      </c>
      <c r="P99" s="183">
        <f ca="1">IF(SUM(E$170:E$173)&gt;=1,1,IF(SUM(G$170:G$173)&gt;=1,1,IF(SUM(F$170:F$173)&gt;=1,0,1)))</f>
        <v>1</v>
      </c>
      <c r="Q99" s="183">
        <f ca="1">IF(SUM(E$170:E$173)&gt;=1,1,IF(SUM(G$170:G$173)&gt;=1,0,1))</f>
        <v>1</v>
      </c>
      <c r="R99" s="183">
        <f ca="1">IF(SUM(E$170:E$173)&gt;=1,1,IF(SUM(G$170:G$173)&gt;=1,1,IF(SUM(F$170:F$173)&gt;=1,1,IF(SUM(H$170:H$173)&gt;=1,0,1))))</f>
        <v>1</v>
      </c>
      <c r="S99" s="68"/>
      <c r="U99" s="68"/>
      <c r="X99" s="68"/>
      <c r="AA99" s="68"/>
      <c r="AD99" s="68"/>
      <c r="AE99" s="257" t="s">
        <v>580</v>
      </c>
      <c r="AF99" s="206">
        <f>COUNTIF(TabTrans[Test],"="&amp;Value!$AE99&amp;".*")</f>
        <v>3</v>
      </c>
      <c r="AG99" s="22">
        <f>IF(COUNTIFS(TabSynthez[Test],"="&amp;$AE99&amp;".*",TabSynthez[Colonne1],"Validé")&gt;0,IF(COUNTIFS(TabSynthez[Test],"="&amp;$AE99&amp;".*",TabSynthez[Colonne1],"Validé")+COUNTIFS(TabSynthez[Test],"="&amp;$AE99&amp;".*",TabSynthez[Colonne1],"NA")=$AF99,1,0),0)</f>
        <v>0</v>
      </c>
    </row>
    <row r="100" spans="1:33" s="9" customFormat="1" x14ac:dyDescent="0.25">
      <c r="A100" s="68"/>
      <c r="B100" s="75" t="str">
        <f>Modèle!B102</f>
        <v>Multimédia</v>
      </c>
      <c r="C100" s="82" t="str">
        <f>Modèle!D102</f>
        <v>4.12.2</v>
      </c>
      <c r="D100" s="83" t="str">
        <f>Modèle!E102</f>
        <v>A</v>
      </c>
      <c r="E100" s="179">
        <f ca="1">COUNTIF(OFFSET(Synthèse!$G109,0,0,1,COUNTA(Synthèse!$10:$10)-6),"="&amp;$E$1)</f>
        <v>0</v>
      </c>
      <c r="F100" s="179">
        <f ca="1">COUNTIF(OFFSET(Synthèse!$G109,0,0,1,COUNTA(Synthèse!$10:$10)-6),"="&amp;$F$1)</f>
        <v>0</v>
      </c>
      <c r="G100" s="179">
        <f ca="1">COUNTIF(OFFSET(Synthèse!$G109,0,0,1,COUNTA(Synthèse!$10:$10)-6),"="&amp;$G$1)</f>
        <v>0</v>
      </c>
      <c r="H100" s="179">
        <f ca="1">COUNTIF(OFFSET(Synthèse!$G109,0,0,1,COUNTA(Synthèse!$10:$10)-6),"="&amp;$H$1)</f>
        <v>0</v>
      </c>
      <c r="I100" s="203">
        <f t="shared" ca="1" si="15"/>
        <v>0</v>
      </c>
      <c r="J100" s="68"/>
      <c r="K100" s="96" t="s">
        <v>783</v>
      </c>
      <c r="L100" s="182" t="s">
        <v>24</v>
      </c>
      <c r="M100" s="182"/>
      <c r="N100" s="182" t="s">
        <v>568</v>
      </c>
      <c r="O100" s="183">
        <f ca="1">IF(SUM(E$174:E$177)&gt;=1,0,1)</f>
        <v>1</v>
      </c>
      <c r="P100" s="183">
        <f ca="1">IF(SUM(E$174:E$177)&gt;=1,1,IF(SUM(G$174:G$177)&gt;=1,1,IF(SUM(F$174:F$177)&gt;=1,0,1)))</f>
        <v>1</v>
      </c>
      <c r="Q100" s="183">
        <f ca="1">IF(SUM(E$174:E$177)&gt;=1,1,IF(SUM(G$174:G$177)&gt;=1,0,1))</f>
        <v>1</v>
      </c>
      <c r="R100" s="183">
        <f ca="1">IF(SUM(E$174:E$177)&gt;=1,1,IF(SUM(G$174:G$177)&gt;=1,1,IF(SUM(F$174:F$177)&gt;=1,1,IF(SUM(H$174:H$177)&gt;=1,0,1))))</f>
        <v>1</v>
      </c>
      <c r="S100" s="68"/>
      <c r="U100" s="68"/>
      <c r="X100" s="68"/>
      <c r="AA100" s="68"/>
      <c r="AD100" s="68"/>
      <c r="AE100" s="257" t="s">
        <v>581</v>
      </c>
      <c r="AF100" s="206">
        <f>COUNTIF(TabTrans[Test],"="&amp;Value!$AE100&amp;".*")</f>
        <v>2</v>
      </c>
      <c r="AG100" s="22">
        <f>IF(COUNTIFS(TabSynthez[Test],"="&amp;$AE100&amp;".*",TabSynthez[Colonne1],"Validé")&gt;0,IF(COUNTIFS(TabSynthez[Test],"="&amp;$AE100&amp;".*",TabSynthez[Colonne1],"Validé")+COUNTIFS(TabSynthez[Test],"="&amp;$AE100&amp;".*",TabSynthez[Colonne1],"NA")=$AF100,1,0),0)</f>
        <v>0</v>
      </c>
    </row>
    <row r="101" spans="1:33" s="9" customFormat="1" x14ac:dyDescent="0.25">
      <c r="A101" s="68"/>
      <c r="B101" s="74" t="str">
        <f>Modèle!B103</f>
        <v>Multimédia</v>
      </c>
      <c r="C101" s="80" t="str">
        <f>Modèle!D103</f>
        <v>4.13.1</v>
      </c>
      <c r="D101" s="81" t="str">
        <f>Modèle!E103</f>
        <v>A</v>
      </c>
      <c r="E101" s="80">
        <f ca="1">COUNTIF(OFFSET(Synthèse!$G110,0,0,1,COUNTA(Synthèse!$10:$10)-6),"="&amp;$E$1)</f>
        <v>0</v>
      </c>
      <c r="F101" s="80">
        <f ca="1">COUNTIF(OFFSET(Synthèse!$G110,0,0,1,COUNTA(Synthèse!$10:$10)-6),"="&amp;$F$1)</f>
        <v>0</v>
      </c>
      <c r="G101" s="80">
        <f ca="1">COUNTIF(OFFSET(Synthèse!$G110,0,0,1,COUNTA(Synthèse!$10:$10)-6),"="&amp;$G$1)</f>
        <v>0</v>
      </c>
      <c r="H101" s="80">
        <f ca="1">COUNTIF(OFFSET(Synthèse!$G110,0,0,1,COUNTA(Synthèse!$10:$10)-6),"="&amp;$H$1)</f>
        <v>0</v>
      </c>
      <c r="I101" s="203">
        <f t="shared" ca="1" si="15"/>
        <v>0</v>
      </c>
      <c r="J101" s="68"/>
      <c r="K101" s="96" t="s">
        <v>784</v>
      </c>
      <c r="L101" s="182" t="s">
        <v>25</v>
      </c>
      <c r="M101" s="182"/>
      <c r="N101" s="182" t="s">
        <v>569</v>
      </c>
      <c r="O101" s="183">
        <f ca="1">IF(SUM(E$178:E$179)&gt;=1,0,1)</f>
        <v>1</v>
      </c>
      <c r="P101" s="183">
        <f ca="1">IF(SUM(E$178:E$179)&gt;=1,1,IF(SUM(G$178:G$179)&gt;=1,1,IF(SUM(F$178:F$179)&gt;=1,0,1)))</f>
        <v>1</v>
      </c>
      <c r="Q101" s="183">
        <f ca="1">IF(SUM(E$178:E$179)&gt;=1,1,IF(SUM(G$178:G$179)&gt;=1,0,1))</f>
        <v>1</v>
      </c>
      <c r="R101" s="183">
        <f ca="1">IF(SUM(E$178:E$179)&gt;=1,1,IF(SUM(G$178:G$179)&gt;=1,1,IF(SUM(F$178:F$179)&gt;=1,1,IF(SUM(H$178:H$179)&gt;=1,0,1))))</f>
        <v>1</v>
      </c>
      <c r="S101" s="68"/>
      <c r="U101" s="68"/>
      <c r="X101" s="68"/>
      <c r="AA101" s="68"/>
      <c r="AD101" s="68"/>
      <c r="AE101" s="257" t="s">
        <v>582</v>
      </c>
      <c r="AF101" s="206">
        <f>COUNTIF(TabTrans[Test],"="&amp;Value!$AE101&amp;".*")</f>
        <v>7</v>
      </c>
      <c r="AG101" s="22">
        <f>IF(COUNTIFS(TabSynthez[Test],"="&amp;$AE101&amp;".*",TabSynthez[Colonne1],"Validé")&gt;0,IF(COUNTIFS(TabSynthez[Test],"="&amp;$AE101&amp;".*",TabSynthez[Colonne1],"Validé")+COUNTIFS(TabSynthez[Test],"="&amp;$AE101&amp;".*",TabSynthez[Colonne1],"NA")=$AF101,1,0),0)</f>
        <v>0</v>
      </c>
    </row>
    <row r="102" spans="1:33" s="9" customFormat="1" x14ac:dyDescent="0.25">
      <c r="A102" s="68"/>
      <c r="B102" s="74" t="str">
        <f>Modèle!B104</f>
        <v>Multimédia</v>
      </c>
      <c r="C102" s="80" t="str">
        <f>Modèle!D104</f>
        <v>4.13.2</v>
      </c>
      <c r="D102" s="81" t="str">
        <f>Modèle!E104</f>
        <v>A</v>
      </c>
      <c r="E102" s="80">
        <f ca="1">COUNTIF(OFFSET(Synthèse!$G111,0,0,1,COUNTA(Synthèse!$10:$10)-6),"="&amp;$E$1)</f>
        <v>0</v>
      </c>
      <c r="F102" s="80">
        <f ca="1">COUNTIF(OFFSET(Synthèse!$G111,0,0,1,COUNTA(Synthèse!$10:$10)-6),"="&amp;$F$1)</f>
        <v>0</v>
      </c>
      <c r="G102" s="80">
        <f ca="1">COUNTIF(OFFSET(Synthèse!$G111,0,0,1,COUNTA(Synthèse!$10:$10)-6),"="&amp;$G$1)</f>
        <v>0</v>
      </c>
      <c r="H102" s="80">
        <f ca="1">COUNTIF(OFFSET(Synthèse!$G111,0,0,1,COUNTA(Synthèse!$10:$10)-6),"="&amp;$H$1)</f>
        <v>0</v>
      </c>
      <c r="I102" s="203">
        <f t="shared" ca="1" si="15"/>
        <v>0</v>
      </c>
      <c r="J102" s="68"/>
      <c r="K102" s="96" t="s">
        <v>785</v>
      </c>
      <c r="L102" s="182" t="s">
        <v>25</v>
      </c>
      <c r="M102" s="182"/>
      <c r="N102" s="182" t="s">
        <v>570</v>
      </c>
      <c r="O102" s="183">
        <f ca="1">IF(SUM(E$180:E$180)&gt;=1,0,1)</f>
        <v>1</v>
      </c>
      <c r="P102" s="183">
        <f ca="1">IF(SUM(E$180)&gt;=1,1,IF(SUM(G$180)&gt;=1,1,IF(SUM(F$180)&gt;=1,0,1)))</f>
        <v>1</v>
      </c>
      <c r="Q102" s="183">
        <f ca="1">IF(SUM(E$180)&gt;=1,1,IF(SUM(G$180)&gt;=1,0,1))</f>
        <v>1</v>
      </c>
      <c r="R102" s="183">
        <f ca="1">IF(SUM(E$180)&gt;=1,1,IF(SUM(G$180)&gt;=1,1,IF(SUM(F$180)&gt;=1,1,IF(SUM(H$180)&gt;=1,0,1))))</f>
        <v>1</v>
      </c>
      <c r="S102" s="68"/>
      <c r="U102" s="68"/>
      <c r="X102" s="68"/>
      <c r="AA102" s="68"/>
      <c r="AD102" s="68"/>
      <c r="AE102" s="257" t="s">
        <v>583</v>
      </c>
      <c r="AF102" s="206">
        <f>COUNTIF(TabTrans[Test],"="&amp;Value!$AE102&amp;".*")</f>
        <v>2</v>
      </c>
      <c r="AG102" s="22">
        <f>IF(COUNTIFS(TabSynthez[Test],"="&amp;$AE102&amp;".*",TabSynthez[Colonne1],"Validé")&gt;0,IF(COUNTIFS(TabSynthez[Test],"="&amp;$AE102&amp;".*",TabSynthez[Colonne1],"Validé")+COUNTIFS(TabSynthez[Test],"="&amp;$AE102&amp;".*",TabSynthez[Colonne1],"NA")=$AF102,1,0),0)</f>
        <v>0</v>
      </c>
    </row>
    <row r="103" spans="1:33" s="9" customFormat="1" x14ac:dyDescent="0.25">
      <c r="A103" s="68"/>
      <c r="B103" s="75" t="str">
        <f>Modèle!B105</f>
        <v>Tableaux</v>
      </c>
      <c r="C103" s="82" t="str">
        <f>Modèle!D105</f>
        <v>5.1.1</v>
      </c>
      <c r="D103" s="83" t="str">
        <f>Modèle!E105</f>
        <v>A</v>
      </c>
      <c r="E103" s="179">
        <f ca="1">COUNTIF(OFFSET(Synthèse!$G112,0,0,1,COUNTA(Synthèse!$10:$10)-6),"="&amp;$E$1)</f>
        <v>0</v>
      </c>
      <c r="F103" s="179">
        <f ca="1">COUNTIF(OFFSET(Synthèse!$G112,0,0,1,COUNTA(Synthèse!$10:$10)-6),"="&amp;$F$1)</f>
        <v>0</v>
      </c>
      <c r="G103" s="179">
        <f ca="1">COUNTIF(OFFSET(Synthèse!$G112,0,0,1,COUNTA(Synthèse!$10:$10)-6),"="&amp;$G$1)</f>
        <v>0</v>
      </c>
      <c r="H103" s="179">
        <f ca="1">COUNTIF(OFFSET(Synthèse!$G112,0,0,1,COUNTA(Synthèse!$10:$10)-6),"="&amp;$H$1)</f>
        <v>0</v>
      </c>
      <c r="I103" s="203">
        <f t="shared" ca="1" si="15"/>
        <v>0</v>
      </c>
      <c r="J103" s="68"/>
      <c r="K103" s="96" t="s">
        <v>786</v>
      </c>
      <c r="L103" s="182" t="s">
        <v>25</v>
      </c>
      <c r="M103" s="182"/>
      <c r="N103" s="182" t="s">
        <v>571</v>
      </c>
      <c r="O103" s="183">
        <f ca="1">IF(SUM(E$181:E$183)&gt;=1,0,1)</f>
        <v>1</v>
      </c>
      <c r="P103" s="183">
        <f ca="1">IF(SUM(E$181:E$183)&gt;=1,1,IF(SUM(G$181:G$183)&gt;=1,1,IF(SUM(F$181:F$183)&gt;=1,0,1)))</f>
        <v>1</v>
      </c>
      <c r="Q103" s="183">
        <f ca="1">IF(SUM(E$181:E$183)&gt;=1,1,IF(SUM(G$181:G$183)&gt;=1,0,1))</f>
        <v>1</v>
      </c>
      <c r="R103" s="183">
        <f ca="1">IF(SUM(E$181:E$183)&gt;=1,1,IF(SUM(G$181:G$183)&gt;=1,1,IF(SUM(F$181:F$183)&gt;=1,1,IF(SUM(H$181:H$183)&gt;=1,0,1))))</f>
        <v>1</v>
      </c>
      <c r="S103" s="68"/>
      <c r="U103" s="68"/>
      <c r="X103" s="68"/>
      <c r="AA103" s="68"/>
      <c r="AD103" s="68"/>
      <c r="AE103" s="257" t="s">
        <v>584</v>
      </c>
      <c r="AF103" s="206">
        <f>COUNTIF(TabTrans[Test],"="&amp;Value!$AE103&amp;".*")</f>
        <v>2</v>
      </c>
      <c r="AG103" s="22">
        <f>IF(COUNTIFS(TabSynthez[Test],"="&amp;$AE103&amp;".*",TabSynthez[Colonne1],"Validé")&gt;0,IF(COUNTIFS(TabSynthez[Test],"="&amp;$AE103&amp;".*",TabSynthez[Colonne1],"Validé")+COUNTIFS(TabSynthez[Test],"="&amp;$AE103&amp;".*",TabSynthez[Colonne1],"NA")=$AF103,1,0),0)</f>
        <v>0</v>
      </c>
    </row>
    <row r="104" spans="1:33" s="9" customFormat="1" x14ac:dyDescent="0.25">
      <c r="A104" s="68"/>
      <c r="B104" s="74" t="str">
        <f>Modèle!B106</f>
        <v>Tableaux</v>
      </c>
      <c r="C104" s="80" t="str">
        <f>Modèle!D106</f>
        <v>5.2.1</v>
      </c>
      <c r="D104" s="81" t="str">
        <f>Modèle!E106</f>
        <v>A</v>
      </c>
      <c r="E104" s="80">
        <f ca="1">COUNTIF(OFFSET(Synthèse!$G113,0,0,1,COUNTA(Synthèse!$10:$10)-6),"="&amp;$E$1)</f>
        <v>0</v>
      </c>
      <c r="F104" s="80">
        <f ca="1">COUNTIF(OFFSET(Synthèse!$G113,0,0,1,COUNTA(Synthèse!$10:$10)-6),"="&amp;$F$1)</f>
        <v>0</v>
      </c>
      <c r="G104" s="80">
        <f ca="1">COUNTIF(OFFSET(Synthèse!$G113,0,0,1,COUNTA(Synthèse!$10:$10)-6),"="&amp;$G$1)</f>
        <v>0</v>
      </c>
      <c r="H104" s="80">
        <f ca="1">COUNTIF(OFFSET(Synthèse!$G113,0,0,1,COUNTA(Synthèse!$10:$10)-6),"="&amp;$H$1)</f>
        <v>0</v>
      </c>
      <c r="I104" s="203">
        <f t="shared" ca="1" si="15"/>
        <v>0</v>
      </c>
      <c r="J104" s="68"/>
      <c r="K104" s="96" t="s">
        <v>787</v>
      </c>
      <c r="L104" s="182" t="s">
        <v>24</v>
      </c>
      <c r="M104" s="182"/>
      <c r="N104" s="182" t="s">
        <v>572</v>
      </c>
      <c r="O104" s="183">
        <f ca="1">IF(SUM(E$184:E$185)&gt;=1,0,1)</f>
        <v>1</v>
      </c>
      <c r="P104" s="183">
        <f ca="1">IF(SUM(E$184:E$185)&gt;=1,1,IF(SUM(G$184:G$185)&gt;=1,1,IF(SUM(F$184:F$185)&gt;=1,0,1)))</f>
        <v>1</v>
      </c>
      <c r="Q104" s="183">
        <f ca="1">IF(SUM(E$184:E$185)&gt;=1,1,IF(SUM(G$184:G$185)&gt;=1,0,1))</f>
        <v>1</v>
      </c>
      <c r="R104" s="183">
        <f ca="1">IF(SUM(E$184:E$185)&gt;=1,1,IF(SUM(G$184:G$185)&gt;=1,1,IF(SUM(F$184:F$185)&gt;=1,1,IF(SUM(H$184:H$185)&gt;=1,0,1))))</f>
        <v>1</v>
      </c>
      <c r="S104" s="68"/>
      <c r="U104" s="68"/>
      <c r="X104" s="68"/>
      <c r="AA104" s="68"/>
      <c r="AD104" s="68"/>
      <c r="AE104" s="257" t="s">
        <v>585</v>
      </c>
      <c r="AF104" s="206">
        <f>COUNTIF(TabTrans[Test],"="&amp;Value!$AE104&amp;".*")</f>
        <v>1</v>
      </c>
      <c r="AG104" s="22">
        <f>IF(COUNTIFS(TabSynthez[Test],"="&amp;$AE104&amp;".*",TabSynthez[Colonne1],"Validé")&gt;0,IF(COUNTIFS(TabSynthez[Test],"="&amp;$AE104&amp;".*",TabSynthez[Colonne1],"Validé")+COUNTIFS(TabSynthez[Test],"="&amp;$AE104&amp;".*",TabSynthez[Colonne1],"NA")=$AF104,1,0),0)</f>
        <v>0</v>
      </c>
    </row>
    <row r="105" spans="1:33" s="9" customFormat="1" x14ac:dyDescent="0.25">
      <c r="A105" s="68"/>
      <c r="B105" s="75" t="str">
        <f>Modèle!B107</f>
        <v>Tableaux</v>
      </c>
      <c r="C105" s="82" t="str">
        <f>Modèle!D107</f>
        <v>5.3.1</v>
      </c>
      <c r="D105" s="83" t="str">
        <f>Modèle!E107</f>
        <v>A</v>
      </c>
      <c r="E105" s="179">
        <f ca="1">COUNTIF(OFFSET(Synthèse!$G114,0,0,1,COUNTA(Synthèse!$10:$10)-6),"="&amp;$E$1)</f>
        <v>0</v>
      </c>
      <c r="F105" s="179">
        <f ca="1">COUNTIF(OFFSET(Synthèse!$G114,0,0,1,COUNTA(Synthèse!$10:$10)-6),"="&amp;$F$1)</f>
        <v>0</v>
      </c>
      <c r="G105" s="179">
        <f ca="1">COUNTIF(OFFSET(Synthèse!$G114,0,0,1,COUNTA(Synthèse!$10:$10)-6),"="&amp;$G$1)</f>
        <v>0</v>
      </c>
      <c r="H105" s="179">
        <f ca="1">COUNTIF(OFFSET(Synthèse!$G114,0,0,1,COUNTA(Synthèse!$10:$10)-6),"="&amp;$H$1)</f>
        <v>0</v>
      </c>
      <c r="I105" s="203">
        <f t="shared" ca="1" si="15"/>
        <v>0</v>
      </c>
      <c r="J105" s="68"/>
      <c r="K105" s="96" t="s">
        <v>788</v>
      </c>
      <c r="L105" s="180" t="s">
        <v>24</v>
      </c>
      <c r="M105" s="180"/>
      <c r="N105" s="180" t="s">
        <v>573</v>
      </c>
      <c r="O105" s="181">
        <f ca="1">IF(SUM(E$186:E$188)&gt;=1,0,1)</f>
        <v>1</v>
      </c>
      <c r="P105" s="181">
        <f ca="1">IF(SUM(E$186:E$188)&gt;=1,1,IF(SUM(G$186:G$188)&gt;=1,1,IF(SUM(F$186:F$188)&gt;=1,0,1)))</f>
        <v>1</v>
      </c>
      <c r="Q105" s="181">
        <f ca="1">IF(SUM(E$186:E$188)&gt;=1,1,IF(SUM(G$186:G$188)&gt;=1,0,1))</f>
        <v>1</v>
      </c>
      <c r="R105" s="181">
        <f ca="1">IF(SUM(E$186:E$188)&gt;=1,1,IF(SUM(G$186:G$188)&gt;=1,1,IF(SUM(F$186:F$188)&gt;=1,1,IF(SUM(H$186:H$188)&gt;=1,0,1))))</f>
        <v>1</v>
      </c>
      <c r="S105" s="68"/>
      <c r="U105" s="68"/>
      <c r="X105" s="68"/>
      <c r="AA105" s="68"/>
      <c r="AD105" s="68"/>
      <c r="AE105" s="257" t="s">
        <v>586</v>
      </c>
      <c r="AF105" s="206">
        <f>COUNTIF(TabTrans[Test],"="&amp;Value!$AE105&amp;".*")</f>
        <v>1</v>
      </c>
      <c r="AG105" s="22">
        <f>IF(COUNTIFS(TabSynthez[Test],"="&amp;$AE105&amp;".*",TabSynthez[Colonne1],"Validé")&gt;0,IF(COUNTIFS(TabSynthez[Test],"="&amp;$AE105&amp;".*",TabSynthez[Colonne1],"Validé")+COUNTIFS(TabSynthez[Test],"="&amp;$AE105&amp;".*",TabSynthez[Colonne1],"NA")=$AF105,1,0),0)</f>
        <v>0</v>
      </c>
    </row>
    <row r="106" spans="1:33" s="9" customFormat="1" x14ac:dyDescent="0.25">
      <c r="A106" s="68"/>
      <c r="B106" s="74" t="str">
        <f>Modèle!B108</f>
        <v>Tableaux</v>
      </c>
      <c r="C106" s="80" t="str">
        <f>Modèle!D108</f>
        <v>5.4.1</v>
      </c>
      <c r="D106" s="81" t="str">
        <f>Modèle!E108</f>
        <v>A</v>
      </c>
      <c r="E106" s="80">
        <f ca="1">COUNTIF(OFFSET(Synthèse!$G115,0,0,1,COUNTA(Synthèse!$10:$10)-6),"="&amp;$E$1)</f>
        <v>0</v>
      </c>
      <c r="F106" s="80">
        <f ca="1">COUNTIF(OFFSET(Synthèse!$G115,0,0,1,COUNTA(Synthèse!$10:$10)-6),"="&amp;$F$1)</f>
        <v>0</v>
      </c>
      <c r="G106" s="80">
        <f ca="1">COUNTIF(OFFSET(Synthèse!$G115,0,0,1,COUNTA(Synthèse!$10:$10)-6),"="&amp;$G$1)</f>
        <v>0</v>
      </c>
      <c r="H106" s="80">
        <f ca="1">COUNTIF(OFFSET(Synthèse!$G115,0,0,1,COUNTA(Synthèse!$10:$10)-6),"="&amp;$H$1)</f>
        <v>0</v>
      </c>
      <c r="I106" s="203">
        <f t="shared" ca="1" si="15"/>
        <v>0</v>
      </c>
      <c r="J106" s="68"/>
      <c r="K106" s="96" t="s">
        <v>789</v>
      </c>
      <c r="L106" s="180" t="s">
        <v>24</v>
      </c>
      <c r="M106" s="180"/>
      <c r="N106" s="180" t="s">
        <v>574</v>
      </c>
      <c r="O106" s="181">
        <f ca="1">IF(SUM(E$189:E$194)&gt;=1,0,1)</f>
        <v>1</v>
      </c>
      <c r="P106" s="181">
        <f ca="1">IF(SUM(E$189:E$194)&gt;=1,1,IF(SUM(G$189:G$194)&gt;=1,1,IF(SUM(F$189:F$194)&gt;=1,0,1)))</f>
        <v>1</v>
      </c>
      <c r="Q106" s="181">
        <f ca="1">IF(SUM(E$189:E$194)&gt;=1,1,IF(SUM(G$189:G$194)&gt;=1,0,1))</f>
        <v>1</v>
      </c>
      <c r="R106" s="181">
        <f ca="1">IF(SUM(E$189:E$194)&gt;=1,1,IF(SUM(G$189:G$194)&gt;=1,1,IF(SUM(F$189:F$194)&gt;=1,1,IF(SUM(H$189:H$194)&gt;=1,0,1))))</f>
        <v>1</v>
      </c>
      <c r="S106" s="68"/>
      <c r="U106" s="68"/>
      <c r="X106" s="68"/>
      <c r="AA106" s="68"/>
      <c r="AD106" s="68"/>
      <c r="AE106" s="257" t="s">
        <v>587</v>
      </c>
      <c r="AF106" s="206">
        <f>COUNTIF(TabTrans[Test],"="&amp;Value!$AE106&amp;".*")</f>
        <v>1</v>
      </c>
      <c r="AG106" s="22">
        <f>IF(COUNTIFS(TabSynthez[Test],"="&amp;$AE106&amp;".*",TabSynthez[Colonne1],"Validé")&gt;0,IF(COUNTIFS(TabSynthez[Test],"="&amp;$AE106&amp;".*",TabSynthez[Colonne1],"Validé")+COUNTIFS(TabSynthez[Test],"="&amp;$AE106&amp;".*",TabSynthez[Colonne1],"NA")=$AF106,1,0),0)</f>
        <v>0</v>
      </c>
    </row>
    <row r="107" spans="1:33" s="9" customFormat="1" x14ac:dyDescent="0.25">
      <c r="A107" s="68"/>
      <c r="B107" s="75" t="str">
        <f>Modèle!B109</f>
        <v>Tableaux</v>
      </c>
      <c r="C107" s="82" t="str">
        <f>Modèle!D109</f>
        <v>5.5.1</v>
      </c>
      <c r="D107" s="83" t="str">
        <f>Modèle!E109</f>
        <v>A</v>
      </c>
      <c r="E107" s="179">
        <f ca="1">COUNTIF(OFFSET(Synthèse!$G116,0,0,1,COUNTA(Synthèse!$10:$10)-6),"="&amp;$E$1)</f>
        <v>0</v>
      </c>
      <c r="F107" s="179">
        <f ca="1">COUNTIF(OFFSET(Synthèse!$G116,0,0,1,COUNTA(Synthèse!$10:$10)-6),"="&amp;$F$1)</f>
        <v>0</v>
      </c>
      <c r="G107" s="179">
        <f ca="1">COUNTIF(OFFSET(Synthèse!$G116,0,0,1,COUNTA(Synthèse!$10:$10)-6),"="&amp;$G$1)</f>
        <v>0</v>
      </c>
      <c r="H107" s="179">
        <f ca="1">COUNTIF(OFFSET(Synthèse!$G116,0,0,1,COUNTA(Synthèse!$10:$10)-6),"="&amp;$H$1)</f>
        <v>0</v>
      </c>
      <c r="I107" s="203">
        <f t="shared" ca="1" si="15"/>
        <v>0</v>
      </c>
      <c r="J107" s="68"/>
      <c r="K107" s="96" t="s">
        <v>627</v>
      </c>
      <c r="L107" s="180" t="s">
        <v>25</v>
      </c>
      <c r="M107" s="180"/>
      <c r="N107" s="180" t="s">
        <v>575</v>
      </c>
      <c r="O107" s="181">
        <f ca="1">IF(SUM(E$195:E$196)&gt;=1,0,1)</f>
        <v>1</v>
      </c>
      <c r="P107" s="181">
        <f ca="1">IF(SUM(E$195:E$196)&gt;=1,1,IF(SUM(G$195:G$196)&gt;=1,1,IF(SUM(F$195:F$196)&gt;=1,0,1)))</f>
        <v>1</v>
      </c>
      <c r="Q107" s="181">
        <f ca="1">IF(SUM(E$195:E$196)&gt;=1,1,IF(SUM(G$195:G$196)&gt;=1,0,1))</f>
        <v>1</v>
      </c>
      <c r="R107" s="181">
        <f ca="1">IF(SUM(E$195:E$196)&gt;=1,1,IF(SUM(G$195:G$196)&gt;=1,1,IF(SUM(F$195:F$196)&gt;=1,1,IF(SUM(H$195:H$196)&gt;=1,0,1))))</f>
        <v>1</v>
      </c>
      <c r="S107" s="68"/>
      <c r="U107" s="68"/>
      <c r="X107" s="68"/>
      <c r="AA107" s="68"/>
      <c r="AD107" s="68"/>
      <c r="AE107" s="257" t="s">
        <v>588</v>
      </c>
      <c r="AF107" s="206">
        <f>COUNTIF(TabTrans[Test],"="&amp;Value!$AE107&amp;".*")</f>
        <v>3</v>
      </c>
      <c r="AG107" s="22">
        <f>IF(COUNTIFS(TabSynthez[Test],"="&amp;$AE107&amp;".*",TabSynthez[Colonne1],"Validé")&gt;0,IF(COUNTIFS(TabSynthez[Test],"="&amp;$AE107&amp;".*",TabSynthez[Colonne1],"Validé")+COUNTIFS(TabSynthez[Test],"="&amp;$AE107&amp;".*",TabSynthez[Colonne1],"NA")=$AF107,1,0),0)</f>
        <v>0</v>
      </c>
    </row>
    <row r="108" spans="1:33" s="9" customFormat="1" x14ac:dyDescent="0.25">
      <c r="A108" s="68"/>
      <c r="B108" s="74" t="str">
        <f>Modèle!B110</f>
        <v>Tableaux</v>
      </c>
      <c r="C108" s="80" t="str">
        <f>Modèle!D110</f>
        <v>5.6.1</v>
      </c>
      <c r="D108" s="81" t="str">
        <f>Modèle!E110</f>
        <v>A</v>
      </c>
      <c r="E108" s="80">
        <f ca="1">COUNTIF(OFFSET(Synthèse!$G117,0,0,1,COUNTA(Synthèse!$10:$10)-6),"="&amp;$E$1)</f>
        <v>0</v>
      </c>
      <c r="F108" s="80">
        <f ca="1">COUNTIF(OFFSET(Synthèse!$G117,0,0,1,COUNTA(Synthèse!$10:$10)-6),"="&amp;$F$1)</f>
        <v>0</v>
      </c>
      <c r="G108" s="80">
        <f ca="1">COUNTIF(OFFSET(Synthèse!$G117,0,0,1,COUNTA(Synthèse!$10:$10)-6),"="&amp;$G$1)</f>
        <v>0</v>
      </c>
      <c r="H108" s="80">
        <f ca="1">COUNTIF(OFFSET(Synthèse!$G117,0,0,1,COUNTA(Synthèse!$10:$10)-6),"="&amp;$H$1)</f>
        <v>0</v>
      </c>
      <c r="I108" s="203">
        <f t="shared" ca="1" si="15"/>
        <v>0</v>
      </c>
      <c r="J108" s="68"/>
      <c r="K108" s="96" t="s">
        <v>628</v>
      </c>
      <c r="L108" s="180" t="s">
        <v>25</v>
      </c>
      <c r="M108" s="180"/>
      <c r="N108" s="180" t="s">
        <v>576</v>
      </c>
      <c r="O108" s="181">
        <f ca="1">IF(SUM(E$197:E$199)&gt;=1,0,1)</f>
        <v>1</v>
      </c>
      <c r="P108" s="181">
        <f ca="1">IF(SUM(E$197:E$199)&gt;=1,1,IF(SUM(G$197:G$199)&gt;=1,1,IF(SUM(F$197:F$199)&gt;=1,0,1)))</f>
        <v>1</v>
      </c>
      <c r="Q108" s="181">
        <f ca="1">IF(SUM(E$197:E$199)&gt;=1,1,IF(SUM(G$197:G$199)&gt;=1,0,1))</f>
        <v>1</v>
      </c>
      <c r="R108" s="181">
        <f ca="1">IF(SUM(E$197:E$199)&gt;=1,1,IF(SUM(G$197:G$199)&gt;=1,1,IF(SUM(F$197:F$199)&gt;=1,1,IF(SUM(H$197:H$199)&gt;=1,0,1))))</f>
        <v>1</v>
      </c>
      <c r="S108" s="68"/>
      <c r="U108" s="68"/>
      <c r="X108" s="68"/>
      <c r="AA108" s="68"/>
      <c r="AD108" s="68"/>
      <c r="AE108" s="257" t="s">
        <v>589</v>
      </c>
      <c r="AF108" s="206">
        <f>COUNTIF(TabTrans[Test],"="&amp;Value!$AE108&amp;".*")</f>
        <v>3</v>
      </c>
      <c r="AG108" s="22">
        <f>IF(COUNTIFS(TabSynthez[Test],"="&amp;$AE108&amp;".*",TabSynthez[Colonne1],"Validé")&gt;0,IF(COUNTIFS(TabSynthez[Test],"="&amp;$AE108&amp;".*",TabSynthez[Colonne1],"Validé")+COUNTIFS(TabSynthez[Test],"="&amp;$AE108&amp;".*",TabSynthez[Colonne1],"NA")=$AF108,1,0),0)</f>
        <v>0</v>
      </c>
    </row>
    <row r="109" spans="1:33" s="9" customFormat="1" x14ac:dyDescent="0.25">
      <c r="A109" s="68"/>
      <c r="B109" s="74" t="str">
        <f>Modèle!B111</f>
        <v>Tableaux</v>
      </c>
      <c r="C109" s="80" t="str">
        <f>Modèle!D111</f>
        <v>5.6.2</v>
      </c>
      <c r="D109" s="81" t="str">
        <f>Modèle!E111</f>
        <v>A</v>
      </c>
      <c r="E109" s="80">
        <f ca="1">COUNTIF(OFFSET(Synthèse!$G118,0,0,1,COUNTA(Synthèse!$10:$10)-6),"="&amp;$E$1)</f>
        <v>0</v>
      </c>
      <c r="F109" s="80">
        <f ca="1">COUNTIF(OFFSET(Synthèse!$G118,0,0,1,COUNTA(Synthèse!$10:$10)-6),"="&amp;$F$1)</f>
        <v>0</v>
      </c>
      <c r="G109" s="80">
        <f ca="1">COUNTIF(OFFSET(Synthèse!$G118,0,0,1,COUNTA(Synthèse!$10:$10)-6),"="&amp;$G$1)</f>
        <v>0</v>
      </c>
      <c r="H109" s="80">
        <f ca="1">COUNTIF(OFFSET(Synthèse!$G118,0,0,1,COUNTA(Synthèse!$10:$10)-6),"="&amp;$H$1)</f>
        <v>0</v>
      </c>
      <c r="I109" s="203">
        <f t="shared" ca="1" si="15"/>
        <v>0</v>
      </c>
      <c r="J109" s="68"/>
      <c r="K109" s="96" t="s">
        <v>790</v>
      </c>
      <c r="L109" s="180" t="s">
        <v>24</v>
      </c>
      <c r="M109" s="180"/>
      <c r="N109" s="180" t="s">
        <v>577</v>
      </c>
      <c r="O109" s="181">
        <f ca="1">IF(SUM(E$200:E$200)&gt;=1,0,1)</f>
        <v>1</v>
      </c>
      <c r="P109" s="181">
        <f ca="1">IF(SUM(E$200)&gt;=1,1,IF(SUM(G$200)&gt;=1,1,IF(SUM(F$200)&gt;=1,0,1)))</f>
        <v>1</v>
      </c>
      <c r="Q109" s="181">
        <f ca="1">IF(SUM(E$200)&gt;=1,1,IF(SUM(G$200)&gt;=1,0,1))</f>
        <v>1</v>
      </c>
      <c r="R109" s="181">
        <f ca="1">IF(SUM(E$200)&gt;=1,1,IF(SUM(G$200)&gt;=1,1,IF(SUM(F$200)&gt;=1,1,IF(SUM(H$200)&gt;=1,0,1))))</f>
        <v>1</v>
      </c>
      <c r="S109" s="68"/>
      <c r="U109" s="68"/>
      <c r="X109" s="68"/>
      <c r="AA109" s="68"/>
      <c r="AD109" s="68"/>
      <c r="AE109" s="257" t="s">
        <v>590</v>
      </c>
      <c r="AF109" s="206">
        <f>COUNTIF(TabTrans[Test],"="&amp;Value!$AE109&amp;".*")</f>
        <v>3</v>
      </c>
      <c r="AG109" s="22">
        <f>IF(COUNTIFS(TabSynthez[Test],"="&amp;$AE109&amp;".*",TabSynthez[Colonne1],"Validé")&gt;0,IF(COUNTIFS(TabSynthez[Test],"="&amp;$AE109&amp;".*",TabSynthez[Colonne1],"Validé")+COUNTIFS(TabSynthez[Test],"="&amp;$AE109&amp;".*",TabSynthez[Colonne1],"NA")=$AF109,1,0),0)</f>
        <v>0</v>
      </c>
    </row>
    <row r="110" spans="1:33" s="9" customFormat="1" x14ac:dyDescent="0.25">
      <c r="A110" s="68"/>
      <c r="B110" s="74" t="str">
        <f>Modèle!B112</f>
        <v>Tableaux</v>
      </c>
      <c r="C110" s="80" t="str">
        <f>Modèle!D112</f>
        <v>5.6.3</v>
      </c>
      <c r="D110" s="81" t="str">
        <f>Modèle!E112</f>
        <v>A</v>
      </c>
      <c r="E110" s="80">
        <f ca="1">COUNTIF(OFFSET(Synthèse!$G119,0,0,1,COUNTA(Synthèse!$10:$10)-6),"="&amp;$E$1)</f>
        <v>0</v>
      </c>
      <c r="F110" s="80">
        <f ca="1">COUNTIF(OFFSET(Synthèse!$G119,0,0,1,COUNTA(Synthèse!$10:$10)-6),"="&amp;$F$1)</f>
        <v>0</v>
      </c>
      <c r="G110" s="80">
        <f ca="1">COUNTIF(OFFSET(Synthèse!$G119,0,0,1,COUNTA(Synthèse!$10:$10)-6),"="&amp;$G$1)</f>
        <v>0</v>
      </c>
      <c r="H110" s="80">
        <f ca="1">COUNTIF(OFFSET(Synthèse!$G119,0,0,1,COUNTA(Synthèse!$10:$10)-6),"="&amp;$H$1)</f>
        <v>0</v>
      </c>
      <c r="I110" s="203">
        <f t="shared" ref="I110" ca="1" si="16">SUM(E110:H110)</f>
        <v>0</v>
      </c>
      <c r="J110" s="68"/>
      <c r="K110" s="96"/>
      <c r="L110" s="180"/>
      <c r="M110" s="180"/>
      <c r="N110" s="180"/>
      <c r="O110" s="181"/>
      <c r="P110" s="181"/>
      <c r="Q110" s="181"/>
      <c r="R110" s="181"/>
      <c r="S110" s="68"/>
      <c r="U110" s="68"/>
      <c r="X110" s="68"/>
      <c r="AA110" s="68"/>
      <c r="AD110" s="68"/>
      <c r="AE110" s="257"/>
      <c r="AF110" s="206"/>
      <c r="AG110" s="22"/>
    </row>
    <row r="111" spans="1:33" s="9" customFormat="1" x14ac:dyDescent="0.25">
      <c r="A111" s="68"/>
      <c r="B111" s="74" t="str">
        <f>Modèle!B113</f>
        <v>Tableaux</v>
      </c>
      <c r="C111" s="80" t="str">
        <f>Modèle!D113</f>
        <v>5.6.4</v>
      </c>
      <c r="D111" s="81" t="str">
        <f>Modèle!E113</f>
        <v>A</v>
      </c>
      <c r="E111" s="80">
        <f ca="1">COUNTIF(OFFSET(Synthèse!$G120,0,0,1,COUNTA(Synthèse!$10:$10)-6),"="&amp;$E$1)</f>
        <v>0</v>
      </c>
      <c r="F111" s="80">
        <f ca="1">COUNTIF(OFFSET(Synthèse!$G120,0,0,1,COUNTA(Synthèse!$10:$10)-6),"="&amp;$F$1)</f>
        <v>0</v>
      </c>
      <c r="G111" s="80">
        <f ca="1">COUNTIF(OFFSET(Synthèse!$G120,0,0,1,COUNTA(Synthèse!$10:$10)-6),"="&amp;$G$1)</f>
        <v>0</v>
      </c>
      <c r="H111" s="80">
        <f ca="1">COUNTIF(OFFSET(Synthèse!$G120,0,0,1,COUNTA(Synthèse!$10:$10)-6),"="&amp;$H$1)</f>
        <v>0</v>
      </c>
      <c r="I111" s="203">
        <f t="shared" ca="1" si="15"/>
        <v>0</v>
      </c>
      <c r="J111" s="68"/>
      <c r="K111" s="96" t="s">
        <v>791</v>
      </c>
      <c r="L111" s="180" t="s">
        <v>24</v>
      </c>
      <c r="M111" s="180"/>
      <c r="N111" s="180" t="s">
        <v>578</v>
      </c>
      <c r="O111" s="181">
        <f ca="1">IF(SUM(E$201:E$201)&gt;=1,0,1)</f>
        <v>1</v>
      </c>
      <c r="P111" s="181">
        <f ca="1">IF(SUM(E$201)&gt;=1,1,IF(SUM(G$201)&gt;=1,1,IF(SUM(F$201)&gt;=1,0,1)))</f>
        <v>1</v>
      </c>
      <c r="Q111" s="181">
        <f ca="1">IF(SUM(E$201)&gt;=1,1,IF(SUM(G$201)&gt;=1,0,1))</f>
        <v>1</v>
      </c>
      <c r="R111" s="181">
        <f ca="1">IF(SUM(E$201)&gt;=1,1,IF(SUM(G$201)&gt;=1,1,IF(SUM(F$201)&gt;=1,1,IF(SUM(H$201)&gt;=1,0,1))))</f>
        <v>1</v>
      </c>
      <c r="S111" s="68"/>
      <c r="U111" s="68"/>
      <c r="X111" s="68"/>
      <c r="AA111" s="68"/>
      <c r="AD111" s="68"/>
      <c r="AE111" s="257" t="s">
        <v>591</v>
      </c>
      <c r="AF111" s="206">
        <f>COUNTIF(TabTrans[Test],"="&amp;Value!$AE111&amp;".*")</f>
        <v>1</v>
      </c>
      <c r="AG111" s="22">
        <f>IF(COUNTIFS(TabSynthez[Test],"="&amp;$AE111&amp;".*",TabSynthez[Colonne1],"Validé")&gt;0,IF(COUNTIFS(TabSynthez[Test],"="&amp;$AE111&amp;".*",TabSynthez[Colonne1],"Validé")+COUNTIFS(TabSynthez[Test],"="&amp;$AE111&amp;".*",TabSynthez[Colonne1],"NA")=$AF111,1,0),0)</f>
        <v>0</v>
      </c>
    </row>
    <row r="112" spans="1:33" s="9" customFormat="1" x14ac:dyDescent="0.25">
      <c r="A112" s="68"/>
      <c r="B112" s="75" t="str">
        <f>Modèle!B114</f>
        <v>Tableaux</v>
      </c>
      <c r="C112" s="82" t="str">
        <f>Modèle!D114</f>
        <v>5.7.1</v>
      </c>
      <c r="D112" s="83" t="str">
        <f>Modèle!E114</f>
        <v>A</v>
      </c>
      <c r="E112" s="179">
        <f ca="1">COUNTIF(OFFSET(Synthèse!$G121,0,0,1,COUNTA(Synthèse!$10:$10)-6),"="&amp;$E$1)</f>
        <v>0</v>
      </c>
      <c r="F112" s="179">
        <f ca="1">COUNTIF(OFFSET(Synthèse!$G121,0,0,1,COUNTA(Synthèse!$10:$10)-6),"="&amp;$F$1)</f>
        <v>0</v>
      </c>
      <c r="G112" s="179">
        <f ca="1">COUNTIF(OFFSET(Synthèse!$G121,0,0,1,COUNTA(Synthèse!$10:$10)-6),"="&amp;$G$1)</f>
        <v>0</v>
      </c>
      <c r="H112" s="179">
        <f ca="1">COUNTIF(OFFSET(Synthèse!$G121,0,0,1,COUNTA(Synthèse!$10:$10)-6),"="&amp;$H$1)</f>
        <v>0</v>
      </c>
      <c r="I112" s="203">
        <f t="shared" ca="1" si="15"/>
        <v>0</v>
      </c>
      <c r="J112" s="68"/>
      <c r="K112" s="96" t="s">
        <v>792</v>
      </c>
      <c r="L112" s="180" t="s">
        <v>24</v>
      </c>
      <c r="M112" s="180"/>
      <c r="N112" s="180" t="s">
        <v>579</v>
      </c>
      <c r="O112" s="181">
        <f ca="1">IF(SUM(E$202:E$202)&gt;=1,0,1)</f>
        <v>1</v>
      </c>
      <c r="P112" s="181">
        <f ca="1">IF(SUM(E$202)&gt;=1,1,IF(SUM(G$202)&gt;=1,1,IF(SUM(F$202)&gt;=1,0,1)))</f>
        <v>1</v>
      </c>
      <c r="Q112" s="181">
        <f ca="1">IF(SUM(E$202)&gt;=1,1,IF(SUM(G$202)&gt;=1,0,1))</f>
        <v>1</v>
      </c>
      <c r="R112" s="181">
        <f ca="1">IF(SUM(E$202)&gt;=1,1,IF(SUM(G$202)&gt;=1,1,IF(SUM(F$202)&gt;=1,1,IF(SUM(H$202)&gt;=1,0,1))))</f>
        <v>1</v>
      </c>
      <c r="S112" s="68"/>
      <c r="U112" s="68"/>
      <c r="X112" s="68"/>
      <c r="AA112" s="68"/>
      <c r="AD112" s="68"/>
      <c r="AE112" s="257" t="s">
        <v>592</v>
      </c>
      <c r="AF112" s="206">
        <f>COUNTIF(TabTrans[Test],"="&amp;Value!$AE112&amp;".*")</f>
        <v>2</v>
      </c>
      <c r="AG112" s="22">
        <f>IF(COUNTIFS(TabSynthez[Test],"="&amp;$AE112&amp;".*",TabSynthez[Colonne1],"Validé")&gt;0,IF(COUNTIFS(TabSynthez[Test],"="&amp;$AE112&amp;".*",TabSynthez[Colonne1],"Validé")+COUNTIFS(TabSynthez[Test],"="&amp;$AE112&amp;".*",TabSynthez[Colonne1],"NA")=$AF112,1,0),0)</f>
        <v>0</v>
      </c>
    </row>
    <row r="113" spans="1:33" s="9" customFormat="1" x14ac:dyDescent="0.25">
      <c r="A113" s="68"/>
      <c r="B113" s="75" t="str">
        <f>Modèle!B115</f>
        <v>Tableaux</v>
      </c>
      <c r="C113" s="82" t="str">
        <f>Modèle!D115</f>
        <v>5.7.2</v>
      </c>
      <c r="D113" s="83" t="str">
        <f>Modèle!E115</f>
        <v>A</v>
      </c>
      <c r="E113" s="179">
        <f ca="1">COUNTIF(OFFSET(Synthèse!$G122,0,0,1,COUNTA(Synthèse!$10:$10)-6),"="&amp;$E$1)</f>
        <v>0</v>
      </c>
      <c r="F113" s="179">
        <f ca="1">COUNTIF(OFFSET(Synthèse!$G122,0,0,1,COUNTA(Synthèse!$10:$10)-6),"="&amp;$F$1)</f>
        <v>0</v>
      </c>
      <c r="G113" s="179">
        <f ca="1">COUNTIF(OFFSET(Synthèse!$G122,0,0,1,COUNTA(Synthèse!$10:$10)-6),"="&amp;$G$1)</f>
        <v>0</v>
      </c>
      <c r="H113" s="179">
        <f ca="1">COUNTIF(OFFSET(Synthèse!$G122,0,0,1,COUNTA(Synthèse!$10:$10)-6),"="&amp;$H$1)</f>
        <v>0</v>
      </c>
      <c r="I113" s="203">
        <f t="shared" ca="1" si="15"/>
        <v>0</v>
      </c>
      <c r="J113" s="68"/>
      <c r="K113" s="96" t="s">
        <v>793</v>
      </c>
      <c r="L113" s="180" t="s">
        <v>24</v>
      </c>
      <c r="M113" s="180"/>
      <c r="N113" s="180" t="s">
        <v>580</v>
      </c>
      <c r="O113" s="181">
        <f ca="1">IF(SUM(E$203:E$205)&gt;=1,0,1)</f>
        <v>1</v>
      </c>
      <c r="P113" s="181">
        <f ca="1">IF(SUM(E$203:E$205)&gt;=1,1,IF(SUM(G$203:G$205)&gt;=1,1,IF(SUM(F$203:F$205)&gt;=1,0,1)))</f>
        <v>1</v>
      </c>
      <c r="Q113" s="181">
        <f ca="1">IF(SUM(E$203:E$205)&gt;=1,1,IF(SUM(G$203:G$205)&gt;=1,0,1))</f>
        <v>1</v>
      </c>
      <c r="R113" s="181">
        <f ca="1">IF(SUM(E$203:E$205)&gt;=1,1,IF(SUM(G$203:G$205)&gt;=1,1,IF(SUM(F$203:F$205)&gt;=1,1,IF(SUM(H$203:H$205)&gt;=1,0,1))))</f>
        <v>1</v>
      </c>
      <c r="S113" s="68"/>
      <c r="U113" s="68"/>
      <c r="X113" s="68"/>
      <c r="AA113" s="68"/>
      <c r="AD113" s="68"/>
      <c r="AE113" s="257" t="s">
        <v>593</v>
      </c>
      <c r="AF113" s="206">
        <f>COUNTIF(TabTrans[Test],"="&amp;Value!$AE113&amp;".*")</f>
        <v>2</v>
      </c>
      <c r="AG113" s="22">
        <f>IF(COUNTIFS(TabSynthez[Test],"="&amp;$AE113&amp;".*",TabSynthez[Colonne1],"Validé")&gt;0,IF(COUNTIFS(TabSynthez[Test],"="&amp;$AE113&amp;".*",TabSynthez[Colonne1],"Validé")+COUNTIFS(TabSynthez[Test],"="&amp;$AE113&amp;".*",TabSynthez[Colonne1],"NA")=$AF113,1,0),0)</f>
        <v>0</v>
      </c>
    </row>
    <row r="114" spans="1:33" s="9" customFormat="1" x14ac:dyDescent="0.25">
      <c r="A114" s="68"/>
      <c r="B114" s="75" t="str">
        <f>Modèle!B116</f>
        <v>Tableaux</v>
      </c>
      <c r="C114" s="82" t="str">
        <f>Modèle!D116</f>
        <v>5.7.3</v>
      </c>
      <c r="D114" s="83" t="str">
        <f>Modèle!E116</f>
        <v>A</v>
      </c>
      <c r="E114" s="179">
        <f ca="1">COUNTIF(OFFSET(Synthèse!$G123,0,0,1,COUNTA(Synthèse!$10:$10)-6),"="&amp;$E$1)</f>
        <v>0</v>
      </c>
      <c r="F114" s="179">
        <f ca="1">COUNTIF(OFFSET(Synthèse!$G123,0,0,1,COUNTA(Synthèse!$10:$10)-6),"="&amp;$F$1)</f>
        <v>0</v>
      </c>
      <c r="G114" s="179">
        <f ca="1">COUNTIF(OFFSET(Synthèse!$G123,0,0,1,COUNTA(Synthèse!$10:$10)-6),"="&amp;$G$1)</f>
        <v>0</v>
      </c>
      <c r="H114" s="179">
        <f ca="1">COUNTIF(OFFSET(Synthèse!$G123,0,0,1,COUNTA(Synthèse!$10:$10)-6),"="&amp;$H$1)</f>
        <v>0</v>
      </c>
      <c r="I114" s="203">
        <f t="shared" ca="1" si="15"/>
        <v>0</v>
      </c>
      <c r="J114" s="68"/>
      <c r="K114" s="96" t="s">
        <v>794</v>
      </c>
      <c r="L114" s="180" t="s">
        <v>24</v>
      </c>
      <c r="M114" s="180"/>
      <c r="N114" s="180" t="s">
        <v>581</v>
      </c>
      <c r="O114" s="181">
        <f ca="1">IF(SUM(E$206:E$207)&gt;=1,0,1)</f>
        <v>1</v>
      </c>
      <c r="P114" s="181">
        <f ca="1">IF(SUM(E$206:E$207)&gt;=1,1,IF(SUM(G$206:G$207)&gt;=1,1,IF(SUM(F$206:F$207)&gt;=1,0,1)))</f>
        <v>1</v>
      </c>
      <c r="Q114" s="181">
        <f ca="1">IF(SUM(E$206:E$207)&gt;=1,1,IF(SUM(G$206:G$207)&gt;=1,0,1))</f>
        <v>1</v>
      </c>
      <c r="R114" s="181">
        <f ca="1">IF(SUM(E$206:E$207)&gt;=1,1,IF(SUM(G$206:G$207)&gt;=1,1,IF(SUM(F$206:F$207)&gt;=1,1,IF(SUM(H$206:H$207)&gt;=1,0,1))))</f>
        <v>1</v>
      </c>
      <c r="S114" s="68"/>
      <c r="U114" s="68"/>
      <c r="X114" s="68"/>
      <c r="AA114" s="68"/>
      <c r="AD114" s="68"/>
      <c r="AE114" s="257" t="s">
        <v>594</v>
      </c>
      <c r="AF114" s="206">
        <f>COUNTIF(TabTrans[Test],"="&amp;Value!$AE114&amp;".*")</f>
        <v>1</v>
      </c>
      <c r="AG114" s="22">
        <f>IF(COUNTIFS(TabSynthez[Test],"="&amp;$AE114&amp;".*",TabSynthez[Colonne1],"Validé")&gt;0,IF(COUNTIFS(TabSynthez[Test],"="&amp;$AE114&amp;".*",TabSynthez[Colonne1],"Validé")+COUNTIFS(TabSynthez[Test],"="&amp;$AE114&amp;".*",TabSynthez[Colonne1],"NA")=$AF114,1,0),0)</f>
        <v>0</v>
      </c>
    </row>
    <row r="115" spans="1:33" s="9" customFormat="1" x14ac:dyDescent="0.25">
      <c r="A115" s="68"/>
      <c r="B115" s="75" t="str">
        <f>Modèle!B117</f>
        <v>Tableaux</v>
      </c>
      <c r="C115" s="82" t="str">
        <f>Modèle!D117</f>
        <v>5.7.4</v>
      </c>
      <c r="D115" s="83" t="str">
        <f>Modèle!E117</f>
        <v>A</v>
      </c>
      <c r="E115" s="179">
        <f ca="1">COUNTIF(OFFSET(Synthèse!$G124,0,0,1,COUNTA(Synthèse!$10:$10)-6),"="&amp;$E$1)</f>
        <v>0</v>
      </c>
      <c r="F115" s="179">
        <f ca="1">COUNTIF(OFFSET(Synthèse!$G124,0,0,1,COUNTA(Synthèse!$10:$10)-6),"="&amp;$F$1)</f>
        <v>0</v>
      </c>
      <c r="G115" s="179">
        <f ca="1">COUNTIF(OFFSET(Synthèse!$G124,0,0,1,COUNTA(Synthèse!$10:$10)-6),"="&amp;$G$1)</f>
        <v>0</v>
      </c>
      <c r="H115" s="179">
        <f ca="1">COUNTIF(OFFSET(Synthèse!$G124,0,0,1,COUNTA(Synthèse!$10:$10)-6),"="&amp;$H$1)</f>
        <v>0</v>
      </c>
      <c r="I115" s="203">
        <f t="shared" ca="1" si="15"/>
        <v>0</v>
      </c>
      <c r="J115" s="68"/>
      <c r="K115" s="96" t="s">
        <v>795</v>
      </c>
      <c r="L115" s="180" t="s">
        <v>24</v>
      </c>
      <c r="M115" s="180"/>
      <c r="N115" s="180" t="s">
        <v>582</v>
      </c>
      <c r="O115" s="181">
        <f ca="1">IF(SUM(E$208:E$214)&gt;=1,0,1)</f>
        <v>1</v>
      </c>
      <c r="P115" s="181">
        <f ca="1">IF(SUM(E$208:E$214)&gt;=1,1,IF(SUM(G$208:G$214)&gt;=1,1,IF(SUM(F$208:F$214)&gt;=1,0,1)))</f>
        <v>1</v>
      </c>
      <c r="Q115" s="181">
        <f ca="1">IF(SUM(E$208:E$214)&gt;=1,1,IF(SUM(G$208:G$214)&gt;=1,0,1))</f>
        <v>1</v>
      </c>
      <c r="R115" s="181">
        <f ca="1">IF(SUM(E$208:E$214)&gt;=1,1,IF(SUM(G$208:G$214)&gt;=1,1,IF(SUM(F$208:F$214)&gt;=1,1,IF(SUM(H$208:H$214)&gt;=1,0,1))))</f>
        <v>1</v>
      </c>
      <c r="S115" s="68"/>
      <c r="U115" s="68"/>
      <c r="X115" s="68"/>
      <c r="AA115" s="68"/>
      <c r="AD115" s="68"/>
      <c r="AE115" s="257" t="s">
        <v>595</v>
      </c>
      <c r="AF115" s="206">
        <f>COUNTIF(TabTrans[Test],"="&amp;Value!$AE115&amp;".*")</f>
        <v>1</v>
      </c>
      <c r="AG115" s="22">
        <f>IF(COUNTIFS(TabSynthez[Test],"="&amp;$AE115&amp;".*",TabSynthez[Colonne1],"Validé")&gt;0,IF(COUNTIFS(TabSynthez[Test],"="&amp;$AE115&amp;".*",TabSynthez[Colonne1],"Validé")+COUNTIFS(TabSynthez[Test],"="&amp;$AE115&amp;".*",TabSynthez[Colonne1],"NA")=$AF115,1,0),0)</f>
        <v>0</v>
      </c>
    </row>
    <row r="116" spans="1:33" s="9" customFormat="1" x14ac:dyDescent="0.25">
      <c r="A116" s="68"/>
      <c r="B116" s="75" t="str">
        <f>Modèle!B118</f>
        <v>Tableaux</v>
      </c>
      <c r="C116" s="82" t="str">
        <f>Modèle!D118</f>
        <v>5.7.5</v>
      </c>
      <c r="D116" s="83" t="str">
        <f>Modèle!E118</f>
        <v>A</v>
      </c>
      <c r="E116" s="179">
        <f ca="1">COUNTIF(OFFSET(Synthèse!$G125,0,0,1,COUNTA(Synthèse!$10:$10)-6),"="&amp;$E$1)</f>
        <v>0</v>
      </c>
      <c r="F116" s="179">
        <f ca="1">COUNTIF(OFFSET(Synthèse!$G125,0,0,1,COUNTA(Synthèse!$10:$10)-6),"="&amp;$F$1)</f>
        <v>0</v>
      </c>
      <c r="G116" s="179">
        <f ca="1">COUNTIF(OFFSET(Synthèse!$G125,0,0,1,COUNTA(Synthèse!$10:$10)-6),"="&amp;$G$1)</f>
        <v>0</v>
      </c>
      <c r="H116" s="179">
        <f ca="1">COUNTIF(OFFSET(Synthèse!$G125,0,0,1,COUNTA(Synthèse!$10:$10)-6),"="&amp;$H$1)</f>
        <v>0</v>
      </c>
      <c r="I116" s="203">
        <f t="shared" ca="1" si="15"/>
        <v>0</v>
      </c>
      <c r="J116" s="68"/>
      <c r="K116" s="96" t="s">
        <v>796</v>
      </c>
      <c r="L116" s="180" t="s">
        <v>25</v>
      </c>
      <c r="M116" s="180"/>
      <c r="N116" s="180" t="s">
        <v>583</v>
      </c>
      <c r="O116" s="181">
        <f ca="1">IF(SUM(E$215:E$216)&gt;=1,0,1)</f>
        <v>1</v>
      </c>
      <c r="P116" s="181">
        <f ca="1">IF(SUM(E$215:E$216)&gt;=1,1,IF(SUM(G$215:G$216)&gt;=1,1,IF(SUM(F$215:F$216)&gt;=1,0,1)))</f>
        <v>1</v>
      </c>
      <c r="Q116" s="181">
        <f ca="1">IF(SUM(E$215:E$216)&gt;=1,1,IF(SUM(G$215:G$216)&gt;=1,0,1))</f>
        <v>1</v>
      </c>
      <c r="R116" s="181">
        <f ca="1">IF(SUM(E$215:E$216)&gt;=1,1,IF(SUM(G$215:G$216)&gt;=1,1,IF(SUM(F$215:F$216)&gt;=1,1,IF(SUM(H$215:H$216)&gt;=1,0,1))))</f>
        <v>1</v>
      </c>
      <c r="S116" s="68"/>
      <c r="U116" s="68"/>
      <c r="X116" s="68"/>
      <c r="AA116" s="68"/>
      <c r="AD116" s="68"/>
      <c r="AE116" s="257" t="s">
        <v>596</v>
      </c>
      <c r="AF116" s="206">
        <f>COUNTIF(TabTrans[Test],"="&amp;Value!$AE116&amp;".*")</f>
        <v>1</v>
      </c>
      <c r="AG116" s="22">
        <f>IF(COUNTIFS(TabSynthez[Test],"="&amp;$AE116&amp;".*",TabSynthez[Colonne1],"Validé")&gt;0,IF(COUNTIFS(TabSynthez[Test],"="&amp;$AE116&amp;".*",TabSynthez[Colonne1],"Validé")+COUNTIFS(TabSynthez[Test],"="&amp;$AE116&amp;".*",TabSynthez[Colonne1],"NA")=$AF116,1,0),0)</f>
        <v>0</v>
      </c>
    </row>
    <row r="117" spans="1:33" s="9" customFormat="1" x14ac:dyDescent="0.25">
      <c r="A117" s="68"/>
      <c r="B117" s="74" t="str">
        <f>Modèle!B119</f>
        <v>Tableaux</v>
      </c>
      <c r="C117" s="80" t="str">
        <f>Modèle!D119</f>
        <v>5.8.1</v>
      </c>
      <c r="D117" s="81" t="str">
        <f>Modèle!E119</f>
        <v>A</v>
      </c>
      <c r="E117" s="80">
        <f ca="1">COUNTIF(OFFSET(Synthèse!$G126,0,0,1,COUNTA(Synthèse!$10:$10)-6),"="&amp;$E$1)</f>
        <v>0</v>
      </c>
      <c r="F117" s="80">
        <f ca="1">COUNTIF(OFFSET(Synthèse!$G126,0,0,1,COUNTA(Synthèse!$10:$10)-6),"="&amp;$F$1)</f>
        <v>0</v>
      </c>
      <c r="G117" s="80">
        <f ca="1">COUNTIF(OFFSET(Synthèse!$G126,0,0,1,COUNTA(Synthèse!$10:$10)-6),"="&amp;$G$1)</f>
        <v>0</v>
      </c>
      <c r="H117" s="80">
        <f ca="1">COUNTIF(OFFSET(Synthèse!$G126,0,0,1,COUNTA(Synthèse!$10:$10)-6),"="&amp;$H$1)</f>
        <v>0</v>
      </c>
      <c r="I117" s="203">
        <f t="shared" ca="1" si="15"/>
        <v>0</v>
      </c>
      <c r="J117" s="68"/>
      <c r="K117" s="96" t="s">
        <v>797</v>
      </c>
      <c r="L117" s="180" t="s">
        <v>25</v>
      </c>
      <c r="M117" s="180"/>
      <c r="N117" s="180" t="s">
        <v>584</v>
      </c>
      <c r="O117" s="181">
        <f ca="1">IF(SUM(E$217:E$218)&gt;=1,0,1)</f>
        <v>1</v>
      </c>
      <c r="P117" s="181">
        <f ca="1">IF(SUM(E$217:E$218)&gt;=1,1,IF(SUM(G$217:G$218)&gt;=1,1,IF(SUM(F$217:F$218)&gt;=1,0,1)))</f>
        <v>1</v>
      </c>
      <c r="Q117" s="181">
        <f ca="1">IF(SUM(E$217:E$218)&gt;=1,1,IF(SUM(G$217:G$218)&gt;=1,0,1))</f>
        <v>1</v>
      </c>
      <c r="R117" s="181">
        <f ca="1">IF(SUM(E$217:E$218)&gt;=1,1,IF(SUM(G$217:G$218)&gt;=1,1,IF(SUM(F$217:F$218)&gt;=1,1,IF(SUM(H$217:H$218)&gt;=1,0,1))))</f>
        <v>1</v>
      </c>
      <c r="S117" s="68"/>
      <c r="U117" s="68"/>
      <c r="X117" s="68"/>
      <c r="AA117" s="68"/>
      <c r="AD117" s="68"/>
      <c r="AE117" s="257" t="s">
        <v>597</v>
      </c>
      <c r="AF117" s="206">
        <f>COUNTIF(TabTrans[Test],"="&amp;Value!$AE117&amp;".*")</f>
        <v>4</v>
      </c>
      <c r="AG117" s="22">
        <f>IF(COUNTIFS(TabSynthez[Test],"="&amp;$AE117&amp;".*",TabSynthez[Colonne1],"Validé")&gt;0,IF(COUNTIFS(TabSynthez[Test],"="&amp;$AE117&amp;".*",TabSynthez[Colonne1],"Validé")+COUNTIFS(TabSynthez[Test],"="&amp;$AE117&amp;".*",TabSynthez[Colonne1],"NA")=$AF117,1,0),0)</f>
        <v>0</v>
      </c>
    </row>
    <row r="118" spans="1:33" s="9" customFormat="1" x14ac:dyDescent="0.25">
      <c r="A118" s="68"/>
      <c r="B118" s="75" t="str">
        <f>Modèle!B120</f>
        <v>Liens</v>
      </c>
      <c r="C118" s="82" t="str">
        <f>Modèle!D120</f>
        <v>6.1.1</v>
      </c>
      <c r="D118" s="83" t="str">
        <f>Modèle!E120</f>
        <v>A</v>
      </c>
      <c r="E118" s="179">
        <f ca="1">COUNTIF(OFFSET(Synthèse!$G127,0,0,1,COUNTA(Synthèse!$10:$10)-6),"="&amp;$E$1)</f>
        <v>0</v>
      </c>
      <c r="F118" s="179">
        <f ca="1">COUNTIF(OFFSET(Synthèse!$G127,0,0,1,COUNTA(Synthèse!$10:$10)-6),"="&amp;$F$1)</f>
        <v>0</v>
      </c>
      <c r="G118" s="179">
        <f ca="1">COUNTIF(OFFSET(Synthèse!$G127,0,0,1,COUNTA(Synthèse!$10:$10)-6),"="&amp;$G$1)</f>
        <v>0</v>
      </c>
      <c r="H118" s="179">
        <f ca="1">COUNTIF(OFFSET(Synthèse!$G127,0,0,1,COUNTA(Synthèse!$10:$10)-6),"="&amp;$H$1)</f>
        <v>0</v>
      </c>
      <c r="I118" s="203">
        <f t="shared" ca="1" si="15"/>
        <v>0</v>
      </c>
      <c r="J118" s="68"/>
      <c r="K118" s="96" t="s">
        <v>798</v>
      </c>
      <c r="L118" s="180" t="s">
        <v>25</v>
      </c>
      <c r="M118" s="180"/>
      <c r="N118" s="180" t="s">
        <v>585</v>
      </c>
      <c r="O118" s="181">
        <f ca="1">IF(SUM(E$219:E$219)&gt;=1,0,1)</f>
        <v>1</v>
      </c>
      <c r="P118" s="181">
        <f ca="1">IF(SUM(E$219)&gt;=1,1,IF(SUM(G$219)&gt;=1,1,IF(SUM(F$219)&gt;=1,0,1)))</f>
        <v>1</v>
      </c>
      <c r="Q118" s="181">
        <f ca="1">IF(SUM(E$219)&gt;=1,1,IF(SUM(G$219)&gt;=1,0,1))</f>
        <v>1</v>
      </c>
      <c r="R118" s="181">
        <f ca="1">IF(SUM(E$219)&gt;=1,1,IF(SUM(G$219)&gt;=1,1,IF(SUM(F$219)&gt;=1,1,IF(SUM(H$219)&gt;=1,0,1))))</f>
        <v>1</v>
      </c>
      <c r="S118" s="68"/>
      <c r="U118" s="68"/>
      <c r="X118" s="68"/>
      <c r="AA118" s="68"/>
      <c r="AD118" s="68"/>
      <c r="AE118" s="257" t="s">
        <v>598</v>
      </c>
      <c r="AF118" s="206">
        <f>COUNTIF(TabTrans[Test],"="&amp;Value!$AE118&amp;".*")</f>
        <v>1</v>
      </c>
      <c r="AG118" s="22">
        <f>IF(COUNTIFS(TabSynthez[Test],"="&amp;$AE118&amp;".*",TabSynthez[Colonne1],"Validé")&gt;0,IF(COUNTIFS(TabSynthez[Test],"="&amp;$AE118&amp;".*",TabSynthez[Colonne1],"Validé")+COUNTIFS(TabSynthez[Test],"="&amp;$AE118&amp;".*",TabSynthez[Colonne1],"NA")=$AF118,1,0),0)</f>
        <v>0</v>
      </c>
    </row>
    <row r="119" spans="1:33" s="9" customFormat="1" x14ac:dyDescent="0.25">
      <c r="A119" s="68"/>
      <c r="B119" s="75" t="str">
        <f>Modèle!B121</f>
        <v>Liens</v>
      </c>
      <c r="C119" s="82" t="str">
        <f>Modèle!D121</f>
        <v>6.1.2</v>
      </c>
      <c r="D119" s="83" t="str">
        <f>Modèle!E121</f>
        <v>A</v>
      </c>
      <c r="E119" s="179">
        <f ca="1">COUNTIF(OFFSET(Synthèse!$G128,0,0,1,COUNTA(Synthèse!$10:$10)-6),"="&amp;$E$1)</f>
        <v>0</v>
      </c>
      <c r="F119" s="179">
        <f ca="1">COUNTIF(OFFSET(Synthèse!$G128,0,0,1,COUNTA(Synthèse!$10:$10)-6),"="&amp;$F$1)</f>
        <v>0</v>
      </c>
      <c r="G119" s="179">
        <f ca="1">COUNTIF(OFFSET(Synthèse!$G128,0,0,1,COUNTA(Synthèse!$10:$10)-6),"="&amp;$G$1)</f>
        <v>0</v>
      </c>
      <c r="H119" s="179">
        <f ca="1">COUNTIF(OFFSET(Synthèse!$G128,0,0,1,COUNTA(Synthèse!$10:$10)-6),"="&amp;$H$1)</f>
        <v>0</v>
      </c>
      <c r="I119" s="203">
        <f t="shared" ca="1" si="15"/>
        <v>0</v>
      </c>
      <c r="J119" s="68"/>
      <c r="K119" s="96" t="s">
        <v>799</v>
      </c>
      <c r="L119" s="182" t="s">
        <v>25</v>
      </c>
      <c r="M119" s="182"/>
      <c r="N119" s="182" t="s">
        <v>586</v>
      </c>
      <c r="O119" s="183">
        <f ca="1">IF(SUM(E$220:E$220)&gt;=1,0,1)</f>
        <v>1</v>
      </c>
      <c r="P119" s="183">
        <f ca="1">IF(SUM(E$220)&gt;=1,1,IF(SUM(G$220)&gt;=1,1,IF(SUM(F$220)&gt;=1,0,1)))</f>
        <v>1</v>
      </c>
      <c r="Q119" s="183">
        <f ca="1">IF(SUM(E$220)&gt;=1,1,IF(SUM(G$220)&gt;=1,0,1))</f>
        <v>1</v>
      </c>
      <c r="R119" s="183">
        <f ca="1">IF(SUM(E$220)&gt;=1,1,IF(SUM(G$220)&gt;=1,1,IF(SUM(F$220)&gt;=1,1,IF(SUM(H$220)&gt;=1,0,1))))</f>
        <v>1</v>
      </c>
      <c r="S119" s="68"/>
      <c r="U119" s="68"/>
      <c r="X119" s="68"/>
      <c r="AA119" s="68"/>
      <c r="AD119" s="68"/>
      <c r="AE119" s="257" t="s">
        <v>599</v>
      </c>
      <c r="AF119" s="206">
        <f>COUNTIF(TabTrans[Test],"="&amp;Value!$AE119&amp;".*")</f>
        <v>1</v>
      </c>
      <c r="AG119" s="22">
        <f>IF(COUNTIFS(TabSynthez[Test],"="&amp;$AE119&amp;".*",TabSynthez[Colonne1],"Validé")&gt;0,IF(COUNTIFS(TabSynthez[Test],"="&amp;$AE119&amp;".*",TabSynthez[Colonne1],"Validé")+COUNTIFS(TabSynthez[Test],"="&amp;$AE119&amp;".*",TabSynthez[Colonne1],"NA")=$AF119,1,0),0)</f>
        <v>0</v>
      </c>
    </row>
    <row r="120" spans="1:33" s="9" customFormat="1" x14ac:dyDescent="0.25">
      <c r="A120" s="68"/>
      <c r="B120" s="75" t="str">
        <f>Modèle!B122</f>
        <v>Liens</v>
      </c>
      <c r="C120" s="82" t="str">
        <f>Modèle!D122</f>
        <v>6.1.3</v>
      </c>
      <c r="D120" s="83" t="str">
        <f>Modèle!E122</f>
        <v>A</v>
      </c>
      <c r="E120" s="179">
        <f ca="1">COUNTIF(OFFSET(Synthèse!$G129,0,0,1,COUNTA(Synthèse!$10:$10)-6),"="&amp;$E$1)</f>
        <v>0</v>
      </c>
      <c r="F120" s="179">
        <f ca="1">COUNTIF(OFFSET(Synthèse!$G129,0,0,1,COUNTA(Synthèse!$10:$10)-6),"="&amp;$F$1)</f>
        <v>0</v>
      </c>
      <c r="G120" s="179">
        <f ca="1">COUNTIF(OFFSET(Synthèse!$G129,0,0,1,COUNTA(Synthèse!$10:$10)-6),"="&amp;$G$1)</f>
        <v>0</v>
      </c>
      <c r="H120" s="179">
        <f ca="1">COUNTIF(OFFSET(Synthèse!$G129,0,0,1,COUNTA(Synthèse!$10:$10)-6),"="&amp;$H$1)</f>
        <v>0</v>
      </c>
      <c r="I120" s="203">
        <f t="shared" ca="1" si="15"/>
        <v>0</v>
      </c>
      <c r="J120" s="68"/>
      <c r="K120" s="96" t="s">
        <v>800</v>
      </c>
      <c r="L120" s="182" t="s">
        <v>25</v>
      </c>
      <c r="M120" s="182"/>
      <c r="N120" s="182" t="s">
        <v>587</v>
      </c>
      <c r="O120" s="183">
        <f ca="1">IF(SUM(E$221:E$221)&gt;=1,0,1)</f>
        <v>1</v>
      </c>
      <c r="P120" s="183">
        <f ca="1">IF(SUM(E$221)&gt;=1,1,IF(SUM(G$221)&gt;=1,1,IF(SUM(F$221)&gt;=1,0,1)))</f>
        <v>1</v>
      </c>
      <c r="Q120" s="183">
        <f ca="1">IF(SUM(E$221)&gt;=1,1,IF(SUM(G$221)&gt;=1,0,1))</f>
        <v>1</v>
      </c>
      <c r="R120" s="183">
        <f ca="1">IF(SUM(E$221)&gt;=1,1,IF(SUM(G$221)&gt;=1,1,IF(SUM(F$221)&gt;=1,1,IF(SUM(H$221)&gt;=1,0,1))))</f>
        <v>1</v>
      </c>
      <c r="S120" s="68"/>
      <c r="U120" s="68"/>
      <c r="X120" s="68"/>
      <c r="AA120" s="68"/>
      <c r="AD120" s="68"/>
      <c r="AE120" s="257" t="s">
        <v>600</v>
      </c>
      <c r="AF120" s="206">
        <f>COUNTIF(TabTrans[Test],"="&amp;Value!$AE120&amp;".*")</f>
        <v>1</v>
      </c>
      <c r="AG120" s="22">
        <f>IF(COUNTIFS(TabSynthez[Test],"="&amp;$AE120&amp;".*",TabSynthez[Colonne1],"Validé")&gt;0,IF(COUNTIFS(TabSynthez[Test],"="&amp;$AE120&amp;".*",TabSynthez[Colonne1],"Validé")+COUNTIFS(TabSynthez[Test],"="&amp;$AE120&amp;".*",TabSynthez[Colonne1],"NA")=$AF120,1,0),0)</f>
        <v>0</v>
      </c>
    </row>
    <row r="121" spans="1:33" s="9" customFormat="1" x14ac:dyDescent="0.25">
      <c r="A121" s="68"/>
      <c r="B121" s="75" t="str">
        <f>Modèle!B123</f>
        <v>Liens</v>
      </c>
      <c r="C121" s="82" t="str">
        <f>Modèle!D123</f>
        <v>6.1.4</v>
      </c>
      <c r="D121" s="83" t="str">
        <f>Modèle!E123</f>
        <v>A</v>
      </c>
      <c r="E121" s="179">
        <f ca="1">COUNTIF(OFFSET(Synthèse!$G130,0,0,1,COUNTA(Synthèse!$10:$10)-6),"="&amp;$E$1)</f>
        <v>0</v>
      </c>
      <c r="F121" s="179">
        <f ca="1">COUNTIF(OFFSET(Synthèse!$G130,0,0,1,COUNTA(Synthèse!$10:$10)-6),"="&amp;$F$1)</f>
        <v>0</v>
      </c>
      <c r="G121" s="179">
        <f ca="1">COUNTIF(OFFSET(Synthèse!$G130,0,0,1,COUNTA(Synthèse!$10:$10)-6),"="&amp;$G$1)</f>
        <v>0</v>
      </c>
      <c r="H121" s="179">
        <f ca="1">COUNTIF(OFFSET(Synthèse!$G130,0,0,1,COUNTA(Synthèse!$10:$10)-6),"="&amp;$H$1)</f>
        <v>0</v>
      </c>
      <c r="I121" s="203">
        <f t="shared" ca="1" si="15"/>
        <v>0</v>
      </c>
      <c r="J121" s="68"/>
      <c r="K121" s="96" t="s">
        <v>801</v>
      </c>
      <c r="L121" s="182" t="s">
        <v>25</v>
      </c>
      <c r="M121" s="182"/>
      <c r="N121" s="182" t="s">
        <v>588</v>
      </c>
      <c r="O121" s="183">
        <f ca="1">IF(SUM(E$222:E$224)&gt;=1,0,1)</f>
        <v>1</v>
      </c>
      <c r="P121" s="183">
        <f ca="1">IF(SUM(E$222:E$224)&gt;=1,1,IF(SUM(G$222:G$224)&gt;=1,1,IF(SUM(F$222:F$224)&gt;=1,0,1)))</f>
        <v>1</v>
      </c>
      <c r="Q121" s="183">
        <f ca="1">IF(SUM(E$222:E$224)&gt;=1,1,IF(SUM(G$222:G$224)&gt;=1,0,1))</f>
        <v>1</v>
      </c>
      <c r="R121" s="183">
        <f ca="1">IF(SUM(E$222:E$224)&gt;=1,1,IF(SUM(G$222:G$224)&gt;=1,1,IF(SUM(F$222:F$224)&gt;=1,1,IF(SUM(H$222:H$224)&gt;=1,0,1))))</f>
        <v>1</v>
      </c>
      <c r="S121" s="68"/>
      <c r="U121" s="68"/>
      <c r="X121" s="68"/>
      <c r="AA121" s="68"/>
      <c r="AD121" s="68"/>
      <c r="AE121" s="257" t="s">
        <v>601</v>
      </c>
      <c r="AF121" s="206">
        <f>COUNTIF(TabTrans[Test],"="&amp;Value!$AE121&amp;".*")</f>
        <v>1</v>
      </c>
      <c r="AG121" s="22">
        <f>IF(COUNTIFS(TabSynthez[Test],"="&amp;$AE121&amp;".*",TabSynthez[Colonne1],"Validé")&gt;0,IF(COUNTIFS(TabSynthez[Test],"="&amp;$AE121&amp;".*",TabSynthez[Colonne1],"Validé")+COUNTIFS(TabSynthez[Test],"="&amp;$AE121&amp;".*",TabSynthez[Colonne1],"NA")=$AF121,1,0),0)</f>
        <v>0</v>
      </c>
    </row>
    <row r="122" spans="1:33" s="9" customFormat="1" x14ac:dyDescent="0.25">
      <c r="A122" s="68"/>
      <c r="B122" s="75" t="str">
        <f>Modèle!B124</f>
        <v>Liens</v>
      </c>
      <c r="C122" s="82" t="str">
        <f>Modèle!D124</f>
        <v>6.1.5</v>
      </c>
      <c r="D122" s="83" t="str">
        <f>Modèle!E124</f>
        <v>A</v>
      </c>
      <c r="E122" s="179">
        <f ca="1">COUNTIF(OFFSET(Synthèse!$G131,0,0,1,COUNTA(Synthèse!$10:$10)-6),"="&amp;$E$1)</f>
        <v>0</v>
      </c>
      <c r="F122" s="179">
        <f ca="1">COUNTIF(OFFSET(Synthèse!$G131,0,0,1,COUNTA(Synthèse!$10:$10)-6),"="&amp;$F$1)</f>
        <v>0</v>
      </c>
      <c r="G122" s="179">
        <f ca="1">COUNTIF(OFFSET(Synthèse!$G131,0,0,1,COUNTA(Synthèse!$10:$10)-6),"="&amp;$G$1)</f>
        <v>0</v>
      </c>
      <c r="H122" s="179">
        <f ca="1">COUNTIF(OFFSET(Synthèse!$G131,0,0,1,COUNTA(Synthèse!$10:$10)-6),"="&amp;$H$1)</f>
        <v>0</v>
      </c>
      <c r="I122" s="203">
        <f t="shared" ca="1" si="15"/>
        <v>0</v>
      </c>
      <c r="J122" s="68"/>
      <c r="K122" s="96" t="s">
        <v>802</v>
      </c>
      <c r="L122" s="182" t="s">
        <v>25</v>
      </c>
      <c r="M122" s="182"/>
      <c r="N122" s="182" t="s">
        <v>589</v>
      </c>
      <c r="O122" s="183">
        <f ca="1">IF(SUM(E$225:E$227)&gt;=1,0,1)</f>
        <v>1</v>
      </c>
      <c r="P122" s="183">
        <f ca="1">IF(SUM(E$225:E$227)&gt;=1,1,IF(SUM(G$225:G$227)&gt;=1,1,IF(SUM(F$225:F$227)&gt;=1,0,1)))</f>
        <v>1</v>
      </c>
      <c r="Q122" s="183">
        <f ca="1">IF(SUM(E$225:E$227)&gt;=1,1,IF(SUM(G$225:G$227)&gt;=1,0,1))</f>
        <v>1</v>
      </c>
      <c r="R122" s="183">
        <f ca="1">IF(SUM(E$225:E$227)&gt;=1,1,IF(SUM(G$225:G$227)&gt;=1,1,IF(SUM(F$225:F$227)&gt;=1,1,IF(SUM(H$225:H$227)&gt;=1,0,1))))</f>
        <v>1</v>
      </c>
      <c r="S122" s="68"/>
      <c r="U122" s="68"/>
      <c r="X122" s="68"/>
      <c r="AA122" s="68"/>
      <c r="AD122" s="68"/>
      <c r="AE122" s="257" t="s">
        <v>602</v>
      </c>
      <c r="AF122" s="206">
        <f>COUNTIF(TabTrans[Test],"="&amp;Value!$AE122&amp;".*")</f>
        <v>1</v>
      </c>
      <c r="AG122" s="22">
        <f>IF(COUNTIFS(TabSynthez[Test],"="&amp;$AE122&amp;".*",TabSynthez[Colonne1],"Validé")&gt;0,IF(COUNTIFS(TabSynthez[Test],"="&amp;$AE122&amp;".*",TabSynthez[Colonne1],"Validé")+COUNTIFS(TabSynthez[Test],"="&amp;$AE122&amp;".*",TabSynthez[Colonne1],"NA")=$AF122,1,0),0)</f>
        <v>0</v>
      </c>
    </row>
    <row r="123" spans="1:33" s="9" customFormat="1" x14ac:dyDescent="0.25">
      <c r="A123" s="68"/>
      <c r="B123" s="74" t="str">
        <f>Modèle!B125</f>
        <v>Liens</v>
      </c>
      <c r="C123" s="80" t="str">
        <f>Modèle!D125</f>
        <v>6.2.1</v>
      </c>
      <c r="D123" s="81" t="str">
        <f>Modèle!E125</f>
        <v>A</v>
      </c>
      <c r="E123" s="80">
        <f ca="1">COUNTIF(OFFSET(Synthèse!$G132,0,0,1,COUNTA(Synthèse!$10:$10)-6),"="&amp;$E$1)</f>
        <v>0</v>
      </c>
      <c r="F123" s="80">
        <f ca="1">COUNTIF(OFFSET(Synthèse!$G132,0,0,1,COUNTA(Synthèse!$10:$10)-6),"="&amp;$F$1)</f>
        <v>0</v>
      </c>
      <c r="G123" s="80">
        <f ca="1">COUNTIF(OFFSET(Synthèse!$G132,0,0,1,COUNTA(Synthèse!$10:$10)-6),"="&amp;$G$1)</f>
        <v>0</v>
      </c>
      <c r="H123" s="80">
        <f ca="1">COUNTIF(OFFSET(Synthèse!$G132,0,0,1,COUNTA(Synthèse!$10:$10)-6),"="&amp;$H$1)</f>
        <v>0</v>
      </c>
      <c r="I123" s="203">
        <f t="shared" ca="1" si="15"/>
        <v>0</v>
      </c>
      <c r="J123" s="68"/>
      <c r="K123" s="96" t="s">
        <v>803</v>
      </c>
      <c r="L123" s="182" t="s">
        <v>25</v>
      </c>
      <c r="M123" s="182"/>
      <c r="N123" s="182" t="s">
        <v>590</v>
      </c>
      <c r="O123" s="183">
        <f ca="1">IF(SUM(E$228:E$230)&gt;=1,0,1)</f>
        <v>1</v>
      </c>
      <c r="P123" s="183">
        <f ca="1">IF(SUM(E$228:E$230)&gt;=1,1,IF(SUM(G$228:G$230)&gt;=1,1,IF(SUM(F$228:F$230)&gt;=1,0,1)))</f>
        <v>1</v>
      </c>
      <c r="Q123" s="183">
        <f ca="1">IF(SUM(E$228:E$230)&gt;=1,1,IF(SUM(G$228:G$230)&gt;=1,0,1))</f>
        <v>1</v>
      </c>
      <c r="R123" s="183">
        <f ca="1">IF(SUM(E$228:E$230)&gt;=1,1,IF(SUM(G$228:G$230)&gt;=1,1,IF(SUM(F$228:F$230)&gt;=1,1,IF(SUM(H$228:H$230)&gt;=1,0,1))))</f>
        <v>1</v>
      </c>
      <c r="S123" s="68"/>
      <c r="U123" s="68"/>
      <c r="X123" s="68"/>
      <c r="AA123" s="68"/>
      <c r="AD123" s="68"/>
      <c r="AE123" s="257" t="s">
        <v>603</v>
      </c>
      <c r="AF123" s="206">
        <f>COUNTIF(TabTrans[Test],"="&amp;Value!$AE123&amp;".*")</f>
        <v>3</v>
      </c>
      <c r="AG123" s="22">
        <f>IF(COUNTIFS(TabSynthez[Test],"="&amp;$AE123&amp;".*",TabSynthez[Colonne1],"Validé")&gt;0,IF(COUNTIFS(TabSynthez[Test],"="&amp;$AE123&amp;".*",TabSynthez[Colonne1],"Validé")+COUNTIFS(TabSynthez[Test],"="&amp;$AE123&amp;".*",TabSynthez[Colonne1],"NA")=$AF123,1,0),0)</f>
        <v>0</v>
      </c>
    </row>
    <row r="124" spans="1:33" s="9" customFormat="1" x14ac:dyDescent="0.25">
      <c r="A124" s="68"/>
      <c r="B124" s="75" t="str">
        <f>Modèle!B126</f>
        <v>Scripts</v>
      </c>
      <c r="C124" s="82" t="str">
        <f>Modèle!D126</f>
        <v>7.1.1</v>
      </c>
      <c r="D124" s="83" t="str">
        <f>Modèle!E126</f>
        <v>A</v>
      </c>
      <c r="E124" s="179">
        <f ca="1">COUNTIF(OFFSET(Synthèse!$G133,0,0,1,COUNTA(Synthèse!$10:$10)-6),"="&amp;$E$1)</f>
        <v>0</v>
      </c>
      <c r="F124" s="179">
        <f ca="1">COUNTIF(OFFSET(Synthèse!$G133,0,0,1,COUNTA(Synthèse!$10:$10)-6),"="&amp;$F$1)</f>
        <v>0</v>
      </c>
      <c r="G124" s="179">
        <f ca="1">COUNTIF(OFFSET(Synthèse!$G133,0,0,1,COUNTA(Synthèse!$10:$10)-6),"="&amp;$G$1)</f>
        <v>0</v>
      </c>
      <c r="H124" s="179">
        <f ca="1">COUNTIF(OFFSET(Synthèse!$G133,0,0,1,COUNTA(Synthèse!$10:$10)-6),"="&amp;$H$1)</f>
        <v>0</v>
      </c>
      <c r="I124" s="203">
        <f t="shared" ca="1" si="15"/>
        <v>0</v>
      </c>
      <c r="J124" s="68"/>
      <c r="K124" s="96" t="s">
        <v>804</v>
      </c>
      <c r="L124" s="182" t="s">
        <v>24</v>
      </c>
      <c r="M124" s="182"/>
      <c r="N124" s="182" t="s">
        <v>591</v>
      </c>
      <c r="O124" s="183">
        <f ca="1">IF(SUM(E$231:E$231)&gt;=1,0,1)</f>
        <v>1</v>
      </c>
      <c r="P124" s="183">
        <f ca="1">IF(SUM(E$231)&gt;=1,1,IF(SUM(G$231)&gt;=1,1,IF(SUM(F$231)&gt;=1,0,1)))</f>
        <v>1</v>
      </c>
      <c r="Q124" s="183">
        <f ca="1">IF(SUM(E$231)&gt;=1,1,IF(SUM(G$231)&gt;=1,0,1))</f>
        <v>1</v>
      </c>
      <c r="R124" s="183">
        <f ca="1">IF(SUM(E$231)&gt;=1,1,IF(SUM(G$231)&gt;=1,1,IF(SUM(F$231)&gt;=1,1,IF(SUM(H$231)&gt;=1,0,1))))</f>
        <v>1</v>
      </c>
      <c r="S124" s="68"/>
      <c r="U124" s="68"/>
      <c r="X124" s="68"/>
      <c r="AA124" s="68"/>
      <c r="AD124" s="68"/>
      <c r="AE124" s="257" t="s">
        <v>604</v>
      </c>
      <c r="AF124" s="206">
        <f>COUNTIF(TabTrans[Test],"="&amp;Value!$AE124&amp;".*")</f>
        <v>2</v>
      </c>
      <c r="AG124" s="22">
        <f>IF(COUNTIFS(TabSynthez[Test],"="&amp;$AE124&amp;".*",TabSynthez[Colonne1],"Validé")&gt;0,IF(COUNTIFS(TabSynthez[Test],"="&amp;$AE124&amp;".*",TabSynthez[Colonne1],"Validé")+COUNTIFS(TabSynthez[Test],"="&amp;$AE124&amp;".*",TabSynthez[Colonne1],"NA")=$AF124,1,0),0)</f>
        <v>0</v>
      </c>
    </row>
    <row r="125" spans="1:33" s="9" customFormat="1" x14ac:dyDescent="0.25">
      <c r="A125" s="68"/>
      <c r="B125" s="75" t="str">
        <f>Modèle!B127</f>
        <v>Scripts</v>
      </c>
      <c r="C125" s="82" t="str">
        <f>Modèle!D127</f>
        <v>7.1.2</v>
      </c>
      <c r="D125" s="83" t="str">
        <f>Modèle!E127</f>
        <v>A</v>
      </c>
      <c r="E125" s="179">
        <f ca="1">COUNTIF(OFFSET(Synthèse!$G134,0,0,1,COUNTA(Synthèse!$10:$10)-6),"="&amp;$E$1)</f>
        <v>0</v>
      </c>
      <c r="F125" s="179">
        <f ca="1">COUNTIF(OFFSET(Synthèse!$G134,0,0,1,COUNTA(Synthèse!$10:$10)-6),"="&amp;$F$1)</f>
        <v>0</v>
      </c>
      <c r="G125" s="179">
        <f ca="1">COUNTIF(OFFSET(Synthèse!$G134,0,0,1,COUNTA(Synthèse!$10:$10)-6),"="&amp;$G$1)</f>
        <v>0</v>
      </c>
      <c r="H125" s="179">
        <f ca="1">COUNTIF(OFFSET(Synthèse!$G134,0,0,1,COUNTA(Synthèse!$10:$10)-6),"="&amp;$H$1)</f>
        <v>0</v>
      </c>
      <c r="I125" s="203">
        <f t="shared" ca="1" si="15"/>
        <v>0</v>
      </c>
      <c r="J125" s="68"/>
      <c r="K125" s="96" t="s">
        <v>805</v>
      </c>
      <c r="L125" s="182" t="s">
        <v>24</v>
      </c>
      <c r="M125" s="182"/>
      <c r="N125" s="182" t="s">
        <v>592</v>
      </c>
      <c r="O125" s="183">
        <f ca="1">IF(SUM(E$232:E$233)&gt;=1,0,1)</f>
        <v>1</v>
      </c>
      <c r="P125" s="183">
        <f ca="1">IF(SUM(E$232:E$233)&gt;=1,1,IF(SUM(G$232:G$233)&gt;=1,1,IF(SUM(F$232:F$233)&gt;=1,0,1)))</f>
        <v>1</v>
      </c>
      <c r="Q125" s="183">
        <f ca="1">IF(SUM(E$232:E$233)&gt;=1,1,IF(SUM(G$232:G$233)&gt;=1,0,1))</f>
        <v>1</v>
      </c>
      <c r="R125" s="183">
        <f ca="1">IF(SUM(E$232:E$233)&gt;=1,1,IF(SUM(G$232:G$233)&gt;=1,1,IF(SUM(F$232:F$233)&gt;=1,1,IF(SUM(H$232:H$233)&gt;=1,0,1))))</f>
        <v>1</v>
      </c>
      <c r="S125" s="68"/>
      <c r="U125" s="68"/>
      <c r="X125" s="68"/>
      <c r="AA125" s="68"/>
      <c r="AD125" s="68"/>
      <c r="AE125" s="257" t="s">
        <v>605</v>
      </c>
      <c r="AF125" s="206">
        <f>COUNTIF(TabTrans[Test],"="&amp;Value!$AE125&amp;".*")</f>
        <v>1</v>
      </c>
      <c r="AG125" s="22">
        <f>IF(COUNTIFS(TabSynthez[Test],"="&amp;$AE125&amp;".*",TabSynthez[Colonne1],"Validé")&gt;0,IF(COUNTIFS(TabSynthez[Test],"="&amp;$AE125&amp;".*",TabSynthez[Colonne1],"Validé")+COUNTIFS(TabSynthez[Test],"="&amp;$AE125&amp;".*",TabSynthez[Colonne1],"NA")=$AF125,1,0),0)</f>
        <v>0</v>
      </c>
    </row>
    <row r="126" spans="1:33" s="9" customFormat="1" x14ac:dyDescent="0.25">
      <c r="A126" s="68"/>
      <c r="B126" s="75" t="str">
        <f>Modèle!B128</f>
        <v>Scripts</v>
      </c>
      <c r="C126" s="82" t="str">
        <f>Modèle!D128</f>
        <v>7.1.3</v>
      </c>
      <c r="D126" s="83" t="str">
        <f>Modèle!E128</f>
        <v>A</v>
      </c>
      <c r="E126" s="179">
        <f ca="1">COUNTIF(OFFSET(Synthèse!$G135,0,0,1,COUNTA(Synthèse!$10:$10)-6),"="&amp;$E$1)</f>
        <v>0</v>
      </c>
      <c r="F126" s="179">
        <f ca="1">COUNTIF(OFFSET(Synthèse!$G135,0,0,1,COUNTA(Synthèse!$10:$10)-6),"="&amp;$F$1)</f>
        <v>0</v>
      </c>
      <c r="G126" s="179">
        <f ca="1">COUNTIF(OFFSET(Synthèse!$G135,0,0,1,COUNTA(Synthèse!$10:$10)-6),"="&amp;$G$1)</f>
        <v>0</v>
      </c>
      <c r="H126" s="179">
        <f ca="1">COUNTIF(OFFSET(Synthèse!$G135,0,0,1,COUNTA(Synthèse!$10:$10)-6),"="&amp;$H$1)</f>
        <v>0</v>
      </c>
      <c r="I126" s="203">
        <f t="shared" ca="1" si="15"/>
        <v>0</v>
      </c>
      <c r="J126" s="68"/>
      <c r="K126" s="96" t="s">
        <v>806</v>
      </c>
      <c r="L126" s="182" t="s">
        <v>24</v>
      </c>
      <c r="M126" s="182"/>
      <c r="N126" s="182" t="s">
        <v>593</v>
      </c>
      <c r="O126" s="183">
        <f ca="1">IF(SUM(E$234:E$235)&gt;=1,0,1)</f>
        <v>1</v>
      </c>
      <c r="P126" s="183">
        <f ca="1">IF(SUM(E$234:E$235)&gt;=1,1,IF(SUM(G$234:G$235)&gt;=1,1,IF(SUM(F$234:F$235)&gt;=1,0,1)))</f>
        <v>1</v>
      </c>
      <c r="Q126" s="183">
        <f ca="1">IF(SUM(E$234:E$235)&gt;=1,1,IF(SUM(G$234:G$235)&gt;=1,0,1))</f>
        <v>1</v>
      </c>
      <c r="R126" s="183">
        <f ca="1">IF(SUM(E$234:E$235)&gt;=1,1,IF(SUM(G$234:G$235)&gt;=1,1,IF(SUM(F$234:F$235)&gt;=1,1,IF(SUM(H$234:H$235)&gt;=1,0,1))))</f>
        <v>1</v>
      </c>
      <c r="S126" s="68"/>
      <c r="U126" s="68"/>
      <c r="X126" s="68"/>
      <c r="AA126" s="68"/>
      <c r="AD126" s="68"/>
      <c r="AE126" s="257" t="s">
        <v>606</v>
      </c>
      <c r="AF126" s="206">
        <f>COUNTIF(TabTrans[Test],"="&amp;Value!$AE126&amp;".*")</f>
        <v>2</v>
      </c>
      <c r="AG126" s="22">
        <f>IF(COUNTIFS(TabSynthez[Test],"="&amp;$AE126&amp;".*",TabSynthez[Colonne1],"Validé")&gt;0,IF(COUNTIFS(TabSynthez[Test],"="&amp;$AE126&amp;".*",TabSynthez[Colonne1],"Validé")+COUNTIFS(TabSynthez[Test],"="&amp;$AE126&amp;".*",TabSynthez[Colonne1],"NA")=$AF126,1,0),0)</f>
        <v>0</v>
      </c>
    </row>
    <row r="127" spans="1:33" s="9" customFormat="1" x14ac:dyDescent="0.25">
      <c r="A127" s="68"/>
      <c r="B127" s="74" t="str">
        <f>Modèle!B129</f>
        <v>Scripts</v>
      </c>
      <c r="C127" s="80" t="str">
        <f>Modèle!D129</f>
        <v>7.2.1</v>
      </c>
      <c r="D127" s="81" t="str">
        <f>Modèle!E129</f>
        <v>A</v>
      </c>
      <c r="E127" s="80">
        <f ca="1">COUNTIF(OFFSET(Synthèse!$G136,0,0,1,COUNTA(Synthèse!$10:$10)-6),"="&amp;$E$1)</f>
        <v>0</v>
      </c>
      <c r="F127" s="80">
        <f ca="1">COUNTIF(OFFSET(Synthèse!$G136,0,0,1,COUNTA(Synthèse!$10:$10)-6),"="&amp;$F$1)</f>
        <v>0</v>
      </c>
      <c r="G127" s="80">
        <f ca="1">COUNTIF(OFFSET(Synthèse!$G136,0,0,1,COUNTA(Synthèse!$10:$10)-6),"="&amp;$G$1)</f>
        <v>0</v>
      </c>
      <c r="H127" s="80">
        <f ca="1">COUNTIF(OFFSET(Synthèse!$G136,0,0,1,COUNTA(Synthèse!$10:$10)-6),"="&amp;$H$1)</f>
        <v>0</v>
      </c>
      <c r="I127" s="203">
        <f t="shared" ca="1" si="15"/>
        <v>0</v>
      </c>
      <c r="J127" s="68"/>
      <c r="K127" s="96" t="s">
        <v>807</v>
      </c>
      <c r="L127" s="182" t="s">
        <v>24</v>
      </c>
      <c r="M127" s="182"/>
      <c r="N127" s="182" t="s">
        <v>594</v>
      </c>
      <c r="O127" s="183">
        <f ca="1">IF(SUM(E$236:E$236)&gt;=1,0,1)</f>
        <v>1</v>
      </c>
      <c r="P127" s="183">
        <f ca="1">IF(SUM(E$236)&gt;=1,1,IF(SUM(G$236)&gt;=1,1,IF(SUM(F$236)&gt;=1,0,1)))</f>
        <v>1</v>
      </c>
      <c r="Q127" s="183">
        <f ca="1">IF(SUM(E$236)&gt;=1,1,IF(SUM(G$236)&gt;=1,0,1))</f>
        <v>1</v>
      </c>
      <c r="R127" s="183">
        <f ca="1">IF(SUM(E$236)&gt;=1,1,IF(SUM(G$236)&gt;=1,1,IF(SUM(F$236)&gt;=1,1,IF(SUM(H$236)&gt;=1,0,1))))</f>
        <v>1</v>
      </c>
      <c r="S127" s="68"/>
      <c r="U127" s="68"/>
      <c r="X127" s="68"/>
      <c r="AA127" s="68"/>
      <c r="AD127" s="68"/>
      <c r="AE127" s="257" t="s">
        <v>607</v>
      </c>
      <c r="AF127" s="206">
        <f>COUNTIF(TabTrans[Test],"="&amp;Value!$AE127&amp;".*")</f>
        <v>1</v>
      </c>
      <c r="AG127" s="22">
        <f>IF(COUNTIFS(TabSynthez[Test],"="&amp;$AE127&amp;".*",TabSynthez[Colonne1],"Validé")&gt;0,IF(COUNTIFS(TabSynthez[Test],"="&amp;$AE127&amp;".*",TabSynthez[Colonne1],"Validé")+COUNTIFS(TabSynthez[Test],"="&amp;$AE127&amp;".*",TabSynthez[Colonne1],"NA")=$AF127,1,0),0)</f>
        <v>0</v>
      </c>
    </row>
    <row r="128" spans="1:33" s="9" customFormat="1" x14ac:dyDescent="0.25">
      <c r="A128" s="68"/>
      <c r="B128" s="74" t="str">
        <f>Modèle!B130</f>
        <v>Scripts</v>
      </c>
      <c r="C128" s="80" t="str">
        <f>Modèle!D130</f>
        <v>7.2.2</v>
      </c>
      <c r="D128" s="81" t="str">
        <f>Modèle!E130</f>
        <v>A</v>
      </c>
      <c r="E128" s="80">
        <f ca="1">COUNTIF(OFFSET(Synthèse!$G137,0,0,1,COUNTA(Synthèse!$10:$10)-6),"="&amp;$E$1)</f>
        <v>0</v>
      </c>
      <c r="F128" s="80">
        <f ca="1">COUNTIF(OFFSET(Synthèse!$G137,0,0,1,COUNTA(Synthèse!$10:$10)-6),"="&amp;$F$1)</f>
        <v>0</v>
      </c>
      <c r="G128" s="80">
        <f ca="1">COUNTIF(OFFSET(Synthèse!$G137,0,0,1,COUNTA(Synthèse!$10:$10)-6),"="&amp;$G$1)</f>
        <v>0</v>
      </c>
      <c r="H128" s="80">
        <f ca="1">COUNTIF(OFFSET(Synthèse!$G137,0,0,1,COUNTA(Synthèse!$10:$10)-6),"="&amp;$H$1)</f>
        <v>0</v>
      </c>
      <c r="I128" s="203">
        <f t="shared" ca="1" si="15"/>
        <v>0</v>
      </c>
      <c r="J128" s="68"/>
      <c r="K128" s="96" t="s">
        <v>808</v>
      </c>
      <c r="L128" s="182" t="s">
        <v>24</v>
      </c>
      <c r="M128" s="182"/>
      <c r="N128" s="182" t="s">
        <v>595</v>
      </c>
      <c r="O128" s="183">
        <f ca="1">IF(SUM(E$237:E$237)&gt;=1,0,1)</f>
        <v>1</v>
      </c>
      <c r="P128" s="183">
        <f ca="1">IF(SUM(E$237)&gt;=1,1,IF(SUM(G$237)&gt;=1,1,IF(SUM(F$237)&gt;=1,0,1)))</f>
        <v>1</v>
      </c>
      <c r="Q128" s="183">
        <f ca="1">IF(SUM(E$237)&gt;=1,1,IF(SUM(G$237)&gt;=1,0,1))</f>
        <v>1</v>
      </c>
      <c r="R128" s="183">
        <f ca="1">IF(SUM(E$237)&gt;=1,1,IF(SUM(G$237)&gt;=1,1,IF(SUM(F$237)&gt;=1,1,IF(SUM(H$237)&gt;=1,0,1))))</f>
        <v>1</v>
      </c>
      <c r="S128" s="68"/>
      <c r="U128" s="68"/>
      <c r="X128" s="68"/>
      <c r="AA128" s="68"/>
      <c r="AD128" s="68"/>
      <c r="AE128" s="257" t="s">
        <v>608</v>
      </c>
      <c r="AF128" s="206">
        <f>COUNTIF(TabTrans[Test],"="&amp;Value!$AE128&amp;".*")</f>
        <v>3</v>
      </c>
      <c r="AG128" s="22">
        <f>IF(COUNTIFS(TabSynthez[Test],"="&amp;$AE128&amp;".*",TabSynthez[Colonne1],"Validé")&gt;0,IF(COUNTIFS(TabSynthez[Test],"="&amp;$AE128&amp;".*",TabSynthez[Colonne1],"Validé")+COUNTIFS(TabSynthez[Test],"="&amp;$AE128&amp;".*",TabSynthez[Colonne1],"NA")=$AF128,1,0),0)</f>
        <v>0</v>
      </c>
    </row>
    <row r="129" spans="1:33" s="9" customFormat="1" x14ac:dyDescent="0.25">
      <c r="A129" s="68"/>
      <c r="B129" s="75" t="str">
        <f>Modèle!B131</f>
        <v>Scripts</v>
      </c>
      <c r="C129" s="82" t="str">
        <f>Modèle!D131</f>
        <v>7.3.1</v>
      </c>
      <c r="D129" s="83" t="str">
        <f>Modèle!E131</f>
        <v>A</v>
      </c>
      <c r="E129" s="179">
        <f ca="1">COUNTIF(OFFSET(Synthèse!$G138,0,0,1,COUNTA(Synthèse!$10:$10)-6),"="&amp;$E$1)</f>
        <v>0</v>
      </c>
      <c r="F129" s="179">
        <f ca="1">COUNTIF(OFFSET(Synthèse!$G138,0,0,1,COUNTA(Synthèse!$10:$10)-6),"="&amp;$F$1)</f>
        <v>0</v>
      </c>
      <c r="G129" s="179">
        <f ca="1">COUNTIF(OFFSET(Synthèse!$G138,0,0,1,COUNTA(Synthèse!$10:$10)-6),"="&amp;$G$1)</f>
        <v>0</v>
      </c>
      <c r="H129" s="179">
        <f ca="1">COUNTIF(OFFSET(Synthèse!$G138,0,0,1,COUNTA(Synthèse!$10:$10)-6),"="&amp;$H$1)</f>
        <v>0</v>
      </c>
      <c r="I129" s="203">
        <f t="shared" ca="1" si="15"/>
        <v>0</v>
      </c>
      <c r="J129" s="68"/>
      <c r="K129" s="96" t="s">
        <v>809</v>
      </c>
      <c r="L129" s="182" t="s">
        <v>24</v>
      </c>
      <c r="M129" s="182"/>
      <c r="N129" s="182" t="s">
        <v>596</v>
      </c>
      <c r="O129" s="183">
        <f ca="1">IF(SUM(E$238:E$238)&gt;=1,0,1)</f>
        <v>1</v>
      </c>
      <c r="P129" s="183">
        <f ca="1">IF(SUM(E$238)&gt;=1,1,IF(SUM(G$238)&gt;=1,1,IF(SUM(F$238)&gt;=1,0,1)))</f>
        <v>1</v>
      </c>
      <c r="Q129" s="183">
        <f ca="1">IF(SUM(E$238)&gt;=1,1,IF(SUM(G$238)&gt;=1,0,1))</f>
        <v>1</v>
      </c>
      <c r="R129" s="183">
        <f ca="1">IF(SUM(E$238)&gt;=1,1,IF(SUM(G$238)&gt;=1,1,IF(SUM(F$238)&gt;=1,1,IF(SUM(H$238)&gt;=1,0,1))))</f>
        <v>1</v>
      </c>
      <c r="S129" s="68"/>
      <c r="U129" s="68"/>
      <c r="X129" s="68"/>
      <c r="AA129" s="68"/>
      <c r="AD129" s="68"/>
      <c r="AE129" s="257"/>
      <c r="AF129" s="206"/>
      <c r="AG129" s="22"/>
    </row>
    <row r="130" spans="1:33" s="9" customFormat="1" x14ac:dyDescent="0.25">
      <c r="A130" s="68"/>
      <c r="B130" s="75" t="str">
        <f>Modèle!B132</f>
        <v>Scripts</v>
      </c>
      <c r="C130" s="82" t="str">
        <f>Modèle!D132</f>
        <v>7.3.2</v>
      </c>
      <c r="D130" s="83" t="str">
        <f>Modèle!E132</f>
        <v>A</v>
      </c>
      <c r="E130" s="179">
        <f ca="1">COUNTIF(OFFSET(Synthèse!$G139,0,0,1,COUNTA(Synthèse!$10:$10)-6),"="&amp;$E$1)</f>
        <v>0</v>
      </c>
      <c r="F130" s="179">
        <f ca="1">COUNTIF(OFFSET(Synthèse!$G139,0,0,1,COUNTA(Synthèse!$10:$10)-6),"="&amp;$F$1)</f>
        <v>0</v>
      </c>
      <c r="G130" s="179">
        <f ca="1">COUNTIF(OFFSET(Synthèse!$G139,0,0,1,COUNTA(Synthèse!$10:$10)-6),"="&amp;$G$1)</f>
        <v>0</v>
      </c>
      <c r="H130" s="179">
        <f ca="1">COUNTIF(OFFSET(Synthèse!$G139,0,0,1,COUNTA(Synthèse!$10:$10)-6),"="&amp;$H$1)</f>
        <v>0</v>
      </c>
      <c r="I130" s="203">
        <f t="shared" ca="1" si="15"/>
        <v>0</v>
      </c>
      <c r="J130" s="68"/>
      <c r="K130" s="96" t="s">
        <v>810</v>
      </c>
      <c r="L130" s="180" t="s">
        <v>24</v>
      </c>
      <c r="M130" s="180"/>
      <c r="N130" s="180" t="s">
        <v>597</v>
      </c>
      <c r="O130" s="181">
        <f ca="1">IF(SUM(E$239:E$242)&gt;=1,0,1)</f>
        <v>1</v>
      </c>
      <c r="P130" s="181">
        <f ca="1">IF(SUM(E$239:E$242)&gt;=1,1,IF(SUM(G$239:G$242)&gt;=1,1,IF(SUM(F$239:F$242)&gt;=1,0,1)))</f>
        <v>1</v>
      </c>
      <c r="Q130" s="181">
        <f ca="1">IF(SUM(E$239:E$242)&gt;=1,1,IF(SUM(G$239:G$242)&gt;=1,0,1))</f>
        <v>1</v>
      </c>
      <c r="R130" s="181">
        <f ca="1">IF(SUM(E$239:E$242)&gt;=1,1,IF(SUM(G$239:G$242)&gt;=1,1,IF(SUM(F$239:F$242)&gt;=1,1,IF(SUM(H$239:H$242)&gt;=1,0,1))))</f>
        <v>1</v>
      </c>
      <c r="S130" s="68"/>
      <c r="U130" s="68"/>
      <c r="X130" s="68"/>
      <c r="AA130" s="68"/>
      <c r="AD130" s="68"/>
      <c r="AE130" s="253"/>
      <c r="AF130" s="254"/>
      <c r="AG130" s="255"/>
    </row>
    <row r="131" spans="1:33" s="9" customFormat="1" x14ac:dyDescent="0.25">
      <c r="A131" s="68"/>
      <c r="B131" s="74" t="str">
        <f>Modèle!B133</f>
        <v>Scripts</v>
      </c>
      <c r="C131" s="80" t="str">
        <f>Modèle!D133</f>
        <v>7.4.1</v>
      </c>
      <c r="D131" s="81" t="str">
        <f>Modèle!E133</f>
        <v>A</v>
      </c>
      <c r="E131" s="80">
        <f ca="1">COUNTIF(OFFSET(Synthèse!$G140,0,0,1,COUNTA(Synthèse!$10:$10)-6),"="&amp;$E$1)</f>
        <v>0</v>
      </c>
      <c r="F131" s="80">
        <f ca="1">COUNTIF(OFFSET(Synthèse!$G140,0,0,1,COUNTA(Synthèse!$10:$10)-6),"="&amp;$F$1)</f>
        <v>0</v>
      </c>
      <c r="G131" s="80">
        <f ca="1">COUNTIF(OFFSET(Synthèse!$G140,0,0,1,COUNTA(Synthèse!$10:$10)-6),"="&amp;$G$1)</f>
        <v>0</v>
      </c>
      <c r="H131" s="80">
        <f ca="1">COUNTIF(OFFSET(Synthèse!$G140,0,0,1,COUNTA(Synthèse!$10:$10)-6),"="&amp;$H$1)</f>
        <v>0</v>
      </c>
      <c r="I131" s="203">
        <f t="shared" ca="1" si="15"/>
        <v>0</v>
      </c>
      <c r="J131" s="68"/>
      <c r="K131" s="96" t="s">
        <v>811</v>
      </c>
      <c r="L131" s="180" t="s">
        <v>24</v>
      </c>
      <c r="M131" s="180"/>
      <c r="N131" s="180" t="s">
        <v>598</v>
      </c>
      <c r="O131" s="181">
        <f ca="1">IF(SUM(E$243)&gt;=1,0,1)</f>
        <v>1</v>
      </c>
      <c r="P131" s="181">
        <f ca="1">IF(SUM(E$243)&gt;=1,1,IF(SUM(G$243)&gt;=1,1,IF(SUM(F$243)&gt;=1,0,1)))</f>
        <v>1</v>
      </c>
      <c r="Q131" s="181">
        <f ca="1">IF(SUM(E$243)&gt;=1,1,IF(SUM(G$243)&gt;=1,0,1))</f>
        <v>1</v>
      </c>
      <c r="R131" s="181">
        <f ca="1">IF(SUM(E$243)&gt;=1,1,IF(SUM(G$243)&gt;=1,1,IF(SUM(F$243)&gt;=1,1,IF(SUM(H$243)&gt;=1,0,1))))</f>
        <v>1</v>
      </c>
      <c r="S131" s="68"/>
      <c r="U131" s="68"/>
      <c r="X131" s="68"/>
      <c r="AA131" s="68"/>
      <c r="AD131" s="68"/>
    </row>
    <row r="132" spans="1:33" s="9" customFormat="1" x14ac:dyDescent="0.25">
      <c r="A132" s="68"/>
      <c r="B132" s="75" t="str">
        <f>Modèle!B134</f>
        <v>Scripts</v>
      </c>
      <c r="C132" s="82" t="str">
        <f>Modèle!D134</f>
        <v>7.5.1</v>
      </c>
      <c r="D132" s="83" t="str">
        <f>Modèle!E134</f>
        <v>AA</v>
      </c>
      <c r="E132" s="179">
        <f ca="1">COUNTIF(OFFSET(Synthèse!$G141,0,0,1,COUNTA(Synthèse!$10:$10)-6),"="&amp;$E$1)</f>
        <v>0</v>
      </c>
      <c r="F132" s="179">
        <f ca="1">COUNTIF(OFFSET(Synthèse!$G141,0,0,1,COUNTA(Synthèse!$10:$10)-6),"="&amp;$F$1)</f>
        <v>0</v>
      </c>
      <c r="G132" s="179">
        <f ca="1">COUNTIF(OFFSET(Synthèse!$G141,0,0,1,COUNTA(Synthèse!$10:$10)-6),"="&amp;$G$1)</f>
        <v>0</v>
      </c>
      <c r="H132" s="179">
        <f ca="1">COUNTIF(OFFSET(Synthèse!$G141,0,0,1,COUNTA(Synthèse!$10:$10)-6),"="&amp;$H$1)</f>
        <v>0</v>
      </c>
      <c r="I132" s="203">
        <f ca="1">SUM(E132:H132)</f>
        <v>0</v>
      </c>
      <c r="J132" s="68"/>
      <c r="K132" s="96" t="s">
        <v>812</v>
      </c>
      <c r="L132" s="180" t="s">
        <v>24</v>
      </c>
      <c r="M132" s="180"/>
      <c r="N132" s="180" t="s">
        <v>599</v>
      </c>
      <c r="O132" s="181">
        <f ca="1">IF(SUM(E$244)&gt;=1,0,1)</f>
        <v>1</v>
      </c>
      <c r="P132" s="181">
        <f ca="1">IF(SUM(E$244)&gt;=1,1,IF(SUM(G$244)&gt;=1,1,IF(SUM(F$244)&gt;=1,0,1)))</f>
        <v>1</v>
      </c>
      <c r="Q132" s="181">
        <f ca="1">IF(SUM(E$244)&gt;=1,1,IF(SUM(G$244)&gt;=1,0,1))</f>
        <v>1</v>
      </c>
      <c r="R132" s="181">
        <f ca="1">IF(SUM(E$244)&gt;=1,1,IF(SUM(G$244)&gt;=1,1,IF(SUM(F$244)&gt;=1,1,IF(SUM(H$244)&gt;=1,0,1))))</f>
        <v>1</v>
      </c>
      <c r="S132" s="68"/>
      <c r="U132" s="68"/>
      <c r="X132" s="68"/>
      <c r="AA132" s="68"/>
      <c r="AD132" s="68"/>
    </row>
    <row r="133" spans="1:33" s="9" customFormat="1" x14ac:dyDescent="0.25">
      <c r="A133" s="68"/>
      <c r="B133" s="75" t="str">
        <f>Modèle!B135</f>
        <v>Scripts</v>
      </c>
      <c r="C133" s="82" t="str">
        <f>Modèle!D135</f>
        <v>7.5.2</v>
      </c>
      <c r="D133" s="83" t="str">
        <f>Modèle!E135</f>
        <v>AA</v>
      </c>
      <c r="E133" s="179">
        <f ca="1">COUNTIF(OFFSET(Synthèse!$G142,0,0,1,COUNTA(Synthèse!$10:$10)-6),"="&amp;$E$1)</f>
        <v>0</v>
      </c>
      <c r="F133" s="179">
        <f ca="1">COUNTIF(OFFSET(Synthèse!$G142,0,0,1,COUNTA(Synthèse!$10:$10)-6),"="&amp;$F$1)</f>
        <v>0</v>
      </c>
      <c r="G133" s="179">
        <f ca="1">COUNTIF(OFFSET(Synthèse!$G142,0,0,1,COUNTA(Synthèse!$10:$10)-6),"="&amp;$G$1)</f>
        <v>0</v>
      </c>
      <c r="H133" s="179">
        <f ca="1">COUNTIF(OFFSET(Synthèse!$G142,0,0,1,COUNTA(Synthèse!$10:$10)-6),"="&amp;$H$1)</f>
        <v>0</v>
      </c>
      <c r="I133" s="203">
        <f t="shared" ca="1" si="15"/>
        <v>0</v>
      </c>
      <c r="J133" s="68"/>
      <c r="K133" s="96" t="s">
        <v>813</v>
      </c>
      <c r="L133" s="180" t="s">
        <v>24</v>
      </c>
      <c r="M133" s="180"/>
      <c r="N133" s="180" t="s">
        <v>600</v>
      </c>
      <c r="O133" s="181">
        <f ca="1">IF(SUM(E$245)&gt;=1,0,1)</f>
        <v>1</v>
      </c>
      <c r="P133" s="181">
        <f ca="1">IF(SUM(E$245)&gt;=1,1,IF(SUM(G$245)&gt;=1,1,IF(SUM(F$245)&gt;=1,0,1)))</f>
        <v>1</v>
      </c>
      <c r="Q133" s="181">
        <f ca="1">IF(SUM(E$245)&gt;=1,1,IF(SUM(G$245)&gt;=1,0,1))</f>
        <v>1</v>
      </c>
      <c r="R133" s="181">
        <f ca="1">IF(SUM(E$245)&gt;=1,1,IF(SUM(G$245)&gt;=1,1,IF(SUM(F$245)&gt;=1,1,IF(SUM(H$245)&gt;=1,0,1))))</f>
        <v>1</v>
      </c>
      <c r="S133" s="68"/>
      <c r="U133" s="68"/>
      <c r="X133" s="68"/>
      <c r="AA133" s="68"/>
      <c r="AD133" s="68"/>
      <c r="AE133" s="16"/>
    </row>
    <row r="134" spans="1:33" s="9" customFormat="1" ht="15.75" x14ac:dyDescent="0.25">
      <c r="A134" s="68"/>
      <c r="B134" s="75" t="str">
        <f>Modèle!B136</f>
        <v>Scripts</v>
      </c>
      <c r="C134" s="82" t="str">
        <f>Modèle!D136</f>
        <v>7.5.3</v>
      </c>
      <c r="D134" s="83" t="str">
        <f>Modèle!E136</f>
        <v>AA</v>
      </c>
      <c r="E134" s="179">
        <f ca="1">COUNTIF(OFFSET(Synthèse!$G143,0,0,1,COUNTA(Synthèse!$10:$10)-6),"="&amp;$E$1)</f>
        <v>0</v>
      </c>
      <c r="F134" s="179">
        <f ca="1">COUNTIF(OFFSET(Synthèse!$G143,0,0,1,COUNTA(Synthèse!$10:$10)-6),"="&amp;$F$1)</f>
        <v>0</v>
      </c>
      <c r="G134" s="179">
        <f ca="1">COUNTIF(OFFSET(Synthèse!$G143,0,0,1,COUNTA(Synthèse!$10:$10)-6),"="&amp;$G$1)</f>
        <v>0</v>
      </c>
      <c r="H134" s="179">
        <f ca="1">COUNTIF(OFFSET(Synthèse!$G143,0,0,1,COUNTA(Synthèse!$10:$10)-6),"="&amp;$H$1)</f>
        <v>0</v>
      </c>
      <c r="I134" s="203">
        <f t="shared" ca="1" si="15"/>
        <v>0</v>
      </c>
      <c r="J134" s="68"/>
      <c r="K134" s="96" t="s">
        <v>814</v>
      </c>
      <c r="L134" s="180" t="s">
        <v>24</v>
      </c>
      <c r="M134" s="180"/>
      <c r="N134" s="180" t="s">
        <v>601</v>
      </c>
      <c r="O134" s="181">
        <f ca="1">IF(SUM(E$246)&gt;=1,0,1)</f>
        <v>1</v>
      </c>
      <c r="P134" s="181">
        <f ca="1">IF(SUM(E$246)&gt;=1,1,IF(SUM(G$246)&gt;=1,1,IF(SUM(F$246)&gt;=1,0,1)))</f>
        <v>1</v>
      </c>
      <c r="Q134" s="181">
        <f ca="1">IF(SUM(E$246)&gt;=1,1,IF(SUM(G$246)&gt;=1,0,1))</f>
        <v>1</v>
      </c>
      <c r="R134" s="181">
        <f ca="1">IF(SUM(E$246)&gt;=1,1,IF(SUM(G$246)&gt;=1,1,IF(SUM(F$246)&gt;=1,1,IF(SUM(H$246)&gt;=1,0,1))))</f>
        <v>1</v>
      </c>
      <c r="S134" s="68"/>
      <c r="U134" s="68"/>
      <c r="X134" s="68"/>
      <c r="AA134" s="68"/>
      <c r="AD134" s="68"/>
      <c r="AE134" s="246" t="s">
        <v>1149</v>
      </c>
      <c r="AF134" s="247"/>
      <c r="AG134" s="239" t="s">
        <v>1139</v>
      </c>
    </row>
    <row r="135" spans="1:33" s="9" customFormat="1" x14ac:dyDescent="0.25">
      <c r="A135" s="68"/>
      <c r="B135" s="74" t="str">
        <f>Modèle!B137</f>
        <v>Éléments Obligatoires</v>
      </c>
      <c r="C135" s="80" t="str">
        <f>Modèle!D137</f>
        <v>8.1.1</v>
      </c>
      <c r="D135" s="81" t="str">
        <f>Modèle!E137</f>
        <v>A</v>
      </c>
      <c r="E135" s="80">
        <f ca="1">COUNTIF(OFFSET(Synthèse!$G144,0,0,1,COUNTA(Synthèse!$10:$10)-6),"="&amp;$E$1)</f>
        <v>0</v>
      </c>
      <c r="F135" s="80">
        <f ca="1">COUNTIF(OFFSET(Synthèse!$G144,0,0,1,COUNTA(Synthèse!$10:$10)-6),"="&amp;$F$1)</f>
        <v>0</v>
      </c>
      <c r="G135" s="80">
        <f ca="1">COUNTIF(OFFSET(Synthèse!$G144,0,0,1,COUNTA(Synthèse!$10:$10)-6),"="&amp;$G$1)</f>
        <v>0</v>
      </c>
      <c r="H135" s="80">
        <f ca="1">COUNTIF(OFFSET(Synthèse!$G144,0,0,1,COUNTA(Synthèse!$10:$10)-6),"="&amp;$H$1)</f>
        <v>0</v>
      </c>
      <c r="I135" s="203">
        <f t="shared" ca="1" si="15"/>
        <v>0</v>
      </c>
      <c r="J135" s="68"/>
      <c r="K135" s="96" t="s">
        <v>815</v>
      </c>
      <c r="L135" s="180" t="s">
        <v>24</v>
      </c>
      <c r="M135" s="180"/>
      <c r="N135" s="180" t="s">
        <v>602</v>
      </c>
      <c r="O135" s="181">
        <f ca="1">IF(SUM(E$247)&gt;=1,0,1)</f>
        <v>1</v>
      </c>
      <c r="P135" s="181">
        <f ca="1">IF(SUM(E$247)&gt;=1,1,IF(SUM(G$247)&gt;=1,1,IF(SUM(F$247)&gt;=1,0,1)))</f>
        <v>1</v>
      </c>
      <c r="Q135" s="181">
        <f ca="1">IF(SUM(E$247)&gt;=1,1,IF(SUM(G$247)&gt;=1,0,1))</f>
        <v>1</v>
      </c>
      <c r="R135" s="181">
        <f ca="1">IF(SUM(E$247)&gt;=1,1,IF(SUM(G$247)&gt;=1,1,IF(SUM(F$247)&gt;=1,1,IF(SUM(H$247)&gt;=1,0,1))))</f>
        <v>1</v>
      </c>
      <c r="S135" s="68"/>
      <c r="U135" s="68"/>
      <c r="X135" s="68"/>
      <c r="AA135" s="68"/>
      <c r="AD135" s="68"/>
      <c r="AE135" s="212" t="s">
        <v>1136</v>
      </c>
      <c r="AG135" s="240" t="str">
        <f>AG$1</f>
        <v>Page1</v>
      </c>
    </row>
    <row r="136" spans="1:33" s="9" customFormat="1" x14ac:dyDescent="0.25">
      <c r="A136" s="68"/>
      <c r="B136" s="74" t="str">
        <f>Modèle!B138</f>
        <v>Éléments Obligatoires</v>
      </c>
      <c r="C136" s="80" t="str">
        <f>Modèle!D138</f>
        <v>8.1.2</v>
      </c>
      <c r="D136" s="81" t="str">
        <f>Modèle!E138</f>
        <v>A</v>
      </c>
      <c r="E136" s="80">
        <f ca="1">COUNTIF(OFFSET(Synthèse!$G145,0,0,1,COUNTA(Synthèse!$10:$10)-6),"="&amp;$E$1)</f>
        <v>0</v>
      </c>
      <c r="F136" s="80">
        <f ca="1">COUNTIF(OFFSET(Synthèse!$G145,0,0,1,COUNTA(Synthèse!$10:$10)-6),"="&amp;$F$1)</f>
        <v>0</v>
      </c>
      <c r="G136" s="80">
        <f ca="1">COUNTIF(OFFSET(Synthèse!$G145,0,0,1,COUNTA(Synthèse!$10:$10)-6),"="&amp;$G$1)</f>
        <v>0</v>
      </c>
      <c r="H136" s="80">
        <f ca="1">COUNTIF(OFFSET(Synthèse!$G145,0,0,1,COUNTA(Synthèse!$10:$10)-6),"="&amp;$H$1)</f>
        <v>0</v>
      </c>
      <c r="I136" s="203">
        <f t="shared" ref="I136:I163" ca="1" si="17">SUM(E136:H136)</f>
        <v>0</v>
      </c>
      <c r="J136" s="68"/>
      <c r="K136" s="96" t="s">
        <v>816</v>
      </c>
      <c r="L136" s="180" t="s">
        <v>24</v>
      </c>
      <c r="M136" s="180"/>
      <c r="N136" s="180" t="s">
        <v>603</v>
      </c>
      <c r="O136" s="181">
        <f ca="1">IF(SUM(E$248:E$250)&gt;=1,0,1)</f>
        <v>1</v>
      </c>
      <c r="P136" s="181">
        <f ca="1">IF(SUM(E$248:E$250)&gt;=1,1,IF(SUM(G$248:G$250)&gt;=1,1,IF(SUM(F$248:F$250)&gt;=1,0,1)))</f>
        <v>1</v>
      </c>
      <c r="Q136" s="181">
        <f ca="1">IF(SUM(E$248:E$250)&gt;=1,1,IF(SUM(G$248:G$250)&gt;=1,0,1))</f>
        <v>1</v>
      </c>
      <c r="R136" s="181">
        <f ca="1">IF(SUM(E$248:E$250)&gt;=1,1,IF(SUM(G$248:G$250)&gt;=1,1,IF(SUM(F$248:F$250)&gt;=1,1,IF(SUM(H$248:H$250)&gt;=1,0,1))))</f>
        <v>1</v>
      </c>
      <c r="S136" s="68"/>
      <c r="U136" s="68"/>
      <c r="X136" s="68"/>
      <c r="AA136" s="68"/>
      <c r="AD136" s="68"/>
      <c r="AE136" s="213" t="str">
        <f t="shared" ref="AE136:AE168" si="18">$AE21</f>
        <v>1.1</v>
      </c>
      <c r="AG136" s="241">
        <f>IF(COUNTIFS(TabSynthez[Test],"="&amp;$AE21&amp;".*",TabSynthez[Colonne1],"Invalidé")&gt;0,IF(COUNTIFS(TabSynthez[Test],"="&amp;$AE21&amp;".*",TabSynthez[Colonne1],"Indéterminé")&gt;0,0,1),0)</f>
        <v>0</v>
      </c>
    </row>
    <row r="137" spans="1:33" s="9" customFormat="1" x14ac:dyDescent="0.25">
      <c r="A137" s="68"/>
      <c r="B137" s="74" t="str">
        <f>Modèle!B139</f>
        <v>Éléments Obligatoires</v>
      </c>
      <c r="C137" s="80" t="str">
        <f>Modèle!D139</f>
        <v>8.1.3</v>
      </c>
      <c r="D137" s="81" t="str">
        <f>Modèle!E139</f>
        <v>A</v>
      </c>
      <c r="E137" s="80">
        <f ca="1">COUNTIF(OFFSET(Synthèse!$G146,0,0,1,COUNTA(Synthèse!$10:$10)-6),"="&amp;$E$1)</f>
        <v>0</v>
      </c>
      <c r="F137" s="80">
        <f ca="1">COUNTIF(OFFSET(Synthèse!$G146,0,0,1,COUNTA(Synthèse!$10:$10)-6),"="&amp;$F$1)</f>
        <v>0</v>
      </c>
      <c r="G137" s="80">
        <f ca="1">COUNTIF(OFFSET(Synthèse!$G146,0,0,1,COUNTA(Synthèse!$10:$10)-6),"="&amp;$G$1)</f>
        <v>0</v>
      </c>
      <c r="H137" s="80">
        <f ca="1">COUNTIF(OFFSET(Synthèse!$G146,0,0,1,COUNTA(Synthèse!$10:$10)-6),"="&amp;$H$1)</f>
        <v>0</v>
      </c>
      <c r="I137" s="203">
        <f t="shared" ca="1" si="17"/>
        <v>0</v>
      </c>
      <c r="J137" s="68"/>
      <c r="K137" s="96" t="s">
        <v>817</v>
      </c>
      <c r="L137" s="180" t="s">
        <v>24</v>
      </c>
      <c r="M137" s="180"/>
      <c r="N137" s="180" t="s">
        <v>604</v>
      </c>
      <c r="O137" s="181">
        <f ca="1">IF(SUM(E$250:E$252)&gt;=1,0,1)</f>
        <v>1</v>
      </c>
      <c r="P137" s="181">
        <f ca="1">IF(SUM(E$251:E$252)&gt;=1,1,IF(SUM(G$251:G$252)&gt;=1,1,IF(SUM(F$251:F$252)&gt;=1,0,1)))</f>
        <v>1</v>
      </c>
      <c r="Q137" s="181">
        <f ca="1">IF(SUM(E$251:E$252)&gt;=1,1,IF(SUM(G$251:G$252)&gt;=1,0,1))</f>
        <v>1</v>
      </c>
      <c r="R137" s="181">
        <f ca="1">IF(SUM(E$251:E$252)&gt;=1,1,IF(SUM(G$251:G$252)&gt;=1,1,IF(SUM(F$251:F$252)&gt;=1,1,IF(SUM(H$251:H$252)&gt;=1,0,1))))</f>
        <v>1</v>
      </c>
      <c r="S137" s="68"/>
      <c r="U137" s="68"/>
      <c r="X137" s="68"/>
      <c r="AA137" s="68"/>
      <c r="AD137" s="68"/>
      <c r="AE137" s="213" t="str">
        <f t="shared" si="18"/>
        <v>1.2</v>
      </c>
      <c r="AG137" s="241">
        <f>IF(COUNTIFS(TabSynthez[Test],"="&amp;$AE22&amp;".*",TabSynthez[Colonne1],"Invalidé")&gt;0,IF(COUNTIFS(TabSynthez[Test],"="&amp;$AE22&amp;".*",TabSynthez[Colonne1],"Indéterminé")&gt;0,0,1),0)</f>
        <v>0</v>
      </c>
    </row>
    <row r="138" spans="1:33" s="9" customFormat="1" x14ac:dyDescent="0.25">
      <c r="A138" s="68"/>
      <c r="B138" s="75" t="str">
        <f>Modèle!B140</f>
        <v>Éléments Obligatoires</v>
      </c>
      <c r="C138" s="82" t="str">
        <f>Modèle!D140</f>
        <v>8.2.1</v>
      </c>
      <c r="D138" s="83" t="str">
        <f>Modèle!E140</f>
        <v>A</v>
      </c>
      <c r="E138" s="179">
        <f ca="1">COUNTIF(OFFSET(Synthèse!$G147,0,0,1,COUNTA(Synthèse!$10:$10)-6),"="&amp;$E$1)</f>
        <v>0</v>
      </c>
      <c r="F138" s="179">
        <f ca="1">COUNTIF(OFFSET(Synthèse!$G147,0,0,1,COUNTA(Synthèse!$10:$10)-6),"="&amp;$F$1)</f>
        <v>0</v>
      </c>
      <c r="G138" s="179">
        <f ca="1">COUNTIF(OFFSET(Synthèse!$G147,0,0,1,COUNTA(Synthèse!$10:$10)-6),"="&amp;$G$1)</f>
        <v>0</v>
      </c>
      <c r="H138" s="179">
        <f ca="1">COUNTIF(OFFSET(Synthèse!$G147,0,0,1,COUNTA(Synthèse!$10:$10)-6),"="&amp;$H$1)</f>
        <v>0</v>
      </c>
      <c r="I138" s="203">
        <f t="shared" ca="1" si="17"/>
        <v>0</v>
      </c>
      <c r="J138" s="68"/>
      <c r="K138" s="96" t="s">
        <v>818</v>
      </c>
      <c r="L138" s="180" t="s">
        <v>25</v>
      </c>
      <c r="M138" s="180"/>
      <c r="N138" s="180" t="s">
        <v>605</v>
      </c>
      <c r="O138" s="181">
        <f ca="1">IF(SUM(E$253)&gt;=1,0,1)</f>
        <v>1</v>
      </c>
      <c r="P138" s="181">
        <f ca="1">IF(SUM(E$253)&gt;=1,1,IF(SUM(G$253)&gt;=1,1,IF(SUM(F$253)&gt;=1,0,1)))</f>
        <v>1</v>
      </c>
      <c r="Q138" s="181">
        <f ca="1">IF(SUM(E$253)&gt;=1,1,IF(SUM(G$253)&gt;=1,0,1))</f>
        <v>1</v>
      </c>
      <c r="R138" s="181">
        <f ca="1">IF(SUM(E$253)&gt;=1,1,IF(SUM(G$253)&gt;=1,1,IF(SUM(F$253)&gt;=1,1,IF(SUM(H$253)&gt;=1,0,1))))</f>
        <v>1</v>
      </c>
      <c r="S138" s="68"/>
      <c r="U138" s="68"/>
      <c r="X138" s="68"/>
      <c r="AA138" s="68"/>
      <c r="AD138" s="68"/>
      <c r="AE138" s="213" t="str">
        <f t="shared" si="18"/>
        <v>1.3</v>
      </c>
      <c r="AG138" s="241">
        <f>IF(COUNTIFS(TabSynthez[Test],"="&amp;$AE23&amp;".*",TabSynthez[Colonne1],"Invalidé")&gt;0,IF(COUNTIFS(TabSynthez[Test],"="&amp;$AE23&amp;".*",TabSynthez[Colonne1],"Indéterminé")&gt;0,0,1),0)</f>
        <v>0</v>
      </c>
    </row>
    <row r="139" spans="1:33" s="9" customFormat="1" x14ac:dyDescent="0.25">
      <c r="A139" s="68"/>
      <c r="B139" s="74" t="str">
        <f>Modèle!B141</f>
        <v>Éléments Obligatoires</v>
      </c>
      <c r="C139" s="80" t="str">
        <f>Modèle!D141</f>
        <v>8.3.1</v>
      </c>
      <c r="D139" s="81" t="str">
        <f>Modèle!E141</f>
        <v>A</v>
      </c>
      <c r="E139" s="80">
        <f ca="1">COUNTIF(OFFSET(Synthèse!$G148,0,0,1,COUNTA(Synthèse!$10:$10)-6),"="&amp;$E$1)</f>
        <v>0</v>
      </c>
      <c r="F139" s="80">
        <f ca="1">COUNTIF(OFFSET(Synthèse!$G148,0,0,1,COUNTA(Synthèse!$10:$10)-6),"="&amp;$F$1)</f>
        <v>0</v>
      </c>
      <c r="G139" s="80">
        <f ca="1">COUNTIF(OFFSET(Synthèse!$G148,0,0,1,COUNTA(Synthèse!$10:$10)-6),"="&amp;$G$1)</f>
        <v>0</v>
      </c>
      <c r="H139" s="80">
        <f ca="1">COUNTIF(OFFSET(Synthèse!$G148,0,0,1,COUNTA(Synthèse!$10:$10)-6),"="&amp;$H$1)</f>
        <v>0</v>
      </c>
      <c r="I139" s="203">
        <f t="shared" ca="1" si="17"/>
        <v>0</v>
      </c>
      <c r="J139" s="68"/>
      <c r="K139" s="96" t="s">
        <v>819</v>
      </c>
      <c r="L139" s="180" t="s">
        <v>24</v>
      </c>
      <c r="M139" s="180"/>
      <c r="N139" s="180" t="s">
        <v>606</v>
      </c>
      <c r="O139" s="181">
        <f ca="1">IF(SUM(E$254:E$255)&gt;=1,0,1)</f>
        <v>1</v>
      </c>
      <c r="P139" s="181">
        <f ca="1">IF(SUM(E$254:E$255)&gt;=1,1,IF(SUM(G$254:G$255)&gt;=1,1,IF(SUM(F$254:F$255)&gt;=1,0,1)))</f>
        <v>1</v>
      </c>
      <c r="Q139" s="181">
        <f ca="1">IF(SUM(E$254:E$255)&gt;=1,1,IF(SUM(G$254:G$255)&gt;=1,0,1))</f>
        <v>1</v>
      </c>
      <c r="R139" s="181">
        <f ca="1">IF(SUM(E$254:E$255)&gt;=1,1,IF(SUM(G$254:G$255)&gt;=1,1,IF(SUM(F$254:F$255)&gt;=1,1,IF(SUM(H$254:H$255)&gt;=1,0,1))))</f>
        <v>1</v>
      </c>
      <c r="S139" s="68"/>
      <c r="U139" s="68"/>
      <c r="X139" s="68"/>
      <c r="AA139" s="68"/>
      <c r="AD139" s="68"/>
      <c r="AE139" s="213" t="str">
        <f t="shared" si="18"/>
        <v>1.4</v>
      </c>
      <c r="AG139" s="241">
        <f>IF(COUNTIFS(TabSynthez[Test],"="&amp;$AE24&amp;".*",TabSynthez[Colonne1],"Invalidé")&gt;0,IF(COUNTIFS(TabSynthez[Test],"="&amp;$AE24&amp;".*",TabSynthez[Colonne1],"Indéterminé")&gt;0,0,1),0)</f>
        <v>0</v>
      </c>
    </row>
    <row r="140" spans="1:33" s="9" customFormat="1" x14ac:dyDescent="0.25">
      <c r="A140" s="68"/>
      <c r="B140" s="75" t="str">
        <f>Modèle!B142</f>
        <v>Éléments Obligatoires</v>
      </c>
      <c r="C140" s="82" t="str">
        <f>Modèle!D142</f>
        <v>8.4.1</v>
      </c>
      <c r="D140" s="83" t="str">
        <f>Modèle!E142</f>
        <v>A</v>
      </c>
      <c r="E140" s="179">
        <f ca="1">COUNTIF(OFFSET(Synthèse!$G149,0,0,1,COUNTA(Synthèse!$10:$10)-6),"="&amp;$E$1)</f>
        <v>0</v>
      </c>
      <c r="F140" s="179">
        <f ca="1">COUNTIF(OFFSET(Synthèse!$G149,0,0,1,COUNTA(Synthèse!$10:$10)-6),"="&amp;$F$1)</f>
        <v>0</v>
      </c>
      <c r="G140" s="179">
        <f ca="1">COUNTIF(OFFSET(Synthèse!$G149,0,0,1,COUNTA(Synthèse!$10:$10)-6),"="&amp;$G$1)</f>
        <v>0</v>
      </c>
      <c r="H140" s="179">
        <f ca="1">COUNTIF(OFFSET(Synthèse!$G149,0,0,1,COUNTA(Synthèse!$10:$10)-6),"="&amp;$H$1)</f>
        <v>0</v>
      </c>
      <c r="I140" s="203">
        <f t="shared" ca="1" si="17"/>
        <v>0</v>
      </c>
      <c r="J140" s="68"/>
      <c r="K140" s="96" t="s">
        <v>820</v>
      </c>
      <c r="L140" s="180" t="s">
        <v>24</v>
      </c>
      <c r="M140" s="180"/>
      <c r="N140" s="180" t="s">
        <v>607</v>
      </c>
      <c r="O140" s="181">
        <f ca="1">IF(SUM(E$256)&gt;=1,0,1)</f>
        <v>1</v>
      </c>
      <c r="P140" s="181">
        <f ca="1">IF(SUM(E$256)&gt;=1,1,IF(SUM(G$256)&gt;=1,1,IF(SUM(F$256)&gt;=1,0,1)))</f>
        <v>1</v>
      </c>
      <c r="Q140" s="181">
        <f ca="1">IF(SUM(E$256)&gt;=1,1,IF(SUM(G$256)&gt;=1,0,1))</f>
        <v>1</v>
      </c>
      <c r="R140" s="181">
        <f ca="1">IF(SUM(E$256)&gt;=1,1,IF(SUM(G$256)&gt;=1,1,IF(SUM(F$256)&gt;=1,1,IF(SUM(H$256)&gt;=1,0,1))))</f>
        <v>1</v>
      </c>
      <c r="S140" s="68"/>
      <c r="U140" s="68"/>
      <c r="X140" s="68"/>
      <c r="AA140" s="68"/>
      <c r="AD140" s="68"/>
      <c r="AE140" s="213" t="str">
        <f t="shared" si="18"/>
        <v>1.5</v>
      </c>
      <c r="AG140" s="241">
        <f>IF(COUNTIFS(TabSynthez[Test],"="&amp;$AE25&amp;".*",TabSynthez[Colonne1],"Invalidé")&gt;0,IF(COUNTIFS(TabSynthez[Test],"="&amp;$AE25&amp;".*",TabSynthez[Colonne1],"Indéterminé")&gt;0,0,1),0)</f>
        <v>0</v>
      </c>
    </row>
    <row r="141" spans="1:33" s="9" customFormat="1" x14ac:dyDescent="0.25">
      <c r="A141" s="68"/>
      <c r="B141" s="74" t="str">
        <f>Modèle!B143</f>
        <v>Éléments Obligatoires</v>
      </c>
      <c r="C141" s="80" t="str">
        <f>Modèle!D143</f>
        <v>8.5.1</v>
      </c>
      <c r="D141" s="81" t="str">
        <f>Modèle!E143</f>
        <v>A</v>
      </c>
      <c r="E141" s="80">
        <f ca="1">COUNTIF(OFFSET(Synthèse!$G150,0,0,1,COUNTA(Synthèse!$10:$10)-6),"="&amp;$E$1)</f>
        <v>0</v>
      </c>
      <c r="F141" s="80">
        <f ca="1">COUNTIF(OFFSET(Synthèse!$G150,0,0,1,COUNTA(Synthèse!$10:$10)-6),"="&amp;$F$1)</f>
        <v>0</v>
      </c>
      <c r="G141" s="80">
        <f ca="1">COUNTIF(OFFSET(Synthèse!$G150,0,0,1,COUNTA(Synthèse!$10:$10)-6),"="&amp;$G$1)</f>
        <v>0</v>
      </c>
      <c r="H141" s="80">
        <f ca="1">COUNTIF(OFFSET(Synthèse!$G150,0,0,1,COUNTA(Synthèse!$10:$10)-6),"="&amp;$H$1)</f>
        <v>0</v>
      </c>
      <c r="I141" s="203">
        <f t="shared" ca="1" si="17"/>
        <v>0</v>
      </c>
      <c r="J141" s="68"/>
      <c r="K141" s="96" t="s">
        <v>821</v>
      </c>
      <c r="L141" s="180" t="s">
        <v>24</v>
      </c>
      <c r="M141" s="180"/>
      <c r="N141" s="180" t="s">
        <v>608</v>
      </c>
      <c r="O141" s="181">
        <f ca="1">IF(SUM(E$257:E$259)&gt;=1,0,1)</f>
        <v>1</v>
      </c>
      <c r="P141" s="181">
        <f ca="1">IF(SUM(E$257:E$259)&gt;=1,1,IF(SUM(G$257:G$259)&gt;=1,1,IF(SUM(F$257:F$259)&gt;=1,0,1)))</f>
        <v>1</v>
      </c>
      <c r="Q141" s="181">
        <f ca="1">IF(SUM(E$257:E$259)&gt;=1,1,IF(SUM(G$257:G$259)&gt;=1,0,1))</f>
        <v>1</v>
      </c>
      <c r="R141" s="181">
        <f ca="1">IF(SUM(E$257:E$259)&gt;=1,1,IF(SUM(G$257:G$259)&gt;=1,1,IF(SUM(F$257:F$259)&gt;=1,1,IF(SUM(H$257:H$259)&gt;=1,0,1))))</f>
        <v>1</v>
      </c>
      <c r="S141" s="68"/>
      <c r="U141" s="68"/>
      <c r="X141" s="68"/>
      <c r="AA141" s="68"/>
      <c r="AD141" s="68"/>
      <c r="AE141" s="213" t="str">
        <f t="shared" si="18"/>
        <v>1.6</v>
      </c>
      <c r="AG141" s="241">
        <f>IF(COUNTIFS(TabSynthez[Test],"="&amp;$AE26&amp;".*",TabSynthez[Colonne1],"Invalidé")&gt;0,IF(COUNTIFS(TabSynthez[Test],"="&amp;$AE26&amp;".*",TabSynthez[Colonne1],"Indéterminé")&gt;0,0,1),0)</f>
        <v>0</v>
      </c>
    </row>
    <row r="142" spans="1:33" s="9" customFormat="1" x14ac:dyDescent="0.25">
      <c r="A142" s="68"/>
      <c r="B142" s="75" t="str">
        <f>Modèle!B144</f>
        <v>Éléments Obligatoires</v>
      </c>
      <c r="C142" s="82" t="str">
        <f>Modèle!D144</f>
        <v>8.6.1</v>
      </c>
      <c r="D142" s="83" t="str">
        <f>Modèle!E144</f>
        <v>A</v>
      </c>
      <c r="E142" s="179">
        <f ca="1">COUNTIF(OFFSET(Synthèse!$G151,0,0,1,COUNTA(Synthèse!$10:$10)-6),"="&amp;$E$1)</f>
        <v>0</v>
      </c>
      <c r="F142" s="179">
        <f ca="1">COUNTIF(OFFSET(Synthèse!$G151,0,0,1,COUNTA(Synthèse!$10:$10)-6),"="&amp;$F$1)</f>
        <v>0</v>
      </c>
      <c r="G142" s="179">
        <f ca="1">COUNTIF(OFFSET(Synthèse!$G151,0,0,1,COUNTA(Synthèse!$10:$10)-6),"="&amp;$G$1)</f>
        <v>0</v>
      </c>
      <c r="H142" s="179">
        <f ca="1">COUNTIF(OFFSET(Synthèse!$G151,0,0,1,COUNTA(Synthèse!$10:$10)-6),"="&amp;$H$1)</f>
        <v>0</v>
      </c>
      <c r="I142" s="203">
        <f t="shared" ca="1" si="17"/>
        <v>0</v>
      </c>
      <c r="J142" s="68"/>
      <c r="K142" s="96"/>
      <c r="N142" s="184" t="s">
        <v>609</v>
      </c>
      <c r="O142" s="184">
        <f ca="1">COUNTIFS(O$34:O$141,"=0")</f>
        <v>0</v>
      </c>
      <c r="P142" s="184">
        <f ca="1">106-SUM(P34:P141)</f>
        <v>0</v>
      </c>
      <c r="Q142" s="184">
        <f ca="1">106-SUM(Q34:Q141)</f>
        <v>0</v>
      </c>
      <c r="R142" s="184">
        <f ca="1">106-SUM(R34:R141)</f>
        <v>0</v>
      </c>
      <c r="S142" s="68"/>
      <c r="U142" s="68"/>
      <c r="X142" s="68"/>
      <c r="AA142" s="68"/>
      <c r="AD142" s="68"/>
      <c r="AE142" s="213" t="str">
        <f t="shared" si="18"/>
        <v>1.7</v>
      </c>
      <c r="AG142" s="241">
        <f>IF(COUNTIFS(TabSynthez[Test],"="&amp;$AE27&amp;".*",TabSynthez[Colonne1],"Invalidé")&gt;0,IF(COUNTIFS(TabSynthez[Test],"="&amp;$AE27&amp;".*",TabSynthez[Colonne1],"Indéterminé")&gt;0,0,1),0)</f>
        <v>0</v>
      </c>
    </row>
    <row r="143" spans="1:33" s="9" customFormat="1" x14ac:dyDescent="0.25">
      <c r="A143" s="68"/>
      <c r="B143" s="74" t="str">
        <f>Modèle!B145</f>
        <v>Éléments Obligatoires</v>
      </c>
      <c r="C143" s="80" t="str">
        <f>Modèle!D145</f>
        <v>8.7.1</v>
      </c>
      <c r="D143" s="81" t="str">
        <f>Modèle!E145</f>
        <v>AA</v>
      </c>
      <c r="E143" s="80">
        <f ca="1">COUNTIF(OFFSET(Synthèse!$G152,0,0,1,COUNTA(Synthèse!$10:$10)-6),"="&amp;$E$1)</f>
        <v>0</v>
      </c>
      <c r="F143" s="80">
        <f ca="1">COUNTIF(OFFSET(Synthèse!$G152,0,0,1,COUNTA(Synthèse!$10:$10)-6),"="&amp;$F$1)</f>
        <v>0</v>
      </c>
      <c r="G143" s="80">
        <f ca="1">COUNTIF(OFFSET(Synthèse!$G152,0,0,1,COUNTA(Synthèse!$10:$10)-6),"="&amp;$G$1)</f>
        <v>0</v>
      </c>
      <c r="H143" s="80">
        <f ca="1">COUNTIF(OFFSET(Synthèse!$G152,0,0,1,COUNTA(Synthèse!$10:$10)-6),"="&amp;$H$1)</f>
        <v>0</v>
      </c>
      <c r="I143" s="203">
        <f t="shared" ca="1" si="17"/>
        <v>0</v>
      </c>
      <c r="J143" s="68"/>
      <c r="K143" s="96"/>
      <c r="N143" s="184" t="s">
        <v>491</v>
      </c>
      <c r="O143" s="231" t="str">
        <f ca="1">IFERROR(P142/(P142+O142)*100,"")</f>
        <v/>
      </c>
      <c r="P143" s="231" t="str">
        <f ca="1">IFERROR(O142/(P142+O142)*100,"")</f>
        <v/>
      </c>
      <c r="S143" s="68"/>
      <c r="U143" s="68"/>
      <c r="X143" s="68"/>
      <c r="AA143" s="68"/>
      <c r="AD143" s="68"/>
      <c r="AE143" s="213" t="str">
        <f t="shared" si="18"/>
        <v>1.8</v>
      </c>
      <c r="AG143" s="241">
        <f>IF(COUNTIFS(TabSynthez[Test],"="&amp;$AE28&amp;".*",TabSynthez[Colonne1],"Invalidé")&gt;0,IF(COUNTIFS(TabSynthez[Test],"="&amp;$AE28&amp;".*",TabSynthez[Colonne1],"Indéterminé")&gt;0,0,1),0)</f>
        <v>0</v>
      </c>
    </row>
    <row r="144" spans="1:33" s="9" customFormat="1" x14ac:dyDescent="0.25">
      <c r="A144" s="68"/>
      <c r="B144" s="75" t="str">
        <f>Modèle!B146</f>
        <v>Éléments Obligatoires</v>
      </c>
      <c r="C144" s="82" t="str">
        <f>Modèle!D146</f>
        <v>8.8.1</v>
      </c>
      <c r="D144" s="83" t="str">
        <f>Modèle!E146</f>
        <v>AA</v>
      </c>
      <c r="E144" s="179">
        <f ca="1">COUNTIF(OFFSET(Synthèse!$G153,0,0,1,COUNTA(Synthèse!$10:$10)-6),"="&amp;$E$1)</f>
        <v>0</v>
      </c>
      <c r="F144" s="179">
        <f ca="1">COUNTIF(OFFSET(Synthèse!$G153,0,0,1,COUNTA(Synthèse!$10:$10)-6),"="&amp;$F$1)</f>
        <v>0</v>
      </c>
      <c r="G144" s="179">
        <f ca="1">COUNTIF(OFFSET(Synthèse!$G153,0,0,1,COUNTA(Synthèse!$10:$10)-6),"="&amp;$G$1)</f>
        <v>0</v>
      </c>
      <c r="H144" s="179">
        <f ca="1">COUNTIF(OFFSET(Synthèse!$G153,0,0,1,COUNTA(Synthèse!$10:$10)-6),"="&amp;$H$1)</f>
        <v>0</v>
      </c>
      <c r="I144" s="203">
        <f t="shared" ca="1" si="17"/>
        <v>0</v>
      </c>
      <c r="J144" s="68"/>
      <c r="K144" s="96"/>
      <c r="L144" s="15" t="s">
        <v>499</v>
      </c>
      <c r="M144" s="15">
        <f>COUNTIF(M34:M141,"Niv1")</f>
        <v>0</v>
      </c>
      <c r="N144" s="73" t="s">
        <v>499</v>
      </c>
      <c r="O144" s="73">
        <f ca="1">COUNTIFS(O$34:O$141,"=0",$M$34:$M$141,"Niv1")</f>
        <v>0</v>
      </c>
      <c r="P144" s="73">
        <f ca="1">COUNTIFS(P$34:P$141,"=0",$M$34:$M$141,"Niv1")</f>
        <v>0</v>
      </c>
      <c r="Q144" s="73">
        <f ca="1">COUNTIFS(R$34:R$141,"=0",$M$34:$M$141,"Niv1")</f>
        <v>0</v>
      </c>
      <c r="R144" s="73"/>
      <c r="S144" s="68"/>
      <c r="U144" s="68"/>
      <c r="X144" s="68"/>
      <c r="AA144" s="68"/>
      <c r="AD144" s="68"/>
      <c r="AE144" s="213" t="str">
        <f t="shared" si="18"/>
        <v>1.9</v>
      </c>
      <c r="AG144" s="241">
        <f>IF(COUNTIFS(TabSynthez[Test],"="&amp;$AE29&amp;".*",TabSynthez[Colonne1],"Invalidé")&gt;0,IF(COUNTIFS(TabSynthez[Test],"="&amp;$AE29&amp;".*",TabSynthez[Colonne1],"Indéterminé")&gt;0,0,1),0)</f>
        <v>0</v>
      </c>
    </row>
    <row r="145" spans="1:33" s="9" customFormat="1" x14ac:dyDescent="0.25">
      <c r="A145" s="68"/>
      <c r="B145" s="74" t="str">
        <f>Modèle!B147</f>
        <v>Éléments Obligatoires</v>
      </c>
      <c r="C145" s="80" t="str">
        <f>Modèle!D147</f>
        <v>8.9.1</v>
      </c>
      <c r="D145" s="81" t="str">
        <f>Modèle!E147</f>
        <v>A</v>
      </c>
      <c r="E145" s="80">
        <f ca="1">COUNTIF(OFFSET(Synthèse!$G154,0,0,1,COUNTA(Synthèse!$10:$10)-6),"="&amp;$E$1)</f>
        <v>0</v>
      </c>
      <c r="F145" s="80">
        <f ca="1">COUNTIF(OFFSET(Synthèse!$G154,0,0,1,COUNTA(Synthèse!$10:$10)-6),"="&amp;$F$1)</f>
        <v>0</v>
      </c>
      <c r="G145" s="80">
        <f ca="1">COUNTIF(OFFSET(Synthèse!$G154,0,0,1,COUNTA(Synthèse!$10:$10)-6),"="&amp;$G$1)</f>
        <v>0</v>
      </c>
      <c r="H145" s="80">
        <f ca="1">COUNTIF(OFFSET(Synthèse!$G154,0,0,1,COUNTA(Synthèse!$10:$10)-6),"="&amp;$H$1)</f>
        <v>0</v>
      </c>
      <c r="I145" s="203">
        <f t="shared" ca="1" si="17"/>
        <v>0</v>
      </c>
      <c r="J145" s="68"/>
      <c r="K145" s="96"/>
      <c r="L145" s="15" t="s">
        <v>501</v>
      </c>
      <c r="M145" s="15">
        <f>COUNTIF(M$34:M$141,"Niv2")</f>
        <v>0</v>
      </c>
      <c r="N145" s="73" t="s">
        <v>501</v>
      </c>
      <c r="O145" s="73">
        <f ca="1">COUNTIFS(O$34:O$141,"=0",$M$34:$M$141,"Niv2")</f>
        <v>0</v>
      </c>
      <c r="P145" s="73">
        <f ca="1">COUNTIFS(P$34:P$141,"=0",$M$34:$M$141,"Niv2")</f>
        <v>0</v>
      </c>
      <c r="Q145" s="73">
        <f ca="1">COUNTIFS(R$34:R$141,"=0",$M$34:$M$141,"Niv2")</f>
        <v>0</v>
      </c>
      <c r="R145" s="73"/>
      <c r="S145" s="68"/>
      <c r="U145" s="68"/>
      <c r="X145" s="68"/>
      <c r="AA145" s="68"/>
      <c r="AD145" s="68"/>
      <c r="AE145" s="213" t="str">
        <f t="shared" si="18"/>
        <v>2.1</v>
      </c>
      <c r="AG145" s="241">
        <f>IF(COUNTIFS(TabSynthez[Test],"="&amp;$AE30&amp;".*",TabSynthez[Colonne1],"Invalidé")&gt;0,IF(COUNTIFS(TabSynthez[Test],"="&amp;$AE30&amp;".*",TabSynthez[Colonne1],"Indéterminé")&gt;0,0,1),0)</f>
        <v>0</v>
      </c>
    </row>
    <row r="146" spans="1:33" s="9" customFormat="1" x14ac:dyDescent="0.25">
      <c r="A146" s="68"/>
      <c r="B146" s="75" t="str">
        <f>Modèle!B148</f>
        <v>Éléments Obligatoires</v>
      </c>
      <c r="C146" s="82" t="str">
        <f>Modèle!D148</f>
        <v>8.10.1</v>
      </c>
      <c r="D146" s="83" t="str">
        <f>Modèle!E148</f>
        <v>A</v>
      </c>
      <c r="E146" s="179">
        <f ca="1">COUNTIF(OFFSET(Synthèse!$G155,0,0,1,COUNTA(Synthèse!$10:$10)-6),"="&amp;$E$1)</f>
        <v>0</v>
      </c>
      <c r="F146" s="179">
        <f ca="1">COUNTIF(OFFSET(Synthèse!$G155,0,0,1,COUNTA(Synthèse!$10:$10)-6),"="&amp;$F$1)</f>
        <v>0</v>
      </c>
      <c r="G146" s="179">
        <f ca="1">COUNTIF(OFFSET(Synthèse!$G155,0,0,1,COUNTA(Synthèse!$10:$10)-6),"="&amp;$G$1)</f>
        <v>0</v>
      </c>
      <c r="H146" s="179">
        <f ca="1">COUNTIF(OFFSET(Synthèse!$G155,0,0,1,COUNTA(Synthèse!$10:$10)-6),"="&amp;$H$1)</f>
        <v>0</v>
      </c>
      <c r="I146" s="203">
        <f t="shared" ca="1" si="17"/>
        <v>0</v>
      </c>
      <c r="J146" s="68"/>
      <c r="K146" s="96"/>
      <c r="L146" s="15" t="s">
        <v>508</v>
      </c>
      <c r="M146" s="15">
        <f>COUNTIF(M$34:M$141,"Niv3")</f>
        <v>0</v>
      </c>
      <c r="N146" s="73" t="s">
        <v>508</v>
      </c>
      <c r="O146" s="73">
        <f ca="1">COUNTIFS(O$34:O$141,"=0",$M$34:$M$141,"Niv3")</f>
        <v>0</v>
      </c>
      <c r="P146" s="73">
        <f ca="1">COUNTIFS(P$34:P$141,"=0",$M$34:$M$141,"Niv3")</f>
        <v>0</v>
      </c>
      <c r="Q146" s="73">
        <f ca="1">COUNTIFS(R$34:R$141,"=0",$M$34:$M$141,"Niv3")</f>
        <v>0</v>
      </c>
      <c r="R146" s="73"/>
      <c r="S146" s="68"/>
      <c r="U146" s="68"/>
      <c r="X146" s="68"/>
      <c r="AA146" s="68"/>
      <c r="AD146" s="68"/>
      <c r="AE146" s="213" t="str">
        <f t="shared" si="18"/>
        <v>2.2</v>
      </c>
      <c r="AG146" s="241">
        <f>IF(COUNTIFS(TabSynthez[Test],"="&amp;$AE31&amp;".*",TabSynthez[Colonne1],"Invalidé")&gt;0,IF(COUNTIFS(TabSynthez[Test],"="&amp;$AE31&amp;".*",TabSynthez[Colonne1],"Indéterminé")&gt;0,0,1),0)</f>
        <v>0</v>
      </c>
    </row>
    <row r="147" spans="1:33" s="9" customFormat="1" x14ac:dyDescent="0.25">
      <c r="A147" s="68"/>
      <c r="B147" s="75" t="str">
        <f>Modèle!B149</f>
        <v>Éléments Obligatoires</v>
      </c>
      <c r="C147" s="82" t="str">
        <f>Modèle!D149</f>
        <v>8.10.2</v>
      </c>
      <c r="D147" s="83" t="str">
        <f>Modèle!E149</f>
        <v>A</v>
      </c>
      <c r="E147" s="179">
        <f ca="1">COUNTIF(OFFSET(Synthèse!$G156,0,0,1,COUNTA(Synthèse!$10:$10)-6),"="&amp;$E$1)</f>
        <v>0</v>
      </c>
      <c r="F147" s="179">
        <f ca="1">COUNTIF(OFFSET(Synthèse!$G156,0,0,1,COUNTA(Synthèse!$10:$10)-6),"="&amp;$F$1)</f>
        <v>0</v>
      </c>
      <c r="G147" s="179">
        <f ca="1">COUNTIF(OFFSET(Synthèse!$G156,0,0,1,COUNTA(Synthèse!$10:$10)-6),"="&amp;$G$1)</f>
        <v>0</v>
      </c>
      <c r="H147" s="179">
        <f ca="1">COUNTIF(OFFSET(Synthèse!$G156,0,0,1,COUNTA(Synthèse!$10:$10)-6),"="&amp;$H$1)</f>
        <v>0</v>
      </c>
      <c r="I147" s="203">
        <f t="shared" ca="1" si="17"/>
        <v>0</v>
      </c>
      <c r="J147" s="68"/>
      <c r="K147" s="96"/>
      <c r="L147" s="15" t="s">
        <v>510</v>
      </c>
      <c r="M147" s="15">
        <f>COUNTIF(M$34:M$141,"Niv5")</f>
        <v>0</v>
      </c>
      <c r="N147" s="73" t="s">
        <v>510</v>
      </c>
      <c r="O147" s="73">
        <f ca="1">COUNTIFS(O$34:O$141,"=0",$M$34:$M$141,"Niv5")</f>
        <v>0</v>
      </c>
      <c r="P147" s="73">
        <f ca="1">COUNTIFS(P$34:P$141,"=0",$M$34:$M$141,"Niv5")</f>
        <v>0</v>
      </c>
      <c r="Q147" s="73">
        <f ca="1">COUNTIFS(R$34:R$141,"=0",$M$34:$M$141,"Niv5")</f>
        <v>0</v>
      </c>
      <c r="R147" s="73"/>
      <c r="S147" s="68"/>
      <c r="U147" s="68"/>
      <c r="X147" s="68"/>
      <c r="AA147" s="68"/>
      <c r="AD147" s="68"/>
      <c r="AE147" s="213" t="str">
        <f t="shared" si="18"/>
        <v>3.1</v>
      </c>
      <c r="AG147" s="241">
        <f>IF(COUNTIFS(TabSynthez[Test],"="&amp;$AE32&amp;".*",TabSynthez[Colonne1],"Invalidé")&gt;0,IF(COUNTIFS(TabSynthez[Test],"="&amp;$AE32&amp;".*",TabSynthez[Colonne1],"Indéterminé")&gt;0,0,1),0)</f>
        <v>0</v>
      </c>
    </row>
    <row r="148" spans="1:33" s="9" customFormat="1" x14ac:dyDescent="0.25">
      <c r="A148" s="68"/>
      <c r="B148" s="74" t="str">
        <f>Modèle!B150</f>
        <v>Structuration de l'information</v>
      </c>
      <c r="C148" s="80" t="str">
        <f>Modèle!D150</f>
        <v>9.1.1</v>
      </c>
      <c r="D148" s="81" t="str">
        <f>Modèle!E150</f>
        <v>A</v>
      </c>
      <c r="E148" s="80">
        <f ca="1">COUNTIF(OFFSET(Synthèse!$G157,0,0,1,COUNTA(Synthèse!$10:$10)-6),"="&amp;$E$1)</f>
        <v>0</v>
      </c>
      <c r="F148" s="80">
        <f ca="1">COUNTIF(OFFSET(Synthèse!$G157,0,0,1,COUNTA(Synthèse!$10:$10)-6),"="&amp;$F$1)</f>
        <v>0</v>
      </c>
      <c r="G148" s="80">
        <f ca="1">COUNTIF(OFFSET(Synthèse!$G157,0,0,1,COUNTA(Synthèse!$10:$10)-6),"="&amp;$G$1)</f>
        <v>0</v>
      </c>
      <c r="H148" s="80">
        <f ca="1">COUNTIF(OFFSET(Synthèse!$G157,0,0,1,COUNTA(Synthèse!$10:$10)-6),"="&amp;$H$1)</f>
        <v>0</v>
      </c>
      <c r="I148" s="203">
        <f t="shared" ca="1" si="17"/>
        <v>0</v>
      </c>
      <c r="J148" s="68"/>
      <c r="K148" s="96"/>
      <c r="L148" s="9" t="s">
        <v>37</v>
      </c>
      <c r="M148" s="9">
        <f>SUM(M144:M147)</f>
        <v>0</v>
      </c>
      <c r="S148" s="68"/>
      <c r="U148" s="68"/>
      <c r="X148" s="68"/>
      <c r="AA148" s="68"/>
      <c r="AD148" s="68"/>
      <c r="AE148" s="213" t="str">
        <f t="shared" si="18"/>
        <v>3.2</v>
      </c>
      <c r="AG148" s="241">
        <f>IF(COUNTIFS(TabSynthez[Test],"="&amp;$AE33&amp;".*",TabSynthez[Colonne1],"Invalidé")&gt;0,IF(COUNTIFS(TabSynthez[Test],"="&amp;$AE33&amp;".*",TabSynthez[Colonne1],"Indéterminé")&gt;0,0,1),0)</f>
        <v>0</v>
      </c>
    </row>
    <row r="149" spans="1:33" s="9" customFormat="1" x14ac:dyDescent="0.25">
      <c r="A149" s="68"/>
      <c r="B149" s="74" t="str">
        <f>Modèle!B151</f>
        <v>Structuration de l'information</v>
      </c>
      <c r="C149" s="80" t="str">
        <f>Modèle!D151</f>
        <v>9.1.2</v>
      </c>
      <c r="D149" s="81" t="str">
        <f>Modèle!E151</f>
        <v>A</v>
      </c>
      <c r="E149" s="80">
        <f ca="1">COUNTIF(OFFSET(Synthèse!$G158,0,0,1,COUNTA(Synthèse!$10:$10)-6),"="&amp;$E$1)</f>
        <v>0</v>
      </c>
      <c r="F149" s="80">
        <f ca="1">COUNTIF(OFFSET(Synthèse!$G158,0,0,1,COUNTA(Synthèse!$10:$10)-6),"="&amp;$F$1)</f>
        <v>0</v>
      </c>
      <c r="G149" s="80">
        <f ca="1">COUNTIF(OFFSET(Synthèse!$G158,0,0,1,COUNTA(Synthèse!$10:$10)-6),"="&amp;$G$1)</f>
        <v>0</v>
      </c>
      <c r="H149" s="80">
        <f ca="1">COUNTIF(OFFSET(Synthèse!$G158,0,0,1,COUNTA(Synthèse!$10:$10)-6),"="&amp;$H$1)</f>
        <v>0</v>
      </c>
      <c r="I149" s="203">
        <f t="shared" ca="1" si="17"/>
        <v>0</v>
      </c>
      <c r="J149" s="68"/>
      <c r="K149" s="96"/>
      <c r="S149" s="68"/>
      <c r="U149" s="68"/>
      <c r="X149" s="68"/>
      <c r="AA149" s="68"/>
      <c r="AD149" s="68"/>
      <c r="AE149" s="213" t="str">
        <f t="shared" si="18"/>
        <v>3.3</v>
      </c>
      <c r="AG149" s="241">
        <f>IF(COUNTIFS(TabSynthez[Test],"="&amp;$AE34&amp;".*",TabSynthez[Colonne1],"Invalidé")&gt;0,IF(COUNTIFS(TabSynthez[Test],"="&amp;$AE34&amp;".*",TabSynthez[Colonne1],"Indéterminé")&gt;0,0,1),0)</f>
        <v>0</v>
      </c>
    </row>
    <row r="150" spans="1:33" s="9" customFormat="1" x14ac:dyDescent="0.25">
      <c r="A150" s="68"/>
      <c r="B150" s="74" t="str">
        <f>Modèle!B152</f>
        <v>Structuration de l'information</v>
      </c>
      <c r="C150" s="80" t="str">
        <f>Modèle!D152</f>
        <v>9.1.3</v>
      </c>
      <c r="D150" s="81" t="str">
        <f>Modèle!E152</f>
        <v>A</v>
      </c>
      <c r="E150" s="80">
        <f ca="1">COUNTIF(OFFSET(Synthèse!$G159,0,0,1,COUNTA(Synthèse!$10:$10)-6),"="&amp;$E$1)</f>
        <v>0</v>
      </c>
      <c r="F150" s="80">
        <f ca="1">COUNTIF(OFFSET(Synthèse!$G159,0,0,1,COUNTA(Synthèse!$10:$10)-6),"="&amp;$F$1)</f>
        <v>0</v>
      </c>
      <c r="G150" s="80">
        <f ca="1">COUNTIF(OFFSET(Synthèse!$G159,0,0,1,COUNTA(Synthèse!$10:$10)-6),"="&amp;$G$1)</f>
        <v>0</v>
      </c>
      <c r="H150" s="80">
        <f ca="1">COUNTIF(OFFSET(Synthèse!$G159,0,0,1,COUNTA(Synthèse!$10:$10)-6),"="&amp;$H$1)</f>
        <v>0</v>
      </c>
      <c r="I150" s="203">
        <f t="shared" ca="1" si="17"/>
        <v>0</v>
      </c>
      <c r="J150" s="68"/>
      <c r="K150" s="96"/>
      <c r="L150" s="235" t="s">
        <v>1144</v>
      </c>
      <c r="M150" s="235">
        <f>COUNTIF(L$34:L$141,"A")</f>
        <v>82</v>
      </c>
      <c r="N150" s="353" t="s">
        <v>823</v>
      </c>
      <c r="O150" s="73" t="s">
        <v>499</v>
      </c>
      <c r="P150" s="73" t="str">
        <f ca="1">IFERROR(P144/(O144+P144)*100,"")</f>
        <v/>
      </c>
      <c r="S150" s="68"/>
      <c r="U150" s="68"/>
      <c r="X150" s="68"/>
      <c r="AA150" s="68"/>
      <c r="AD150" s="68"/>
      <c r="AE150" s="213" t="str">
        <f t="shared" si="18"/>
        <v>4.1</v>
      </c>
      <c r="AG150" s="241">
        <f>IF(COUNTIFS(TabSynthez[Test],"="&amp;$AE35&amp;".*",TabSynthez[Colonne1],"Invalidé")&gt;0,IF(COUNTIFS(TabSynthez[Test],"="&amp;$AE35&amp;".*",TabSynthez[Colonne1],"Indéterminé")&gt;0,0,1),0)</f>
        <v>0</v>
      </c>
    </row>
    <row r="151" spans="1:33" s="9" customFormat="1" x14ac:dyDescent="0.25">
      <c r="A151" s="68"/>
      <c r="B151" s="75" t="str">
        <f>Modèle!B153</f>
        <v>Structuration de l'information</v>
      </c>
      <c r="C151" s="82" t="str">
        <f>Modèle!D153</f>
        <v>9.2.1</v>
      </c>
      <c r="D151" s="83" t="str">
        <f>Modèle!E153</f>
        <v>A</v>
      </c>
      <c r="E151" s="179">
        <f ca="1">COUNTIF(OFFSET(Synthèse!$G160,0,0,1,COUNTA(Synthèse!$10:$10)-6),"="&amp;$E$1)</f>
        <v>0</v>
      </c>
      <c r="F151" s="179">
        <f ca="1">COUNTIF(OFFSET(Synthèse!$G160,0,0,1,COUNTA(Synthèse!$10:$10)-6),"="&amp;$F$1)</f>
        <v>0</v>
      </c>
      <c r="G151" s="179">
        <f ca="1">COUNTIF(OFFSET(Synthèse!$G160,0,0,1,COUNTA(Synthèse!$10:$10)-6),"="&amp;$G$1)</f>
        <v>0</v>
      </c>
      <c r="H151" s="179">
        <f ca="1">COUNTIF(OFFSET(Synthèse!$G160,0,0,1,COUNTA(Synthèse!$10:$10)-6),"="&amp;$H$1)</f>
        <v>0</v>
      </c>
      <c r="I151" s="203">
        <f t="shared" ca="1" si="17"/>
        <v>0</v>
      </c>
      <c r="J151" s="68"/>
      <c r="K151" s="96"/>
      <c r="L151" s="235" t="s">
        <v>1145</v>
      </c>
      <c r="M151" s="235">
        <f>COUNTIF(L$34:L$141,"AA")</f>
        <v>24</v>
      </c>
      <c r="N151" s="353"/>
      <c r="O151" s="73" t="s">
        <v>501</v>
      </c>
      <c r="P151" s="73" t="str">
        <f ca="1">IFERROR(P145/(O145+P145)*100,"")</f>
        <v/>
      </c>
      <c r="S151" s="68"/>
      <c r="U151" s="68"/>
      <c r="X151" s="68"/>
      <c r="AA151" s="68"/>
      <c r="AD151" s="68"/>
      <c r="AE151" s="213" t="str">
        <f t="shared" si="18"/>
        <v>4.2</v>
      </c>
      <c r="AG151" s="241">
        <f>IF(COUNTIFS(TabSynthez[Test],"="&amp;$AE36&amp;".*",TabSynthez[Colonne1],"Invalidé")&gt;0,IF(COUNTIFS(TabSynthez[Test],"="&amp;$AE36&amp;".*",TabSynthez[Colonne1],"Indéterminé")&gt;0,0,1),0)</f>
        <v>0</v>
      </c>
    </row>
    <row r="152" spans="1:33" s="9" customFormat="1" x14ac:dyDescent="0.25">
      <c r="A152" s="68"/>
      <c r="B152" s="74" t="str">
        <f>Modèle!B154</f>
        <v>Structuration de l'information</v>
      </c>
      <c r="C152" s="80" t="str">
        <f>Modèle!D154</f>
        <v>9.3.1</v>
      </c>
      <c r="D152" s="81" t="str">
        <f>Modèle!E154</f>
        <v>A</v>
      </c>
      <c r="E152" s="80">
        <f ca="1">COUNTIF(OFFSET(Synthèse!$G161,0,0,1,COUNTA(Synthèse!$10:$10)-6),"="&amp;$E$1)</f>
        <v>0</v>
      </c>
      <c r="F152" s="80">
        <f ca="1">COUNTIF(OFFSET(Synthèse!$G161,0,0,1,COUNTA(Synthèse!$10:$10)-6),"="&amp;$F$1)</f>
        <v>0</v>
      </c>
      <c r="G152" s="80">
        <f ca="1">COUNTIF(OFFSET(Synthèse!$G161,0,0,1,COUNTA(Synthèse!$10:$10)-6),"="&amp;$G$1)</f>
        <v>0</v>
      </c>
      <c r="H152" s="80">
        <f ca="1">COUNTIF(OFFSET(Synthèse!$G161,0,0,1,COUNTA(Synthèse!$10:$10)-6),"="&amp;$H$1)</f>
        <v>0</v>
      </c>
      <c r="I152" s="203">
        <f t="shared" ca="1" si="17"/>
        <v>0</v>
      </c>
      <c r="J152" s="68"/>
      <c r="K152" s="96"/>
      <c r="L152" s="235" t="s">
        <v>1146</v>
      </c>
      <c r="M152" s="235">
        <f>COUNTIF(L$34:L$141,"AAA")</f>
        <v>0</v>
      </c>
      <c r="N152" s="353"/>
      <c r="O152" s="73" t="s">
        <v>508</v>
      </c>
      <c r="P152" s="73" t="str">
        <f ca="1">IFERROR(_xlfn.IFS($P$146/($O$146+$P$146)*100&gt;=50,100,$P$146/($O$146+$P$146)*100&lt;50,$P$146/($O$146+$P$146)*100*2),"")</f>
        <v/>
      </c>
      <c r="S152" s="68"/>
      <c r="U152" s="68"/>
      <c r="X152" s="68"/>
      <c r="AA152" s="68"/>
      <c r="AD152" s="68"/>
      <c r="AE152" s="213" t="str">
        <f t="shared" si="18"/>
        <v>4.3</v>
      </c>
      <c r="AG152" s="241">
        <f>IF(COUNTIFS(TabSynthez[Test],"="&amp;$AE37&amp;".*",TabSynthez[Colonne1],"Invalidé")&gt;0,IF(COUNTIFS(TabSynthez[Test],"="&amp;$AE37&amp;".*",TabSynthez[Colonne1],"Indéterminé")&gt;0,0,1),0)</f>
        <v>0</v>
      </c>
    </row>
    <row r="153" spans="1:33" s="9" customFormat="1" ht="30" x14ac:dyDescent="0.25">
      <c r="A153" s="68"/>
      <c r="B153" s="74" t="str">
        <f>Modèle!B155</f>
        <v>Structuration de l'information</v>
      </c>
      <c r="C153" s="80" t="str">
        <f>Modèle!D155</f>
        <v>9.3.2</v>
      </c>
      <c r="D153" s="81" t="str">
        <f>Modèle!E155</f>
        <v>A</v>
      </c>
      <c r="E153" s="80">
        <f ca="1">COUNTIF(OFFSET(Synthèse!$G162,0,0,1,COUNTA(Synthèse!$10:$10)-6),"="&amp;$E$1)</f>
        <v>0</v>
      </c>
      <c r="F153" s="80">
        <f ca="1">COUNTIF(OFFSET(Synthèse!$G162,0,0,1,COUNTA(Synthèse!$10:$10)-6),"="&amp;$F$1)</f>
        <v>0</v>
      </c>
      <c r="G153" s="80">
        <f ca="1">COUNTIF(OFFSET(Synthèse!$G162,0,0,1,COUNTA(Synthèse!$10:$10)-6),"="&amp;$G$1)</f>
        <v>0</v>
      </c>
      <c r="H153" s="80">
        <f ca="1">COUNTIF(OFFSET(Synthèse!$G162,0,0,1,COUNTA(Synthèse!$10:$10)-6),"="&amp;$H$1)</f>
        <v>0</v>
      </c>
      <c r="I153" s="203">
        <f t="shared" ca="1" si="17"/>
        <v>0</v>
      </c>
      <c r="J153" s="68"/>
      <c r="K153" s="96"/>
      <c r="L153" s="236" t="s">
        <v>1147</v>
      </c>
      <c r="M153" s="236">
        <f>SUM(M150:M152)</f>
        <v>106</v>
      </c>
      <c r="N153" s="353"/>
      <c r="O153" s="73" t="s">
        <v>610</v>
      </c>
      <c r="P153" s="73" t="str">
        <f ca="1">IFERROR($P$146/($O$146+$P$146)*100,"")</f>
        <v/>
      </c>
      <c r="S153" s="68"/>
      <c r="U153" s="68"/>
      <c r="X153" s="68"/>
      <c r="AA153" s="68"/>
      <c r="AD153" s="68"/>
      <c r="AE153" s="213" t="str">
        <f t="shared" si="18"/>
        <v>4.4</v>
      </c>
      <c r="AG153" s="241">
        <f>IF(COUNTIFS(TabSynthez[Test],"="&amp;$AE38&amp;".*",TabSynthez[Colonne1],"Invalidé")&gt;0,IF(COUNTIFS(TabSynthez[Test],"="&amp;$AE38&amp;".*",TabSynthez[Colonne1],"Indéterminé")&gt;0,0,1),0)</f>
        <v>0</v>
      </c>
    </row>
    <row r="154" spans="1:33" s="9" customFormat="1" x14ac:dyDescent="0.25">
      <c r="A154" s="68"/>
      <c r="B154" s="74" t="str">
        <f>Modèle!B156</f>
        <v>Structuration de l'information</v>
      </c>
      <c r="C154" s="80" t="str">
        <f>Modèle!D156</f>
        <v>9.3.3</v>
      </c>
      <c r="D154" s="81" t="str">
        <f>Modèle!E156</f>
        <v>A</v>
      </c>
      <c r="E154" s="80">
        <f ca="1">COUNTIF(OFFSET(Synthèse!$G163,0,0,1,COUNTA(Synthèse!$10:$10)-6),"="&amp;$E$1)</f>
        <v>0</v>
      </c>
      <c r="F154" s="80">
        <f ca="1">COUNTIF(OFFSET(Synthèse!$G163,0,0,1,COUNTA(Synthèse!$10:$10)-6),"="&amp;$F$1)</f>
        <v>0</v>
      </c>
      <c r="G154" s="80">
        <f ca="1">COUNTIF(OFFSET(Synthèse!$G163,0,0,1,COUNTA(Synthèse!$10:$10)-6),"="&amp;$G$1)</f>
        <v>0</v>
      </c>
      <c r="H154" s="80">
        <f ca="1">COUNTIF(OFFSET(Synthèse!$G163,0,0,1,COUNTA(Synthèse!$10:$10)-6),"="&amp;$H$1)</f>
        <v>0</v>
      </c>
      <c r="I154" s="203">
        <f t="shared" ca="1" si="17"/>
        <v>0</v>
      </c>
      <c r="J154" s="68"/>
      <c r="K154" s="96"/>
      <c r="N154" s="353"/>
      <c r="O154" s="73" t="s">
        <v>510</v>
      </c>
      <c r="P154" s="73">
        <f ca="1">IF(SUM(O147+P147)&gt;=1,P147/(O147+P147)*100,0)</f>
        <v>0</v>
      </c>
      <c r="S154" s="68"/>
      <c r="U154" s="68"/>
      <c r="X154" s="68"/>
      <c r="AA154" s="68"/>
      <c r="AD154" s="68"/>
      <c r="AE154" s="213" t="str">
        <f t="shared" si="18"/>
        <v>4.5</v>
      </c>
      <c r="AG154" s="241">
        <f>IF(COUNTIFS(TabSynthez[Test],"="&amp;$AE39&amp;".*",TabSynthez[Colonne1],"Invalidé")&gt;0,IF(COUNTIFS(TabSynthez[Test],"="&amp;$AE39&amp;".*",TabSynthez[Colonne1],"Indéterminé")&gt;0,0,1),0)</f>
        <v>0</v>
      </c>
    </row>
    <row r="155" spans="1:33" s="9" customFormat="1" x14ac:dyDescent="0.25">
      <c r="A155" s="68"/>
      <c r="B155" s="75" t="str">
        <f>Modèle!B157</f>
        <v>Structuration de l'information</v>
      </c>
      <c r="C155" s="82" t="str">
        <f>Modèle!D157</f>
        <v>9.4.1</v>
      </c>
      <c r="D155" s="83" t="str">
        <f>Modèle!E157</f>
        <v>A</v>
      </c>
      <c r="E155" s="179">
        <f ca="1">COUNTIF(OFFSET(Synthèse!$G164,0,0,1,COUNTA(Synthèse!$10:$10)-6),"="&amp;$E$1)</f>
        <v>0</v>
      </c>
      <c r="F155" s="179">
        <f ca="1">COUNTIF(OFFSET(Synthèse!$G164,0,0,1,COUNTA(Synthèse!$10:$10)-6),"="&amp;$F$1)</f>
        <v>0</v>
      </c>
      <c r="G155" s="179">
        <f ca="1">COUNTIF(OFFSET(Synthèse!$G164,0,0,1,COUNTA(Synthèse!$10:$10)-6),"="&amp;$G$1)</f>
        <v>0</v>
      </c>
      <c r="H155" s="179">
        <f ca="1">COUNTIF(OFFSET(Synthèse!$G164,0,0,1,COUNTA(Synthèse!$10:$10)-6),"="&amp;$H$1)</f>
        <v>0</v>
      </c>
      <c r="I155" s="203">
        <f t="shared" ca="1" si="17"/>
        <v>0</v>
      </c>
      <c r="J155" s="68"/>
      <c r="K155" s="96"/>
      <c r="S155" s="68"/>
      <c r="U155" s="68"/>
      <c r="X155" s="68"/>
      <c r="AA155" s="68"/>
      <c r="AD155" s="68"/>
      <c r="AE155" s="213" t="str">
        <f t="shared" si="18"/>
        <v>4.6</v>
      </c>
      <c r="AG155" s="241">
        <f>IF(COUNTIFS(TabSynthez[Test],"="&amp;$AE40&amp;".*",TabSynthez[Colonne1],"Invalidé")&gt;0,IF(COUNTIFS(TabSynthez[Test],"="&amp;$AE40&amp;".*",TabSynthez[Colonne1],"Indéterminé")&gt;0,0,1),0)</f>
        <v>0</v>
      </c>
    </row>
    <row r="156" spans="1:33" s="9" customFormat="1" x14ac:dyDescent="0.25">
      <c r="A156" s="68"/>
      <c r="B156" s="75" t="str">
        <f>Modèle!B158</f>
        <v>Structuration de l'information</v>
      </c>
      <c r="C156" s="82" t="str">
        <f>Modèle!D158</f>
        <v>9.4.2</v>
      </c>
      <c r="D156" s="83" t="str">
        <f>Modèle!E158</f>
        <v>A</v>
      </c>
      <c r="E156" s="179">
        <f ca="1">COUNTIF(OFFSET(Synthèse!$G165,0,0,1,COUNTA(Synthèse!$10:$10)-6),"="&amp;$E$1)</f>
        <v>0</v>
      </c>
      <c r="F156" s="179">
        <f ca="1">COUNTIF(OFFSET(Synthèse!$G165,0,0,1,COUNTA(Synthèse!$10:$10)-6),"="&amp;$F$1)</f>
        <v>0</v>
      </c>
      <c r="G156" s="179">
        <f ca="1">COUNTIF(OFFSET(Synthèse!$G165,0,0,1,COUNTA(Synthèse!$10:$10)-6),"="&amp;$G$1)</f>
        <v>0</v>
      </c>
      <c r="H156" s="179">
        <f ca="1">COUNTIF(OFFSET(Synthèse!$G165,0,0,1,COUNTA(Synthèse!$10:$10)-6),"="&amp;$H$1)</f>
        <v>0</v>
      </c>
      <c r="I156" s="203">
        <f t="shared" ca="1" si="17"/>
        <v>0</v>
      </c>
      <c r="J156" s="68"/>
      <c r="K156" s="96"/>
      <c r="S156" s="68"/>
      <c r="U156" s="68"/>
      <c r="X156" s="68"/>
      <c r="AA156" s="68"/>
      <c r="AD156" s="68"/>
      <c r="AE156" s="213" t="str">
        <f t="shared" si="18"/>
        <v>4.7</v>
      </c>
      <c r="AG156" s="241">
        <f>IF(COUNTIFS(TabSynthez[Test],"="&amp;$AE41&amp;".*",TabSynthez[Colonne1],"Invalidé")&gt;0,IF(COUNTIFS(TabSynthez[Test],"="&amp;$AE41&amp;".*",TabSynthez[Colonne1],"Indéterminé")&gt;0,0,1),0)</f>
        <v>0</v>
      </c>
    </row>
    <row r="157" spans="1:33" s="9" customFormat="1" x14ac:dyDescent="0.25">
      <c r="A157" s="68"/>
      <c r="B157" s="74" t="str">
        <f>Modèle!B159</f>
        <v>Présentation de l'information</v>
      </c>
      <c r="C157" s="80" t="str">
        <f>Modèle!D159</f>
        <v>10.1.1</v>
      </c>
      <c r="D157" s="81" t="str">
        <f>Modèle!E159</f>
        <v>A</v>
      </c>
      <c r="E157" s="80">
        <f ca="1">COUNTIF(OFFSET(Synthèse!$G166,0,0,1,COUNTA(Synthèse!$10:$10)-6),"="&amp;$E$1)</f>
        <v>0</v>
      </c>
      <c r="F157" s="80">
        <f ca="1">COUNTIF(OFFSET(Synthèse!$G166,0,0,1,COUNTA(Synthèse!$10:$10)-6),"="&amp;$F$1)</f>
        <v>0</v>
      </c>
      <c r="G157" s="80">
        <f ca="1">COUNTIF(OFFSET(Synthèse!$G166,0,0,1,COUNTA(Synthèse!$10:$10)-6),"="&amp;$G$1)</f>
        <v>0</v>
      </c>
      <c r="H157" s="80">
        <f ca="1">COUNTIF(OFFSET(Synthèse!$G166,0,0,1,COUNTA(Synthèse!$10:$10)-6),"="&amp;$H$1)</f>
        <v>0</v>
      </c>
      <c r="I157" s="203">
        <f t="shared" ca="1" si="17"/>
        <v>0</v>
      </c>
      <c r="J157" s="68"/>
      <c r="K157" s="96"/>
      <c r="S157" s="68"/>
      <c r="U157" s="68"/>
      <c r="X157" s="68"/>
      <c r="AA157" s="68"/>
      <c r="AD157" s="68"/>
      <c r="AE157" s="213" t="str">
        <f t="shared" si="18"/>
        <v>4.8</v>
      </c>
      <c r="AG157" s="241">
        <f>IF(COUNTIFS(TabSynthez[Test],"="&amp;$AE42&amp;".*",TabSynthez[Colonne1],"Invalidé")&gt;0,IF(COUNTIFS(TabSynthez[Test],"="&amp;$AE42&amp;".*",TabSynthez[Colonne1],"Indéterminé")&gt;0,0,1),0)</f>
        <v>0</v>
      </c>
    </row>
    <row r="158" spans="1:33" s="9" customFormat="1" x14ac:dyDescent="0.25">
      <c r="A158" s="68"/>
      <c r="B158" s="74" t="str">
        <f>Modèle!B160</f>
        <v>Présentation de l'information</v>
      </c>
      <c r="C158" s="80" t="str">
        <f>Modèle!D160</f>
        <v>10.1.2</v>
      </c>
      <c r="D158" s="81" t="str">
        <f>Modèle!E160</f>
        <v>A</v>
      </c>
      <c r="E158" s="80">
        <f ca="1">COUNTIF(OFFSET(Synthèse!$G167,0,0,1,COUNTA(Synthèse!$10:$10)-6),"="&amp;$E$1)</f>
        <v>0</v>
      </c>
      <c r="F158" s="80">
        <f ca="1">COUNTIF(OFFSET(Synthèse!$G167,0,0,1,COUNTA(Synthèse!$10:$10)-6),"="&amp;$F$1)</f>
        <v>0</v>
      </c>
      <c r="G158" s="80">
        <f ca="1">COUNTIF(OFFSET(Synthèse!$G167,0,0,1,COUNTA(Synthèse!$10:$10)-6),"="&amp;$G$1)</f>
        <v>0</v>
      </c>
      <c r="H158" s="80">
        <f ca="1">COUNTIF(OFFSET(Synthèse!$G167,0,0,1,COUNTA(Synthèse!$10:$10)-6),"="&amp;$H$1)</f>
        <v>0</v>
      </c>
      <c r="I158" s="203">
        <f t="shared" ca="1" si="17"/>
        <v>0</v>
      </c>
      <c r="J158" s="68"/>
      <c r="K158" s="96"/>
      <c r="S158" s="68"/>
      <c r="U158" s="68"/>
      <c r="X158" s="68"/>
      <c r="AA158" s="68"/>
      <c r="AD158" s="68"/>
      <c r="AE158" s="213" t="str">
        <f t="shared" si="18"/>
        <v>4.9</v>
      </c>
      <c r="AG158" s="241">
        <f>IF(COUNTIFS(TabSynthez[Test],"="&amp;$AE43&amp;".*",TabSynthez[Colonne1],"Invalidé")&gt;0,IF(COUNTIFS(TabSynthez[Test],"="&amp;$AE43&amp;".*",TabSynthez[Colonne1],"Indéterminé")&gt;0,0,1),0)</f>
        <v>0</v>
      </c>
    </row>
    <row r="159" spans="1:33" s="9" customFormat="1" x14ac:dyDescent="0.25">
      <c r="A159" s="68"/>
      <c r="B159" s="74" t="str">
        <f>Modèle!B161</f>
        <v>Présentation de l'information</v>
      </c>
      <c r="C159" s="80" t="str">
        <f>Modèle!D161</f>
        <v>10.1.3</v>
      </c>
      <c r="D159" s="81" t="str">
        <f>Modèle!E161</f>
        <v>A</v>
      </c>
      <c r="E159" s="80">
        <f ca="1">COUNTIF(OFFSET(Synthèse!$G168,0,0,1,COUNTA(Synthèse!$10:$10)-6),"="&amp;$E$1)</f>
        <v>0</v>
      </c>
      <c r="F159" s="80">
        <f ca="1">COUNTIF(OFFSET(Synthèse!$G168,0,0,1,COUNTA(Synthèse!$10:$10)-6),"="&amp;$F$1)</f>
        <v>0</v>
      </c>
      <c r="G159" s="80">
        <f ca="1">COUNTIF(OFFSET(Synthèse!$G168,0,0,1,COUNTA(Synthèse!$10:$10)-6),"="&amp;$G$1)</f>
        <v>0</v>
      </c>
      <c r="H159" s="80">
        <f ca="1">COUNTIF(OFFSET(Synthèse!$G168,0,0,1,COUNTA(Synthèse!$10:$10)-6),"="&amp;$H$1)</f>
        <v>0</v>
      </c>
      <c r="I159" s="203">
        <f t="shared" ca="1" si="17"/>
        <v>0</v>
      </c>
      <c r="J159" s="68"/>
      <c r="K159" s="96"/>
      <c r="S159" s="68"/>
      <c r="U159" s="68"/>
      <c r="X159" s="68"/>
      <c r="AA159" s="68"/>
      <c r="AD159" s="68"/>
      <c r="AE159" s="213" t="str">
        <f t="shared" si="18"/>
        <v>4.10</v>
      </c>
      <c r="AG159" s="241">
        <f>IF(COUNTIFS(TabSynthez[Test],"="&amp;$AE44&amp;".*",TabSynthez[Colonne1],"Invalidé")&gt;0,IF(COUNTIFS(TabSynthez[Test],"="&amp;$AE44&amp;".*",TabSynthez[Colonne1],"Indéterminé")&gt;0,0,1),0)</f>
        <v>0</v>
      </c>
    </row>
    <row r="160" spans="1:33" s="9" customFormat="1" x14ac:dyDescent="0.25">
      <c r="A160" s="68"/>
      <c r="B160" s="75" t="str">
        <f>Modèle!B162</f>
        <v>Présentation de l'information</v>
      </c>
      <c r="C160" s="82" t="str">
        <f>Modèle!D162</f>
        <v>10.2.1</v>
      </c>
      <c r="D160" s="83" t="str">
        <f>Modèle!E162</f>
        <v>A</v>
      </c>
      <c r="E160" s="179">
        <f ca="1">COUNTIF(OFFSET(Synthèse!$G169,0,0,1,COUNTA(Synthèse!$10:$10)-6),"="&amp;$E$1)</f>
        <v>0</v>
      </c>
      <c r="F160" s="179">
        <f ca="1">COUNTIF(OFFSET(Synthèse!$G169,0,0,1,COUNTA(Synthèse!$10:$10)-6),"="&amp;$F$1)</f>
        <v>0</v>
      </c>
      <c r="G160" s="179">
        <f ca="1">COUNTIF(OFFSET(Synthèse!$G169,0,0,1,COUNTA(Synthèse!$10:$10)-6),"="&amp;$G$1)</f>
        <v>0</v>
      </c>
      <c r="H160" s="179">
        <f ca="1">COUNTIF(OFFSET(Synthèse!$G169,0,0,1,COUNTA(Synthèse!$10:$10)-6),"="&amp;$H$1)</f>
        <v>0</v>
      </c>
      <c r="I160" s="203">
        <f t="shared" ca="1" si="17"/>
        <v>0</v>
      </c>
      <c r="J160" s="68"/>
      <c r="K160" s="96"/>
      <c r="S160" s="68"/>
      <c r="U160" s="68"/>
      <c r="X160" s="68"/>
      <c r="AA160" s="68"/>
      <c r="AD160" s="68"/>
      <c r="AE160" s="213" t="str">
        <f t="shared" si="18"/>
        <v>4.11</v>
      </c>
      <c r="AG160" s="241">
        <f>IF(COUNTIFS(TabSynthez[Test],"="&amp;$AE45&amp;".*",TabSynthez[Colonne1],"Invalidé")&gt;0,IF(COUNTIFS(TabSynthez[Test],"="&amp;$AE45&amp;".*",TabSynthez[Colonne1],"Indéterminé")&gt;0,0,1),0)</f>
        <v>0</v>
      </c>
    </row>
    <row r="161" spans="1:33" s="9" customFormat="1" x14ac:dyDescent="0.25">
      <c r="A161" s="68"/>
      <c r="B161" s="74" t="str">
        <f>Modèle!B163</f>
        <v>Présentation de l'information</v>
      </c>
      <c r="C161" s="80" t="str">
        <f>Modèle!D163</f>
        <v>10.3.1</v>
      </c>
      <c r="D161" s="81" t="str">
        <f>Modèle!E163</f>
        <v>A</v>
      </c>
      <c r="E161" s="80">
        <f ca="1">COUNTIF(OFFSET(Synthèse!$G170,0,0,1,COUNTA(Synthèse!$10:$10)-6),"="&amp;$E$1)</f>
        <v>0</v>
      </c>
      <c r="F161" s="80">
        <f ca="1">COUNTIF(OFFSET(Synthèse!$G170,0,0,1,COUNTA(Synthèse!$10:$10)-6),"="&amp;$F$1)</f>
        <v>0</v>
      </c>
      <c r="G161" s="80">
        <f ca="1">COUNTIF(OFFSET(Synthèse!$G170,0,0,1,COUNTA(Synthèse!$10:$10)-6),"="&amp;$G$1)</f>
        <v>0</v>
      </c>
      <c r="H161" s="80">
        <f ca="1">COUNTIF(OFFSET(Synthèse!$G170,0,0,1,COUNTA(Synthèse!$10:$10)-6),"="&amp;$H$1)</f>
        <v>0</v>
      </c>
      <c r="I161" s="203">
        <f t="shared" ca="1" si="17"/>
        <v>0</v>
      </c>
      <c r="J161" s="68"/>
      <c r="K161" s="96"/>
      <c r="S161" s="68"/>
      <c r="U161" s="68"/>
      <c r="X161" s="68"/>
      <c r="AA161" s="68"/>
      <c r="AD161" s="68"/>
      <c r="AE161" s="213" t="str">
        <f t="shared" si="18"/>
        <v>4.12</v>
      </c>
      <c r="AG161" s="241">
        <f>IF(COUNTIFS(TabSynthez[Test],"="&amp;$AE46&amp;".*",TabSynthez[Colonne1],"Invalidé")&gt;0,IF(COUNTIFS(TabSynthez[Test],"="&amp;$AE46&amp;".*",TabSynthez[Colonne1],"Indéterminé")&gt;0,0,1),0)</f>
        <v>0</v>
      </c>
    </row>
    <row r="162" spans="1:33" s="9" customFormat="1" x14ac:dyDescent="0.25">
      <c r="A162" s="68"/>
      <c r="B162" s="75" t="str">
        <f>Modèle!B164</f>
        <v>Présentation de l'information</v>
      </c>
      <c r="C162" s="82" t="str">
        <f>Modèle!D164</f>
        <v>10.4.1</v>
      </c>
      <c r="D162" s="83" t="str">
        <f>Modèle!E164</f>
        <v>AA</v>
      </c>
      <c r="E162" s="179">
        <f ca="1">COUNTIF(OFFSET(Synthèse!$G171,0,0,1,COUNTA(Synthèse!$10:$10)-6),"="&amp;$E$1)</f>
        <v>0</v>
      </c>
      <c r="F162" s="179">
        <f ca="1">COUNTIF(OFFSET(Synthèse!$G171,0,0,1,COUNTA(Synthèse!$10:$10)-6),"="&amp;$F$1)</f>
        <v>0</v>
      </c>
      <c r="G162" s="179">
        <f ca="1">COUNTIF(OFFSET(Synthèse!$G171,0,0,1,COUNTA(Synthèse!$10:$10)-6),"="&amp;$G$1)</f>
        <v>0</v>
      </c>
      <c r="H162" s="179">
        <f ca="1">COUNTIF(OFFSET(Synthèse!$G171,0,0,1,COUNTA(Synthèse!$10:$10)-6),"="&amp;$H$1)</f>
        <v>0</v>
      </c>
      <c r="I162" s="203">
        <f t="shared" ca="1" si="17"/>
        <v>0</v>
      </c>
      <c r="J162" s="68"/>
      <c r="K162" s="96"/>
      <c r="S162" s="68"/>
      <c r="U162" s="68"/>
      <c r="X162" s="68"/>
      <c r="AA162" s="68"/>
      <c r="AD162" s="68"/>
      <c r="AE162" s="213" t="str">
        <f t="shared" si="18"/>
        <v>4.13</v>
      </c>
      <c r="AG162" s="241">
        <f>IF(COUNTIFS(TabSynthez[Test],"="&amp;$AE47&amp;".*",TabSynthez[Colonne1],"Invalidé")&gt;0,IF(COUNTIFS(TabSynthez[Test],"="&amp;$AE47&amp;".*",TabSynthez[Colonne1],"Indéterminé")&gt;0,0,1),0)</f>
        <v>0</v>
      </c>
    </row>
    <row r="163" spans="1:33" s="9" customFormat="1" x14ac:dyDescent="0.25">
      <c r="A163" s="68"/>
      <c r="B163" s="75" t="str">
        <f>Modèle!B165</f>
        <v>Présentation de l'information</v>
      </c>
      <c r="C163" s="82" t="str">
        <f>Modèle!D165</f>
        <v>10.4.2</v>
      </c>
      <c r="D163" s="83" t="str">
        <f>Modèle!E165</f>
        <v>AA</v>
      </c>
      <c r="E163" s="179">
        <f ca="1">COUNTIF(OFFSET(Synthèse!$G172,0,0,1,COUNTA(Synthèse!$10:$10)-6),"="&amp;$E$1)</f>
        <v>0</v>
      </c>
      <c r="F163" s="179">
        <f ca="1">COUNTIF(OFFSET(Synthèse!$G172,0,0,1,COUNTA(Synthèse!$10:$10)-6),"="&amp;$F$1)</f>
        <v>0</v>
      </c>
      <c r="G163" s="179">
        <f ca="1">COUNTIF(OFFSET(Synthèse!$G172,0,0,1,COUNTA(Synthèse!$10:$10)-6),"="&amp;$G$1)</f>
        <v>0</v>
      </c>
      <c r="H163" s="179">
        <f ca="1">COUNTIF(OFFSET(Synthèse!$G172,0,0,1,COUNTA(Synthèse!$10:$10)-6),"="&amp;$H$1)</f>
        <v>0</v>
      </c>
      <c r="I163" s="203">
        <f t="shared" ca="1" si="17"/>
        <v>0</v>
      </c>
      <c r="J163" s="68"/>
      <c r="K163" s="96"/>
      <c r="S163" s="68"/>
      <c r="U163" s="68"/>
      <c r="X163" s="68"/>
      <c r="AA163" s="68"/>
      <c r="AD163" s="68"/>
      <c r="AE163" s="213" t="str">
        <f t="shared" si="18"/>
        <v>5.1</v>
      </c>
      <c r="AG163" s="241">
        <f>IF(COUNTIFS(TabSynthez[Test],"="&amp;$AE48&amp;".*",TabSynthez[Colonne1],"Invalidé")&gt;0,IF(COUNTIFS(TabSynthez[Test],"="&amp;$AE48&amp;".*",TabSynthez[Colonne1],"Indéterminé")&gt;0,0,1),0)</f>
        <v>0</v>
      </c>
    </row>
    <row r="164" spans="1:33" s="9" customFormat="1" x14ac:dyDescent="0.25">
      <c r="A164" s="68"/>
      <c r="B164" s="74" t="str">
        <f>Modèle!B166</f>
        <v>Présentation de l'information</v>
      </c>
      <c r="C164" s="80" t="str">
        <f>Modèle!D166</f>
        <v>10.5.1</v>
      </c>
      <c r="D164" s="81" t="str">
        <f>Modèle!E166</f>
        <v>AA</v>
      </c>
      <c r="E164" s="80">
        <f ca="1">COUNTIF(OFFSET(Synthèse!$G173,0,0,1,COUNTA(Synthèse!$10:$10)-6),"="&amp;$E$1)</f>
        <v>0</v>
      </c>
      <c r="F164" s="80">
        <f ca="1">COUNTIF(OFFSET(Synthèse!$G173,0,0,1,COUNTA(Synthèse!$10:$10)-6),"="&amp;$F$1)</f>
        <v>0</v>
      </c>
      <c r="G164" s="80">
        <f ca="1">COUNTIF(OFFSET(Synthèse!$G173,0,0,1,COUNTA(Synthèse!$10:$10)-6),"="&amp;$G$1)</f>
        <v>0</v>
      </c>
      <c r="H164" s="80">
        <f ca="1">COUNTIF(OFFSET(Synthèse!$G173,0,0,1,COUNTA(Synthèse!$10:$10)-6),"="&amp;$H$1)</f>
        <v>0</v>
      </c>
      <c r="I164" s="203">
        <f t="shared" ref="I164:I198" ca="1" si="19">SUM(E164:H164)</f>
        <v>0</v>
      </c>
      <c r="J164" s="68"/>
      <c r="K164" s="96"/>
      <c r="S164" s="68"/>
      <c r="U164" s="68"/>
      <c r="X164" s="68"/>
      <c r="AA164" s="68"/>
      <c r="AD164" s="68"/>
      <c r="AE164" s="213" t="str">
        <f t="shared" si="18"/>
        <v>5.2</v>
      </c>
      <c r="AG164" s="241">
        <f>IF(COUNTIFS(TabSynthez[Test],"="&amp;$AE49&amp;".*",TabSynthez[Colonne1],"Invalidé")&gt;0,IF(COUNTIFS(TabSynthez[Test],"="&amp;$AE49&amp;".*",TabSynthez[Colonne1],"Indéterminé")&gt;0,0,1),0)</f>
        <v>0</v>
      </c>
    </row>
    <row r="165" spans="1:33" s="9" customFormat="1" x14ac:dyDescent="0.25">
      <c r="A165" s="68"/>
      <c r="B165" s="74" t="str">
        <f>Modèle!B167</f>
        <v>Présentation de l'information</v>
      </c>
      <c r="C165" s="80" t="str">
        <f>Modèle!D167</f>
        <v>10.5.2</v>
      </c>
      <c r="D165" s="81" t="str">
        <f>Modèle!E167</f>
        <v>AA</v>
      </c>
      <c r="E165" s="80">
        <f ca="1">COUNTIF(OFFSET(Synthèse!$G174,0,0,1,COUNTA(Synthèse!$10:$10)-6),"="&amp;$E$1)</f>
        <v>0</v>
      </c>
      <c r="F165" s="80">
        <f ca="1">COUNTIF(OFFSET(Synthèse!$G174,0,0,1,COUNTA(Synthèse!$10:$10)-6),"="&amp;$F$1)</f>
        <v>0</v>
      </c>
      <c r="G165" s="80">
        <f ca="1">COUNTIF(OFFSET(Synthèse!$G174,0,0,1,COUNTA(Synthèse!$10:$10)-6),"="&amp;$G$1)</f>
        <v>0</v>
      </c>
      <c r="H165" s="80">
        <f ca="1">COUNTIF(OFFSET(Synthèse!$G174,0,0,1,COUNTA(Synthèse!$10:$10)-6),"="&amp;$H$1)</f>
        <v>0</v>
      </c>
      <c r="I165" s="203">
        <f t="shared" ca="1" si="19"/>
        <v>0</v>
      </c>
      <c r="J165" s="68"/>
      <c r="K165" s="96"/>
      <c r="S165" s="68"/>
      <c r="U165" s="68"/>
      <c r="X165" s="68"/>
      <c r="AA165" s="68"/>
      <c r="AD165" s="68"/>
      <c r="AE165" s="213" t="str">
        <f t="shared" si="18"/>
        <v>5.3</v>
      </c>
      <c r="AG165" s="241">
        <f>IF(COUNTIFS(TabSynthez[Test],"="&amp;$AE50&amp;".*",TabSynthez[Colonne1],"Invalidé")&gt;0,IF(COUNTIFS(TabSynthez[Test],"="&amp;$AE50&amp;".*",TabSynthez[Colonne1],"Indéterminé")&gt;0,0,1),0)</f>
        <v>0</v>
      </c>
    </row>
    <row r="166" spans="1:33" s="9" customFormat="1" x14ac:dyDescent="0.25">
      <c r="A166" s="68"/>
      <c r="B166" s="74" t="str">
        <f>Modèle!B168</f>
        <v>Présentation de l'information</v>
      </c>
      <c r="C166" s="80" t="str">
        <f>Modèle!D168</f>
        <v>10.5.3</v>
      </c>
      <c r="D166" s="81" t="str">
        <f>Modèle!E168</f>
        <v>AA</v>
      </c>
      <c r="E166" s="80">
        <f ca="1">COUNTIF(OFFSET(Synthèse!$G175,0,0,1,COUNTA(Synthèse!$10:$10)-6),"="&amp;$E$1)</f>
        <v>0</v>
      </c>
      <c r="F166" s="80">
        <f ca="1">COUNTIF(OFFSET(Synthèse!$G175,0,0,1,COUNTA(Synthèse!$10:$10)-6),"="&amp;$F$1)</f>
        <v>0</v>
      </c>
      <c r="G166" s="80">
        <f ca="1">COUNTIF(OFFSET(Synthèse!$G175,0,0,1,COUNTA(Synthèse!$10:$10)-6),"="&amp;$G$1)</f>
        <v>0</v>
      </c>
      <c r="H166" s="80">
        <f ca="1">COUNTIF(OFFSET(Synthèse!$G175,0,0,1,COUNTA(Synthèse!$10:$10)-6),"="&amp;$H$1)</f>
        <v>0</v>
      </c>
      <c r="I166" s="203">
        <f t="shared" ca="1" si="19"/>
        <v>0</v>
      </c>
      <c r="J166" s="68"/>
      <c r="K166" s="96"/>
      <c r="S166" s="68"/>
      <c r="U166" s="68"/>
      <c r="X166" s="68"/>
      <c r="AA166" s="68"/>
      <c r="AD166" s="68"/>
      <c r="AE166" s="213" t="str">
        <f t="shared" si="18"/>
        <v>5.4</v>
      </c>
      <c r="AG166" s="241">
        <f>IF(COUNTIFS(TabSynthez[Test],"="&amp;$AE51&amp;".*",TabSynthez[Colonne1],"Invalidé")&gt;0,IF(COUNTIFS(TabSynthez[Test],"="&amp;$AE51&amp;".*",TabSynthez[Colonne1],"Indéterminé")&gt;0,0,1),0)</f>
        <v>0</v>
      </c>
    </row>
    <row r="167" spans="1:33" s="9" customFormat="1" x14ac:dyDescent="0.25">
      <c r="A167" s="68"/>
      <c r="B167" s="75" t="str">
        <f>Modèle!B169</f>
        <v>Présentation de l'information</v>
      </c>
      <c r="C167" s="82" t="str">
        <f>Modèle!D169</f>
        <v>10.6.1</v>
      </c>
      <c r="D167" s="83" t="str">
        <f>Modèle!E169</f>
        <v>A</v>
      </c>
      <c r="E167" s="179">
        <f ca="1">COUNTIF(OFFSET(Synthèse!$G176,0,0,1,COUNTA(Synthèse!$10:$10)-6),"="&amp;$E$1)</f>
        <v>0</v>
      </c>
      <c r="F167" s="179">
        <f ca="1">COUNTIF(OFFSET(Synthèse!$G176,0,0,1,COUNTA(Synthèse!$10:$10)-6),"="&amp;$F$1)</f>
        <v>0</v>
      </c>
      <c r="G167" s="179">
        <f ca="1">COUNTIF(OFFSET(Synthèse!$G176,0,0,1,COUNTA(Synthèse!$10:$10)-6),"="&amp;$G$1)</f>
        <v>0</v>
      </c>
      <c r="H167" s="179">
        <f ca="1">COUNTIF(OFFSET(Synthèse!$G176,0,0,1,COUNTA(Synthèse!$10:$10)-6),"="&amp;$H$1)</f>
        <v>0</v>
      </c>
      <c r="I167" s="203">
        <f t="shared" ca="1" si="19"/>
        <v>0</v>
      </c>
      <c r="J167" s="68"/>
      <c r="K167" s="96"/>
      <c r="S167" s="68"/>
      <c r="U167" s="68"/>
      <c r="X167" s="68"/>
      <c r="AA167" s="68"/>
      <c r="AD167" s="68"/>
      <c r="AE167" s="213" t="str">
        <f t="shared" si="18"/>
        <v>5.5</v>
      </c>
      <c r="AG167" s="241">
        <f>IF(COUNTIFS(TabSynthez[Test],"="&amp;$AE52&amp;".*",TabSynthez[Colonne1],"Invalidé")&gt;0,IF(COUNTIFS(TabSynthez[Test],"="&amp;$AE52&amp;".*",TabSynthez[Colonne1],"Indéterminé")&gt;0,0,1),0)</f>
        <v>0</v>
      </c>
    </row>
    <row r="168" spans="1:33" s="9" customFormat="1" x14ac:dyDescent="0.25">
      <c r="A168" s="68"/>
      <c r="B168" s="74" t="str">
        <f>Modèle!B170</f>
        <v>Présentation de l'information</v>
      </c>
      <c r="C168" s="80" t="str">
        <f>Modèle!D170</f>
        <v>10.7.1</v>
      </c>
      <c r="D168" s="81" t="str">
        <f>Modèle!E170</f>
        <v>A</v>
      </c>
      <c r="E168" s="80">
        <f ca="1">COUNTIF(OFFSET(Synthèse!$G177,0,0,1,COUNTA(Synthèse!$10:$10)-6),"="&amp;$E$1)</f>
        <v>0</v>
      </c>
      <c r="F168" s="80">
        <f ca="1">COUNTIF(OFFSET(Synthèse!$G177,0,0,1,COUNTA(Synthèse!$10:$10)-6),"="&amp;$F$1)</f>
        <v>0</v>
      </c>
      <c r="G168" s="80">
        <f ca="1">COUNTIF(OFFSET(Synthèse!$G177,0,0,1,COUNTA(Synthèse!$10:$10)-6),"="&amp;$G$1)</f>
        <v>0</v>
      </c>
      <c r="H168" s="80">
        <f ca="1">COUNTIF(OFFSET(Synthèse!$G177,0,0,1,COUNTA(Synthèse!$10:$10)-6),"="&amp;$H$1)</f>
        <v>0</v>
      </c>
      <c r="I168" s="203">
        <f t="shared" ca="1" si="19"/>
        <v>0</v>
      </c>
      <c r="J168" s="68"/>
      <c r="K168" s="96"/>
      <c r="S168" s="68"/>
      <c r="U168" s="68"/>
      <c r="X168" s="68"/>
      <c r="AA168" s="68"/>
      <c r="AD168" s="68"/>
      <c r="AE168" s="213" t="str">
        <f t="shared" si="18"/>
        <v>5.6</v>
      </c>
      <c r="AG168" s="241">
        <f>IF(COUNTIFS(TabSynthez[Test],"="&amp;$AE53&amp;".*",TabSynthez[Colonne1],"Invalidé")&gt;0,IF(COUNTIFS(TabSynthez[Test],"="&amp;$AE53&amp;".*",TabSynthez[Colonne1],"Indéterminé")&gt;0,0,1),0)</f>
        <v>0</v>
      </c>
    </row>
    <row r="169" spans="1:33" s="9" customFormat="1" x14ac:dyDescent="0.25">
      <c r="A169" s="68"/>
      <c r="B169" s="75" t="str">
        <f>Modèle!B171</f>
        <v>Présentation de l'information</v>
      </c>
      <c r="C169" s="82" t="str">
        <f>Modèle!D171</f>
        <v>10.8.1</v>
      </c>
      <c r="D169" s="83" t="str">
        <f>Modèle!E171</f>
        <v>A</v>
      </c>
      <c r="E169" s="179">
        <f ca="1">COUNTIF(OFFSET(Synthèse!$G178,0,0,1,COUNTA(Synthèse!$10:$10)-6),"="&amp;$E$1)</f>
        <v>0</v>
      </c>
      <c r="F169" s="179">
        <f ca="1">COUNTIF(OFFSET(Synthèse!$G178,0,0,1,COUNTA(Synthèse!$10:$10)-6),"="&amp;$F$1)</f>
        <v>0</v>
      </c>
      <c r="G169" s="179">
        <f ca="1">COUNTIF(OFFSET(Synthèse!$G178,0,0,1,COUNTA(Synthèse!$10:$10)-6),"="&amp;$G$1)</f>
        <v>0</v>
      </c>
      <c r="H169" s="179">
        <f ca="1">COUNTIF(OFFSET(Synthèse!$G178,0,0,1,COUNTA(Synthèse!$10:$10)-6),"="&amp;$H$1)</f>
        <v>0</v>
      </c>
      <c r="I169" s="203">
        <f t="shared" ca="1" si="19"/>
        <v>0</v>
      </c>
      <c r="J169" s="68"/>
      <c r="K169" s="96"/>
      <c r="L169" s="16"/>
      <c r="N169" s="16"/>
      <c r="P169" s="16"/>
      <c r="S169" s="68"/>
      <c r="U169" s="68"/>
      <c r="X169" s="68"/>
      <c r="AA169" s="68"/>
      <c r="AD169" s="68"/>
      <c r="AE169" s="213" t="str">
        <f t="shared" ref="AE169:AE200" si="20">$AE55</f>
        <v>5.7</v>
      </c>
      <c r="AG169" s="241">
        <f>IF(COUNTIFS(TabSynthez[Test],"="&amp;$AE55&amp;".*",TabSynthez[Colonne1],"Invalidé")&gt;0,IF(COUNTIFS(TabSynthez[Test],"="&amp;$AE55&amp;".*",TabSynthez[Colonne1],"Indéterminé")&gt;0,0,1),0)</f>
        <v>0</v>
      </c>
    </row>
    <row r="170" spans="1:33" s="9" customFormat="1" x14ac:dyDescent="0.25">
      <c r="A170" s="68"/>
      <c r="B170" s="74" t="str">
        <f>Modèle!B172</f>
        <v>Présentation de l'information</v>
      </c>
      <c r="C170" s="80" t="str">
        <f>Modèle!D172</f>
        <v>10.9.1</v>
      </c>
      <c r="D170" s="81" t="str">
        <f>Modèle!E172</f>
        <v>A</v>
      </c>
      <c r="E170" s="80">
        <f ca="1">COUNTIF(OFFSET(Synthèse!$G179,0,0,1,COUNTA(Synthèse!$10:$10)-6),"="&amp;$E$1)</f>
        <v>0</v>
      </c>
      <c r="F170" s="80">
        <f ca="1">COUNTIF(OFFSET(Synthèse!$G179,0,0,1,COUNTA(Synthèse!$10:$10)-6),"="&amp;$F$1)</f>
        <v>0</v>
      </c>
      <c r="G170" s="80">
        <f ca="1">COUNTIF(OFFSET(Synthèse!$G179,0,0,1,COUNTA(Synthèse!$10:$10)-6),"="&amp;$G$1)</f>
        <v>0</v>
      </c>
      <c r="H170" s="80">
        <f ca="1">COUNTIF(OFFSET(Synthèse!$G179,0,0,1,COUNTA(Synthèse!$10:$10)-6),"="&amp;$H$1)</f>
        <v>0</v>
      </c>
      <c r="I170" s="203">
        <f t="shared" ca="1" si="19"/>
        <v>0</v>
      </c>
      <c r="J170" s="68"/>
      <c r="K170" s="96"/>
      <c r="S170" s="68"/>
      <c r="U170" s="68"/>
      <c r="X170" s="68"/>
      <c r="AA170" s="68"/>
      <c r="AD170" s="68"/>
      <c r="AE170" s="213" t="str">
        <f t="shared" si="20"/>
        <v>5.8</v>
      </c>
      <c r="AG170" s="241">
        <f>IF(COUNTIFS(TabSynthez[Test],"="&amp;$AE56&amp;".*",TabSynthez[Colonne1],"Invalidé")&gt;0,IF(COUNTIFS(TabSynthez[Test],"="&amp;$AE56&amp;".*",TabSynthez[Colonne1],"Indéterminé")&gt;0,0,1),0)</f>
        <v>0</v>
      </c>
    </row>
    <row r="171" spans="1:33" s="9" customFormat="1" x14ac:dyDescent="0.25">
      <c r="A171" s="68"/>
      <c r="B171" s="74" t="str">
        <f>Modèle!B173</f>
        <v>Présentation de l'information</v>
      </c>
      <c r="C171" s="80" t="str">
        <f>Modèle!D173</f>
        <v>10.9.2</v>
      </c>
      <c r="D171" s="81" t="str">
        <f>Modèle!E173</f>
        <v>A</v>
      </c>
      <c r="E171" s="80">
        <f ca="1">COUNTIF(OFFSET(Synthèse!$G180,0,0,1,COUNTA(Synthèse!$10:$10)-6),"="&amp;$E$1)</f>
        <v>0</v>
      </c>
      <c r="F171" s="80">
        <f ca="1">COUNTIF(OFFSET(Synthèse!$G180,0,0,1,COUNTA(Synthèse!$10:$10)-6),"="&amp;$F$1)</f>
        <v>0</v>
      </c>
      <c r="G171" s="80">
        <f ca="1">COUNTIF(OFFSET(Synthèse!$G180,0,0,1,COUNTA(Synthèse!$10:$10)-6),"="&amp;$G$1)</f>
        <v>0</v>
      </c>
      <c r="H171" s="80">
        <f ca="1">COUNTIF(OFFSET(Synthèse!$G180,0,0,1,COUNTA(Synthèse!$10:$10)-6),"="&amp;$H$1)</f>
        <v>0</v>
      </c>
      <c r="I171" s="203">
        <f t="shared" ca="1" si="19"/>
        <v>0</v>
      </c>
      <c r="J171" s="68"/>
      <c r="K171" s="96"/>
      <c r="S171" s="68"/>
      <c r="U171" s="68"/>
      <c r="X171" s="68"/>
      <c r="AA171" s="68"/>
      <c r="AD171" s="68"/>
      <c r="AE171" s="213" t="str">
        <f t="shared" si="20"/>
        <v>6.1</v>
      </c>
      <c r="AG171" s="241">
        <f>IF(COUNTIFS(TabSynthez[Test],"="&amp;$AE57&amp;".*",TabSynthez[Colonne1],"Invalidé")&gt;0,IF(COUNTIFS(TabSynthez[Test],"="&amp;$AE57&amp;".*",TabSynthez[Colonne1],"Indéterminé")&gt;0,0,1),0)</f>
        <v>0</v>
      </c>
    </row>
    <row r="172" spans="1:33" s="9" customFormat="1" x14ac:dyDescent="0.25">
      <c r="A172" s="68"/>
      <c r="B172" s="74" t="str">
        <f>Modèle!B174</f>
        <v>Présentation de l'information</v>
      </c>
      <c r="C172" s="80" t="str">
        <f>Modèle!D174</f>
        <v>10.9.3</v>
      </c>
      <c r="D172" s="81" t="str">
        <f>Modèle!E174</f>
        <v>A</v>
      </c>
      <c r="E172" s="80">
        <f ca="1">COUNTIF(OFFSET(Synthèse!$G181,0,0,1,COUNTA(Synthèse!$10:$10)-6),"="&amp;$E$1)</f>
        <v>0</v>
      </c>
      <c r="F172" s="80">
        <f ca="1">COUNTIF(OFFSET(Synthèse!$G181,0,0,1,COUNTA(Synthèse!$10:$10)-6),"="&amp;$F$1)</f>
        <v>0</v>
      </c>
      <c r="G172" s="80">
        <f ca="1">COUNTIF(OFFSET(Synthèse!$G181,0,0,1,COUNTA(Synthèse!$10:$10)-6),"="&amp;$G$1)</f>
        <v>0</v>
      </c>
      <c r="H172" s="80">
        <f ca="1">COUNTIF(OFFSET(Synthèse!$G181,0,0,1,COUNTA(Synthèse!$10:$10)-6),"="&amp;$H$1)</f>
        <v>0</v>
      </c>
      <c r="I172" s="203">
        <f t="shared" ca="1" si="19"/>
        <v>0</v>
      </c>
      <c r="J172" s="68"/>
      <c r="K172" s="96"/>
      <c r="S172" s="68"/>
      <c r="U172" s="68"/>
      <c r="X172" s="68"/>
      <c r="AA172" s="68"/>
      <c r="AD172" s="68"/>
      <c r="AE172" s="213" t="str">
        <f t="shared" si="20"/>
        <v>6.2</v>
      </c>
      <c r="AG172" s="241">
        <f>IF(COUNTIFS(TabSynthez[Test],"="&amp;$AE58&amp;".*",TabSynthez[Colonne1],"Invalidé")&gt;0,IF(COUNTIFS(TabSynthez[Test],"="&amp;$AE58&amp;".*",TabSynthez[Colonne1],"Indéterminé")&gt;0,0,1),0)</f>
        <v>0</v>
      </c>
    </row>
    <row r="173" spans="1:33" s="9" customFormat="1" x14ac:dyDescent="0.25">
      <c r="A173" s="68"/>
      <c r="B173" s="74" t="str">
        <f>Modèle!B175</f>
        <v>Présentation de l'information</v>
      </c>
      <c r="C173" s="80" t="str">
        <f>Modèle!D175</f>
        <v>10.9.4</v>
      </c>
      <c r="D173" s="81" t="str">
        <f>Modèle!E175</f>
        <v>A</v>
      </c>
      <c r="E173" s="80">
        <f ca="1">COUNTIF(OFFSET(Synthèse!$G182,0,0,1,COUNTA(Synthèse!$10:$10)-6),"="&amp;$E$1)</f>
        <v>0</v>
      </c>
      <c r="F173" s="80">
        <f ca="1">COUNTIF(OFFSET(Synthèse!$G182,0,0,1,COUNTA(Synthèse!$10:$10)-6),"="&amp;$F$1)</f>
        <v>0</v>
      </c>
      <c r="G173" s="80">
        <f ca="1">COUNTIF(OFFSET(Synthèse!$G182,0,0,1,COUNTA(Synthèse!$10:$10)-6),"="&amp;$G$1)</f>
        <v>0</v>
      </c>
      <c r="H173" s="80">
        <f ca="1">COUNTIF(OFFSET(Synthèse!$G182,0,0,1,COUNTA(Synthèse!$10:$10)-6),"="&amp;$H$1)</f>
        <v>0</v>
      </c>
      <c r="I173" s="203">
        <f t="shared" ca="1" si="19"/>
        <v>0</v>
      </c>
      <c r="J173" s="68"/>
      <c r="K173" s="96"/>
      <c r="S173" s="68"/>
      <c r="U173" s="68"/>
      <c r="X173" s="68"/>
      <c r="AA173" s="68"/>
      <c r="AD173" s="68"/>
      <c r="AE173" s="213" t="str">
        <f t="shared" si="20"/>
        <v>7.1</v>
      </c>
      <c r="AG173" s="241">
        <f>IF(COUNTIFS(TabSynthez[Test],"="&amp;$AE59&amp;".*",TabSynthez[Colonne1],"Invalidé")&gt;0,IF(COUNTIFS(TabSynthez[Test],"="&amp;$AE59&amp;".*",TabSynthez[Colonne1],"Indéterminé")&gt;0,0,1),0)</f>
        <v>0</v>
      </c>
    </row>
    <row r="174" spans="1:33" s="9" customFormat="1" x14ac:dyDescent="0.25">
      <c r="A174" s="68"/>
      <c r="B174" s="75" t="str">
        <f>Modèle!B176</f>
        <v>Présentation de l'information</v>
      </c>
      <c r="C174" s="82" t="str">
        <f>Modèle!D176</f>
        <v>10.10.1</v>
      </c>
      <c r="D174" s="83" t="str">
        <f>Modèle!E176</f>
        <v>A</v>
      </c>
      <c r="E174" s="179">
        <f ca="1">COUNTIF(OFFSET(Synthèse!$G183,0,0,1,COUNTA(Synthèse!$10:$10)-6),"="&amp;$E$1)</f>
        <v>0</v>
      </c>
      <c r="F174" s="179">
        <f ca="1">COUNTIF(OFFSET(Synthèse!$G183,0,0,1,COUNTA(Synthèse!$10:$10)-6),"="&amp;$F$1)</f>
        <v>0</v>
      </c>
      <c r="G174" s="179">
        <f ca="1">COUNTIF(OFFSET(Synthèse!$G183,0,0,1,COUNTA(Synthèse!$10:$10)-6),"="&amp;$G$1)</f>
        <v>0</v>
      </c>
      <c r="H174" s="179">
        <f ca="1">COUNTIF(OFFSET(Synthèse!$G183,0,0,1,COUNTA(Synthèse!$10:$10)-6),"="&amp;$H$1)</f>
        <v>0</v>
      </c>
      <c r="I174" s="203">
        <f t="shared" ca="1" si="19"/>
        <v>0</v>
      </c>
      <c r="J174" s="68"/>
      <c r="K174" s="96"/>
      <c r="S174" s="68"/>
      <c r="U174" s="68"/>
      <c r="X174" s="68"/>
      <c r="AA174" s="68"/>
      <c r="AD174" s="68"/>
      <c r="AE174" s="213" t="str">
        <f t="shared" si="20"/>
        <v>7.2</v>
      </c>
      <c r="AG174" s="241">
        <f>IF(COUNTIFS(TabSynthez[Test],"="&amp;$AE60&amp;".*",TabSynthez[Colonne1],"Invalidé")&gt;0,IF(COUNTIFS(TabSynthez[Test],"="&amp;$AE60&amp;".*",TabSynthez[Colonne1],"Indéterminé")&gt;0,0,1),0)</f>
        <v>0</v>
      </c>
    </row>
    <row r="175" spans="1:33" s="9" customFormat="1" x14ac:dyDescent="0.25">
      <c r="A175" s="68"/>
      <c r="B175" s="75" t="str">
        <f>Modèle!B177</f>
        <v>Présentation de l'information</v>
      </c>
      <c r="C175" s="82" t="str">
        <f>Modèle!D177</f>
        <v>10.10.2</v>
      </c>
      <c r="D175" s="83" t="str">
        <f>Modèle!E177</f>
        <v>A</v>
      </c>
      <c r="E175" s="179">
        <f ca="1">COUNTIF(OFFSET(Synthèse!$G184,0,0,1,COUNTA(Synthèse!$10:$10)-6),"="&amp;$E$1)</f>
        <v>0</v>
      </c>
      <c r="F175" s="179">
        <f ca="1">COUNTIF(OFFSET(Synthèse!$G184,0,0,1,COUNTA(Synthèse!$10:$10)-6),"="&amp;$F$1)</f>
        <v>0</v>
      </c>
      <c r="G175" s="179">
        <f ca="1">COUNTIF(OFFSET(Synthèse!$G184,0,0,1,COUNTA(Synthèse!$10:$10)-6),"="&amp;$G$1)</f>
        <v>0</v>
      </c>
      <c r="H175" s="179">
        <f ca="1">COUNTIF(OFFSET(Synthèse!$G184,0,0,1,COUNTA(Synthèse!$10:$10)-6),"="&amp;$H$1)</f>
        <v>0</v>
      </c>
      <c r="I175" s="203">
        <f t="shared" ca="1" si="19"/>
        <v>0</v>
      </c>
      <c r="J175" s="68"/>
      <c r="K175" s="96"/>
      <c r="S175" s="68"/>
      <c r="U175" s="68"/>
      <c r="X175" s="68"/>
      <c r="AA175" s="68"/>
      <c r="AD175" s="68"/>
      <c r="AE175" s="213" t="str">
        <f t="shared" si="20"/>
        <v>7.3</v>
      </c>
      <c r="AG175" s="241">
        <f>IF(COUNTIFS(TabSynthez[Test],"="&amp;$AE61&amp;".*",TabSynthez[Colonne1],"Invalidé")&gt;0,IF(COUNTIFS(TabSynthez[Test],"="&amp;$AE61&amp;".*",TabSynthez[Colonne1],"Indéterminé")&gt;0,0,1),0)</f>
        <v>0</v>
      </c>
    </row>
    <row r="176" spans="1:33" s="9" customFormat="1" x14ac:dyDescent="0.25">
      <c r="A176" s="68"/>
      <c r="B176" s="75" t="str">
        <f>Modèle!B178</f>
        <v>Présentation de l'information</v>
      </c>
      <c r="C176" s="82" t="str">
        <f>Modèle!D178</f>
        <v>10.10.3</v>
      </c>
      <c r="D176" s="83" t="str">
        <f>Modèle!E178</f>
        <v>A</v>
      </c>
      <c r="E176" s="179">
        <f ca="1">COUNTIF(OFFSET(Synthèse!$G185,0,0,1,COUNTA(Synthèse!$10:$10)-6),"="&amp;$E$1)</f>
        <v>0</v>
      </c>
      <c r="F176" s="179">
        <f ca="1">COUNTIF(OFFSET(Synthèse!$G185,0,0,1,COUNTA(Synthèse!$10:$10)-6),"="&amp;$F$1)</f>
        <v>0</v>
      </c>
      <c r="G176" s="179">
        <f ca="1">COUNTIF(OFFSET(Synthèse!$G185,0,0,1,COUNTA(Synthèse!$10:$10)-6),"="&amp;$G$1)</f>
        <v>0</v>
      </c>
      <c r="H176" s="179">
        <f ca="1">COUNTIF(OFFSET(Synthèse!$G185,0,0,1,COUNTA(Synthèse!$10:$10)-6),"="&amp;$H$1)</f>
        <v>0</v>
      </c>
      <c r="I176" s="203">
        <f t="shared" ca="1" si="19"/>
        <v>0</v>
      </c>
      <c r="J176" s="68"/>
      <c r="K176" s="96"/>
      <c r="S176" s="68"/>
      <c r="U176" s="68"/>
      <c r="X176" s="68"/>
      <c r="AA176" s="68"/>
      <c r="AD176" s="68"/>
      <c r="AE176" s="213" t="str">
        <f t="shared" si="20"/>
        <v>7.4</v>
      </c>
      <c r="AG176" s="241">
        <f>IF(COUNTIFS(TabSynthez[Test],"="&amp;$AE62&amp;".*",TabSynthez[Colonne1],"Invalidé")&gt;0,IF(COUNTIFS(TabSynthez[Test],"="&amp;$AE62&amp;".*",TabSynthez[Colonne1],"Indéterminé")&gt;0,0,1),0)</f>
        <v>0</v>
      </c>
    </row>
    <row r="177" spans="1:33" s="9" customFormat="1" x14ac:dyDescent="0.25">
      <c r="A177" s="68"/>
      <c r="B177" s="75" t="str">
        <f>Modèle!B179</f>
        <v>Présentation de l'information</v>
      </c>
      <c r="C177" s="82" t="str">
        <f>Modèle!D179</f>
        <v>10.10.4</v>
      </c>
      <c r="D177" s="83" t="str">
        <f>Modèle!E179</f>
        <v>A</v>
      </c>
      <c r="E177" s="179">
        <f ca="1">COUNTIF(OFFSET(Synthèse!$G186,0,0,1,COUNTA(Synthèse!$10:$10)-6),"="&amp;$E$1)</f>
        <v>0</v>
      </c>
      <c r="F177" s="179">
        <f ca="1">COUNTIF(OFFSET(Synthèse!$G186,0,0,1,COUNTA(Synthèse!$10:$10)-6),"="&amp;$F$1)</f>
        <v>0</v>
      </c>
      <c r="G177" s="179">
        <f ca="1">COUNTIF(OFFSET(Synthèse!$G186,0,0,1,COUNTA(Synthèse!$10:$10)-6),"="&amp;$G$1)</f>
        <v>0</v>
      </c>
      <c r="H177" s="179">
        <f ca="1">COUNTIF(OFFSET(Synthèse!$G186,0,0,1,COUNTA(Synthèse!$10:$10)-6),"="&amp;$H$1)</f>
        <v>0</v>
      </c>
      <c r="I177" s="203">
        <f t="shared" ca="1" si="19"/>
        <v>0</v>
      </c>
      <c r="J177" s="68"/>
      <c r="K177" s="96"/>
      <c r="S177" s="68"/>
      <c r="U177" s="68"/>
      <c r="X177" s="68"/>
      <c r="AA177" s="68"/>
      <c r="AD177" s="68"/>
      <c r="AE177" s="213" t="str">
        <f t="shared" si="20"/>
        <v>7.5</v>
      </c>
      <c r="AG177" s="241">
        <f>IF(COUNTIFS(TabSynthez[Test],"="&amp;$AE63&amp;".*",TabSynthez[Colonne1],"Invalidé")&gt;0,IF(COUNTIFS(TabSynthez[Test],"="&amp;$AE63&amp;".*",TabSynthez[Colonne1],"Indéterminé")&gt;0,0,1),0)</f>
        <v>0</v>
      </c>
    </row>
    <row r="178" spans="1:33" s="9" customFormat="1" x14ac:dyDescent="0.25">
      <c r="A178" s="68"/>
      <c r="B178" s="74" t="str">
        <f>Modèle!B180</f>
        <v>Présentation de l'information</v>
      </c>
      <c r="C178" s="80" t="str">
        <f>Modèle!D180</f>
        <v>10.11.1</v>
      </c>
      <c r="D178" s="81" t="str">
        <f>Modèle!E180</f>
        <v>AA</v>
      </c>
      <c r="E178" s="80">
        <f ca="1">COUNTIF(OFFSET(Synthèse!$G187,0,0,1,COUNTA(Synthèse!$10:$10)-6),"="&amp;$E$1)</f>
        <v>0</v>
      </c>
      <c r="F178" s="80">
        <f ca="1">COUNTIF(OFFSET(Synthèse!$G187,0,0,1,COUNTA(Synthèse!$10:$10)-6),"="&amp;$F$1)</f>
        <v>0</v>
      </c>
      <c r="G178" s="80">
        <f ca="1">COUNTIF(OFFSET(Synthèse!$G187,0,0,1,COUNTA(Synthèse!$10:$10)-6),"="&amp;$G$1)</f>
        <v>0</v>
      </c>
      <c r="H178" s="80">
        <f ca="1">COUNTIF(OFFSET(Synthèse!$G187,0,0,1,COUNTA(Synthèse!$10:$10)-6),"="&amp;$H$1)</f>
        <v>0</v>
      </c>
      <c r="I178" s="203">
        <f t="shared" ca="1" si="19"/>
        <v>0</v>
      </c>
      <c r="J178" s="68"/>
      <c r="K178" s="96"/>
      <c r="S178" s="68"/>
      <c r="U178" s="68"/>
      <c r="X178" s="68"/>
      <c r="AA178" s="68"/>
      <c r="AD178" s="68"/>
      <c r="AE178" s="213" t="str">
        <f t="shared" si="20"/>
        <v>8.1</v>
      </c>
      <c r="AG178" s="241">
        <f>IF(COUNTIFS(TabSynthez[Test],"="&amp;$AE64&amp;".*",TabSynthez[Colonne1],"Invalidé")&gt;0,IF(COUNTIFS(TabSynthez[Test],"="&amp;$AE64&amp;".*",TabSynthez[Colonne1],"Indéterminé")&gt;0,0,1),0)</f>
        <v>0</v>
      </c>
    </row>
    <row r="179" spans="1:33" s="9" customFormat="1" ht="22.5" x14ac:dyDescent="0.25">
      <c r="A179" s="68"/>
      <c r="B179" s="76" t="str">
        <f>Modèle!B181</f>
        <v>Présentation de l'information</v>
      </c>
      <c r="C179" s="84" t="str">
        <f>Modèle!D181</f>
        <v>10.11.2</v>
      </c>
      <c r="D179" s="85" t="str">
        <f>Modèle!E181</f>
        <v>AA</v>
      </c>
      <c r="E179" s="80">
        <f ca="1">COUNTIF(OFFSET(Synthèse!$G188,0,0,1,COUNTA(Synthèse!$10:$10)-6),"="&amp;$E$1)</f>
        <v>0</v>
      </c>
      <c r="F179" s="80">
        <f ca="1">COUNTIF(OFFSET(Synthèse!$G188,0,0,1,COUNTA(Synthèse!$10:$10)-6),"="&amp;$F$1)</f>
        <v>0</v>
      </c>
      <c r="G179" s="80">
        <f ca="1">COUNTIF(OFFSET(Synthèse!$G188,0,0,1,COUNTA(Synthèse!$10:$10)-6),"="&amp;$G$1)</f>
        <v>0</v>
      </c>
      <c r="H179" s="80">
        <f ca="1">COUNTIF(OFFSET(Synthèse!$G188,0,0,1,COUNTA(Synthèse!$10:$10)-6),"="&amp;$H$1)</f>
        <v>0</v>
      </c>
      <c r="I179" s="203">
        <f t="shared" ca="1" si="19"/>
        <v>0</v>
      </c>
      <c r="J179" s="68"/>
      <c r="K179" s="96"/>
      <c r="S179" s="68"/>
      <c r="U179" s="68"/>
      <c r="X179" s="68"/>
      <c r="AA179" s="68"/>
      <c r="AD179" s="68"/>
      <c r="AE179" s="213" t="str">
        <f t="shared" si="20"/>
        <v>8.2</v>
      </c>
      <c r="AG179" s="241">
        <f>IF(COUNTIFS(TabSynthez[Test],"="&amp;$AE65&amp;".*",TabSynthez[Colonne1],"Invalidé")&gt;0,IF(COUNTIFS(TabSynthez[Test],"="&amp;$AE65&amp;".*",TabSynthez[Colonne1],"Indéterminé")&gt;0,0,1),0)</f>
        <v>0</v>
      </c>
    </row>
    <row r="180" spans="1:33" s="9" customFormat="1" ht="22.5" x14ac:dyDescent="0.25">
      <c r="A180" s="68"/>
      <c r="B180" s="77" t="str">
        <f>Modèle!B182</f>
        <v>Présentation de l'information</v>
      </c>
      <c r="C180" s="86" t="str">
        <f>Modèle!D182</f>
        <v>10.12.1</v>
      </c>
      <c r="D180" s="87" t="str">
        <f>Modèle!E182</f>
        <v>AA</v>
      </c>
      <c r="E180" s="179">
        <f ca="1">COUNTIF(OFFSET(Synthèse!$G189,0,0,1,COUNTA(Synthèse!$10:$10)-6),"="&amp;$E$1)</f>
        <v>0</v>
      </c>
      <c r="F180" s="179">
        <f ca="1">COUNTIF(OFFSET(Synthèse!$G189,0,0,1,COUNTA(Synthèse!$10:$10)-6),"="&amp;$F$1)</f>
        <v>0</v>
      </c>
      <c r="G180" s="179">
        <f ca="1">COUNTIF(OFFSET(Synthèse!$G189,0,0,1,COUNTA(Synthèse!$10:$10)-6),"="&amp;$G$1)</f>
        <v>0</v>
      </c>
      <c r="H180" s="179">
        <f ca="1">COUNTIF(OFFSET(Synthèse!$G189,0,0,1,COUNTA(Synthèse!$10:$10)-6),"="&amp;$H$1)</f>
        <v>0</v>
      </c>
      <c r="I180" s="203">
        <f t="shared" ca="1" si="19"/>
        <v>0</v>
      </c>
      <c r="J180" s="68"/>
      <c r="K180" s="96"/>
      <c r="S180" s="68"/>
      <c r="U180" s="68"/>
      <c r="X180" s="68"/>
      <c r="AA180" s="68"/>
      <c r="AD180" s="68"/>
      <c r="AE180" s="213" t="str">
        <f t="shared" si="20"/>
        <v>8.3</v>
      </c>
      <c r="AG180" s="241">
        <f>IF(COUNTIFS(TabSynthez[Test],"="&amp;$AE66&amp;".*",TabSynthez[Colonne1],"Invalidé")&gt;0,IF(COUNTIFS(TabSynthez[Test],"="&amp;$AE66&amp;".*",TabSynthez[Colonne1],"Indéterminé")&gt;0,0,1),0)</f>
        <v>0</v>
      </c>
    </row>
    <row r="181" spans="1:33" s="9" customFormat="1" ht="22.5" x14ac:dyDescent="0.25">
      <c r="A181" s="68"/>
      <c r="B181" s="76" t="str">
        <f>Modèle!B183</f>
        <v>Présentation de l'information</v>
      </c>
      <c r="C181" s="84" t="str">
        <f>Modèle!D183</f>
        <v>10.13.1</v>
      </c>
      <c r="D181" s="85" t="str">
        <f>Modèle!E183</f>
        <v>AA</v>
      </c>
      <c r="E181" s="80">
        <f ca="1">COUNTIF(OFFSET(Synthèse!$G190,0,0,1,COUNTA(Synthèse!$10:$10)-6),"="&amp;$E$1)</f>
        <v>0</v>
      </c>
      <c r="F181" s="80">
        <f ca="1">COUNTIF(OFFSET(Synthèse!$G190,0,0,1,COUNTA(Synthèse!$10:$10)-6),"="&amp;$F$1)</f>
        <v>0</v>
      </c>
      <c r="G181" s="80">
        <f ca="1">COUNTIF(OFFSET(Synthèse!$G190,0,0,1,COUNTA(Synthèse!$10:$10)-6),"="&amp;$G$1)</f>
        <v>0</v>
      </c>
      <c r="H181" s="80">
        <f ca="1">COUNTIF(OFFSET(Synthèse!$G190,0,0,1,COUNTA(Synthèse!$10:$10)-6),"="&amp;$H$1)</f>
        <v>0</v>
      </c>
      <c r="I181" s="203">
        <f t="shared" ca="1" si="19"/>
        <v>0</v>
      </c>
      <c r="J181" s="68"/>
      <c r="K181" s="96"/>
      <c r="S181" s="68"/>
      <c r="U181" s="68"/>
      <c r="X181" s="68"/>
      <c r="AA181" s="68"/>
      <c r="AD181" s="68"/>
      <c r="AE181" s="213" t="str">
        <f t="shared" si="20"/>
        <v>8.4</v>
      </c>
      <c r="AG181" s="241">
        <f>IF(COUNTIFS(TabSynthez[Test],"="&amp;$AE67&amp;".*",TabSynthez[Colonne1],"Invalidé")&gt;0,IF(COUNTIFS(TabSynthez[Test],"="&amp;$AE67&amp;".*",TabSynthez[Colonne1],"Indéterminé")&gt;0,0,1),0)</f>
        <v>0</v>
      </c>
    </row>
    <row r="182" spans="1:33" s="9" customFormat="1" ht="22.5" x14ac:dyDescent="0.25">
      <c r="A182" s="68"/>
      <c r="B182" s="76" t="str">
        <f>Modèle!B184</f>
        <v>Présentation de l'information</v>
      </c>
      <c r="C182" s="84" t="str">
        <f>Modèle!D184</f>
        <v>10.13.2</v>
      </c>
      <c r="D182" s="85" t="str">
        <f>Modèle!E184</f>
        <v>AA</v>
      </c>
      <c r="E182" s="80">
        <f ca="1">COUNTIF(OFFSET(Synthèse!$G191,0,0,1,COUNTA(Synthèse!$10:$10)-6),"="&amp;$E$1)</f>
        <v>0</v>
      </c>
      <c r="F182" s="80">
        <f ca="1">COUNTIF(OFFSET(Synthèse!$G191,0,0,1,COUNTA(Synthèse!$10:$10)-6),"="&amp;$F$1)</f>
        <v>0</v>
      </c>
      <c r="G182" s="80">
        <f ca="1">COUNTIF(OFFSET(Synthèse!$G191,0,0,1,COUNTA(Synthèse!$10:$10)-6),"="&amp;$G$1)</f>
        <v>0</v>
      </c>
      <c r="H182" s="80">
        <f ca="1">COUNTIF(OFFSET(Synthèse!$G191,0,0,1,COUNTA(Synthèse!$10:$10)-6),"="&amp;$H$1)</f>
        <v>0</v>
      </c>
      <c r="I182" s="203">
        <f t="shared" ca="1" si="19"/>
        <v>0</v>
      </c>
      <c r="J182" s="68"/>
      <c r="K182" s="96"/>
      <c r="S182" s="68"/>
      <c r="U182" s="68"/>
      <c r="X182" s="68"/>
      <c r="AA182" s="68"/>
      <c r="AD182" s="68"/>
      <c r="AE182" s="213" t="str">
        <f t="shared" si="20"/>
        <v>8.5</v>
      </c>
      <c r="AG182" s="241">
        <f>IF(COUNTIFS(TabSynthez[Test],"="&amp;$AE68&amp;".*",TabSynthez[Colonne1],"Invalidé")&gt;0,IF(COUNTIFS(TabSynthez[Test],"="&amp;$AE68&amp;".*",TabSynthez[Colonne1],"Indéterminé")&gt;0,0,1),0)</f>
        <v>0</v>
      </c>
    </row>
    <row r="183" spans="1:33" s="9" customFormat="1" ht="22.5" x14ac:dyDescent="0.25">
      <c r="A183" s="68"/>
      <c r="B183" s="76" t="str">
        <f>Modèle!B185</f>
        <v>Présentation de l'information</v>
      </c>
      <c r="C183" s="84" t="str">
        <f>Modèle!D185</f>
        <v>10.13.3</v>
      </c>
      <c r="D183" s="85" t="str">
        <f>Modèle!E185</f>
        <v>AA</v>
      </c>
      <c r="E183" s="80">
        <f ca="1">COUNTIF(OFFSET(Synthèse!$G192,0,0,1,COUNTA(Synthèse!$10:$10)-6),"="&amp;$E$1)</f>
        <v>0</v>
      </c>
      <c r="F183" s="80">
        <f ca="1">COUNTIF(OFFSET(Synthèse!$G192,0,0,1,COUNTA(Synthèse!$10:$10)-6),"="&amp;$F$1)</f>
        <v>0</v>
      </c>
      <c r="G183" s="80">
        <f ca="1">COUNTIF(OFFSET(Synthèse!$G192,0,0,1,COUNTA(Synthèse!$10:$10)-6),"="&amp;$G$1)</f>
        <v>0</v>
      </c>
      <c r="H183" s="80">
        <f ca="1">COUNTIF(OFFSET(Synthèse!$G192,0,0,1,COUNTA(Synthèse!$10:$10)-6),"="&amp;$H$1)</f>
        <v>0</v>
      </c>
      <c r="I183" s="203">
        <f t="shared" ca="1" si="19"/>
        <v>0</v>
      </c>
      <c r="J183" s="68"/>
      <c r="K183" s="96"/>
      <c r="S183" s="68"/>
      <c r="U183" s="68"/>
      <c r="X183" s="68"/>
      <c r="AA183" s="68"/>
      <c r="AD183" s="68"/>
      <c r="AE183" s="213" t="str">
        <f t="shared" si="20"/>
        <v>8.6</v>
      </c>
      <c r="AG183" s="241">
        <f>IF(COUNTIFS(TabSynthez[Test],"="&amp;$AE69&amp;".*",TabSynthez[Colonne1],"Invalidé")&gt;0,IF(COUNTIFS(TabSynthez[Test],"="&amp;$AE69&amp;".*",TabSynthez[Colonne1],"Indéterminé")&gt;0,0,1),0)</f>
        <v>0</v>
      </c>
    </row>
    <row r="184" spans="1:33" s="9" customFormat="1" ht="22.5" x14ac:dyDescent="0.25">
      <c r="A184" s="68"/>
      <c r="B184" s="77" t="str">
        <f>Modèle!B186</f>
        <v>Présentation de l'information</v>
      </c>
      <c r="C184" s="86" t="str">
        <f>Modèle!D186</f>
        <v>10.14.1</v>
      </c>
      <c r="D184" s="87" t="str">
        <f>Modèle!E186</f>
        <v>A</v>
      </c>
      <c r="E184" s="179">
        <f ca="1">COUNTIF(OFFSET(Synthèse!$G193,0,0,1,COUNTA(Synthèse!$10:$10)-6),"="&amp;$E$1)</f>
        <v>0</v>
      </c>
      <c r="F184" s="179">
        <f ca="1">COUNTIF(OFFSET(Synthèse!$G193,0,0,1,COUNTA(Synthèse!$10:$10)-6),"="&amp;$F$1)</f>
        <v>0</v>
      </c>
      <c r="G184" s="179">
        <f ca="1">COUNTIF(OFFSET(Synthèse!$G193,0,0,1,COUNTA(Synthèse!$10:$10)-6),"="&amp;$G$1)</f>
        <v>0</v>
      </c>
      <c r="H184" s="179">
        <f ca="1">COUNTIF(OFFSET(Synthèse!$G193,0,0,1,COUNTA(Synthèse!$10:$10)-6),"="&amp;$H$1)</f>
        <v>0</v>
      </c>
      <c r="I184" s="203">
        <f t="shared" ca="1" si="19"/>
        <v>0</v>
      </c>
      <c r="J184" s="68"/>
      <c r="K184" s="96"/>
      <c r="S184" s="68"/>
      <c r="U184" s="68"/>
      <c r="X184" s="68"/>
      <c r="AA184" s="68"/>
      <c r="AD184" s="68"/>
      <c r="AE184" s="213" t="str">
        <f t="shared" si="20"/>
        <v>8.7</v>
      </c>
      <c r="AG184" s="241">
        <f>IF(COUNTIFS(TabSynthez[Test],"="&amp;$AE70&amp;".*",TabSynthez[Colonne1],"Invalidé")&gt;0,IF(COUNTIFS(TabSynthez[Test],"="&amp;$AE70&amp;".*",TabSynthez[Colonne1],"Indéterminé")&gt;0,0,1),0)</f>
        <v>0</v>
      </c>
    </row>
    <row r="185" spans="1:33" s="9" customFormat="1" ht="22.5" x14ac:dyDescent="0.25">
      <c r="A185" s="68"/>
      <c r="B185" s="77" t="str">
        <f>Modèle!B187</f>
        <v>Présentation de l'information</v>
      </c>
      <c r="C185" s="86" t="str">
        <f>Modèle!D187</f>
        <v>10.14.2</v>
      </c>
      <c r="D185" s="87" t="str">
        <f>Modèle!E187</f>
        <v>A</v>
      </c>
      <c r="E185" s="179">
        <f ca="1">COUNTIF(OFFSET(Synthèse!$G194,0,0,1,COUNTA(Synthèse!$10:$10)-6),"="&amp;$E$1)</f>
        <v>0</v>
      </c>
      <c r="F185" s="179">
        <f ca="1">COUNTIF(OFFSET(Synthèse!$G194,0,0,1,COUNTA(Synthèse!$10:$10)-6),"="&amp;$F$1)</f>
        <v>0</v>
      </c>
      <c r="G185" s="179">
        <f ca="1">COUNTIF(OFFSET(Synthèse!$G194,0,0,1,COUNTA(Synthèse!$10:$10)-6),"="&amp;$G$1)</f>
        <v>0</v>
      </c>
      <c r="H185" s="179">
        <f ca="1">COUNTIF(OFFSET(Synthèse!$G194,0,0,1,COUNTA(Synthèse!$10:$10)-6),"="&amp;$H$1)</f>
        <v>0</v>
      </c>
      <c r="I185" s="203">
        <f t="shared" ca="1" si="19"/>
        <v>0</v>
      </c>
      <c r="J185" s="68"/>
      <c r="K185" s="96"/>
      <c r="S185" s="68"/>
      <c r="U185" s="68"/>
      <c r="X185" s="68"/>
      <c r="AA185" s="68"/>
      <c r="AD185" s="68"/>
      <c r="AE185" s="213" t="str">
        <f t="shared" si="20"/>
        <v>8.8</v>
      </c>
      <c r="AG185" s="241">
        <f>IF(COUNTIFS(TabSynthez[Test],"="&amp;$AE71&amp;".*",TabSynthez[Colonne1],"Invalidé")&gt;0,IF(COUNTIFS(TabSynthez[Test],"="&amp;$AE71&amp;".*",TabSynthez[Colonne1],"Indéterminé")&gt;0,0,1),0)</f>
        <v>0</v>
      </c>
    </row>
    <row r="186" spans="1:33" s="9" customFormat="1" x14ac:dyDescent="0.25">
      <c r="A186" s="68"/>
      <c r="B186" s="76" t="str">
        <f>Modèle!B188</f>
        <v>Formulaires</v>
      </c>
      <c r="C186" s="84" t="str">
        <f>Modèle!D188</f>
        <v>11.1.1</v>
      </c>
      <c r="D186" s="85" t="str">
        <f>Modèle!E188</f>
        <v>A</v>
      </c>
      <c r="E186" s="80">
        <f ca="1">COUNTIF(OFFSET(Synthèse!$G195,0,0,1,COUNTA(Synthèse!$10:$10)-6),"="&amp;$E$1)</f>
        <v>0</v>
      </c>
      <c r="F186" s="80">
        <f ca="1">COUNTIF(OFFSET(Synthèse!$G195,0,0,1,COUNTA(Synthèse!$10:$10)-6),"="&amp;$F$1)</f>
        <v>0</v>
      </c>
      <c r="G186" s="80">
        <f ca="1">COUNTIF(OFFSET(Synthèse!$G195,0,0,1,COUNTA(Synthèse!$10:$10)-6),"="&amp;$G$1)</f>
        <v>0</v>
      </c>
      <c r="H186" s="80">
        <f ca="1">COUNTIF(OFFSET(Synthèse!$G195,0,0,1,COUNTA(Synthèse!$10:$10)-6),"="&amp;$H$1)</f>
        <v>0</v>
      </c>
      <c r="I186" s="203">
        <f t="shared" ca="1" si="19"/>
        <v>0</v>
      </c>
      <c r="J186" s="68"/>
      <c r="K186" s="96"/>
      <c r="S186" s="68"/>
      <c r="U186" s="68"/>
      <c r="X186" s="68"/>
      <c r="AA186" s="68"/>
      <c r="AD186" s="68"/>
      <c r="AE186" s="213" t="str">
        <f t="shared" si="20"/>
        <v>8.9</v>
      </c>
      <c r="AG186" s="241">
        <f>IF(COUNTIFS(TabSynthez[Test],"="&amp;$AE72&amp;".*",TabSynthez[Colonne1],"Invalidé")&gt;0,IF(COUNTIFS(TabSynthez[Test],"="&amp;$AE72&amp;".*",TabSynthez[Colonne1],"Indéterminé")&gt;0,0,1),0)</f>
        <v>0</v>
      </c>
    </row>
    <row r="187" spans="1:33" s="9" customFormat="1" x14ac:dyDescent="0.25">
      <c r="A187" s="68"/>
      <c r="B187" s="76" t="str">
        <f>Modèle!B189</f>
        <v>Formulaires</v>
      </c>
      <c r="C187" s="84" t="str">
        <f>Modèle!D189</f>
        <v>11.1.2</v>
      </c>
      <c r="D187" s="85" t="str">
        <f>Modèle!E189</f>
        <v>A</v>
      </c>
      <c r="E187" s="80">
        <f ca="1">COUNTIF(OFFSET(Synthèse!$G196,0,0,1,COUNTA(Synthèse!$10:$10)-6),"="&amp;$E$1)</f>
        <v>0</v>
      </c>
      <c r="F187" s="80">
        <f ca="1">COUNTIF(OFFSET(Synthèse!$G196,0,0,1,COUNTA(Synthèse!$10:$10)-6),"="&amp;$F$1)</f>
        <v>0</v>
      </c>
      <c r="G187" s="80">
        <f ca="1">COUNTIF(OFFSET(Synthèse!$G196,0,0,1,COUNTA(Synthèse!$10:$10)-6),"="&amp;$G$1)</f>
        <v>0</v>
      </c>
      <c r="H187" s="80">
        <f ca="1">COUNTIF(OFFSET(Synthèse!$G196,0,0,1,COUNTA(Synthèse!$10:$10)-6),"="&amp;$H$1)</f>
        <v>0</v>
      </c>
      <c r="I187" s="203">
        <f t="shared" ca="1" si="19"/>
        <v>0</v>
      </c>
      <c r="J187" s="68"/>
      <c r="K187" s="96"/>
      <c r="S187" s="68"/>
      <c r="U187" s="68"/>
      <c r="X187" s="68"/>
      <c r="AA187" s="68"/>
      <c r="AD187" s="68"/>
      <c r="AE187" s="213" t="str">
        <f t="shared" si="20"/>
        <v>8.10</v>
      </c>
      <c r="AG187" s="241">
        <f>IF(COUNTIFS(TabSynthez[Test],"="&amp;$AE73&amp;".*",TabSynthez[Colonne1],"Invalidé")&gt;0,IF(COUNTIFS(TabSynthez[Test],"="&amp;$AE73&amp;".*",TabSynthez[Colonne1],"Indéterminé")&gt;0,0,1),0)</f>
        <v>0</v>
      </c>
    </row>
    <row r="188" spans="1:33" s="9" customFormat="1" x14ac:dyDescent="0.25">
      <c r="A188" s="68"/>
      <c r="B188" s="78" t="str">
        <f>Modèle!B190</f>
        <v>Formulaires</v>
      </c>
      <c r="C188" s="88" t="str">
        <f>Modèle!D190</f>
        <v>11.1.3</v>
      </c>
      <c r="D188" s="85" t="str">
        <f>Modèle!E190</f>
        <v>A</v>
      </c>
      <c r="E188" s="80">
        <f ca="1">COUNTIF(OFFSET(Synthèse!$G197,0,0,1,COUNTA(Synthèse!$10:$10)-6),"="&amp;$E$1)</f>
        <v>0</v>
      </c>
      <c r="F188" s="80">
        <f ca="1">COUNTIF(OFFSET(Synthèse!$G197,0,0,1,COUNTA(Synthèse!$10:$10)-6),"="&amp;$F$1)</f>
        <v>0</v>
      </c>
      <c r="G188" s="80">
        <f ca="1">COUNTIF(OFFSET(Synthèse!$G197,0,0,1,COUNTA(Synthèse!$10:$10)-6),"="&amp;$G$1)</f>
        <v>0</v>
      </c>
      <c r="H188" s="80">
        <f ca="1">COUNTIF(OFFSET(Synthèse!$G197,0,0,1,COUNTA(Synthèse!$10:$10)-6),"="&amp;$H$1)</f>
        <v>0</v>
      </c>
      <c r="I188" s="203">
        <f t="shared" ca="1" si="19"/>
        <v>0</v>
      </c>
      <c r="J188" s="68"/>
      <c r="K188" s="96"/>
      <c r="S188" s="68"/>
      <c r="U188" s="68"/>
      <c r="X188" s="68"/>
      <c r="AA188" s="68"/>
      <c r="AD188" s="68"/>
      <c r="AE188" s="213" t="str">
        <f t="shared" si="20"/>
        <v>9.1</v>
      </c>
      <c r="AG188" s="241">
        <f>IF(COUNTIFS(TabSynthez[Test],"="&amp;$AE74&amp;".*",TabSynthez[Colonne1],"Invalidé")&gt;0,IF(COUNTIFS(TabSynthez[Test],"="&amp;$AE74&amp;".*",TabSynthez[Colonne1],"Indéterminé")&gt;0,0,1),0)</f>
        <v>0</v>
      </c>
    </row>
    <row r="189" spans="1:33" s="9" customFormat="1" x14ac:dyDescent="0.25">
      <c r="A189" s="68"/>
      <c r="B189" s="79" t="str">
        <f>Modèle!B191</f>
        <v>Formulaires</v>
      </c>
      <c r="C189" s="89" t="str">
        <f>Modèle!D191</f>
        <v>11.2.1</v>
      </c>
      <c r="D189" s="87" t="str">
        <f>Modèle!E191</f>
        <v>A</v>
      </c>
      <c r="E189" s="179">
        <f ca="1">COUNTIF(OFFSET(Synthèse!$G198,0,0,1,COUNTA(Synthèse!$10:$10)-6),"="&amp;$E$1)</f>
        <v>0</v>
      </c>
      <c r="F189" s="179">
        <f ca="1">COUNTIF(OFFSET(Synthèse!$G198,0,0,1,COUNTA(Synthèse!$10:$10)-6),"="&amp;$F$1)</f>
        <v>0</v>
      </c>
      <c r="G189" s="179">
        <f ca="1">COUNTIF(OFFSET(Synthèse!$G198,0,0,1,COUNTA(Synthèse!$10:$10)-6),"="&amp;$G$1)</f>
        <v>0</v>
      </c>
      <c r="H189" s="179">
        <f ca="1">COUNTIF(OFFSET(Synthèse!$G198,0,0,1,COUNTA(Synthèse!$10:$10)-6),"="&amp;$H$1)</f>
        <v>0</v>
      </c>
      <c r="I189" s="203">
        <f t="shared" ca="1" si="19"/>
        <v>0</v>
      </c>
      <c r="J189" s="68"/>
      <c r="K189" s="96"/>
      <c r="S189" s="68"/>
      <c r="U189" s="68"/>
      <c r="X189" s="68"/>
      <c r="AA189" s="68"/>
      <c r="AD189" s="68"/>
      <c r="AE189" s="213" t="str">
        <f t="shared" si="20"/>
        <v>9.2</v>
      </c>
      <c r="AG189" s="241">
        <f>IF(COUNTIFS(TabSynthez[Test],"="&amp;$AE75&amp;".*",TabSynthez[Colonne1],"Invalidé")&gt;0,IF(COUNTIFS(TabSynthez[Test],"="&amp;$AE75&amp;".*",TabSynthez[Colonne1],"Indéterminé")&gt;0,0,1),0)</f>
        <v>0</v>
      </c>
    </row>
    <row r="190" spans="1:33" s="9" customFormat="1" x14ac:dyDescent="0.25">
      <c r="A190" s="68"/>
      <c r="B190" s="79" t="str">
        <f>Modèle!B192</f>
        <v>Formulaires</v>
      </c>
      <c r="C190" s="89" t="str">
        <f>Modèle!D192</f>
        <v>11.2.2</v>
      </c>
      <c r="D190" s="87" t="str">
        <f>Modèle!E192</f>
        <v>A</v>
      </c>
      <c r="E190" s="179">
        <f ca="1">COUNTIF(OFFSET(Synthèse!$G199,0,0,1,COUNTA(Synthèse!$10:$10)-6),"="&amp;$E$1)</f>
        <v>0</v>
      </c>
      <c r="F190" s="179">
        <f ca="1">COUNTIF(OFFSET(Synthèse!$G199,0,0,1,COUNTA(Synthèse!$10:$10)-6),"="&amp;$F$1)</f>
        <v>0</v>
      </c>
      <c r="G190" s="179">
        <f ca="1">COUNTIF(OFFSET(Synthèse!$G199,0,0,1,COUNTA(Synthèse!$10:$10)-6),"="&amp;$G$1)</f>
        <v>0</v>
      </c>
      <c r="H190" s="179">
        <f ca="1">COUNTIF(OFFSET(Synthèse!$G199,0,0,1,COUNTA(Synthèse!$10:$10)-6),"="&amp;$H$1)</f>
        <v>0</v>
      </c>
      <c r="I190" s="203">
        <f t="shared" ca="1" si="19"/>
        <v>0</v>
      </c>
      <c r="J190" s="68"/>
      <c r="K190" s="96"/>
      <c r="S190" s="68"/>
      <c r="U190" s="68"/>
      <c r="X190" s="68"/>
      <c r="AA190" s="68"/>
      <c r="AD190" s="68"/>
      <c r="AE190" s="213" t="str">
        <f t="shared" si="20"/>
        <v>9.3</v>
      </c>
      <c r="AG190" s="241">
        <f>IF(COUNTIFS(TabSynthez[Test],"="&amp;$AE76&amp;".*",TabSynthez[Colonne1],"Invalidé")&gt;0,IF(COUNTIFS(TabSynthez[Test],"="&amp;$AE76&amp;".*",TabSynthez[Colonne1],"Indéterminé")&gt;0,0,1),0)</f>
        <v>0</v>
      </c>
    </row>
    <row r="191" spans="1:33" s="9" customFormat="1" x14ac:dyDescent="0.25">
      <c r="A191" s="68"/>
      <c r="B191" s="79" t="str">
        <f>Modèle!B193</f>
        <v>Formulaires</v>
      </c>
      <c r="C191" s="89" t="str">
        <f>Modèle!D193</f>
        <v>11.2.3</v>
      </c>
      <c r="D191" s="87" t="str">
        <f>Modèle!E193</f>
        <v>A</v>
      </c>
      <c r="E191" s="179">
        <f ca="1">COUNTIF(OFFSET(Synthèse!$G200,0,0,1,COUNTA(Synthèse!$10:$10)-6),"="&amp;$E$1)</f>
        <v>0</v>
      </c>
      <c r="F191" s="179">
        <f ca="1">COUNTIF(OFFSET(Synthèse!$G200,0,0,1,COUNTA(Synthèse!$10:$10)-6),"="&amp;$F$1)</f>
        <v>0</v>
      </c>
      <c r="G191" s="179">
        <f ca="1">COUNTIF(OFFSET(Synthèse!$G200,0,0,1,COUNTA(Synthèse!$10:$10)-6),"="&amp;$G$1)</f>
        <v>0</v>
      </c>
      <c r="H191" s="179">
        <f ca="1">COUNTIF(OFFSET(Synthèse!$G200,0,0,1,COUNTA(Synthèse!$10:$10)-6),"="&amp;$H$1)</f>
        <v>0</v>
      </c>
      <c r="I191" s="203">
        <f t="shared" ca="1" si="19"/>
        <v>0</v>
      </c>
      <c r="J191" s="68"/>
      <c r="K191" s="96"/>
      <c r="S191" s="68"/>
      <c r="U191" s="68"/>
      <c r="X191" s="68"/>
      <c r="AA191" s="68"/>
      <c r="AD191" s="68"/>
      <c r="AE191" s="213" t="str">
        <f t="shared" si="20"/>
        <v>9.4</v>
      </c>
      <c r="AG191" s="241">
        <f>IF(COUNTIFS(TabSynthez[Test],"="&amp;$AE77&amp;".*",TabSynthez[Colonne1],"Invalidé")&gt;0,IF(COUNTIFS(TabSynthez[Test],"="&amp;$AE77&amp;".*",TabSynthez[Colonne1],"Indéterminé")&gt;0,0,1),0)</f>
        <v>0</v>
      </c>
    </row>
    <row r="192" spans="1:33" s="9" customFormat="1" x14ac:dyDescent="0.25">
      <c r="A192" s="68"/>
      <c r="B192" s="79" t="str">
        <f>Modèle!B194</f>
        <v>Formulaires</v>
      </c>
      <c r="C192" s="89" t="str">
        <f>Modèle!D194</f>
        <v>11.2.4</v>
      </c>
      <c r="D192" s="87" t="str">
        <f>Modèle!E194</f>
        <v>A</v>
      </c>
      <c r="E192" s="179">
        <f ca="1">COUNTIF(OFFSET(Synthèse!$G201,0,0,1,COUNTA(Synthèse!$10:$10)-6),"="&amp;$E$1)</f>
        <v>0</v>
      </c>
      <c r="F192" s="179">
        <f ca="1">COUNTIF(OFFSET(Synthèse!$G201,0,0,1,COUNTA(Synthèse!$10:$10)-6),"="&amp;$F$1)</f>
        <v>0</v>
      </c>
      <c r="G192" s="179">
        <f ca="1">COUNTIF(OFFSET(Synthèse!$G201,0,0,1,COUNTA(Synthèse!$10:$10)-6),"="&amp;$G$1)</f>
        <v>0</v>
      </c>
      <c r="H192" s="179">
        <f ca="1">COUNTIF(OFFSET(Synthèse!$G201,0,0,1,COUNTA(Synthèse!$10:$10)-6),"="&amp;$H$1)</f>
        <v>0</v>
      </c>
      <c r="I192" s="203">
        <f t="shared" ca="1" si="19"/>
        <v>0</v>
      </c>
      <c r="J192" s="68"/>
      <c r="K192" s="96"/>
      <c r="S192" s="68"/>
      <c r="U192" s="68"/>
      <c r="X192" s="68"/>
      <c r="AA192" s="68"/>
      <c r="AD192" s="68"/>
      <c r="AE192" s="213" t="str">
        <f t="shared" si="20"/>
        <v>10.1</v>
      </c>
      <c r="AG192" s="241">
        <f>IF(COUNTIFS(TabSynthez[Test],"="&amp;$AE78&amp;".*",TabSynthez[Colonne1],"Invalidé")&gt;0,IF(COUNTIFS(TabSynthez[Test],"="&amp;$AE78&amp;".*",TabSynthez[Colonne1],"Indéterminé")&gt;0,0,1),0)</f>
        <v>0</v>
      </c>
    </row>
    <row r="193" spans="1:33" s="9" customFormat="1" x14ac:dyDescent="0.25">
      <c r="A193" s="68"/>
      <c r="B193" s="79" t="str">
        <f>Modèle!B195</f>
        <v>Formulaires</v>
      </c>
      <c r="C193" s="89" t="str">
        <f>Modèle!D195</f>
        <v>11.2.5</v>
      </c>
      <c r="D193" s="87" t="str">
        <f>Modèle!E195</f>
        <v>A</v>
      </c>
      <c r="E193" s="179">
        <f ca="1">COUNTIF(OFFSET(Synthèse!$G202,0,0,1,COUNTA(Synthèse!$10:$10)-6),"="&amp;$E$1)</f>
        <v>0</v>
      </c>
      <c r="F193" s="179">
        <f ca="1">COUNTIF(OFFSET(Synthèse!$G202,0,0,1,COUNTA(Synthèse!$10:$10)-6),"="&amp;$F$1)</f>
        <v>0</v>
      </c>
      <c r="G193" s="179">
        <f ca="1">COUNTIF(OFFSET(Synthèse!$G202,0,0,1,COUNTA(Synthèse!$10:$10)-6),"="&amp;$G$1)</f>
        <v>0</v>
      </c>
      <c r="H193" s="179">
        <f ca="1">COUNTIF(OFFSET(Synthèse!$G202,0,0,1,COUNTA(Synthèse!$10:$10)-6),"="&amp;$H$1)</f>
        <v>0</v>
      </c>
      <c r="I193" s="203">
        <f t="shared" ca="1" si="19"/>
        <v>0</v>
      </c>
      <c r="J193" s="68"/>
      <c r="K193" s="96"/>
      <c r="S193" s="68"/>
      <c r="U193" s="68"/>
      <c r="X193" s="68"/>
      <c r="AA193" s="68"/>
      <c r="AD193" s="68"/>
      <c r="AE193" s="213" t="str">
        <f t="shared" si="20"/>
        <v>10.2</v>
      </c>
      <c r="AG193" s="241">
        <f>IF(COUNTIFS(TabSynthez[Test],"="&amp;$AE79&amp;".*",TabSynthez[Colonne1],"Invalidé")&gt;0,IF(COUNTIFS(TabSynthez[Test],"="&amp;$AE79&amp;".*",TabSynthez[Colonne1],"Indéterminé")&gt;0,0,1),0)</f>
        <v>0</v>
      </c>
    </row>
    <row r="194" spans="1:33" s="9" customFormat="1" x14ac:dyDescent="0.25">
      <c r="A194" s="68"/>
      <c r="B194" s="79" t="str">
        <f>Modèle!B196</f>
        <v>Formulaires</v>
      </c>
      <c r="C194" s="89" t="str">
        <f>Modèle!D196</f>
        <v>11.2.6</v>
      </c>
      <c r="D194" s="87" t="str">
        <f>Modèle!E196</f>
        <v>A</v>
      </c>
      <c r="E194" s="179">
        <f ca="1">COUNTIF(OFFSET(Synthèse!$G203,0,0,1,COUNTA(Synthèse!$10:$10)-6),"="&amp;$E$1)</f>
        <v>0</v>
      </c>
      <c r="F194" s="179">
        <f ca="1">COUNTIF(OFFSET(Synthèse!$G203,0,0,1,COUNTA(Synthèse!$10:$10)-6),"="&amp;$F$1)</f>
        <v>0</v>
      </c>
      <c r="G194" s="179">
        <f ca="1">COUNTIF(OFFSET(Synthèse!$G203,0,0,1,COUNTA(Synthèse!$10:$10)-6),"="&amp;$G$1)</f>
        <v>0</v>
      </c>
      <c r="H194" s="179">
        <f ca="1">COUNTIF(OFFSET(Synthèse!$G203,0,0,1,COUNTA(Synthèse!$10:$10)-6),"="&amp;$H$1)</f>
        <v>0</v>
      </c>
      <c r="I194" s="203">
        <f t="shared" ca="1" si="19"/>
        <v>0</v>
      </c>
      <c r="J194" s="68"/>
      <c r="K194" s="96"/>
      <c r="S194" s="68"/>
      <c r="U194" s="68"/>
      <c r="X194" s="68"/>
      <c r="AA194" s="68"/>
      <c r="AD194" s="68"/>
      <c r="AE194" s="213" t="str">
        <f t="shared" si="20"/>
        <v>10.3</v>
      </c>
      <c r="AG194" s="241">
        <f>IF(COUNTIFS(TabSynthez[Test],"="&amp;$AE80&amp;".*",TabSynthez[Colonne1],"Invalidé")&gt;0,IF(COUNTIFS(TabSynthez[Test],"="&amp;$AE80&amp;".*",TabSynthez[Colonne1],"Indéterminé")&gt;0,0,1),0)</f>
        <v>0</v>
      </c>
    </row>
    <row r="195" spans="1:33" s="9" customFormat="1" x14ac:dyDescent="0.25">
      <c r="A195" s="68"/>
      <c r="B195" s="78" t="str">
        <f>Modèle!B197</f>
        <v>Formulaires</v>
      </c>
      <c r="C195" s="88" t="str">
        <f>Modèle!D197</f>
        <v>11.3.1</v>
      </c>
      <c r="D195" s="85" t="str">
        <f>Modèle!E197</f>
        <v>AA</v>
      </c>
      <c r="E195" s="80">
        <f ca="1">COUNTIF(OFFSET(Synthèse!$G204,0,0,1,COUNTA(Synthèse!$10:$10)-6),"="&amp;$E$1)</f>
        <v>0</v>
      </c>
      <c r="F195" s="80">
        <f ca="1">COUNTIF(OFFSET(Synthèse!$G204,0,0,1,COUNTA(Synthèse!$10:$10)-6),"="&amp;$F$1)</f>
        <v>0</v>
      </c>
      <c r="G195" s="80">
        <f ca="1">COUNTIF(OFFSET(Synthèse!$G204,0,0,1,COUNTA(Synthèse!$10:$10)-6),"="&amp;$G$1)</f>
        <v>0</v>
      </c>
      <c r="H195" s="80">
        <f ca="1">COUNTIF(OFFSET(Synthèse!$G204,0,0,1,COUNTA(Synthèse!$10:$10)-6),"="&amp;$H$1)</f>
        <v>0</v>
      </c>
      <c r="I195" s="203">
        <f t="shared" ca="1" si="19"/>
        <v>0</v>
      </c>
      <c r="J195" s="68"/>
      <c r="K195" s="96"/>
      <c r="S195" s="68"/>
      <c r="U195" s="68"/>
      <c r="X195" s="68"/>
      <c r="AA195" s="68"/>
      <c r="AD195" s="68"/>
      <c r="AE195" s="213" t="str">
        <f t="shared" si="20"/>
        <v>10.4</v>
      </c>
      <c r="AG195" s="241">
        <f>IF(COUNTIFS(TabSynthez[Test],"="&amp;$AE81&amp;".*",TabSynthez[Colonne1],"Invalidé")&gt;0,IF(COUNTIFS(TabSynthez[Test],"="&amp;$AE81&amp;".*",TabSynthez[Colonne1],"Indéterminé")&gt;0,0,1),0)</f>
        <v>0</v>
      </c>
    </row>
    <row r="196" spans="1:33" s="9" customFormat="1" x14ac:dyDescent="0.25">
      <c r="A196" s="68"/>
      <c r="B196" s="78" t="str">
        <f>Modèle!B198</f>
        <v>Formulaires</v>
      </c>
      <c r="C196" s="88" t="str">
        <f>Modèle!D198</f>
        <v>11.3.2</v>
      </c>
      <c r="D196" s="85" t="str">
        <f>Modèle!E198</f>
        <v>AA</v>
      </c>
      <c r="E196" s="80">
        <f ca="1">COUNTIF(OFFSET(Synthèse!$G205,0,0,1,COUNTA(Synthèse!$10:$10)-6),"="&amp;$E$1)</f>
        <v>0</v>
      </c>
      <c r="F196" s="80">
        <f ca="1">COUNTIF(OFFSET(Synthèse!$G205,0,0,1,COUNTA(Synthèse!$10:$10)-6),"="&amp;$F$1)</f>
        <v>0</v>
      </c>
      <c r="G196" s="80">
        <f ca="1">COUNTIF(OFFSET(Synthèse!$G205,0,0,1,COUNTA(Synthèse!$10:$10)-6),"="&amp;$G$1)</f>
        <v>0</v>
      </c>
      <c r="H196" s="80">
        <f ca="1">COUNTIF(OFFSET(Synthèse!$G205,0,0,1,COUNTA(Synthèse!$10:$10)-6),"="&amp;$H$1)</f>
        <v>0</v>
      </c>
      <c r="I196" s="203">
        <f t="shared" ca="1" si="19"/>
        <v>0</v>
      </c>
      <c r="J196" s="68"/>
      <c r="K196" s="96"/>
      <c r="S196" s="68"/>
      <c r="T196" s="16"/>
      <c r="U196" s="68"/>
      <c r="V196" s="16"/>
      <c r="X196" s="68"/>
      <c r="Z196" s="16"/>
      <c r="AA196" s="68"/>
      <c r="AB196" s="16"/>
      <c r="AD196" s="68"/>
      <c r="AE196" s="213" t="str">
        <f t="shared" si="20"/>
        <v>10.5</v>
      </c>
      <c r="AG196" s="241">
        <f>IF(COUNTIFS(TabSynthez[Test],"="&amp;$AE82&amp;".*",TabSynthez[Colonne1],"Invalidé")&gt;0,IF(COUNTIFS(TabSynthez[Test],"="&amp;$AE82&amp;".*",TabSynthez[Colonne1],"Indéterminé")&gt;0,0,1),0)</f>
        <v>0</v>
      </c>
    </row>
    <row r="197" spans="1:33" s="9" customFormat="1" x14ac:dyDescent="0.25">
      <c r="A197" s="68"/>
      <c r="B197" s="79" t="str">
        <f>Modèle!B199</f>
        <v>Formulaires</v>
      </c>
      <c r="C197" s="89" t="str">
        <f>Modèle!D199</f>
        <v>11.4.1</v>
      </c>
      <c r="D197" s="87" t="str">
        <f>Modèle!E199</f>
        <v>AA</v>
      </c>
      <c r="E197" s="179">
        <f ca="1">COUNTIF(OFFSET(Synthèse!$G206,0,0,1,COUNTA(Synthèse!$10:$10)-6),"="&amp;$E$1)</f>
        <v>0</v>
      </c>
      <c r="F197" s="179">
        <f ca="1">COUNTIF(OFFSET(Synthèse!$G206,0,0,1,COUNTA(Synthèse!$10:$10)-6),"="&amp;$F$1)</f>
        <v>0</v>
      </c>
      <c r="G197" s="179">
        <f ca="1">COUNTIF(OFFSET(Synthèse!$G206,0,0,1,COUNTA(Synthèse!$10:$10)-6),"="&amp;$G$1)</f>
        <v>0</v>
      </c>
      <c r="H197" s="179">
        <f ca="1">COUNTIF(OFFSET(Synthèse!$G206,0,0,1,COUNTA(Synthèse!$10:$10)-6),"="&amp;$H$1)</f>
        <v>0</v>
      </c>
      <c r="I197" s="203">
        <f t="shared" ca="1" si="19"/>
        <v>0</v>
      </c>
      <c r="J197" s="68"/>
      <c r="K197" s="96"/>
      <c r="S197" s="68"/>
      <c r="U197" s="68"/>
      <c r="X197" s="68"/>
      <c r="AA197" s="68"/>
      <c r="AD197" s="68"/>
      <c r="AE197" s="213" t="str">
        <f t="shared" si="20"/>
        <v>10.6</v>
      </c>
      <c r="AG197" s="241">
        <f>IF(COUNTIFS(TabSynthez[Test],"="&amp;$AE83&amp;".*",TabSynthez[Colonne1],"Invalidé")&gt;0,IF(COUNTIFS(TabSynthez[Test],"="&amp;$AE83&amp;".*",TabSynthez[Colonne1],"Indéterminé")&gt;0,0,1),0)</f>
        <v>0</v>
      </c>
    </row>
    <row r="198" spans="1:33" s="9" customFormat="1" x14ac:dyDescent="0.25">
      <c r="A198" s="68"/>
      <c r="B198" s="79" t="str">
        <f>Modèle!B200</f>
        <v>Formulaires</v>
      </c>
      <c r="C198" s="89" t="str">
        <f>Modèle!D200</f>
        <v>11.4.2</v>
      </c>
      <c r="D198" s="87" t="str">
        <f>Modèle!E200</f>
        <v>AA</v>
      </c>
      <c r="E198" s="179">
        <f ca="1">COUNTIF(OFFSET(Synthèse!$G207,0,0,1,COUNTA(Synthèse!$10:$10)-6),"="&amp;$E$1)</f>
        <v>0</v>
      </c>
      <c r="F198" s="179">
        <f ca="1">COUNTIF(OFFSET(Synthèse!$G207,0,0,1,COUNTA(Synthèse!$10:$10)-6),"="&amp;$F$1)</f>
        <v>0</v>
      </c>
      <c r="G198" s="179">
        <f ca="1">COUNTIF(OFFSET(Synthèse!$G207,0,0,1,COUNTA(Synthèse!$10:$10)-6),"="&amp;$G$1)</f>
        <v>0</v>
      </c>
      <c r="H198" s="179">
        <f ca="1">COUNTIF(OFFSET(Synthèse!$G207,0,0,1,COUNTA(Synthèse!$10:$10)-6),"="&amp;$H$1)</f>
        <v>0</v>
      </c>
      <c r="I198" s="203">
        <f t="shared" ca="1" si="19"/>
        <v>0</v>
      </c>
      <c r="J198" s="68"/>
      <c r="K198" s="96"/>
      <c r="S198" s="68"/>
      <c r="U198" s="68"/>
      <c r="X198" s="68"/>
      <c r="AA198" s="68"/>
      <c r="AD198" s="68"/>
      <c r="AE198" s="213" t="str">
        <f t="shared" si="20"/>
        <v>10.7</v>
      </c>
      <c r="AF198" s="16"/>
      <c r="AG198" s="241">
        <f>IF(COUNTIFS(TabSynthez[Test],"="&amp;$AE84&amp;".*",TabSynthez[Colonne1],"Invalidé")&gt;0,IF(COUNTIFS(TabSynthez[Test],"="&amp;$AE84&amp;".*",TabSynthez[Colonne1],"Indéterminé")&gt;0,0,1),0)</f>
        <v>0</v>
      </c>
    </row>
    <row r="199" spans="1:33" s="9" customFormat="1" x14ac:dyDescent="0.25">
      <c r="A199" s="68"/>
      <c r="B199" s="79" t="str">
        <f>Modèle!B201</f>
        <v>Formulaires</v>
      </c>
      <c r="C199" s="89" t="str">
        <f>Modèle!D201</f>
        <v>11.4.3</v>
      </c>
      <c r="D199" s="87" t="str">
        <f>Modèle!E201</f>
        <v>AA</v>
      </c>
      <c r="E199" s="179">
        <f ca="1">COUNTIF(OFFSET(Synthèse!$G208,0,0,1,COUNTA(Synthèse!$10:$10)-6),"="&amp;$E$1)</f>
        <v>0</v>
      </c>
      <c r="F199" s="179">
        <f ca="1">COUNTIF(OFFSET(Synthèse!$G208,0,0,1,COUNTA(Synthèse!$10:$10)-6),"="&amp;$F$1)</f>
        <v>0</v>
      </c>
      <c r="G199" s="179">
        <f ca="1">COUNTIF(OFFSET(Synthèse!$G208,0,0,1,COUNTA(Synthèse!$10:$10)-6),"="&amp;$G$1)</f>
        <v>0</v>
      </c>
      <c r="H199" s="179">
        <f ca="1">COUNTIF(OFFSET(Synthèse!$G208,0,0,1,COUNTA(Synthèse!$10:$10)-6),"="&amp;$H$1)</f>
        <v>0</v>
      </c>
      <c r="I199" s="203">
        <f t="shared" ref="I199:I259" ca="1" si="21">SUM(E199:H199)</f>
        <v>0</v>
      </c>
      <c r="J199" s="68"/>
      <c r="K199" s="96"/>
      <c r="S199" s="68"/>
      <c r="U199" s="68"/>
      <c r="X199" s="68"/>
      <c r="AA199" s="68"/>
      <c r="AD199" s="68"/>
      <c r="AE199" s="213" t="str">
        <f t="shared" si="20"/>
        <v>10.8</v>
      </c>
      <c r="AG199" s="241">
        <f>IF(COUNTIFS(TabSynthez[Test],"="&amp;$AE85&amp;".*",TabSynthez[Colonne1],"Invalidé")&gt;0,IF(COUNTIFS(TabSynthez[Test],"="&amp;$AE85&amp;".*",TabSynthez[Colonne1],"Indéterminé")&gt;0,0,1),0)</f>
        <v>0</v>
      </c>
    </row>
    <row r="200" spans="1:33" s="9" customFormat="1" x14ac:dyDescent="0.25">
      <c r="A200" s="68"/>
      <c r="B200" s="78" t="str">
        <f>Modèle!B202</f>
        <v>Formulaires</v>
      </c>
      <c r="C200" s="88" t="str">
        <f>Modèle!D202</f>
        <v>11.5.1</v>
      </c>
      <c r="D200" s="85" t="str">
        <f>Modèle!E202</f>
        <v>A</v>
      </c>
      <c r="E200" s="80">
        <f ca="1">COUNTIF(OFFSET(Synthèse!$G209,0,0,1,COUNTA(Synthèse!$10:$10)-6),"="&amp;$E$1)</f>
        <v>0</v>
      </c>
      <c r="F200" s="80">
        <f ca="1">COUNTIF(OFFSET(Synthèse!$G209,0,0,1,COUNTA(Synthèse!$10:$10)-6),"="&amp;$F$1)</f>
        <v>0</v>
      </c>
      <c r="G200" s="80">
        <f ca="1">COUNTIF(OFFSET(Synthèse!$G209,0,0,1,COUNTA(Synthèse!$10:$10)-6),"="&amp;$G$1)</f>
        <v>0</v>
      </c>
      <c r="H200" s="80">
        <f ca="1">COUNTIF(OFFSET(Synthèse!$G209,0,0,1,COUNTA(Synthèse!$10:$10)-6),"="&amp;$H$1)</f>
        <v>0</v>
      </c>
      <c r="I200" s="203">
        <f t="shared" ca="1" si="21"/>
        <v>0</v>
      </c>
      <c r="J200" s="68"/>
      <c r="K200" s="96"/>
      <c r="S200" s="68"/>
      <c r="U200" s="68"/>
      <c r="X200" s="68"/>
      <c r="AA200" s="68"/>
      <c r="AD200" s="68"/>
      <c r="AE200" s="213" t="str">
        <f t="shared" si="20"/>
        <v>10.9</v>
      </c>
      <c r="AG200" s="241">
        <f>IF(COUNTIFS(TabSynthez[Test],"="&amp;$AE86&amp;".*",TabSynthez[Colonne1],"Invalidé")&gt;0,IF(COUNTIFS(TabSynthez[Test],"="&amp;$AE86&amp;".*",TabSynthez[Colonne1],"Indéterminé")&gt;0,0,1),0)</f>
        <v>0</v>
      </c>
    </row>
    <row r="201" spans="1:33" s="9" customFormat="1" x14ac:dyDescent="0.25">
      <c r="A201" s="68"/>
      <c r="B201" s="79" t="str">
        <f>Modèle!B203</f>
        <v>Formulaires</v>
      </c>
      <c r="C201" s="89" t="str">
        <f>Modèle!D203</f>
        <v>11.6.1</v>
      </c>
      <c r="D201" s="87" t="str">
        <f>Modèle!E203</f>
        <v>A</v>
      </c>
      <c r="E201" s="179">
        <f ca="1">COUNTIF(OFFSET(Synthèse!$G210,0,0,1,COUNTA(Synthèse!$10:$10)-6),"="&amp;$E$1)</f>
        <v>0</v>
      </c>
      <c r="F201" s="179">
        <f ca="1">COUNTIF(OFFSET(Synthèse!$G210,0,0,1,COUNTA(Synthèse!$10:$10)-6),"="&amp;$F$1)</f>
        <v>0</v>
      </c>
      <c r="G201" s="179">
        <f ca="1">COUNTIF(OFFSET(Synthèse!$G210,0,0,1,COUNTA(Synthèse!$10:$10)-6),"="&amp;$G$1)</f>
        <v>0</v>
      </c>
      <c r="H201" s="179">
        <f ca="1">COUNTIF(OFFSET(Synthèse!$G210,0,0,1,COUNTA(Synthèse!$10:$10)-6),"="&amp;$H$1)</f>
        <v>0</v>
      </c>
      <c r="I201" s="203">
        <f t="shared" ca="1" si="21"/>
        <v>0</v>
      </c>
      <c r="J201" s="68"/>
      <c r="K201" s="96"/>
      <c r="S201" s="68"/>
      <c r="U201" s="68"/>
      <c r="X201" s="68"/>
      <c r="AA201" s="68"/>
      <c r="AD201" s="68"/>
      <c r="AE201" s="213" t="str">
        <f t="shared" ref="AE201:AE223" si="22">$AE87</f>
        <v>10.10</v>
      </c>
      <c r="AG201" s="241">
        <f>IF(COUNTIFS(TabSynthez[Test],"="&amp;$AE87&amp;".*",TabSynthez[Colonne1],"Invalidé")&gt;0,IF(COUNTIFS(TabSynthez[Test],"="&amp;$AE87&amp;".*",TabSynthez[Colonne1],"Indéterminé")&gt;0,0,1),0)</f>
        <v>0</v>
      </c>
    </row>
    <row r="202" spans="1:33" s="9" customFormat="1" x14ac:dyDescent="0.25">
      <c r="A202" s="68"/>
      <c r="B202" s="78" t="str">
        <f>Modèle!B204</f>
        <v>Formulaires</v>
      </c>
      <c r="C202" s="88" t="str">
        <f>Modèle!D204</f>
        <v>11.7.1</v>
      </c>
      <c r="D202" s="85" t="str">
        <f>Modèle!E204</f>
        <v>A</v>
      </c>
      <c r="E202" s="80">
        <f ca="1">COUNTIF(OFFSET(Synthèse!$G211,0,0,1,COUNTA(Synthèse!$10:$10)-6),"="&amp;$E$1)</f>
        <v>0</v>
      </c>
      <c r="F202" s="80">
        <f ca="1">COUNTIF(OFFSET(Synthèse!$G211,0,0,1,COUNTA(Synthèse!$10:$10)-6),"="&amp;$F$1)</f>
        <v>0</v>
      </c>
      <c r="G202" s="80">
        <f ca="1">COUNTIF(OFFSET(Synthèse!$G211,0,0,1,COUNTA(Synthèse!$10:$10)-6),"="&amp;$G$1)</f>
        <v>0</v>
      </c>
      <c r="H202" s="80">
        <f ca="1">COUNTIF(OFFSET(Synthèse!$G211,0,0,1,COUNTA(Synthèse!$10:$10)-6),"="&amp;$H$1)</f>
        <v>0</v>
      </c>
      <c r="I202" s="203">
        <f t="shared" ca="1" si="21"/>
        <v>0</v>
      </c>
      <c r="J202" s="68"/>
      <c r="K202" s="96"/>
      <c r="S202" s="68"/>
      <c r="U202" s="68"/>
      <c r="X202" s="68"/>
      <c r="AA202" s="68"/>
      <c r="AD202" s="68"/>
      <c r="AE202" s="213" t="str">
        <f t="shared" si="22"/>
        <v>10.11</v>
      </c>
      <c r="AG202" s="241">
        <f>IF(COUNTIFS(TabSynthez[Test],"="&amp;$AE88&amp;".*",TabSynthez[Colonne1],"Invalidé")&gt;0,IF(COUNTIFS(TabSynthez[Test],"="&amp;$AE88&amp;".*",TabSynthez[Colonne1],"Indéterminé")&gt;0,0,1),0)</f>
        <v>0</v>
      </c>
    </row>
    <row r="203" spans="1:33" s="9" customFormat="1" x14ac:dyDescent="0.25">
      <c r="A203" s="68"/>
      <c r="B203" s="79" t="str">
        <f>Modèle!B205</f>
        <v>Formulaires</v>
      </c>
      <c r="C203" s="89" t="str">
        <f>Modèle!D205</f>
        <v>11.8.1</v>
      </c>
      <c r="D203" s="87" t="str">
        <f>Modèle!E205</f>
        <v>A</v>
      </c>
      <c r="E203" s="179">
        <f ca="1">COUNTIF(OFFSET(Synthèse!$G212,0,0,1,COUNTA(Synthèse!$10:$10)-6),"="&amp;$E$1)</f>
        <v>0</v>
      </c>
      <c r="F203" s="179">
        <f ca="1">COUNTIF(OFFSET(Synthèse!$G212,0,0,1,COUNTA(Synthèse!$10:$10)-6),"="&amp;$F$1)</f>
        <v>0</v>
      </c>
      <c r="G203" s="179">
        <f ca="1">COUNTIF(OFFSET(Synthèse!$G212,0,0,1,COUNTA(Synthèse!$10:$10)-6),"="&amp;$G$1)</f>
        <v>0</v>
      </c>
      <c r="H203" s="179">
        <f ca="1">COUNTIF(OFFSET(Synthèse!$G212,0,0,1,COUNTA(Synthèse!$10:$10)-6),"="&amp;$H$1)</f>
        <v>0</v>
      </c>
      <c r="I203" s="203">
        <f t="shared" ca="1" si="21"/>
        <v>0</v>
      </c>
      <c r="J203" s="68"/>
      <c r="K203" s="96"/>
      <c r="S203" s="68"/>
      <c r="U203" s="68"/>
      <c r="X203" s="68"/>
      <c r="AA203" s="68"/>
      <c r="AD203" s="68"/>
      <c r="AE203" s="213" t="str">
        <f t="shared" si="22"/>
        <v>10.12</v>
      </c>
      <c r="AG203" s="241">
        <f>IF(COUNTIFS(TabSynthez[Test],"="&amp;$AE89&amp;".*",TabSynthez[Colonne1],"Invalidé")&gt;0,IF(COUNTIFS(TabSynthez[Test],"="&amp;$AE89&amp;".*",TabSynthez[Colonne1],"Indéterminé")&gt;0,0,1),0)</f>
        <v>0</v>
      </c>
    </row>
    <row r="204" spans="1:33" s="9" customFormat="1" x14ac:dyDescent="0.25">
      <c r="A204" s="68"/>
      <c r="B204" s="79" t="str">
        <f>Modèle!B206</f>
        <v>Formulaires</v>
      </c>
      <c r="C204" s="89" t="str">
        <f>Modèle!D206</f>
        <v>11.8.2</v>
      </c>
      <c r="D204" s="87" t="str">
        <f>Modèle!E206</f>
        <v>A</v>
      </c>
      <c r="E204" s="179">
        <f ca="1">COUNTIF(OFFSET(Synthèse!$G213,0,0,1,COUNTA(Synthèse!$10:$10)-6),"="&amp;$E$1)</f>
        <v>0</v>
      </c>
      <c r="F204" s="179">
        <f ca="1">COUNTIF(OFFSET(Synthèse!$G213,0,0,1,COUNTA(Synthèse!$10:$10)-6),"="&amp;$F$1)</f>
        <v>0</v>
      </c>
      <c r="G204" s="179">
        <f ca="1">COUNTIF(OFFSET(Synthèse!$G213,0,0,1,COUNTA(Synthèse!$10:$10)-6),"="&amp;$G$1)</f>
        <v>0</v>
      </c>
      <c r="H204" s="179">
        <f ca="1">COUNTIF(OFFSET(Synthèse!$G213,0,0,1,COUNTA(Synthèse!$10:$10)-6),"="&amp;$H$1)</f>
        <v>0</v>
      </c>
      <c r="I204" s="203">
        <f t="shared" ca="1" si="21"/>
        <v>0</v>
      </c>
      <c r="J204" s="68"/>
      <c r="K204" s="96"/>
      <c r="S204" s="68"/>
      <c r="U204" s="68"/>
      <c r="X204" s="68"/>
      <c r="AA204" s="68"/>
      <c r="AD204" s="68"/>
      <c r="AE204" s="213" t="str">
        <f t="shared" si="22"/>
        <v>10.13</v>
      </c>
      <c r="AG204" s="241">
        <f>IF(COUNTIFS(TabSynthez[Test],"="&amp;$AE90&amp;".*",TabSynthez[Colonne1],"Invalidé")&gt;0,IF(COUNTIFS(TabSynthez[Test],"="&amp;$AE90&amp;".*",TabSynthez[Colonne1],"Indéterminé")&gt;0,0,1),0)</f>
        <v>0</v>
      </c>
    </row>
    <row r="205" spans="1:33" s="9" customFormat="1" x14ac:dyDescent="0.25">
      <c r="A205" s="68"/>
      <c r="B205" s="79" t="str">
        <f>Modèle!B207</f>
        <v>Formulaires</v>
      </c>
      <c r="C205" s="89" t="str">
        <f>Modèle!D207</f>
        <v>11.8.3</v>
      </c>
      <c r="D205" s="87" t="str">
        <f>Modèle!E207</f>
        <v>A</v>
      </c>
      <c r="E205" s="179">
        <f ca="1">COUNTIF(OFFSET(Synthèse!$G214,0,0,1,COUNTA(Synthèse!$10:$10)-6),"="&amp;$E$1)</f>
        <v>0</v>
      </c>
      <c r="F205" s="179">
        <f ca="1">COUNTIF(OFFSET(Synthèse!$G214,0,0,1,COUNTA(Synthèse!$10:$10)-6),"="&amp;$F$1)</f>
        <v>0</v>
      </c>
      <c r="G205" s="179">
        <f ca="1">COUNTIF(OFFSET(Synthèse!$G214,0,0,1,COUNTA(Synthèse!$10:$10)-6),"="&amp;$G$1)</f>
        <v>0</v>
      </c>
      <c r="H205" s="179">
        <f ca="1">COUNTIF(OFFSET(Synthèse!$G214,0,0,1,COUNTA(Synthèse!$10:$10)-6),"="&amp;$H$1)</f>
        <v>0</v>
      </c>
      <c r="I205" s="203">
        <f t="shared" ca="1" si="21"/>
        <v>0</v>
      </c>
      <c r="J205" s="68"/>
      <c r="K205" s="96"/>
      <c r="S205" s="68"/>
      <c r="U205" s="68"/>
      <c r="X205" s="68"/>
      <c r="AA205" s="68"/>
      <c r="AD205" s="68"/>
      <c r="AE205" s="213" t="str">
        <f t="shared" si="22"/>
        <v>10.14</v>
      </c>
      <c r="AG205" s="241">
        <f>IF(COUNTIFS(TabSynthez[Test],"="&amp;$AE91&amp;".*",TabSynthez[Colonne1],"Invalidé")&gt;0,IF(COUNTIFS(TabSynthez[Test],"="&amp;$AE91&amp;".*",TabSynthez[Colonne1],"Indéterminé")&gt;0,0,1),0)</f>
        <v>0</v>
      </c>
    </row>
    <row r="206" spans="1:33" s="9" customFormat="1" x14ac:dyDescent="0.25">
      <c r="A206" s="68"/>
      <c r="B206" s="78" t="str">
        <f>Modèle!B208</f>
        <v>Formulaires</v>
      </c>
      <c r="C206" s="88" t="str">
        <f>Modèle!D208</f>
        <v>11.9.1</v>
      </c>
      <c r="D206" s="85" t="str">
        <f>Modèle!E208</f>
        <v>A</v>
      </c>
      <c r="E206" s="80">
        <f ca="1">COUNTIF(OFFSET(Synthèse!$G215,0,0,1,COUNTA(Synthèse!$10:$10)-6),"="&amp;$E$1)</f>
        <v>0</v>
      </c>
      <c r="F206" s="80">
        <f ca="1">COUNTIF(OFFSET(Synthèse!$G215,0,0,1,COUNTA(Synthèse!$10:$10)-6),"="&amp;$F$1)</f>
        <v>0</v>
      </c>
      <c r="G206" s="80">
        <f ca="1">COUNTIF(OFFSET(Synthèse!$G215,0,0,1,COUNTA(Synthèse!$10:$10)-6),"="&amp;$G$1)</f>
        <v>0</v>
      </c>
      <c r="H206" s="80">
        <f ca="1">COUNTIF(OFFSET(Synthèse!$G215,0,0,1,COUNTA(Synthèse!$10:$10)-6),"="&amp;$H$1)</f>
        <v>0</v>
      </c>
      <c r="I206" s="203">
        <f t="shared" ca="1" si="21"/>
        <v>0</v>
      </c>
      <c r="J206" s="68"/>
      <c r="K206" s="96"/>
      <c r="S206" s="68"/>
      <c r="U206" s="68"/>
      <c r="X206" s="68"/>
      <c r="AA206" s="68"/>
      <c r="AD206" s="68"/>
      <c r="AE206" s="213" t="str">
        <f t="shared" si="22"/>
        <v>11.1</v>
      </c>
      <c r="AG206" s="241">
        <f>IF(COUNTIFS(TabSynthez[Test],"="&amp;$AE92&amp;".*",TabSynthez[Colonne1],"Invalidé")&gt;0,IF(COUNTIFS(TabSynthez[Test],"="&amp;$AE92&amp;".*",TabSynthez[Colonne1],"Indéterminé")&gt;0,0,1),0)</f>
        <v>0</v>
      </c>
    </row>
    <row r="207" spans="1:33" s="9" customFormat="1" x14ac:dyDescent="0.25">
      <c r="A207" s="68"/>
      <c r="B207" s="78" t="str">
        <f>Modèle!B209</f>
        <v>Formulaires</v>
      </c>
      <c r="C207" s="88" t="str">
        <f>Modèle!D209</f>
        <v>11.9.2</v>
      </c>
      <c r="D207" s="85" t="str">
        <f>Modèle!E209</f>
        <v>A</v>
      </c>
      <c r="E207" s="80">
        <f ca="1">COUNTIF(OFFSET(Synthèse!$G216,0,0,1,COUNTA(Synthèse!$10:$10)-6),"="&amp;$E$1)</f>
        <v>0</v>
      </c>
      <c r="F207" s="80">
        <f ca="1">COUNTIF(OFFSET(Synthèse!$G216,0,0,1,COUNTA(Synthèse!$10:$10)-6),"="&amp;$F$1)</f>
        <v>0</v>
      </c>
      <c r="G207" s="80">
        <f ca="1">COUNTIF(OFFSET(Synthèse!$G216,0,0,1,COUNTA(Synthèse!$10:$10)-6),"="&amp;$G$1)</f>
        <v>0</v>
      </c>
      <c r="H207" s="80">
        <f ca="1">COUNTIF(OFFSET(Synthèse!$G216,0,0,1,COUNTA(Synthèse!$10:$10)-6),"="&amp;$H$1)</f>
        <v>0</v>
      </c>
      <c r="I207" s="203">
        <f t="shared" ca="1" si="21"/>
        <v>0</v>
      </c>
      <c r="J207" s="68"/>
      <c r="K207" s="96"/>
      <c r="S207" s="68"/>
      <c r="U207" s="68"/>
      <c r="X207" s="68"/>
      <c r="AA207" s="68"/>
      <c r="AD207" s="68"/>
      <c r="AE207" s="213" t="str">
        <f t="shared" si="22"/>
        <v>11.2</v>
      </c>
      <c r="AG207" s="241">
        <f>IF(COUNTIFS(TabSynthez[Test],"="&amp;$AE93&amp;".*",TabSynthez[Colonne1],"Invalidé")&gt;0,IF(COUNTIFS(TabSynthez[Test],"="&amp;$AE93&amp;".*",TabSynthez[Colonne1],"Indéterminé")&gt;0,0,1),0)</f>
        <v>0</v>
      </c>
    </row>
    <row r="208" spans="1:33" s="9" customFormat="1" x14ac:dyDescent="0.25">
      <c r="A208" s="68"/>
      <c r="B208" s="79" t="str">
        <f>Modèle!B210</f>
        <v>Formulaires</v>
      </c>
      <c r="C208" s="89" t="str">
        <f>Modèle!D210</f>
        <v>11.10.1</v>
      </c>
      <c r="D208" s="87" t="str">
        <f>Modèle!E210</f>
        <v>A</v>
      </c>
      <c r="E208" s="179">
        <f ca="1">COUNTIF(OFFSET(Synthèse!$G217,0,0,1,COUNTA(Synthèse!$10:$10)-6),"="&amp;$E$1)</f>
        <v>0</v>
      </c>
      <c r="F208" s="179">
        <f ca="1">COUNTIF(OFFSET(Synthèse!$G217,0,0,1,COUNTA(Synthèse!$10:$10)-6),"="&amp;$F$1)</f>
        <v>0</v>
      </c>
      <c r="G208" s="179">
        <f ca="1">COUNTIF(OFFSET(Synthèse!$G217,0,0,1,COUNTA(Synthèse!$10:$10)-6),"="&amp;$G$1)</f>
        <v>0</v>
      </c>
      <c r="H208" s="179">
        <f ca="1">COUNTIF(OFFSET(Synthèse!$G217,0,0,1,COUNTA(Synthèse!$10:$10)-6),"="&amp;$H$1)</f>
        <v>0</v>
      </c>
      <c r="I208" s="203">
        <f t="shared" ca="1" si="21"/>
        <v>0</v>
      </c>
      <c r="J208" s="68"/>
      <c r="K208" s="96"/>
      <c r="S208" s="68"/>
      <c r="U208" s="68"/>
      <c r="X208" s="68"/>
      <c r="AA208" s="68"/>
      <c r="AD208" s="68"/>
      <c r="AE208" s="213" t="str">
        <f t="shared" si="22"/>
        <v>11.3</v>
      </c>
      <c r="AG208" s="241">
        <f>IF(COUNTIFS(TabSynthez[Test],"="&amp;$AE94&amp;".*",TabSynthez[Colonne1],"Invalidé")&gt;0,IF(COUNTIFS(TabSynthez[Test],"="&amp;$AE94&amp;".*",TabSynthez[Colonne1],"Indéterminé")&gt;0,0,1),0)</f>
        <v>0</v>
      </c>
    </row>
    <row r="209" spans="1:33" s="9" customFormat="1" x14ac:dyDescent="0.25">
      <c r="A209" s="68"/>
      <c r="B209" s="79" t="str">
        <f>Modèle!B211</f>
        <v>Formulaires</v>
      </c>
      <c r="C209" s="89" t="str">
        <f>Modèle!D211</f>
        <v>11.10.2</v>
      </c>
      <c r="D209" s="87" t="str">
        <f>Modèle!E211</f>
        <v>A</v>
      </c>
      <c r="E209" s="179">
        <f ca="1">COUNTIF(OFFSET(Synthèse!$G218,0,0,1,COUNTA(Synthèse!$10:$10)-6),"="&amp;$E$1)</f>
        <v>0</v>
      </c>
      <c r="F209" s="179">
        <f ca="1">COUNTIF(OFFSET(Synthèse!$G218,0,0,1,COUNTA(Synthèse!$10:$10)-6),"="&amp;$F$1)</f>
        <v>0</v>
      </c>
      <c r="G209" s="179">
        <f ca="1">COUNTIF(OFFSET(Synthèse!$G218,0,0,1,COUNTA(Synthèse!$10:$10)-6),"="&amp;$G$1)</f>
        <v>0</v>
      </c>
      <c r="H209" s="179">
        <f ca="1">COUNTIF(OFFSET(Synthèse!$G218,0,0,1,COUNTA(Synthèse!$10:$10)-6),"="&amp;$H$1)</f>
        <v>0</v>
      </c>
      <c r="I209" s="203">
        <f t="shared" ca="1" si="21"/>
        <v>0</v>
      </c>
      <c r="J209" s="68"/>
      <c r="K209" s="96"/>
      <c r="S209" s="68"/>
      <c r="U209" s="68"/>
      <c r="X209" s="68"/>
      <c r="AA209" s="68"/>
      <c r="AD209" s="68"/>
      <c r="AE209" s="213" t="str">
        <f t="shared" si="22"/>
        <v>11.4</v>
      </c>
      <c r="AG209" s="241">
        <f>IF(COUNTIFS(TabSynthez[Test],"="&amp;$AE95&amp;".*",TabSynthez[Colonne1],"Invalidé")&gt;0,IF(COUNTIFS(TabSynthez[Test],"="&amp;$AE95&amp;".*",TabSynthez[Colonne1],"Indéterminé")&gt;0,0,1),0)</f>
        <v>0</v>
      </c>
    </row>
    <row r="210" spans="1:33" s="9" customFormat="1" x14ac:dyDescent="0.25">
      <c r="A210" s="68"/>
      <c r="B210" s="79" t="str">
        <f>Modèle!B212</f>
        <v>Formulaires</v>
      </c>
      <c r="C210" s="89" t="str">
        <f>Modèle!D212</f>
        <v>11.10.3</v>
      </c>
      <c r="D210" s="87" t="str">
        <f>Modèle!E212</f>
        <v>A</v>
      </c>
      <c r="E210" s="179">
        <f ca="1">COUNTIF(OFFSET(Synthèse!$G219,0,0,1,COUNTA(Synthèse!$10:$10)-6),"="&amp;$E$1)</f>
        <v>0</v>
      </c>
      <c r="F210" s="179">
        <f ca="1">COUNTIF(OFFSET(Synthèse!$G219,0,0,1,COUNTA(Synthèse!$10:$10)-6),"="&amp;$F$1)</f>
        <v>0</v>
      </c>
      <c r="G210" s="179">
        <f ca="1">COUNTIF(OFFSET(Synthèse!$G219,0,0,1,COUNTA(Synthèse!$10:$10)-6),"="&amp;$G$1)</f>
        <v>0</v>
      </c>
      <c r="H210" s="179">
        <f ca="1">COUNTIF(OFFSET(Synthèse!$G219,0,0,1,COUNTA(Synthèse!$10:$10)-6),"="&amp;$H$1)</f>
        <v>0</v>
      </c>
      <c r="I210" s="203">
        <f t="shared" ca="1" si="21"/>
        <v>0</v>
      </c>
      <c r="J210" s="68"/>
      <c r="K210" s="96"/>
      <c r="S210" s="68"/>
      <c r="U210" s="68"/>
      <c r="X210" s="68"/>
      <c r="AA210" s="68"/>
      <c r="AD210" s="68"/>
      <c r="AE210" s="213" t="str">
        <f t="shared" si="22"/>
        <v>11.5</v>
      </c>
      <c r="AG210" s="241">
        <f>IF(COUNTIFS(TabSynthez[Test],"="&amp;$AE96&amp;".*",TabSynthez[Colonne1],"Invalidé")&gt;0,IF(COUNTIFS(TabSynthez[Test],"="&amp;$AE96&amp;".*",TabSynthez[Colonne1],"Indéterminé")&gt;0,0,1),0)</f>
        <v>0</v>
      </c>
    </row>
    <row r="211" spans="1:33" s="9" customFormat="1" x14ac:dyDescent="0.25">
      <c r="A211" s="68"/>
      <c r="B211" s="79" t="str">
        <f>Modèle!B213</f>
        <v>Formulaires</v>
      </c>
      <c r="C211" s="89" t="str">
        <f>Modèle!D213</f>
        <v>11.10.4</v>
      </c>
      <c r="D211" s="87" t="str">
        <f>Modèle!E213</f>
        <v>A</v>
      </c>
      <c r="E211" s="179">
        <f ca="1">COUNTIF(OFFSET(Synthèse!$G220,0,0,1,COUNTA(Synthèse!$10:$10)-6),"="&amp;$E$1)</f>
        <v>0</v>
      </c>
      <c r="F211" s="179">
        <f ca="1">COUNTIF(OFFSET(Synthèse!$G220,0,0,1,COUNTA(Synthèse!$10:$10)-6),"="&amp;$F$1)</f>
        <v>0</v>
      </c>
      <c r="G211" s="179">
        <f ca="1">COUNTIF(OFFSET(Synthèse!$G220,0,0,1,COUNTA(Synthèse!$10:$10)-6),"="&amp;$G$1)</f>
        <v>0</v>
      </c>
      <c r="H211" s="179">
        <f ca="1">COUNTIF(OFFSET(Synthèse!$G220,0,0,1,COUNTA(Synthèse!$10:$10)-6),"="&amp;$H$1)</f>
        <v>0</v>
      </c>
      <c r="I211" s="203">
        <f t="shared" ca="1" si="21"/>
        <v>0</v>
      </c>
      <c r="J211" s="68"/>
      <c r="K211" s="96"/>
      <c r="S211" s="68"/>
      <c r="U211" s="68"/>
      <c r="X211" s="68"/>
      <c r="AA211" s="68"/>
      <c r="AD211" s="68"/>
      <c r="AE211" s="213" t="str">
        <f t="shared" si="22"/>
        <v>11.6</v>
      </c>
      <c r="AG211" s="241">
        <f>IF(COUNTIFS(TabSynthez[Test],"="&amp;$AE97&amp;".*",TabSynthez[Colonne1],"Invalidé")&gt;0,IF(COUNTIFS(TabSynthez[Test],"="&amp;$AE97&amp;".*",TabSynthez[Colonne1],"Indéterminé")&gt;0,0,1),0)</f>
        <v>0</v>
      </c>
    </row>
    <row r="212" spans="1:33" s="9" customFormat="1" x14ac:dyDescent="0.25">
      <c r="A212" s="68"/>
      <c r="B212" s="79" t="str">
        <f>Modèle!B214</f>
        <v>Formulaires</v>
      </c>
      <c r="C212" s="89" t="str">
        <f>Modèle!D214</f>
        <v>11.10.5</v>
      </c>
      <c r="D212" s="87" t="str">
        <f>Modèle!E214</f>
        <v>A</v>
      </c>
      <c r="E212" s="179">
        <f ca="1">COUNTIF(OFFSET(Synthèse!$G221,0,0,1,COUNTA(Synthèse!$10:$10)-6),"="&amp;$E$1)</f>
        <v>0</v>
      </c>
      <c r="F212" s="179">
        <f ca="1">COUNTIF(OFFSET(Synthèse!$G221,0,0,1,COUNTA(Synthèse!$10:$10)-6),"="&amp;$F$1)</f>
        <v>0</v>
      </c>
      <c r="G212" s="179">
        <f ca="1">COUNTIF(OFFSET(Synthèse!$G221,0,0,1,COUNTA(Synthèse!$10:$10)-6),"="&amp;$G$1)</f>
        <v>0</v>
      </c>
      <c r="H212" s="179">
        <f ca="1">COUNTIF(OFFSET(Synthèse!$G221,0,0,1,COUNTA(Synthèse!$10:$10)-6),"="&amp;$H$1)</f>
        <v>0</v>
      </c>
      <c r="I212" s="203">
        <f t="shared" ca="1" si="21"/>
        <v>0</v>
      </c>
      <c r="J212" s="68"/>
      <c r="K212" s="96"/>
      <c r="S212" s="68"/>
      <c r="U212" s="68"/>
      <c r="X212" s="68"/>
      <c r="AA212" s="68"/>
      <c r="AD212" s="68"/>
      <c r="AE212" s="213" t="str">
        <f t="shared" si="22"/>
        <v>11.7</v>
      </c>
      <c r="AG212" s="241">
        <f>IF(COUNTIFS(TabSynthez[Test],"="&amp;$AE98&amp;".*",TabSynthez[Colonne1],"Invalidé")&gt;0,IF(COUNTIFS(TabSynthez[Test],"="&amp;$AE98&amp;".*",TabSynthez[Colonne1],"Indéterminé")&gt;0,0,1),0)</f>
        <v>0</v>
      </c>
    </row>
    <row r="213" spans="1:33" s="9" customFormat="1" x14ac:dyDescent="0.25">
      <c r="A213" s="68"/>
      <c r="B213" s="79" t="str">
        <f>Modèle!B215</f>
        <v>Formulaires</v>
      </c>
      <c r="C213" s="89" t="str">
        <f>Modèle!D215</f>
        <v>11.10.6</v>
      </c>
      <c r="D213" s="87" t="str">
        <f>Modèle!E215</f>
        <v>A</v>
      </c>
      <c r="E213" s="179">
        <f ca="1">COUNTIF(OFFSET(Synthèse!$G222,0,0,1,COUNTA(Synthèse!$10:$10)-6),"="&amp;$E$1)</f>
        <v>0</v>
      </c>
      <c r="F213" s="179">
        <f ca="1">COUNTIF(OFFSET(Synthèse!$G222,0,0,1,COUNTA(Synthèse!$10:$10)-6),"="&amp;$F$1)</f>
        <v>0</v>
      </c>
      <c r="G213" s="179">
        <f ca="1">COUNTIF(OFFSET(Synthèse!$G222,0,0,1,COUNTA(Synthèse!$10:$10)-6),"="&amp;$G$1)</f>
        <v>0</v>
      </c>
      <c r="H213" s="179">
        <f ca="1">COUNTIF(OFFSET(Synthèse!$G222,0,0,1,COUNTA(Synthèse!$10:$10)-6),"="&amp;$H$1)</f>
        <v>0</v>
      </c>
      <c r="I213" s="203">
        <f t="shared" ca="1" si="21"/>
        <v>0</v>
      </c>
      <c r="J213" s="68"/>
      <c r="K213" s="96"/>
      <c r="S213" s="68"/>
      <c r="U213" s="68"/>
      <c r="X213" s="68"/>
      <c r="AA213" s="68"/>
      <c r="AD213" s="68"/>
      <c r="AE213" s="213" t="str">
        <f t="shared" si="22"/>
        <v>11.8</v>
      </c>
      <c r="AG213" s="241">
        <f>IF(COUNTIFS(TabSynthez[Test],"="&amp;$AE99&amp;".*",TabSynthez[Colonne1],"Invalidé")&gt;0,IF(COUNTIFS(TabSynthez[Test],"="&amp;$AE99&amp;".*",TabSynthez[Colonne1],"Indéterminé")&gt;0,0,1),0)</f>
        <v>0</v>
      </c>
    </row>
    <row r="214" spans="1:33" s="9" customFormat="1" x14ac:dyDescent="0.25">
      <c r="A214" s="68"/>
      <c r="B214" s="79" t="str">
        <f>Modèle!B216</f>
        <v>Formulaires</v>
      </c>
      <c r="C214" s="89" t="str">
        <f>Modèle!D216</f>
        <v>11.10.7</v>
      </c>
      <c r="D214" s="87" t="str">
        <f>Modèle!E216</f>
        <v>A</v>
      </c>
      <c r="E214" s="179">
        <f ca="1">COUNTIF(OFFSET(Synthèse!$G223,0,0,1,COUNTA(Synthèse!$10:$10)-6),"="&amp;$E$1)</f>
        <v>0</v>
      </c>
      <c r="F214" s="179">
        <f ca="1">COUNTIF(OFFSET(Synthèse!$G223,0,0,1,COUNTA(Synthèse!$10:$10)-6),"="&amp;$F$1)</f>
        <v>0</v>
      </c>
      <c r="G214" s="179">
        <f ca="1">COUNTIF(OFFSET(Synthèse!$G223,0,0,1,COUNTA(Synthèse!$10:$10)-6),"="&amp;$G$1)</f>
        <v>0</v>
      </c>
      <c r="H214" s="179">
        <f ca="1">COUNTIF(OFFSET(Synthèse!$G223,0,0,1,COUNTA(Synthèse!$10:$10)-6),"="&amp;$H$1)</f>
        <v>0</v>
      </c>
      <c r="I214" s="203">
        <f t="shared" ca="1" si="21"/>
        <v>0</v>
      </c>
      <c r="J214" s="68"/>
      <c r="K214" s="96"/>
      <c r="S214" s="68"/>
      <c r="U214" s="68"/>
      <c r="X214" s="68"/>
      <c r="AA214" s="68"/>
      <c r="AD214" s="68"/>
      <c r="AE214" s="213" t="str">
        <f t="shared" si="22"/>
        <v>11.9</v>
      </c>
      <c r="AG214" s="241">
        <f>IF(COUNTIFS(TabSynthez[Test],"="&amp;$AE100&amp;".*",TabSynthez[Colonne1],"Invalidé")&gt;0,IF(COUNTIFS(TabSynthez[Test],"="&amp;$AE100&amp;".*",TabSynthez[Colonne1],"Indéterminé")&gt;0,0,1),0)</f>
        <v>0</v>
      </c>
    </row>
    <row r="215" spans="1:33" s="9" customFormat="1" x14ac:dyDescent="0.25">
      <c r="A215" s="68"/>
      <c r="B215" s="78" t="str">
        <f>Modèle!B217</f>
        <v>Formulaires</v>
      </c>
      <c r="C215" s="88" t="str">
        <f>Modèle!D217</f>
        <v>11.11.1</v>
      </c>
      <c r="D215" s="85" t="str">
        <f>Modèle!E217</f>
        <v>AA</v>
      </c>
      <c r="E215" s="80">
        <f ca="1">COUNTIF(OFFSET(Synthèse!$G224,0,0,1,COUNTA(Synthèse!$10:$10)-6),"="&amp;$E$1)</f>
        <v>0</v>
      </c>
      <c r="F215" s="80">
        <f ca="1">COUNTIF(OFFSET(Synthèse!$G224,0,0,1,COUNTA(Synthèse!$10:$10)-6),"="&amp;$F$1)</f>
        <v>0</v>
      </c>
      <c r="G215" s="80">
        <f ca="1">COUNTIF(OFFSET(Synthèse!$G224,0,0,1,COUNTA(Synthèse!$10:$10)-6),"="&amp;$G$1)</f>
        <v>0</v>
      </c>
      <c r="H215" s="80">
        <f ca="1">COUNTIF(OFFSET(Synthèse!$G224,0,0,1,COUNTA(Synthèse!$10:$10)-6),"="&amp;$H$1)</f>
        <v>0</v>
      </c>
      <c r="I215" s="203">
        <f t="shared" ca="1" si="21"/>
        <v>0</v>
      </c>
      <c r="J215" s="68"/>
      <c r="K215" s="96"/>
      <c r="S215" s="68"/>
      <c r="U215" s="68"/>
      <c r="X215" s="68"/>
      <c r="AA215" s="68"/>
      <c r="AD215" s="68"/>
      <c r="AE215" s="213" t="str">
        <f t="shared" si="22"/>
        <v>11.10</v>
      </c>
      <c r="AG215" s="241">
        <f>IF(COUNTIFS(TabSynthez[Test],"="&amp;$AE101&amp;".*",TabSynthez[Colonne1],"Invalidé")&gt;0,IF(COUNTIFS(TabSynthez[Test],"="&amp;$AE101&amp;".*",TabSynthez[Colonne1],"Indéterminé")&gt;0,0,1),0)</f>
        <v>0</v>
      </c>
    </row>
    <row r="216" spans="1:33" s="9" customFormat="1" x14ac:dyDescent="0.25">
      <c r="A216" s="68"/>
      <c r="B216" s="78" t="str">
        <f>Modèle!B218</f>
        <v>Formulaires</v>
      </c>
      <c r="C216" s="88" t="str">
        <f>Modèle!D218</f>
        <v>11.11.2</v>
      </c>
      <c r="D216" s="85" t="str">
        <f>Modèle!E218</f>
        <v>AA</v>
      </c>
      <c r="E216" s="80">
        <f ca="1">COUNTIF(OFFSET(Synthèse!$G225,0,0,1,COUNTA(Synthèse!$10:$10)-6),"="&amp;$E$1)</f>
        <v>0</v>
      </c>
      <c r="F216" s="80">
        <f ca="1">COUNTIF(OFFSET(Synthèse!$G225,0,0,1,COUNTA(Synthèse!$10:$10)-6),"="&amp;$F$1)</f>
        <v>0</v>
      </c>
      <c r="G216" s="80">
        <f ca="1">COUNTIF(OFFSET(Synthèse!$G225,0,0,1,COUNTA(Synthèse!$10:$10)-6),"="&amp;$G$1)</f>
        <v>0</v>
      </c>
      <c r="H216" s="80">
        <f ca="1">COUNTIF(OFFSET(Synthèse!$G225,0,0,1,COUNTA(Synthèse!$10:$10)-6),"="&amp;$H$1)</f>
        <v>0</v>
      </c>
      <c r="I216" s="203">
        <f t="shared" ca="1" si="21"/>
        <v>0</v>
      </c>
      <c r="J216" s="68"/>
      <c r="K216" s="96"/>
      <c r="S216" s="68"/>
      <c r="U216" s="68"/>
      <c r="X216" s="68"/>
      <c r="AA216" s="68"/>
      <c r="AD216" s="68"/>
      <c r="AE216" s="213" t="str">
        <f t="shared" si="22"/>
        <v>11.11</v>
      </c>
      <c r="AG216" s="241">
        <f>IF(COUNTIFS(TabSynthez[Test],"="&amp;$AE102&amp;".*",TabSynthez[Colonne1],"Invalidé")&gt;0,IF(COUNTIFS(TabSynthez[Test],"="&amp;$AE102&amp;".*",TabSynthez[Colonne1],"Indéterminé")&gt;0,0,1),0)</f>
        <v>0</v>
      </c>
    </row>
    <row r="217" spans="1:33" s="9" customFormat="1" x14ac:dyDescent="0.25">
      <c r="A217" s="68"/>
      <c r="B217" s="79" t="str">
        <f>Modèle!B219</f>
        <v>Formulaires</v>
      </c>
      <c r="C217" s="89" t="str">
        <f>Modèle!D219</f>
        <v>11.12.1</v>
      </c>
      <c r="D217" s="87" t="str">
        <f>Modèle!E219</f>
        <v>AA</v>
      </c>
      <c r="E217" s="179">
        <f ca="1">COUNTIF(OFFSET(Synthèse!$G226,0,0,1,COUNTA(Synthèse!$10:$10)-6),"="&amp;$E$1)</f>
        <v>0</v>
      </c>
      <c r="F217" s="179">
        <f ca="1">COUNTIF(OFFSET(Synthèse!$G226,0,0,1,COUNTA(Synthèse!$10:$10)-6),"="&amp;$F$1)</f>
        <v>0</v>
      </c>
      <c r="G217" s="179">
        <f ca="1">COUNTIF(OFFSET(Synthèse!$G226,0,0,1,COUNTA(Synthèse!$10:$10)-6),"="&amp;$G$1)</f>
        <v>0</v>
      </c>
      <c r="H217" s="179">
        <f ca="1">COUNTIF(OFFSET(Synthèse!$G226,0,0,1,COUNTA(Synthèse!$10:$10)-6),"="&amp;$H$1)</f>
        <v>0</v>
      </c>
      <c r="I217" s="203">
        <f t="shared" ca="1" si="21"/>
        <v>0</v>
      </c>
      <c r="J217" s="68"/>
      <c r="K217" s="96"/>
      <c r="S217" s="68"/>
      <c r="U217" s="68"/>
      <c r="X217" s="68"/>
      <c r="AA217" s="68"/>
      <c r="AD217" s="68"/>
      <c r="AE217" s="213" t="str">
        <f t="shared" si="22"/>
        <v>11.12</v>
      </c>
      <c r="AG217" s="241">
        <f>IF(COUNTIFS(TabSynthez[Test],"="&amp;$AE103&amp;".*",TabSynthez[Colonne1],"Invalidé")&gt;0,IF(COUNTIFS(TabSynthez[Test],"="&amp;$AE103&amp;".*",TabSynthez[Colonne1],"Indéterminé")&gt;0,0,1),0)</f>
        <v>0</v>
      </c>
    </row>
    <row r="218" spans="1:33" s="9" customFormat="1" x14ac:dyDescent="0.25">
      <c r="A218" s="68"/>
      <c r="B218" s="79" t="str">
        <f>Modèle!B220</f>
        <v>Formulaires</v>
      </c>
      <c r="C218" s="89" t="str">
        <f>Modèle!D220</f>
        <v>11.12.2</v>
      </c>
      <c r="D218" s="87" t="str">
        <f>Modèle!E220</f>
        <v>AA</v>
      </c>
      <c r="E218" s="179">
        <f ca="1">COUNTIF(OFFSET(Synthèse!$G227,0,0,1,COUNTA(Synthèse!$10:$10)-6),"="&amp;$E$1)</f>
        <v>0</v>
      </c>
      <c r="F218" s="179">
        <f ca="1">COUNTIF(OFFSET(Synthèse!$G227,0,0,1,COUNTA(Synthèse!$10:$10)-6),"="&amp;$F$1)</f>
        <v>0</v>
      </c>
      <c r="G218" s="179">
        <f ca="1">COUNTIF(OFFSET(Synthèse!$G227,0,0,1,COUNTA(Synthèse!$10:$10)-6),"="&amp;$G$1)</f>
        <v>0</v>
      </c>
      <c r="H218" s="179">
        <f ca="1">COUNTIF(OFFSET(Synthèse!$G227,0,0,1,COUNTA(Synthèse!$10:$10)-6),"="&amp;$H$1)</f>
        <v>0</v>
      </c>
      <c r="I218" s="203">
        <f t="shared" ca="1" si="21"/>
        <v>0</v>
      </c>
      <c r="J218" s="68"/>
      <c r="K218" s="96"/>
      <c r="S218" s="68"/>
      <c r="U218" s="68"/>
      <c r="X218" s="68"/>
      <c r="AA218" s="68"/>
      <c r="AD218" s="68"/>
      <c r="AE218" s="213" t="str">
        <f t="shared" si="22"/>
        <v>11.13</v>
      </c>
      <c r="AG218" s="241">
        <f>IF(COUNTIFS(TabSynthez[Test],"="&amp;$AE104&amp;".*",TabSynthez[Colonne1],"Invalidé")&gt;0,IF(COUNTIFS(TabSynthez[Test],"="&amp;$AE104&amp;".*",TabSynthez[Colonne1],"Indéterminé")&gt;0,0,1),0)</f>
        <v>0</v>
      </c>
    </row>
    <row r="219" spans="1:33" s="9" customFormat="1" x14ac:dyDescent="0.25">
      <c r="A219" s="68"/>
      <c r="B219" s="78" t="str">
        <f>Modèle!B221</f>
        <v>Formulaires</v>
      </c>
      <c r="C219" s="88" t="str">
        <f>Modèle!D221</f>
        <v>11.13.1</v>
      </c>
      <c r="D219" s="85" t="str">
        <f>Modèle!E221</f>
        <v>AA</v>
      </c>
      <c r="E219" s="80">
        <f ca="1">COUNTIF(OFFSET(Synthèse!$G228,0,0,1,COUNTA(Synthèse!$10:$10)-6),"="&amp;$E$1)</f>
        <v>0</v>
      </c>
      <c r="F219" s="80">
        <f ca="1">COUNTIF(OFFSET(Synthèse!$G228,0,0,1,COUNTA(Synthèse!$10:$10)-6),"="&amp;$F$1)</f>
        <v>0</v>
      </c>
      <c r="G219" s="80">
        <f ca="1">COUNTIF(OFFSET(Synthèse!$G228,0,0,1,COUNTA(Synthèse!$10:$10)-6),"="&amp;$G$1)</f>
        <v>0</v>
      </c>
      <c r="H219" s="80">
        <f ca="1">COUNTIF(OFFSET(Synthèse!$G228,0,0,1,COUNTA(Synthèse!$10:$10)-6),"="&amp;$H$1)</f>
        <v>0</v>
      </c>
      <c r="I219" s="203">
        <f t="shared" ca="1" si="21"/>
        <v>0</v>
      </c>
      <c r="J219" s="68"/>
      <c r="K219" s="96"/>
      <c r="S219" s="68"/>
      <c r="U219" s="68"/>
      <c r="X219" s="68"/>
      <c r="AA219" s="68"/>
      <c r="AD219" s="68"/>
      <c r="AE219" s="213" t="str">
        <f t="shared" si="22"/>
        <v>12.1</v>
      </c>
      <c r="AG219" s="241">
        <f>IF(COUNTIFS(TabSynthez[Test],"="&amp;$AE105&amp;".*",TabSynthez[Colonne1],"Invalidé")&gt;0,IF(COUNTIFS(TabSynthez[Test],"="&amp;$AE105&amp;".*",TabSynthez[Colonne1],"Indéterminé")&gt;0,0,1),0)</f>
        <v>0</v>
      </c>
    </row>
    <row r="220" spans="1:33" s="9" customFormat="1" x14ac:dyDescent="0.25">
      <c r="A220" s="68"/>
      <c r="B220" s="79" t="str">
        <f>Modèle!B222</f>
        <v>Navigation</v>
      </c>
      <c r="C220" s="89" t="str">
        <f>Modèle!D222</f>
        <v>12.1.1</v>
      </c>
      <c r="D220" s="87" t="str">
        <f>Modèle!E222</f>
        <v>AA</v>
      </c>
      <c r="E220" s="179">
        <f ca="1">COUNTIF(OFFSET(Synthèse!$G229,0,0,1,COUNTA(Synthèse!$10:$10)-6),"="&amp;$E$1)</f>
        <v>0</v>
      </c>
      <c r="F220" s="179">
        <f ca="1">COUNTIF(OFFSET(Synthèse!$G229,0,0,1,COUNTA(Synthèse!$10:$10)-6),"="&amp;$F$1)</f>
        <v>0</v>
      </c>
      <c r="G220" s="179">
        <f ca="1">COUNTIF(OFFSET(Synthèse!$G229,0,0,1,COUNTA(Synthèse!$10:$10)-6),"="&amp;$G$1)</f>
        <v>0</v>
      </c>
      <c r="H220" s="179">
        <f ca="1">COUNTIF(OFFSET(Synthèse!$G229,0,0,1,COUNTA(Synthèse!$10:$10)-6),"="&amp;$H$1)</f>
        <v>0</v>
      </c>
      <c r="I220" s="203">
        <f t="shared" ca="1" si="21"/>
        <v>0</v>
      </c>
      <c r="J220" s="68"/>
      <c r="K220" s="96"/>
      <c r="S220" s="68"/>
      <c r="U220" s="68"/>
      <c r="X220" s="68"/>
      <c r="AA220" s="68"/>
      <c r="AD220" s="68"/>
      <c r="AE220" s="213" t="str">
        <f t="shared" si="22"/>
        <v>12.2</v>
      </c>
      <c r="AG220" s="241">
        <f>IF(COUNTIFS(TabSynthez[Test],"="&amp;$AE106&amp;".*",TabSynthez[Colonne1],"Invalidé")&gt;0,IF(COUNTIFS(TabSynthez[Test],"="&amp;$AE106&amp;".*",TabSynthez[Colonne1],"Indéterminé")&gt;0,0,1),0)</f>
        <v>0</v>
      </c>
    </row>
    <row r="221" spans="1:33" s="9" customFormat="1" x14ac:dyDescent="0.25">
      <c r="A221" s="68"/>
      <c r="B221" s="78" t="str">
        <f>Modèle!B223</f>
        <v>Navigation</v>
      </c>
      <c r="C221" s="88" t="str">
        <f>Modèle!D223</f>
        <v>12.2.1</v>
      </c>
      <c r="D221" s="85" t="str">
        <f>Modèle!E223</f>
        <v>AA</v>
      </c>
      <c r="E221" s="80">
        <f ca="1">COUNTIF(OFFSET(Synthèse!$G230,0,0,1,COUNTA(Synthèse!$10:$10)-6),"="&amp;$E$1)</f>
        <v>0</v>
      </c>
      <c r="F221" s="80">
        <f ca="1">COUNTIF(OFFSET(Synthèse!$G230,0,0,1,COUNTA(Synthèse!$10:$10)-6),"="&amp;$F$1)</f>
        <v>0</v>
      </c>
      <c r="G221" s="80">
        <f ca="1">COUNTIF(OFFSET(Synthèse!$G230,0,0,1,COUNTA(Synthèse!$10:$10)-6),"="&amp;$G$1)</f>
        <v>0</v>
      </c>
      <c r="H221" s="80">
        <f ca="1">COUNTIF(OFFSET(Synthèse!$G230,0,0,1,COUNTA(Synthèse!$10:$10)-6),"="&amp;$H$1)</f>
        <v>0</v>
      </c>
      <c r="I221" s="203">
        <f t="shared" ca="1" si="21"/>
        <v>0</v>
      </c>
      <c r="J221" s="68"/>
      <c r="K221" s="96"/>
      <c r="S221" s="68"/>
      <c r="U221" s="68"/>
      <c r="X221" s="68"/>
      <c r="AA221" s="68"/>
      <c r="AD221" s="68"/>
      <c r="AE221" s="213" t="str">
        <f t="shared" si="22"/>
        <v>12.3</v>
      </c>
      <c r="AG221" s="241">
        <f>IF(COUNTIFS(TabSynthez[Test],"="&amp;$AE107&amp;".*",TabSynthez[Colonne1],"Invalidé")&gt;0,IF(COUNTIFS(TabSynthez[Test],"="&amp;$AE107&amp;".*",TabSynthez[Colonne1],"Indéterminé")&gt;0,0,1),0)</f>
        <v>0</v>
      </c>
    </row>
    <row r="222" spans="1:33" s="9" customFormat="1" x14ac:dyDescent="0.25">
      <c r="A222" s="68"/>
      <c r="B222" s="79" t="str">
        <f>Modèle!B224</f>
        <v>Navigation</v>
      </c>
      <c r="C222" s="89" t="str">
        <f>Modèle!D224</f>
        <v>12.3.1</v>
      </c>
      <c r="D222" s="87" t="str">
        <f>Modèle!E224</f>
        <v>AA</v>
      </c>
      <c r="E222" s="179">
        <f ca="1">COUNTIF(OFFSET(Synthèse!$G231,0,0,1,COUNTA(Synthèse!$10:$10)-6),"="&amp;$E$1)</f>
        <v>0</v>
      </c>
      <c r="F222" s="179">
        <f ca="1">COUNTIF(OFFSET(Synthèse!$G231,0,0,1,COUNTA(Synthèse!$10:$10)-6),"="&amp;$F$1)</f>
        <v>0</v>
      </c>
      <c r="G222" s="179">
        <f ca="1">COUNTIF(OFFSET(Synthèse!$G231,0,0,1,COUNTA(Synthèse!$10:$10)-6),"="&amp;$G$1)</f>
        <v>0</v>
      </c>
      <c r="H222" s="179">
        <f ca="1">COUNTIF(OFFSET(Synthèse!$G231,0,0,1,COUNTA(Synthèse!$10:$10)-6),"="&amp;$H$1)</f>
        <v>0</v>
      </c>
      <c r="I222" s="203">
        <f t="shared" ca="1" si="21"/>
        <v>0</v>
      </c>
      <c r="J222" s="68"/>
      <c r="K222" s="96"/>
      <c r="S222" s="68"/>
      <c r="U222" s="68"/>
      <c r="X222" s="68"/>
      <c r="AA222" s="68"/>
      <c r="AD222" s="68"/>
      <c r="AE222" s="213" t="str">
        <f t="shared" si="22"/>
        <v>12.4</v>
      </c>
      <c r="AG222" s="241">
        <f>IF(COUNTIFS(TabSynthez[Test],"="&amp;$AE108&amp;".*",TabSynthez[Colonne1],"Invalidé")&gt;0,IF(COUNTIFS(TabSynthez[Test],"="&amp;$AE108&amp;".*",TabSynthez[Colonne1],"Indéterminé")&gt;0,0,1),0)</f>
        <v>0</v>
      </c>
    </row>
    <row r="223" spans="1:33" s="9" customFormat="1" x14ac:dyDescent="0.25">
      <c r="A223" s="68"/>
      <c r="B223" s="79" t="str">
        <f>Modèle!B225</f>
        <v>Navigation</v>
      </c>
      <c r="C223" s="89" t="str">
        <f>Modèle!D225</f>
        <v>12.3.2</v>
      </c>
      <c r="D223" s="87" t="str">
        <f>Modèle!E225</f>
        <v>AA</v>
      </c>
      <c r="E223" s="179">
        <f ca="1">COUNTIF(OFFSET(Synthèse!$G232,0,0,1,COUNTA(Synthèse!$10:$10)-6),"="&amp;$E$1)</f>
        <v>0</v>
      </c>
      <c r="F223" s="179">
        <f ca="1">COUNTIF(OFFSET(Synthèse!$G232,0,0,1,COUNTA(Synthèse!$10:$10)-6),"="&amp;$F$1)</f>
        <v>0</v>
      </c>
      <c r="G223" s="179">
        <f ca="1">COUNTIF(OFFSET(Synthèse!$G232,0,0,1,COUNTA(Synthèse!$10:$10)-6),"="&amp;$G$1)</f>
        <v>0</v>
      </c>
      <c r="H223" s="179">
        <f ca="1">COUNTIF(OFFSET(Synthèse!$G232,0,0,1,COUNTA(Synthèse!$10:$10)-6),"="&amp;$H$1)</f>
        <v>0</v>
      </c>
      <c r="I223" s="203">
        <f t="shared" ca="1" si="21"/>
        <v>0</v>
      </c>
      <c r="J223" s="68"/>
      <c r="K223" s="96"/>
      <c r="S223" s="68"/>
      <c r="U223" s="68"/>
      <c r="X223" s="68"/>
      <c r="AA223" s="68"/>
      <c r="AD223" s="68"/>
      <c r="AE223" s="213" t="str">
        <f t="shared" si="22"/>
        <v>12.5</v>
      </c>
      <c r="AG223" s="241">
        <f>IF(COUNTIFS(TabSynthez[Test],"="&amp;$AE109&amp;".*",TabSynthez[Colonne1],"Invalidé")&gt;0,IF(COUNTIFS(TabSynthez[Test],"="&amp;$AE109&amp;".*",TabSynthez[Colonne1],"Indéterminé")&gt;0,0,1),0)</f>
        <v>0</v>
      </c>
    </row>
    <row r="224" spans="1:33" s="9" customFormat="1" x14ac:dyDescent="0.25">
      <c r="A224" s="68"/>
      <c r="B224" s="79" t="str">
        <f>Modèle!B226</f>
        <v>Navigation</v>
      </c>
      <c r="C224" s="89" t="str">
        <f>Modèle!D226</f>
        <v>12.3.3</v>
      </c>
      <c r="D224" s="87" t="str">
        <f>Modèle!E226</f>
        <v>AA</v>
      </c>
      <c r="E224" s="179">
        <f ca="1">COUNTIF(OFFSET(Synthèse!$G233,0,0,1,COUNTA(Synthèse!$10:$10)-6),"="&amp;$E$1)</f>
        <v>0</v>
      </c>
      <c r="F224" s="179">
        <f ca="1">COUNTIF(OFFSET(Synthèse!$G233,0,0,1,COUNTA(Synthèse!$10:$10)-6),"="&amp;$F$1)</f>
        <v>0</v>
      </c>
      <c r="G224" s="179">
        <f ca="1">COUNTIF(OFFSET(Synthèse!$G233,0,0,1,COUNTA(Synthèse!$10:$10)-6),"="&amp;$G$1)</f>
        <v>0</v>
      </c>
      <c r="H224" s="179">
        <f ca="1">COUNTIF(OFFSET(Synthèse!$G233,0,0,1,COUNTA(Synthèse!$10:$10)-6),"="&amp;$H$1)</f>
        <v>0</v>
      </c>
      <c r="I224" s="203">
        <f t="shared" ca="1" si="21"/>
        <v>0</v>
      </c>
      <c r="J224" s="68"/>
      <c r="K224" s="96"/>
      <c r="S224" s="68"/>
      <c r="U224" s="68"/>
      <c r="X224" s="68"/>
      <c r="AA224" s="68"/>
      <c r="AD224" s="68"/>
      <c r="AE224" s="213" t="str">
        <f t="shared" ref="AE224:AE231" si="23">$AE111</f>
        <v>12.6</v>
      </c>
      <c r="AG224" s="241">
        <f>IF(COUNTIFS(TabSynthez[Test],"="&amp;$AE111&amp;".*",TabSynthez[Colonne1],"Invalidé")&gt;0,IF(COUNTIFS(TabSynthez[Test],"="&amp;$AE111&amp;".*",TabSynthez[Colonne1],"Indéterminé")&gt;0,0,1),0)</f>
        <v>0</v>
      </c>
    </row>
    <row r="225" spans="1:33" s="9" customFormat="1" x14ac:dyDescent="0.25">
      <c r="A225" s="68"/>
      <c r="B225" s="78" t="str">
        <f>Modèle!B227</f>
        <v>Navigation</v>
      </c>
      <c r="C225" s="88" t="str">
        <f>Modèle!D227</f>
        <v>12.4.1</v>
      </c>
      <c r="D225" s="85" t="str">
        <f>Modèle!E227</f>
        <v>AA</v>
      </c>
      <c r="E225" s="80">
        <f ca="1">COUNTIF(OFFSET(Synthèse!$G234,0,0,1,COUNTA(Synthèse!$10:$10)-6),"="&amp;$E$1)</f>
        <v>0</v>
      </c>
      <c r="F225" s="80">
        <f ca="1">COUNTIF(OFFSET(Synthèse!$G234,0,0,1,COUNTA(Synthèse!$10:$10)-6),"="&amp;$F$1)</f>
        <v>0</v>
      </c>
      <c r="G225" s="80">
        <f ca="1">COUNTIF(OFFSET(Synthèse!$G234,0,0,1,COUNTA(Synthèse!$10:$10)-6),"="&amp;$G$1)</f>
        <v>0</v>
      </c>
      <c r="H225" s="80">
        <f ca="1">COUNTIF(OFFSET(Synthèse!$G234,0,0,1,COUNTA(Synthèse!$10:$10)-6),"="&amp;$H$1)</f>
        <v>0</v>
      </c>
      <c r="I225" s="203">
        <f t="shared" ca="1" si="21"/>
        <v>0</v>
      </c>
      <c r="J225" s="68"/>
      <c r="K225" s="96"/>
      <c r="S225" s="68"/>
      <c r="U225" s="68"/>
      <c r="X225" s="68"/>
      <c r="AA225" s="68"/>
      <c r="AD225" s="68"/>
      <c r="AE225" s="213" t="str">
        <f t="shared" si="23"/>
        <v>12.7</v>
      </c>
      <c r="AG225" s="241">
        <f>IF(COUNTIFS(TabSynthez[Test],"="&amp;$AE112&amp;".*",TabSynthez[Colonne1],"Invalidé")&gt;0,IF(COUNTIFS(TabSynthez[Test],"="&amp;$AE112&amp;".*",TabSynthez[Colonne1],"Indéterminé")&gt;0,0,1),0)</f>
        <v>0</v>
      </c>
    </row>
    <row r="226" spans="1:33" s="9" customFormat="1" x14ac:dyDescent="0.25">
      <c r="A226" s="68"/>
      <c r="B226" s="78" t="str">
        <f>Modèle!B228</f>
        <v>Navigation</v>
      </c>
      <c r="C226" s="88" t="str">
        <f>Modèle!D228</f>
        <v>12.4.2</v>
      </c>
      <c r="D226" s="85" t="str">
        <f>Modèle!E228</f>
        <v>AA</v>
      </c>
      <c r="E226" s="80">
        <f ca="1">COUNTIF(OFFSET(Synthèse!$G235,0,0,1,COUNTA(Synthèse!$10:$10)-6),"="&amp;$E$1)</f>
        <v>0</v>
      </c>
      <c r="F226" s="80">
        <f ca="1">COUNTIF(OFFSET(Synthèse!$G235,0,0,1,COUNTA(Synthèse!$10:$10)-6),"="&amp;$F$1)</f>
        <v>0</v>
      </c>
      <c r="G226" s="80">
        <f ca="1">COUNTIF(OFFSET(Synthèse!$G235,0,0,1,COUNTA(Synthèse!$10:$10)-6),"="&amp;$G$1)</f>
        <v>0</v>
      </c>
      <c r="H226" s="80">
        <f ca="1">COUNTIF(OFFSET(Synthèse!$G235,0,0,1,COUNTA(Synthèse!$10:$10)-6),"="&amp;$H$1)</f>
        <v>0</v>
      </c>
      <c r="I226" s="203">
        <f t="shared" ca="1" si="21"/>
        <v>0</v>
      </c>
      <c r="J226" s="68"/>
      <c r="K226" s="96"/>
      <c r="S226" s="68"/>
      <c r="U226" s="68"/>
      <c r="X226" s="68"/>
      <c r="AA226" s="68"/>
      <c r="AD226" s="68"/>
      <c r="AE226" s="213" t="str">
        <f t="shared" si="23"/>
        <v>12.8</v>
      </c>
      <c r="AG226" s="241">
        <f>IF(COUNTIFS(TabSynthez[Test],"="&amp;$AE113&amp;".*",TabSynthez[Colonne1],"Invalidé")&gt;0,IF(COUNTIFS(TabSynthez[Test],"="&amp;$AE113&amp;".*",TabSynthez[Colonne1],"Indéterminé")&gt;0,0,1),0)</f>
        <v>0</v>
      </c>
    </row>
    <row r="227" spans="1:33" s="9" customFormat="1" x14ac:dyDescent="0.25">
      <c r="A227" s="68"/>
      <c r="B227" s="78" t="str">
        <f>Modèle!B229</f>
        <v>Navigation</v>
      </c>
      <c r="C227" s="88" t="str">
        <f>Modèle!D229</f>
        <v>12.4.3</v>
      </c>
      <c r="D227" s="85" t="str">
        <f>Modèle!E229</f>
        <v>AA</v>
      </c>
      <c r="E227" s="80">
        <f ca="1">COUNTIF(OFFSET(Synthèse!$G236,0,0,1,COUNTA(Synthèse!$10:$10)-6),"="&amp;$E$1)</f>
        <v>0</v>
      </c>
      <c r="F227" s="80">
        <f ca="1">COUNTIF(OFFSET(Synthèse!$G236,0,0,1,COUNTA(Synthèse!$10:$10)-6),"="&amp;$F$1)</f>
        <v>0</v>
      </c>
      <c r="G227" s="80">
        <f ca="1">COUNTIF(OFFSET(Synthèse!$G236,0,0,1,COUNTA(Synthèse!$10:$10)-6),"="&amp;$G$1)</f>
        <v>0</v>
      </c>
      <c r="H227" s="80">
        <f ca="1">COUNTIF(OFFSET(Synthèse!$G236,0,0,1,COUNTA(Synthèse!$10:$10)-6),"="&amp;$H$1)</f>
        <v>0</v>
      </c>
      <c r="I227" s="203">
        <f t="shared" ca="1" si="21"/>
        <v>0</v>
      </c>
      <c r="J227" s="68"/>
      <c r="K227" s="96"/>
      <c r="S227" s="68"/>
      <c r="U227" s="68"/>
      <c r="X227" s="68"/>
      <c r="AA227" s="68"/>
      <c r="AD227" s="68"/>
      <c r="AE227" s="213" t="str">
        <f t="shared" si="23"/>
        <v>12.9</v>
      </c>
      <c r="AG227" s="241">
        <f>IF(COUNTIFS(TabSynthez[Test],"="&amp;$AE114&amp;".*",TabSynthez[Colonne1],"Invalidé")&gt;0,IF(COUNTIFS(TabSynthez[Test],"="&amp;$AE114&amp;".*",TabSynthez[Colonne1],"Indéterminé")&gt;0,0,1),0)</f>
        <v>0</v>
      </c>
    </row>
    <row r="228" spans="1:33" s="9" customFormat="1" x14ac:dyDescent="0.25">
      <c r="A228" s="68"/>
      <c r="B228" s="79" t="str">
        <f>Modèle!B230</f>
        <v>Navigation</v>
      </c>
      <c r="C228" s="89" t="str">
        <f>Modèle!D230</f>
        <v>12.5.1</v>
      </c>
      <c r="D228" s="87" t="str">
        <f>Modèle!E230</f>
        <v>AA</v>
      </c>
      <c r="E228" s="179">
        <f ca="1">COUNTIF(OFFSET(Synthèse!$G237,0,0,1,COUNTA(Synthèse!$10:$10)-6),"="&amp;$E$1)</f>
        <v>0</v>
      </c>
      <c r="F228" s="179">
        <f ca="1">COUNTIF(OFFSET(Synthèse!$G237,0,0,1,COUNTA(Synthèse!$10:$10)-6),"="&amp;$F$1)</f>
        <v>0</v>
      </c>
      <c r="G228" s="179">
        <f ca="1">COUNTIF(OFFSET(Synthèse!$G237,0,0,1,COUNTA(Synthèse!$10:$10)-6),"="&amp;$G$1)</f>
        <v>0</v>
      </c>
      <c r="H228" s="179">
        <f ca="1">COUNTIF(OFFSET(Synthèse!$G237,0,0,1,COUNTA(Synthèse!$10:$10)-6),"="&amp;$H$1)</f>
        <v>0</v>
      </c>
      <c r="I228" s="203">
        <f t="shared" ca="1" si="21"/>
        <v>0</v>
      </c>
      <c r="J228" s="68"/>
      <c r="K228" s="96"/>
      <c r="S228" s="68"/>
      <c r="U228" s="68"/>
      <c r="X228" s="68"/>
      <c r="AA228" s="68"/>
      <c r="AD228" s="68"/>
      <c r="AE228" s="213" t="str">
        <f t="shared" si="23"/>
        <v>12.10</v>
      </c>
      <c r="AG228" s="241">
        <f>IF(COUNTIFS(TabSynthez[Test],"="&amp;$AE115&amp;".*",TabSynthez[Colonne1],"Invalidé")&gt;0,IF(COUNTIFS(TabSynthez[Test],"="&amp;$AE115&amp;".*",TabSynthez[Colonne1],"Indéterminé")&gt;0,0,1),0)</f>
        <v>0</v>
      </c>
    </row>
    <row r="229" spans="1:33" s="9" customFormat="1" x14ac:dyDescent="0.25">
      <c r="A229" s="68"/>
      <c r="B229" s="79" t="str">
        <f>Modèle!B231</f>
        <v>Navigation</v>
      </c>
      <c r="C229" s="89" t="str">
        <f>Modèle!D231</f>
        <v>12.5.2</v>
      </c>
      <c r="D229" s="87" t="str">
        <f>Modèle!E231</f>
        <v>AA</v>
      </c>
      <c r="E229" s="179">
        <f ca="1">COUNTIF(OFFSET(Synthèse!$G238,0,0,1,COUNTA(Synthèse!$10:$10)-6),"="&amp;$E$1)</f>
        <v>0</v>
      </c>
      <c r="F229" s="179">
        <f ca="1">COUNTIF(OFFSET(Synthèse!$G238,0,0,1,COUNTA(Synthèse!$10:$10)-6),"="&amp;$F$1)</f>
        <v>0</v>
      </c>
      <c r="G229" s="179">
        <f ca="1">COUNTIF(OFFSET(Synthèse!$G238,0,0,1,COUNTA(Synthèse!$10:$10)-6),"="&amp;$G$1)</f>
        <v>0</v>
      </c>
      <c r="H229" s="179">
        <f ca="1">COUNTIF(OFFSET(Synthèse!$G238,0,0,1,COUNTA(Synthèse!$10:$10)-6),"="&amp;$H$1)</f>
        <v>0</v>
      </c>
      <c r="I229" s="203">
        <f t="shared" ca="1" si="21"/>
        <v>0</v>
      </c>
      <c r="J229" s="68"/>
      <c r="K229" s="96"/>
      <c r="S229" s="68"/>
      <c r="U229" s="68"/>
      <c r="X229" s="68"/>
      <c r="AA229" s="68"/>
      <c r="AD229" s="68"/>
      <c r="AE229" s="213" t="str">
        <f t="shared" si="23"/>
        <v>12.11</v>
      </c>
      <c r="AG229" s="241">
        <f>IF(COUNTIFS(TabSynthez[Test],"="&amp;$AE116&amp;".*",TabSynthez[Colonne1],"Invalidé")&gt;0,IF(COUNTIFS(TabSynthez[Test],"="&amp;$AE116&amp;".*",TabSynthez[Colonne1],"Indéterminé")&gt;0,0,1),0)</f>
        <v>0</v>
      </c>
    </row>
    <row r="230" spans="1:33" s="9" customFormat="1" x14ac:dyDescent="0.25">
      <c r="A230" s="68"/>
      <c r="B230" s="79" t="str">
        <f>Modèle!B232</f>
        <v>Navigation</v>
      </c>
      <c r="C230" s="89" t="str">
        <f>Modèle!D232</f>
        <v>12.5.3</v>
      </c>
      <c r="D230" s="87" t="str">
        <f>Modèle!E232</f>
        <v>AA</v>
      </c>
      <c r="E230" s="179">
        <f ca="1">COUNTIF(OFFSET(Synthèse!$G239,0,0,1,COUNTA(Synthèse!$10:$10)-6),"="&amp;$E$1)</f>
        <v>0</v>
      </c>
      <c r="F230" s="179">
        <f ca="1">COUNTIF(OFFSET(Synthèse!$G239,0,0,1,COUNTA(Synthèse!$10:$10)-6),"="&amp;$F$1)</f>
        <v>0</v>
      </c>
      <c r="G230" s="179">
        <f ca="1">COUNTIF(OFFSET(Synthèse!$G239,0,0,1,COUNTA(Synthèse!$10:$10)-6),"="&amp;$G$1)</f>
        <v>0</v>
      </c>
      <c r="H230" s="179">
        <f ca="1">COUNTIF(OFFSET(Synthèse!$G239,0,0,1,COUNTA(Synthèse!$10:$10)-6),"="&amp;$H$1)</f>
        <v>0</v>
      </c>
      <c r="I230" s="203">
        <f t="shared" ca="1" si="21"/>
        <v>0</v>
      </c>
      <c r="J230" s="68"/>
      <c r="K230" s="96"/>
      <c r="S230" s="68"/>
      <c r="U230" s="68"/>
      <c r="X230" s="68"/>
      <c r="AA230" s="68"/>
      <c r="AD230" s="68"/>
      <c r="AE230" s="213" t="str">
        <f t="shared" si="23"/>
        <v>13.1</v>
      </c>
      <c r="AG230" s="241">
        <f>IF(COUNTIFS(TabSynthez[Test],"="&amp;$AE117&amp;".*",TabSynthez[Colonne1],"Invalidé")&gt;0,IF(COUNTIFS(TabSynthez[Test],"="&amp;$AE117&amp;".*",TabSynthez[Colonne1],"Indéterminé")&gt;0,0,1),0)</f>
        <v>0</v>
      </c>
    </row>
    <row r="231" spans="1:33" s="9" customFormat="1" x14ac:dyDescent="0.25">
      <c r="A231" s="68"/>
      <c r="B231" s="78" t="str">
        <f>Modèle!B233</f>
        <v>Navigation</v>
      </c>
      <c r="C231" s="88" t="str">
        <f>Modèle!D233</f>
        <v>12.6.1</v>
      </c>
      <c r="D231" s="85" t="str">
        <f>Modèle!E233</f>
        <v>A</v>
      </c>
      <c r="E231" s="80">
        <f ca="1">COUNTIF(OFFSET(Synthèse!$G240,0,0,1,COUNTA(Synthèse!$10:$10)-6),"="&amp;$E$1)</f>
        <v>0</v>
      </c>
      <c r="F231" s="80">
        <f ca="1">COUNTIF(OFFSET(Synthèse!$G240,0,0,1,COUNTA(Synthèse!$10:$10)-6),"="&amp;$F$1)</f>
        <v>0</v>
      </c>
      <c r="G231" s="80">
        <f ca="1">COUNTIF(OFFSET(Synthèse!$G240,0,0,1,COUNTA(Synthèse!$10:$10)-6),"="&amp;$G$1)</f>
        <v>0</v>
      </c>
      <c r="H231" s="80">
        <f ca="1">COUNTIF(OFFSET(Synthèse!$G240,0,0,1,COUNTA(Synthèse!$10:$10)-6),"="&amp;$H$1)</f>
        <v>0</v>
      </c>
      <c r="I231" s="203">
        <f t="shared" ca="1" si="21"/>
        <v>0</v>
      </c>
      <c r="J231" s="68"/>
      <c r="K231" s="96"/>
      <c r="S231" s="68"/>
      <c r="U231" s="68"/>
      <c r="X231" s="68"/>
      <c r="AA231" s="68"/>
      <c r="AD231" s="68"/>
      <c r="AE231" s="213" t="str">
        <f t="shared" si="23"/>
        <v>13.2</v>
      </c>
      <c r="AG231" s="241">
        <f>IF(COUNTIFS(TabSynthez[Test],"="&amp;$AE118&amp;".*",TabSynthez[Colonne1],"Invalidé")&gt;0,IF(COUNTIFS(TabSynthez[Test],"="&amp;$AE118&amp;".*",TabSynthez[Colonne1],"Indéterminé")&gt;0,0,1),0)</f>
        <v>0</v>
      </c>
    </row>
    <row r="232" spans="1:33" s="9" customFormat="1" x14ac:dyDescent="0.25">
      <c r="A232" s="68"/>
      <c r="B232" s="79" t="str">
        <f>Modèle!B234</f>
        <v>Navigation</v>
      </c>
      <c r="C232" s="89" t="str">
        <f>Modèle!D234</f>
        <v>12.7.1</v>
      </c>
      <c r="D232" s="87" t="str">
        <f>Modèle!E234</f>
        <v>A</v>
      </c>
      <c r="E232" s="179">
        <f ca="1">COUNTIF(OFFSET(Synthèse!$G241,0,0,1,COUNTA(Synthèse!$10:$10)-6),"="&amp;$E$1)</f>
        <v>0</v>
      </c>
      <c r="F232" s="179">
        <f ca="1">COUNTIF(OFFSET(Synthèse!$G241,0,0,1,COUNTA(Synthèse!$10:$10)-6),"="&amp;$F$1)</f>
        <v>0</v>
      </c>
      <c r="G232" s="179">
        <f ca="1">COUNTIF(OFFSET(Synthèse!$G241,0,0,1,COUNTA(Synthèse!$10:$10)-6),"="&amp;$G$1)</f>
        <v>0</v>
      </c>
      <c r="H232" s="179">
        <f ca="1">COUNTIF(OFFSET(Synthèse!$G241,0,0,1,COUNTA(Synthèse!$10:$10)-6),"="&amp;$H$1)</f>
        <v>0</v>
      </c>
      <c r="I232" s="203">
        <f t="shared" ca="1" si="21"/>
        <v>0</v>
      </c>
      <c r="J232" s="68"/>
      <c r="K232" s="96"/>
      <c r="S232" s="68"/>
      <c r="U232" s="68"/>
      <c r="X232" s="68"/>
      <c r="AA232" s="68"/>
      <c r="AD232" s="68"/>
      <c r="AE232" s="213" t="str">
        <f t="shared" ref="AE232:AE241" si="24">$AE119</f>
        <v>13.3</v>
      </c>
      <c r="AG232" s="241">
        <f>IF(COUNTIFS(TabSynthez[Test],"="&amp;$AE119&amp;".*",TabSynthez[Colonne1],"Invalidé")&gt;0,IF(COUNTIFS(TabSynthez[Test],"="&amp;$AE119&amp;".*",TabSynthez[Colonne1],"Indéterminé")&gt;0,0,1),0)</f>
        <v>0</v>
      </c>
    </row>
    <row r="233" spans="1:33" s="9" customFormat="1" x14ac:dyDescent="0.25">
      <c r="A233" s="68"/>
      <c r="B233" s="79" t="str">
        <f>Modèle!B235</f>
        <v>Navigation</v>
      </c>
      <c r="C233" s="89" t="str">
        <f>Modèle!D235</f>
        <v>12.7.2</v>
      </c>
      <c r="D233" s="87" t="str">
        <f>Modèle!E235</f>
        <v>A</v>
      </c>
      <c r="E233" s="179">
        <f ca="1">COUNTIF(OFFSET(Synthèse!$G242,0,0,1,COUNTA(Synthèse!$10:$10)-6),"="&amp;$E$1)</f>
        <v>0</v>
      </c>
      <c r="F233" s="179">
        <f ca="1">COUNTIF(OFFSET(Synthèse!$G242,0,0,1,COUNTA(Synthèse!$10:$10)-6),"="&amp;$F$1)</f>
        <v>0</v>
      </c>
      <c r="G233" s="179">
        <f ca="1">COUNTIF(OFFSET(Synthèse!$G242,0,0,1,COUNTA(Synthèse!$10:$10)-6),"="&amp;$G$1)</f>
        <v>0</v>
      </c>
      <c r="H233" s="179">
        <f ca="1">COUNTIF(OFFSET(Synthèse!$G242,0,0,1,COUNTA(Synthèse!$10:$10)-6),"="&amp;$H$1)</f>
        <v>0</v>
      </c>
      <c r="I233" s="203">
        <f t="shared" ca="1" si="21"/>
        <v>0</v>
      </c>
      <c r="J233" s="68"/>
      <c r="K233" s="96"/>
      <c r="S233" s="68"/>
      <c r="U233" s="68"/>
      <c r="X233" s="68"/>
      <c r="AA233" s="68"/>
      <c r="AD233" s="68"/>
      <c r="AE233" s="213" t="str">
        <f t="shared" si="24"/>
        <v>13.4</v>
      </c>
      <c r="AG233" s="241">
        <f>IF(COUNTIFS(TabSynthez[Test],"="&amp;$AE120&amp;".*",TabSynthez[Colonne1],"Invalidé")&gt;0,IF(COUNTIFS(TabSynthez[Test],"="&amp;$AE120&amp;".*",TabSynthez[Colonne1],"Indéterminé")&gt;0,0,1),0)</f>
        <v>0</v>
      </c>
    </row>
    <row r="234" spans="1:33" s="9" customFormat="1" x14ac:dyDescent="0.25">
      <c r="A234" s="68"/>
      <c r="B234" s="78" t="str">
        <f>Modèle!B236</f>
        <v>Navigation</v>
      </c>
      <c r="C234" s="88" t="str">
        <f>Modèle!D236</f>
        <v>12.8.1</v>
      </c>
      <c r="D234" s="85" t="str">
        <f>Modèle!E236</f>
        <v>A</v>
      </c>
      <c r="E234" s="80">
        <f ca="1">COUNTIF(OFFSET(Synthèse!$G243,0,0,1,COUNTA(Synthèse!$10:$10)-6),"="&amp;$E$1)</f>
        <v>0</v>
      </c>
      <c r="F234" s="80">
        <f ca="1">COUNTIF(OFFSET(Synthèse!$G243,0,0,1,COUNTA(Synthèse!$10:$10)-6),"="&amp;$F$1)</f>
        <v>0</v>
      </c>
      <c r="G234" s="80">
        <f ca="1">COUNTIF(OFFSET(Synthèse!$G243,0,0,1,COUNTA(Synthèse!$10:$10)-6),"="&amp;$G$1)</f>
        <v>0</v>
      </c>
      <c r="H234" s="80">
        <f ca="1">COUNTIF(OFFSET(Synthèse!$G243,0,0,1,COUNTA(Synthèse!$10:$10)-6),"="&amp;$H$1)</f>
        <v>0</v>
      </c>
      <c r="I234" s="203">
        <f t="shared" ca="1" si="21"/>
        <v>0</v>
      </c>
      <c r="J234" s="68"/>
      <c r="K234" s="96"/>
      <c r="S234" s="68"/>
      <c r="U234" s="68"/>
      <c r="X234" s="68"/>
      <c r="AA234" s="68"/>
      <c r="AD234" s="68"/>
      <c r="AE234" s="213" t="str">
        <f t="shared" si="24"/>
        <v>13.5</v>
      </c>
      <c r="AG234" s="241">
        <f>IF(COUNTIFS(TabSynthez[Test],"="&amp;$AE121&amp;".*",TabSynthez[Colonne1],"Invalidé")&gt;0,IF(COUNTIFS(TabSynthez[Test],"="&amp;$AE121&amp;".*",TabSynthez[Colonne1],"Indéterminé")&gt;0,0,1),0)</f>
        <v>0</v>
      </c>
    </row>
    <row r="235" spans="1:33" s="9" customFormat="1" x14ac:dyDescent="0.25">
      <c r="A235" s="68"/>
      <c r="B235" s="78" t="str">
        <f>Modèle!B237</f>
        <v>Navigation</v>
      </c>
      <c r="C235" s="88" t="str">
        <f>Modèle!D237</f>
        <v>12.8.2</v>
      </c>
      <c r="D235" s="85" t="str">
        <f>Modèle!E237</f>
        <v>A</v>
      </c>
      <c r="E235" s="80">
        <f ca="1">COUNTIF(OFFSET(Synthèse!$G244,0,0,1,COUNTA(Synthèse!$10:$10)-6),"="&amp;$E$1)</f>
        <v>0</v>
      </c>
      <c r="F235" s="80">
        <f ca="1">COUNTIF(OFFSET(Synthèse!$G244,0,0,1,COUNTA(Synthèse!$10:$10)-6),"="&amp;$F$1)</f>
        <v>0</v>
      </c>
      <c r="G235" s="80">
        <f ca="1">COUNTIF(OFFSET(Synthèse!$G244,0,0,1,COUNTA(Synthèse!$10:$10)-6),"="&amp;$G$1)</f>
        <v>0</v>
      </c>
      <c r="H235" s="80">
        <f ca="1">COUNTIF(OFFSET(Synthèse!$G244,0,0,1,COUNTA(Synthèse!$10:$10)-6),"="&amp;$H$1)</f>
        <v>0</v>
      </c>
      <c r="I235" s="203">
        <f t="shared" ca="1" si="21"/>
        <v>0</v>
      </c>
      <c r="J235" s="68"/>
      <c r="K235" s="96"/>
      <c r="S235" s="68"/>
      <c r="U235" s="68"/>
      <c r="X235" s="68"/>
      <c r="AA235" s="68"/>
      <c r="AD235" s="68"/>
      <c r="AE235" s="213" t="str">
        <f t="shared" si="24"/>
        <v>13.6</v>
      </c>
      <c r="AG235" s="241">
        <f>IF(COUNTIFS(TabSynthez[Test],"="&amp;$AE122&amp;".*",TabSynthez[Colonne1],"Invalidé")&gt;0,IF(COUNTIFS(TabSynthez[Test],"="&amp;$AE122&amp;".*",TabSynthez[Colonne1],"Indéterminé")&gt;0,0,1),0)</f>
        <v>0</v>
      </c>
    </row>
    <row r="236" spans="1:33" s="9" customFormat="1" x14ac:dyDescent="0.25">
      <c r="A236" s="68"/>
      <c r="B236" s="79" t="str">
        <f>Modèle!B238</f>
        <v>Navigation</v>
      </c>
      <c r="C236" s="89" t="str">
        <f>Modèle!D238</f>
        <v>12.9.1</v>
      </c>
      <c r="D236" s="87" t="str">
        <f>Modèle!E238</f>
        <v>A</v>
      </c>
      <c r="E236" s="179">
        <f ca="1">COUNTIF(OFFSET(Synthèse!$G245,0,0,1,COUNTA(Synthèse!$10:$10)-6),"="&amp;$E$1)</f>
        <v>0</v>
      </c>
      <c r="F236" s="179">
        <f ca="1">COUNTIF(OFFSET(Synthèse!$G245,0,0,1,COUNTA(Synthèse!$10:$10)-6),"="&amp;$F$1)</f>
        <v>0</v>
      </c>
      <c r="G236" s="179">
        <f ca="1">COUNTIF(OFFSET(Synthèse!$G245,0,0,1,COUNTA(Synthèse!$10:$10)-6),"="&amp;$G$1)</f>
        <v>0</v>
      </c>
      <c r="H236" s="179">
        <f ca="1">COUNTIF(OFFSET(Synthèse!$G245,0,0,1,COUNTA(Synthèse!$10:$10)-6),"="&amp;$H$1)</f>
        <v>0</v>
      </c>
      <c r="I236" s="203">
        <f t="shared" ca="1" si="21"/>
        <v>0</v>
      </c>
      <c r="J236" s="68"/>
      <c r="K236" s="96"/>
      <c r="S236" s="68"/>
      <c r="U236" s="68"/>
      <c r="X236" s="68"/>
      <c r="AA236" s="68"/>
      <c r="AD236" s="68"/>
      <c r="AE236" s="213" t="str">
        <f t="shared" si="24"/>
        <v>13.7</v>
      </c>
      <c r="AG236" s="241">
        <f>IF(COUNTIFS(TabSynthez[Test],"="&amp;$AE123&amp;".*",TabSynthez[Colonne1],"Invalidé")&gt;0,IF(COUNTIFS(TabSynthez[Test],"="&amp;$AE123&amp;".*",TabSynthez[Colonne1],"Indéterminé")&gt;0,0,1),0)</f>
        <v>0</v>
      </c>
    </row>
    <row r="237" spans="1:33" s="9" customFormat="1" x14ac:dyDescent="0.25">
      <c r="A237" s="68"/>
      <c r="B237" s="78" t="str">
        <f>Modèle!B239</f>
        <v>Navigation</v>
      </c>
      <c r="C237" s="88" t="str">
        <f>Modèle!D239</f>
        <v>12.10.1</v>
      </c>
      <c r="D237" s="85" t="str">
        <f>Modèle!E239</f>
        <v>A</v>
      </c>
      <c r="E237" s="80">
        <f ca="1">COUNTIF(OFFSET(Synthèse!$G246,0,0,1,COUNTA(Synthèse!$10:$10)-6),"="&amp;$E$1)</f>
        <v>0</v>
      </c>
      <c r="F237" s="80">
        <f ca="1">COUNTIF(OFFSET(Synthèse!$G246,0,0,1,COUNTA(Synthèse!$10:$10)-6),"="&amp;$F$1)</f>
        <v>0</v>
      </c>
      <c r="G237" s="80">
        <f ca="1">COUNTIF(OFFSET(Synthèse!$G246,0,0,1,COUNTA(Synthèse!$10:$10)-6),"="&amp;$G$1)</f>
        <v>0</v>
      </c>
      <c r="H237" s="80">
        <f ca="1">COUNTIF(OFFSET(Synthèse!$G246,0,0,1,COUNTA(Synthèse!$10:$10)-6),"="&amp;$H$1)</f>
        <v>0</v>
      </c>
      <c r="I237" s="203">
        <f t="shared" ca="1" si="21"/>
        <v>0</v>
      </c>
      <c r="J237" s="68"/>
      <c r="K237" s="96"/>
      <c r="S237" s="68"/>
      <c r="U237" s="68"/>
      <c r="X237" s="68"/>
      <c r="AA237" s="68"/>
      <c r="AD237" s="68"/>
      <c r="AE237" s="213" t="str">
        <f t="shared" si="24"/>
        <v>13.8</v>
      </c>
      <c r="AG237" s="241">
        <f>IF(COUNTIFS(TabSynthez[Test],"="&amp;$AE124&amp;".*",TabSynthez[Colonne1],"Invalidé")&gt;0,IF(COUNTIFS(TabSynthez[Test],"="&amp;$AE124&amp;".*",TabSynthez[Colonne1],"Indéterminé")&gt;0,0,1),0)</f>
        <v>0</v>
      </c>
    </row>
    <row r="238" spans="1:33" s="9" customFormat="1" x14ac:dyDescent="0.25">
      <c r="A238" s="68"/>
      <c r="B238" s="79" t="str">
        <f>Modèle!B240</f>
        <v>Navigation</v>
      </c>
      <c r="C238" s="89" t="str">
        <f>Modèle!D240</f>
        <v>12.11.1</v>
      </c>
      <c r="D238" s="87" t="str">
        <f>Modèle!E240</f>
        <v>A</v>
      </c>
      <c r="E238" s="179">
        <f ca="1">COUNTIF(OFFSET(Synthèse!$G247,0,0,1,COUNTA(Synthèse!$10:$10)-6),"="&amp;$E$1)</f>
        <v>0</v>
      </c>
      <c r="F238" s="179">
        <f ca="1">COUNTIF(OFFSET(Synthèse!$G247,0,0,1,COUNTA(Synthèse!$10:$10)-6),"="&amp;$F$1)</f>
        <v>0</v>
      </c>
      <c r="G238" s="179">
        <f ca="1">COUNTIF(OFFSET(Synthèse!$G247,0,0,1,COUNTA(Synthèse!$10:$10)-6),"="&amp;$G$1)</f>
        <v>0</v>
      </c>
      <c r="H238" s="179">
        <f ca="1">COUNTIF(OFFSET(Synthèse!$G247,0,0,1,COUNTA(Synthèse!$10:$10)-6),"="&amp;$H$1)</f>
        <v>0</v>
      </c>
      <c r="I238" s="203">
        <f t="shared" ca="1" si="21"/>
        <v>0</v>
      </c>
      <c r="J238" s="68"/>
      <c r="K238" s="96"/>
      <c r="S238" s="68"/>
      <c r="U238" s="68"/>
      <c r="X238" s="68"/>
      <c r="AA238" s="68"/>
      <c r="AD238" s="68"/>
      <c r="AE238" s="213" t="str">
        <f t="shared" si="24"/>
        <v>13.9</v>
      </c>
      <c r="AG238" s="241">
        <f>IF(COUNTIFS(TabSynthez[Test],"="&amp;$AE125&amp;".*",TabSynthez[Colonne1],"Invalidé")&gt;0,IF(COUNTIFS(TabSynthez[Test],"="&amp;$AE125&amp;".*",TabSynthez[Colonne1],"Indéterminé")&gt;0,0,1),0)</f>
        <v>0</v>
      </c>
    </row>
    <row r="239" spans="1:33" s="9" customFormat="1" x14ac:dyDescent="0.25">
      <c r="A239" s="68"/>
      <c r="B239" s="78" t="str">
        <f>Modèle!B241</f>
        <v>Consultation</v>
      </c>
      <c r="C239" s="88" t="str">
        <f>Modèle!D241</f>
        <v>13.1.1</v>
      </c>
      <c r="D239" s="85" t="str">
        <f>Modèle!E241</f>
        <v>A</v>
      </c>
      <c r="E239" s="80">
        <f ca="1">COUNTIF(OFFSET(Synthèse!$G248,0,0,1,COUNTA(Synthèse!$10:$10)-6),"="&amp;$E$1)</f>
        <v>0</v>
      </c>
      <c r="F239" s="80">
        <f ca="1">COUNTIF(OFFSET(Synthèse!$G248,0,0,1,COUNTA(Synthèse!$10:$10)-6),"="&amp;$F$1)</f>
        <v>0</v>
      </c>
      <c r="G239" s="80">
        <f ca="1">COUNTIF(OFFSET(Synthèse!$G248,0,0,1,COUNTA(Synthèse!$10:$10)-6),"="&amp;$G$1)</f>
        <v>0</v>
      </c>
      <c r="H239" s="80">
        <f ca="1">COUNTIF(OFFSET(Synthèse!$G248,0,0,1,COUNTA(Synthèse!$10:$10)-6),"="&amp;$H$1)</f>
        <v>0</v>
      </c>
      <c r="I239" s="203">
        <f t="shared" ca="1" si="21"/>
        <v>0</v>
      </c>
      <c r="J239" s="68"/>
      <c r="K239" s="96"/>
      <c r="S239" s="68"/>
      <c r="U239" s="68"/>
      <c r="X239" s="68"/>
      <c r="AA239" s="68"/>
      <c r="AD239" s="68"/>
      <c r="AE239" s="213" t="str">
        <f t="shared" si="24"/>
        <v>13.10</v>
      </c>
      <c r="AG239" s="241">
        <f>IF(COUNTIFS(TabSynthez[Test],"="&amp;$AE126&amp;".*",TabSynthez[Colonne1],"Invalidé")&gt;0,IF(COUNTIFS(TabSynthez[Test],"="&amp;$AE126&amp;".*",TabSynthez[Colonne1],"Indéterminé")&gt;0,0,1),0)</f>
        <v>0</v>
      </c>
    </row>
    <row r="240" spans="1:33" s="9" customFormat="1" x14ac:dyDescent="0.25">
      <c r="A240" s="68"/>
      <c r="B240" s="78" t="str">
        <f>Modèle!B242</f>
        <v>Consultation</v>
      </c>
      <c r="C240" s="88" t="str">
        <f>Modèle!D242</f>
        <v>13.1.2</v>
      </c>
      <c r="D240" s="85" t="str">
        <f>Modèle!E242</f>
        <v>A</v>
      </c>
      <c r="E240" s="80">
        <f ca="1">COUNTIF(OFFSET(Synthèse!$G249,0,0,1,COUNTA(Synthèse!$10:$10)-6),"="&amp;$E$1)</f>
        <v>0</v>
      </c>
      <c r="F240" s="80">
        <f ca="1">COUNTIF(OFFSET(Synthèse!$G249,0,0,1,COUNTA(Synthèse!$10:$10)-6),"="&amp;$F$1)</f>
        <v>0</v>
      </c>
      <c r="G240" s="80">
        <f ca="1">COUNTIF(OFFSET(Synthèse!$G249,0,0,1,COUNTA(Synthèse!$10:$10)-6),"="&amp;$G$1)</f>
        <v>0</v>
      </c>
      <c r="H240" s="80">
        <f ca="1">COUNTIF(OFFSET(Synthèse!$G249,0,0,1,COUNTA(Synthèse!$10:$10)-6),"="&amp;$H$1)</f>
        <v>0</v>
      </c>
      <c r="I240" s="203">
        <f t="shared" ca="1" si="21"/>
        <v>0</v>
      </c>
      <c r="J240" s="68"/>
      <c r="K240" s="96"/>
      <c r="S240" s="68"/>
      <c r="U240" s="68"/>
      <c r="X240" s="68"/>
      <c r="AA240" s="68"/>
      <c r="AD240" s="68"/>
      <c r="AE240" s="213" t="str">
        <f t="shared" si="24"/>
        <v>13.11</v>
      </c>
      <c r="AG240" s="241">
        <f>IF(COUNTIFS(TabSynthez[Test],"="&amp;$AE127&amp;".*",TabSynthez[Colonne1],"Invalidé")&gt;0,IF(COUNTIFS(TabSynthez[Test],"="&amp;$AE127&amp;".*",TabSynthez[Colonne1],"Indéterminé")&gt;0,0,1),0)</f>
        <v>0</v>
      </c>
    </row>
    <row r="241" spans="1:45" s="9" customFormat="1" x14ac:dyDescent="0.25">
      <c r="A241" s="68"/>
      <c r="B241" s="224" t="str">
        <f>Modèle!B243</f>
        <v>Consultation</v>
      </c>
      <c r="C241" s="225" t="str">
        <f>Modèle!D243</f>
        <v>13.1.3</v>
      </c>
      <c r="D241" s="85" t="str">
        <f>Modèle!E243</f>
        <v>A</v>
      </c>
      <c r="E241" s="80">
        <f ca="1">COUNTIF(OFFSET(Synthèse!$G250,0,0,1,COUNTA(Synthèse!$10:$10)-6),"="&amp;$E$1)</f>
        <v>0</v>
      </c>
      <c r="F241" s="80">
        <f ca="1">COUNTIF(OFFSET(Synthèse!$G250,0,0,1,COUNTA(Synthèse!$10:$10)-6),"="&amp;$F$1)</f>
        <v>0</v>
      </c>
      <c r="G241" s="80">
        <f ca="1">COUNTIF(OFFSET(Synthèse!$G250,0,0,1,COUNTA(Synthèse!$10:$10)-6),"="&amp;$G$1)</f>
        <v>0</v>
      </c>
      <c r="H241" s="80">
        <f ca="1">COUNTIF(OFFSET(Synthèse!$G250,0,0,1,COUNTA(Synthèse!$10:$10)-6),"="&amp;$H$1)</f>
        <v>0</v>
      </c>
      <c r="I241" s="226">
        <f t="shared" ca="1" si="21"/>
        <v>0</v>
      </c>
      <c r="J241" s="68"/>
      <c r="K241" s="96"/>
      <c r="S241" s="68"/>
      <c r="U241" s="68"/>
      <c r="X241" s="68"/>
      <c r="AA241" s="68"/>
      <c r="AD241" s="68"/>
      <c r="AE241" s="213" t="str">
        <f t="shared" si="24"/>
        <v>13.12</v>
      </c>
      <c r="AG241" s="241">
        <f>IF(COUNTIFS(TabSynthez[Test],"="&amp;$AE128&amp;".*",TabSynthez[Colonne1],"Invalidé")&gt;0,IF(COUNTIFS(TabSynthez[Test],"="&amp;$AE128&amp;".*",TabSynthez[Colonne1],"Indéterminé")&gt;0,0,1),0)</f>
        <v>0</v>
      </c>
    </row>
    <row r="242" spans="1:45" x14ac:dyDescent="0.25">
      <c r="A242" s="68"/>
      <c r="B242" s="224" t="str">
        <f>Modèle!B244</f>
        <v>Consultation</v>
      </c>
      <c r="C242" s="225" t="str">
        <f>Modèle!D244</f>
        <v>13.1.4</v>
      </c>
      <c r="D242" s="85" t="str">
        <f>Modèle!E244</f>
        <v>A</v>
      </c>
      <c r="E242" s="80">
        <f ca="1">COUNTIF(OFFSET(Synthèse!$G251,0,0,1,COUNTA(Synthèse!$10:$10)-6),"="&amp;$E$1)</f>
        <v>0</v>
      </c>
      <c r="F242" s="80">
        <f ca="1">COUNTIF(OFFSET(Synthèse!$G251,0,0,1,COUNTA(Synthèse!$10:$10)-6),"="&amp;$F$1)</f>
        <v>0</v>
      </c>
      <c r="G242" s="80">
        <f ca="1">COUNTIF(OFFSET(Synthèse!$G251,0,0,1,COUNTA(Synthèse!$10:$10)-6),"="&amp;$G$1)</f>
        <v>0</v>
      </c>
      <c r="H242" s="80">
        <f ca="1">COUNTIF(OFFSET(Synthèse!$G251,0,0,1,COUNTA(Synthèse!$10:$10)-6),"="&amp;$H$1)</f>
        <v>0</v>
      </c>
      <c r="I242" s="226">
        <f t="shared" ca="1" si="21"/>
        <v>0</v>
      </c>
      <c r="J242" s="68"/>
      <c r="AD242" s="68"/>
      <c r="AE242" s="214"/>
      <c r="AF242" s="9"/>
      <c r="AG242" s="241"/>
      <c r="AH242" s="9"/>
      <c r="AI242" s="9"/>
      <c r="AJ242" s="9"/>
      <c r="AK242" s="9"/>
      <c r="AL242" s="9"/>
      <c r="AM242" s="9"/>
      <c r="AN242" s="9"/>
      <c r="AO242" s="9"/>
      <c r="AP242" s="9"/>
      <c r="AQ242" s="9"/>
      <c r="AR242" s="9"/>
      <c r="AS242" s="9"/>
    </row>
    <row r="243" spans="1:45" x14ac:dyDescent="0.25">
      <c r="A243" s="68"/>
      <c r="B243" s="227" t="str">
        <f>Modèle!B245</f>
        <v>Consultation</v>
      </c>
      <c r="C243" s="228" t="str">
        <f>Modèle!D245</f>
        <v>13.2.1</v>
      </c>
      <c r="D243" s="229" t="str">
        <f>Modèle!E245</f>
        <v>A</v>
      </c>
      <c r="E243" s="179">
        <f ca="1">COUNTIF(OFFSET(Synthèse!$G252,0,0,1,COUNTA(Synthèse!$10:$10)-6),"="&amp;$E$1)</f>
        <v>0</v>
      </c>
      <c r="F243" s="179">
        <f ca="1">COUNTIF(OFFSET(Synthèse!$G252,0,0,1,COUNTA(Synthèse!$10:$10)-6),"="&amp;$F$1)</f>
        <v>0</v>
      </c>
      <c r="G243" s="179">
        <f ca="1">COUNTIF(OFFSET(Synthèse!$G252,0,0,1,COUNTA(Synthèse!$10:$10)-6),"="&amp;$G$1)</f>
        <v>0</v>
      </c>
      <c r="H243" s="179">
        <f ca="1">COUNTIF(OFFSET(Synthèse!$G252,0,0,1,COUNTA(Synthèse!$10:$10)-6),"="&amp;$H$1)</f>
        <v>0</v>
      </c>
      <c r="I243" s="226">
        <f t="shared" ca="1" si="21"/>
        <v>0</v>
      </c>
      <c r="J243" s="68"/>
      <c r="AD243" s="68"/>
    </row>
    <row r="244" spans="1:45" ht="15.75" x14ac:dyDescent="0.25">
      <c r="A244" s="68"/>
      <c r="B244" s="224" t="str">
        <f>Modèle!B246</f>
        <v>Consultation</v>
      </c>
      <c r="C244" s="225" t="str">
        <f>Modèle!D246</f>
        <v>13.3.1</v>
      </c>
      <c r="D244" s="85" t="str">
        <f>Modèle!E246</f>
        <v>A</v>
      </c>
      <c r="E244" s="80">
        <f ca="1">COUNTIF(OFFSET(Synthèse!$G253,0,0,1,COUNTA(Synthèse!$10:$10)-6),"="&amp;$E$1)</f>
        <v>0</v>
      </c>
      <c r="F244" s="80">
        <f ca="1">COUNTIF(OFFSET(Synthèse!$G253,0,0,1,COUNTA(Synthèse!$10:$10)-6),"="&amp;$F$1)</f>
        <v>0</v>
      </c>
      <c r="G244" s="80">
        <f ca="1">COUNTIF(OFFSET(Synthèse!$G253,0,0,1,COUNTA(Synthèse!$10:$10)-6),"="&amp;$G$1)</f>
        <v>0</v>
      </c>
      <c r="H244" s="80">
        <f ca="1">COUNTIF(OFFSET(Synthèse!$G253,0,0,1,COUNTA(Synthèse!$10:$10)-6),"="&amp;$H$1)</f>
        <v>0</v>
      </c>
      <c r="I244" s="226">
        <f t="shared" ca="1" si="21"/>
        <v>0</v>
      </c>
      <c r="J244" s="68"/>
      <c r="AD244" s="68"/>
      <c r="AE244" s="248" t="s">
        <v>1150</v>
      </c>
      <c r="AF244" s="249"/>
      <c r="AG244" s="242" t="s">
        <v>1142</v>
      </c>
      <c r="AH244" s="9"/>
      <c r="AI244" s="9"/>
      <c r="AJ244" s="9"/>
      <c r="AK244" s="9"/>
      <c r="AL244" s="9"/>
      <c r="AM244" s="9"/>
      <c r="AN244" s="9"/>
      <c r="AO244" s="9"/>
      <c r="AP244" s="9"/>
      <c r="AQ244" s="9"/>
      <c r="AR244" s="9"/>
      <c r="AS244" s="9"/>
    </row>
    <row r="245" spans="1:45" x14ac:dyDescent="0.25">
      <c r="A245" s="68"/>
      <c r="B245" s="227" t="str">
        <f>Modèle!B247</f>
        <v>Consultation</v>
      </c>
      <c r="C245" s="228" t="str">
        <f>Modèle!D247</f>
        <v>13.4.1</v>
      </c>
      <c r="D245" s="229" t="str">
        <f>Modèle!E247</f>
        <v>A</v>
      </c>
      <c r="E245" s="179">
        <f ca="1">COUNTIF(OFFSET(Synthèse!$G254,0,0,1,COUNTA(Synthèse!$10:$10)-6),"="&amp;$E$1)</f>
        <v>0</v>
      </c>
      <c r="F245" s="179">
        <f ca="1">COUNTIF(OFFSET(Synthèse!$G254,0,0,1,COUNTA(Synthèse!$10:$10)-6),"="&amp;$F$1)</f>
        <v>0</v>
      </c>
      <c r="G245" s="179">
        <f ca="1">COUNTIF(OFFSET(Synthèse!$G254,0,0,1,COUNTA(Synthèse!$10:$10)-6),"="&amp;$G$1)</f>
        <v>0</v>
      </c>
      <c r="H245" s="179">
        <f ca="1">COUNTIF(OFFSET(Synthèse!$G254,0,0,1,COUNTA(Synthèse!$10:$10)-6),"="&amp;$H$1)</f>
        <v>0</v>
      </c>
      <c r="I245" s="226">
        <f t="shared" ca="1" si="21"/>
        <v>0</v>
      </c>
      <c r="J245" s="68"/>
      <c r="AD245" s="68"/>
      <c r="AE245" s="212" t="s">
        <v>1136</v>
      </c>
      <c r="AF245" s="9"/>
      <c r="AG245" s="243" t="str">
        <f>AG$1</f>
        <v>Page1</v>
      </c>
      <c r="AH245" s="9"/>
      <c r="AI245" s="9"/>
      <c r="AJ245" s="9"/>
      <c r="AK245" s="9"/>
      <c r="AL245" s="9"/>
      <c r="AM245" s="9"/>
      <c r="AN245" s="9"/>
      <c r="AO245" s="9"/>
      <c r="AP245" s="9"/>
      <c r="AQ245" s="9"/>
      <c r="AR245" s="9"/>
      <c r="AS245" s="9"/>
    </row>
    <row r="246" spans="1:45" x14ac:dyDescent="0.25">
      <c r="A246" s="68"/>
      <c r="B246" s="224" t="str">
        <f>Modèle!B248</f>
        <v>Consultation</v>
      </c>
      <c r="C246" s="225" t="str">
        <f>Modèle!D248</f>
        <v>13.5.1</v>
      </c>
      <c r="D246" s="85" t="str">
        <f>Modèle!E248</f>
        <v>A</v>
      </c>
      <c r="E246" s="80">
        <f ca="1">COUNTIF(OFFSET(Synthèse!$G255,0,0,1,COUNTA(Synthèse!$10:$10)-6),"="&amp;$E$1)</f>
        <v>0</v>
      </c>
      <c r="F246" s="80">
        <f ca="1">COUNTIF(OFFSET(Synthèse!$G255,0,0,1,COUNTA(Synthèse!$10:$10)-6),"="&amp;$F$1)</f>
        <v>0</v>
      </c>
      <c r="G246" s="80">
        <f ca="1">COUNTIF(OFFSET(Synthèse!$G255,0,0,1,COUNTA(Synthèse!$10:$10)-6),"="&amp;$G$1)</f>
        <v>0</v>
      </c>
      <c r="H246" s="80">
        <f ca="1">COUNTIF(OFFSET(Synthèse!$G255,0,0,1,COUNTA(Synthèse!$10:$10)-6),"="&amp;$H$1)</f>
        <v>0</v>
      </c>
      <c r="I246" s="226">
        <f t="shared" ca="1" si="21"/>
        <v>0</v>
      </c>
      <c r="J246" s="68"/>
      <c r="AD246" s="68"/>
      <c r="AE246" s="213" t="str">
        <f t="shared" ref="AE246:AE278" si="25">$AE21</f>
        <v>1.1</v>
      </c>
      <c r="AF246" s="9"/>
      <c r="AG246" s="207">
        <f>IF(COUNTIFS(TabSynthez[Test],"="&amp;$AE21&amp;".*",TabSynthez[Colonne1],"Indéterminé")&gt;0,1,0)</f>
        <v>0</v>
      </c>
    </row>
    <row r="247" spans="1:45" x14ac:dyDescent="0.25">
      <c r="A247" s="68"/>
      <c r="B247" s="227" t="str">
        <f>Modèle!B249</f>
        <v>Consultation</v>
      </c>
      <c r="C247" s="228" t="str">
        <f>Modèle!D249</f>
        <v>13.6.1</v>
      </c>
      <c r="D247" s="229" t="str">
        <f>Modèle!E249</f>
        <v>A</v>
      </c>
      <c r="E247" s="179">
        <f ca="1">COUNTIF(OFFSET(Synthèse!$G256,0,0,1,COUNTA(Synthèse!$10:$10)-6),"="&amp;$E$1)</f>
        <v>0</v>
      </c>
      <c r="F247" s="179">
        <f ca="1">COUNTIF(OFFSET(Synthèse!$G256,0,0,1,COUNTA(Synthèse!$10:$10)-6),"="&amp;$F$1)</f>
        <v>0</v>
      </c>
      <c r="G247" s="179">
        <f ca="1">COUNTIF(OFFSET(Synthèse!$G256,0,0,1,COUNTA(Synthèse!$10:$10)-6),"="&amp;$G$1)</f>
        <v>0</v>
      </c>
      <c r="H247" s="179">
        <f ca="1">COUNTIF(OFFSET(Synthèse!$G256,0,0,1,COUNTA(Synthèse!$10:$10)-6),"="&amp;$H$1)</f>
        <v>0</v>
      </c>
      <c r="I247" s="226">
        <f t="shared" ca="1" si="21"/>
        <v>0</v>
      </c>
      <c r="J247" s="68"/>
      <c r="AD247" s="68"/>
      <c r="AE247" s="213" t="str">
        <f t="shared" si="25"/>
        <v>1.2</v>
      </c>
      <c r="AF247" s="9"/>
      <c r="AG247" s="207">
        <f>IF(COUNTIFS(TabSynthez[Test],"="&amp;$AE22&amp;".*",TabSynthez[Colonne1],"Indéterminé")&gt;0,1,0)</f>
        <v>0</v>
      </c>
    </row>
    <row r="248" spans="1:45" x14ac:dyDescent="0.25">
      <c r="A248" s="68"/>
      <c r="B248" s="224" t="str">
        <f>Modèle!B250</f>
        <v>Consultation</v>
      </c>
      <c r="C248" s="225" t="str">
        <f>Modèle!D250</f>
        <v>13.7.1</v>
      </c>
      <c r="D248" s="85" t="str">
        <f>Modèle!E250</f>
        <v>A</v>
      </c>
      <c r="E248" s="80">
        <f ca="1">COUNTIF(OFFSET(Synthèse!$G257,0,0,1,COUNTA(Synthèse!$10:$10)-6),"="&amp;$E$1)</f>
        <v>0</v>
      </c>
      <c r="F248" s="80">
        <f ca="1">COUNTIF(OFFSET(Synthèse!$G257,0,0,1,COUNTA(Synthèse!$10:$10)-6),"="&amp;$F$1)</f>
        <v>0</v>
      </c>
      <c r="G248" s="80">
        <f ca="1">COUNTIF(OFFSET(Synthèse!$G257,0,0,1,COUNTA(Synthèse!$10:$10)-6),"="&amp;$G$1)</f>
        <v>0</v>
      </c>
      <c r="H248" s="80">
        <f ca="1">COUNTIF(OFFSET(Synthèse!$G257,0,0,1,COUNTA(Synthèse!$10:$10)-6),"="&amp;$H$1)</f>
        <v>0</v>
      </c>
      <c r="I248" s="226">
        <f t="shared" ca="1" si="21"/>
        <v>0</v>
      </c>
      <c r="J248" s="68"/>
      <c r="AD248" s="68"/>
      <c r="AE248" s="213" t="str">
        <f t="shared" si="25"/>
        <v>1.3</v>
      </c>
      <c r="AF248" s="9"/>
      <c r="AG248" s="207">
        <f>IF(COUNTIFS(TabSynthez[Test],"="&amp;$AE23&amp;".*",TabSynthez[Colonne1],"Indéterminé")&gt;0,1,0)</f>
        <v>0</v>
      </c>
    </row>
    <row r="249" spans="1:45" x14ac:dyDescent="0.25">
      <c r="A249" s="68"/>
      <c r="B249" s="224" t="str">
        <f>Modèle!B251</f>
        <v>Consultation</v>
      </c>
      <c r="C249" s="225" t="str">
        <f>Modèle!D251</f>
        <v>13.7.2</v>
      </c>
      <c r="D249" s="85" t="str">
        <f>Modèle!E251</f>
        <v>A</v>
      </c>
      <c r="E249" s="80">
        <f ca="1">COUNTIF(OFFSET(Synthèse!$G258,0,0,1,COUNTA(Synthèse!$10:$10)-6),"="&amp;$E$1)</f>
        <v>0</v>
      </c>
      <c r="F249" s="80">
        <f ca="1">COUNTIF(OFFSET(Synthèse!$G258,0,0,1,COUNTA(Synthèse!$10:$10)-6),"="&amp;$F$1)</f>
        <v>0</v>
      </c>
      <c r="G249" s="80">
        <f ca="1">COUNTIF(OFFSET(Synthèse!$G258,0,0,1,COUNTA(Synthèse!$10:$10)-6),"="&amp;$G$1)</f>
        <v>0</v>
      </c>
      <c r="H249" s="80">
        <f ca="1">COUNTIF(OFFSET(Synthèse!$G258,0,0,1,COUNTA(Synthèse!$10:$10)-6),"="&amp;$H$1)</f>
        <v>0</v>
      </c>
      <c r="I249" s="226">
        <f t="shared" ca="1" si="21"/>
        <v>0</v>
      </c>
      <c r="J249" s="68"/>
      <c r="AD249" s="68"/>
      <c r="AE249" s="213" t="str">
        <f t="shared" si="25"/>
        <v>1.4</v>
      </c>
      <c r="AF249" s="9"/>
      <c r="AG249" s="207">
        <f>IF(COUNTIFS(TabSynthez[Test],"="&amp;$AE24&amp;".*",TabSynthez[Colonne1],"Indéterminé")&gt;0,1,0)</f>
        <v>0</v>
      </c>
    </row>
    <row r="250" spans="1:45" x14ac:dyDescent="0.25">
      <c r="A250" s="68"/>
      <c r="B250" s="224" t="str">
        <f>Modèle!B252</f>
        <v>Consultation</v>
      </c>
      <c r="C250" s="225" t="str">
        <f>Modèle!D252</f>
        <v>13.7.3</v>
      </c>
      <c r="D250" s="85" t="str">
        <f>Modèle!E252</f>
        <v>A</v>
      </c>
      <c r="E250" s="80">
        <f ca="1">COUNTIF(OFFSET(Synthèse!$G259,0,0,1,COUNTA(Synthèse!$10:$10)-6),"="&amp;$E$1)</f>
        <v>0</v>
      </c>
      <c r="F250" s="80">
        <f ca="1">COUNTIF(OFFSET(Synthèse!$G259,0,0,1,COUNTA(Synthèse!$10:$10)-6),"="&amp;$F$1)</f>
        <v>0</v>
      </c>
      <c r="G250" s="80">
        <f ca="1">COUNTIF(OFFSET(Synthèse!$G259,0,0,1,COUNTA(Synthèse!$10:$10)-6),"="&amp;$G$1)</f>
        <v>0</v>
      </c>
      <c r="H250" s="80">
        <f ca="1">COUNTIF(OFFSET(Synthèse!$G259,0,0,1,COUNTA(Synthèse!$10:$10)-6),"="&amp;$H$1)</f>
        <v>0</v>
      </c>
      <c r="I250" s="226">
        <f t="shared" ca="1" si="21"/>
        <v>0</v>
      </c>
      <c r="J250" s="68"/>
      <c r="AD250" s="68"/>
      <c r="AE250" s="213" t="str">
        <f t="shared" si="25"/>
        <v>1.5</v>
      </c>
      <c r="AF250" s="9"/>
      <c r="AG250" s="207">
        <f>IF(COUNTIFS(TabSynthez[Test],"="&amp;$AE25&amp;".*",TabSynthez[Colonne1],"Indéterminé")&gt;0,1,0)</f>
        <v>0</v>
      </c>
    </row>
    <row r="251" spans="1:45" x14ac:dyDescent="0.25">
      <c r="A251" s="68"/>
      <c r="B251" s="227" t="str">
        <f>Modèle!B253</f>
        <v>Consultation</v>
      </c>
      <c r="C251" s="228" t="str">
        <f>Modèle!D253</f>
        <v>13.8.1</v>
      </c>
      <c r="D251" s="229" t="str">
        <f>Modèle!E253</f>
        <v>A</v>
      </c>
      <c r="E251" s="179">
        <f ca="1">COUNTIF(OFFSET(Synthèse!$G260,0,0,1,COUNTA(Synthèse!$10:$10)-6),"="&amp;$E$1)</f>
        <v>0</v>
      </c>
      <c r="F251" s="179">
        <f ca="1">COUNTIF(OFFSET(Synthèse!$G260,0,0,1,COUNTA(Synthèse!$10:$10)-6),"="&amp;$F$1)</f>
        <v>0</v>
      </c>
      <c r="G251" s="179">
        <f ca="1">COUNTIF(OFFSET(Synthèse!$G260,0,0,1,COUNTA(Synthèse!$10:$10)-6),"="&amp;$G$1)</f>
        <v>0</v>
      </c>
      <c r="H251" s="179">
        <f ca="1">COUNTIF(OFFSET(Synthèse!$G260,0,0,1,COUNTA(Synthèse!$10:$10)-6),"="&amp;$H$1)</f>
        <v>0</v>
      </c>
      <c r="I251" s="226">
        <f t="shared" ca="1" si="21"/>
        <v>0</v>
      </c>
      <c r="J251" s="68"/>
      <c r="AD251" s="68"/>
      <c r="AE251" s="213" t="str">
        <f t="shared" si="25"/>
        <v>1.6</v>
      </c>
      <c r="AF251" s="9"/>
      <c r="AG251" s="207">
        <f>IF(COUNTIFS(TabSynthez[Test],"="&amp;$AE26&amp;".*",TabSynthez[Colonne1],"Indéterminé")&gt;0,1,0)</f>
        <v>0</v>
      </c>
    </row>
    <row r="252" spans="1:45" x14ac:dyDescent="0.25">
      <c r="A252" s="68"/>
      <c r="B252" s="227" t="str">
        <f>Modèle!B254</f>
        <v>Consultation</v>
      </c>
      <c r="C252" s="228" t="str">
        <f>Modèle!D254</f>
        <v>13.8.2</v>
      </c>
      <c r="D252" s="229" t="str">
        <f>Modèle!E254</f>
        <v>A</v>
      </c>
      <c r="E252" s="179">
        <f ca="1">COUNTIF(OFFSET(Synthèse!$G261,0,0,1,COUNTA(Synthèse!$10:$10)-6),"="&amp;$E$1)</f>
        <v>0</v>
      </c>
      <c r="F252" s="179">
        <f ca="1">COUNTIF(OFFSET(Synthèse!$G261,0,0,1,COUNTA(Synthèse!$10:$10)-6),"="&amp;$F$1)</f>
        <v>0</v>
      </c>
      <c r="G252" s="179">
        <f ca="1">COUNTIF(OFFSET(Synthèse!$G261,0,0,1,COUNTA(Synthèse!$10:$10)-6),"="&amp;$G$1)</f>
        <v>0</v>
      </c>
      <c r="H252" s="179">
        <f ca="1">COUNTIF(OFFSET(Synthèse!$G261,0,0,1,COUNTA(Synthèse!$10:$10)-6),"="&amp;$H$1)</f>
        <v>0</v>
      </c>
      <c r="I252" s="226">
        <f t="shared" ca="1" si="21"/>
        <v>0</v>
      </c>
      <c r="J252" s="68"/>
      <c r="AD252" s="68"/>
      <c r="AE252" s="213" t="str">
        <f t="shared" si="25"/>
        <v>1.7</v>
      </c>
      <c r="AF252" s="9"/>
      <c r="AG252" s="207">
        <f>IF(COUNTIFS(TabSynthez[Test],"="&amp;$AE27&amp;".*",TabSynthez[Colonne1],"Indéterminé")&gt;0,1,0)</f>
        <v>0</v>
      </c>
    </row>
    <row r="253" spans="1:45" x14ac:dyDescent="0.25">
      <c r="A253" s="68"/>
      <c r="B253" s="224" t="str">
        <f>Modèle!B255</f>
        <v>Consultation</v>
      </c>
      <c r="C253" s="225" t="str">
        <f>Modèle!D255</f>
        <v>13.9.1</v>
      </c>
      <c r="D253" s="85" t="str">
        <f>Modèle!E255</f>
        <v>AA</v>
      </c>
      <c r="E253" s="80">
        <f ca="1">COUNTIF(OFFSET(Synthèse!$G262,0,0,1,COUNTA(Synthèse!$10:$10)-6),"="&amp;$E$1)</f>
        <v>0</v>
      </c>
      <c r="F253" s="80">
        <f ca="1">COUNTIF(OFFSET(Synthèse!$G262,0,0,1,COUNTA(Synthèse!$10:$10)-6),"="&amp;$F$1)</f>
        <v>0</v>
      </c>
      <c r="G253" s="80">
        <f ca="1">COUNTIF(OFFSET(Synthèse!$G262,0,0,1,COUNTA(Synthèse!$10:$10)-6),"="&amp;$G$1)</f>
        <v>0</v>
      </c>
      <c r="H253" s="80">
        <f ca="1">COUNTIF(OFFSET(Synthèse!$G262,0,0,1,COUNTA(Synthèse!$10:$10)-6),"="&amp;$H$1)</f>
        <v>0</v>
      </c>
      <c r="I253" s="226">
        <f t="shared" ca="1" si="21"/>
        <v>0</v>
      </c>
      <c r="J253" s="68"/>
      <c r="AD253" s="68"/>
      <c r="AE253" s="213" t="str">
        <f t="shared" si="25"/>
        <v>1.8</v>
      </c>
      <c r="AF253" s="9"/>
      <c r="AG253" s="207">
        <f>IF(COUNTIFS(TabSynthez[Test],"="&amp;$AE28&amp;".*",TabSynthez[Colonne1],"Indéterminé")&gt;0,1,0)</f>
        <v>0</v>
      </c>
    </row>
    <row r="254" spans="1:45" x14ac:dyDescent="0.25">
      <c r="A254" s="68"/>
      <c r="B254" s="227" t="str">
        <f>Modèle!B256</f>
        <v>Consultation</v>
      </c>
      <c r="C254" s="228" t="str">
        <f>Modèle!D256</f>
        <v>13.10.1</v>
      </c>
      <c r="D254" s="229" t="str">
        <f>Modèle!E256</f>
        <v>A</v>
      </c>
      <c r="E254" s="179">
        <f ca="1">COUNTIF(OFFSET(Synthèse!$G263,0,0,1,COUNTA(Synthèse!$10:$10)-6),"="&amp;$E$1)</f>
        <v>0</v>
      </c>
      <c r="F254" s="179">
        <f ca="1">COUNTIF(OFFSET(Synthèse!$G263,0,0,1,COUNTA(Synthèse!$10:$10)-6),"="&amp;$F$1)</f>
        <v>0</v>
      </c>
      <c r="G254" s="179">
        <f ca="1">COUNTIF(OFFSET(Synthèse!$G263,0,0,1,COUNTA(Synthèse!$10:$10)-6),"="&amp;$G$1)</f>
        <v>0</v>
      </c>
      <c r="H254" s="179">
        <f ca="1">COUNTIF(OFFSET(Synthèse!$G263,0,0,1,COUNTA(Synthèse!$10:$10)-6),"="&amp;$H$1)</f>
        <v>0</v>
      </c>
      <c r="I254" s="226">
        <f t="shared" ca="1" si="21"/>
        <v>0</v>
      </c>
      <c r="J254" s="68"/>
      <c r="AD254" s="68"/>
      <c r="AE254" s="213" t="str">
        <f t="shared" si="25"/>
        <v>1.9</v>
      </c>
      <c r="AF254" s="9"/>
      <c r="AG254" s="207">
        <f>IF(COUNTIFS(TabSynthez[Test],"="&amp;$AE29&amp;".*",TabSynthez[Colonne1],"Indéterminé")&gt;0,1,0)</f>
        <v>0</v>
      </c>
    </row>
    <row r="255" spans="1:45" x14ac:dyDescent="0.25">
      <c r="A255" s="68"/>
      <c r="B255" s="227" t="str">
        <f>Modèle!B257</f>
        <v>Consultation</v>
      </c>
      <c r="C255" s="228" t="str">
        <f>Modèle!D257</f>
        <v>13.10.2</v>
      </c>
      <c r="D255" s="229" t="str">
        <f>Modèle!E257</f>
        <v>A</v>
      </c>
      <c r="E255" s="179">
        <f ca="1">COUNTIF(OFFSET(Synthèse!$G264,0,0,1,COUNTA(Synthèse!$10:$10)-6),"="&amp;$E$1)</f>
        <v>0</v>
      </c>
      <c r="F255" s="179">
        <f ca="1">COUNTIF(OFFSET(Synthèse!$G264,0,0,1,COUNTA(Synthèse!$10:$10)-6),"="&amp;$F$1)</f>
        <v>0</v>
      </c>
      <c r="G255" s="179">
        <f ca="1">COUNTIF(OFFSET(Synthèse!$G264,0,0,1,COUNTA(Synthèse!$10:$10)-6),"="&amp;$G$1)</f>
        <v>0</v>
      </c>
      <c r="H255" s="179">
        <f ca="1">COUNTIF(OFFSET(Synthèse!$G264,0,0,1,COUNTA(Synthèse!$10:$10)-6),"="&amp;$H$1)</f>
        <v>0</v>
      </c>
      <c r="I255" s="226">
        <f t="shared" ca="1" si="21"/>
        <v>0</v>
      </c>
      <c r="J255" s="68"/>
      <c r="AD255" s="68"/>
      <c r="AE255" s="213" t="str">
        <f t="shared" si="25"/>
        <v>2.1</v>
      </c>
      <c r="AF255" s="9"/>
      <c r="AG255" s="207">
        <f>IF(COUNTIFS(TabSynthez[Test],"="&amp;$AE30&amp;".*",TabSynthez[Colonne1],"Indéterminé")&gt;0,1,0)</f>
        <v>0</v>
      </c>
    </row>
    <row r="256" spans="1:45" x14ac:dyDescent="0.25">
      <c r="A256" s="68"/>
      <c r="B256" s="224" t="str">
        <f>Modèle!B258</f>
        <v>Consultation</v>
      </c>
      <c r="C256" s="225" t="str">
        <f>Modèle!D258</f>
        <v>13.11.1</v>
      </c>
      <c r="D256" s="85" t="str">
        <f>Modèle!E258</f>
        <v>A</v>
      </c>
      <c r="E256" s="80">
        <f ca="1">COUNTIF(OFFSET(Synthèse!$G265,0,0,1,COUNTA(Synthèse!$10:$10)-6),"="&amp;$E$1)</f>
        <v>0</v>
      </c>
      <c r="F256" s="80">
        <f ca="1">COUNTIF(OFFSET(Synthèse!$G265,0,0,1,COUNTA(Synthèse!$10:$10)-6),"="&amp;$F$1)</f>
        <v>0</v>
      </c>
      <c r="G256" s="80">
        <f ca="1">COUNTIF(OFFSET(Synthèse!$G265,0,0,1,COUNTA(Synthèse!$10:$10)-6),"="&amp;$G$1)</f>
        <v>0</v>
      </c>
      <c r="H256" s="80">
        <f ca="1">COUNTIF(OFFSET(Synthèse!$G265,0,0,1,COUNTA(Synthèse!$10:$10)-6),"="&amp;$H$1)</f>
        <v>0</v>
      </c>
      <c r="I256" s="226">
        <f t="shared" ca="1" si="21"/>
        <v>0</v>
      </c>
      <c r="J256" s="68"/>
      <c r="AD256" s="68"/>
      <c r="AE256" s="213" t="str">
        <f t="shared" si="25"/>
        <v>2.2</v>
      </c>
      <c r="AF256" s="9"/>
      <c r="AG256" s="207">
        <f>IF(COUNTIFS(TabSynthez[Test],"="&amp;$AE31&amp;".*",TabSynthez[Colonne1],"Indéterminé")&gt;0,1,0)</f>
        <v>0</v>
      </c>
    </row>
    <row r="257" spans="1:33" x14ac:dyDescent="0.25">
      <c r="A257" s="68"/>
      <c r="B257" s="227" t="str">
        <f>Modèle!B259</f>
        <v>Consultation</v>
      </c>
      <c r="C257" s="228" t="str">
        <f>Modèle!D259</f>
        <v>13.12.1</v>
      </c>
      <c r="D257" s="229" t="str">
        <f>Modèle!E259</f>
        <v>A</v>
      </c>
      <c r="E257" s="179">
        <f ca="1">COUNTIF(OFFSET(Synthèse!$G266,0,0,1,COUNTA(Synthèse!$10:$10)-6),"="&amp;$E$1)</f>
        <v>0</v>
      </c>
      <c r="F257" s="179">
        <f ca="1">COUNTIF(OFFSET(Synthèse!$G266,0,0,1,COUNTA(Synthèse!$10:$10)-6),"="&amp;$F$1)</f>
        <v>0</v>
      </c>
      <c r="G257" s="179">
        <f ca="1">COUNTIF(OFFSET(Synthèse!$G266,0,0,1,COUNTA(Synthèse!$10:$10)-6),"="&amp;$G$1)</f>
        <v>0</v>
      </c>
      <c r="H257" s="179">
        <f ca="1">COUNTIF(OFFSET(Synthèse!$G266,0,0,1,COUNTA(Synthèse!$10:$10)-6),"="&amp;$H$1)</f>
        <v>0</v>
      </c>
      <c r="I257" s="226">
        <f t="shared" ca="1" si="21"/>
        <v>0</v>
      </c>
      <c r="J257" s="68"/>
      <c r="AD257" s="68"/>
      <c r="AE257" s="213" t="str">
        <f t="shared" si="25"/>
        <v>3.1</v>
      </c>
      <c r="AF257" s="9"/>
      <c r="AG257" s="207">
        <f>IF(COUNTIFS(TabSynthez[Test],"="&amp;$AE32&amp;".*",TabSynthez[Colonne1],"Indéterminé")&gt;0,1,0)</f>
        <v>0</v>
      </c>
    </row>
    <row r="258" spans="1:33" x14ac:dyDescent="0.25">
      <c r="A258" s="68"/>
      <c r="B258" s="227" t="str">
        <f>Modèle!B260</f>
        <v>Consultation</v>
      </c>
      <c r="C258" s="228" t="str">
        <f>Modèle!D260</f>
        <v>13.12.2</v>
      </c>
      <c r="D258" s="229" t="str">
        <f>Modèle!E260</f>
        <v>A</v>
      </c>
      <c r="E258" s="179">
        <f ca="1">COUNTIF(OFFSET(Synthèse!$G267,0,0,1,COUNTA(Synthèse!$10:$10)-6),"="&amp;$E$1)</f>
        <v>0</v>
      </c>
      <c r="F258" s="179">
        <f ca="1">COUNTIF(OFFSET(Synthèse!$G267,0,0,1,COUNTA(Synthèse!$10:$10)-6),"="&amp;$F$1)</f>
        <v>0</v>
      </c>
      <c r="G258" s="179">
        <f ca="1">COUNTIF(OFFSET(Synthèse!$G267,0,0,1,COUNTA(Synthèse!$10:$10)-6),"="&amp;$G$1)</f>
        <v>0</v>
      </c>
      <c r="H258" s="179">
        <f ca="1">COUNTIF(OFFSET(Synthèse!$G267,0,0,1,COUNTA(Synthèse!$10:$10)-6),"="&amp;$H$1)</f>
        <v>0</v>
      </c>
      <c r="I258" s="226">
        <f t="shared" ca="1" si="21"/>
        <v>0</v>
      </c>
      <c r="J258" s="68"/>
      <c r="AD258" s="68"/>
      <c r="AE258" s="213" t="str">
        <f t="shared" si="25"/>
        <v>3.2</v>
      </c>
      <c r="AF258" s="9"/>
      <c r="AG258" s="207">
        <f>IF(COUNTIFS(TabSynthez[Test],"="&amp;$AE33&amp;".*",TabSynthez[Colonne1],"Indéterminé")&gt;0,1,0)</f>
        <v>0</v>
      </c>
    </row>
    <row r="259" spans="1:33" x14ac:dyDescent="0.25">
      <c r="A259" s="68"/>
      <c r="B259" s="227" t="str">
        <f>Modèle!B261</f>
        <v>Consultation</v>
      </c>
      <c r="C259" s="228" t="str">
        <f>Modèle!D261</f>
        <v>13.12.3</v>
      </c>
      <c r="D259" s="229" t="str">
        <f>Modèle!E261</f>
        <v>A</v>
      </c>
      <c r="E259" s="179">
        <f ca="1">COUNTIF(OFFSET(Synthèse!$G268,0,0,1,COUNTA(Synthèse!$10:$10)-6),"="&amp;$E$1)</f>
        <v>0</v>
      </c>
      <c r="F259" s="179">
        <f ca="1">COUNTIF(OFFSET(Synthèse!$G268,0,0,1,COUNTA(Synthèse!$10:$10)-6),"="&amp;$F$1)</f>
        <v>0</v>
      </c>
      <c r="G259" s="179">
        <f ca="1">COUNTIF(OFFSET(Synthèse!$G268,0,0,1,COUNTA(Synthèse!$10:$10)-6),"="&amp;$G$1)</f>
        <v>0</v>
      </c>
      <c r="H259" s="179">
        <f ca="1">COUNTIF(OFFSET(Synthèse!$G268,0,0,1,COUNTA(Synthèse!$10:$10)-6),"="&amp;$H$1)</f>
        <v>0</v>
      </c>
      <c r="I259" s="226">
        <f t="shared" ca="1" si="21"/>
        <v>0</v>
      </c>
      <c r="J259" s="68"/>
      <c r="AD259" s="68"/>
      <c r="AE259" s="213" t="str">
        <f t="shared" si="25"/>
        <v>3.3</v>
      </c>
      <c r="AF259" s="9"/>
      <c r="AG259" s="207">
        <f>IF(COUNTIFS(TabSynthez[Test],"="&amp;$AE34&amp;".*",TabSynthez[Colonne1],"Indéterminé")&gt;0,1,0)</f>
        <v>0</v>
      </c>
    </row>
    <row r="260" spans="1:33" x14ac:dyDescent="0.25">
      <c r="A260" s="68"/>
      <c r="B260" s="9"/>
      <c r="C260" s="9"/>
      <c r="D260" s="230" t="s">
        <v>1141</v>
      </c>
      <c r="E260" s="230">
        <f ca="1">SUM($E$2:$E$259)</f>
        <v>0</v>
      </c>
      <c r="F260" s="230">
        <f ca="1">SUM($F$2:$F$259)</f>
        <v>0</v>
      </c>
      <c r="G260" s="230">
        <f ca="1">SUM($G$2:$G$259)</f>
        <v>0</v>
      </c>
      <c r="H260" s="230">
        <f ca="1">SUM($H$2:$H$259)</f>
        <v>0</v>
      </c>
      <c r="I260" s="9"/>
      <c r="J260" s="68"/>
      <c r="AD260" s="68"/>
      <c r="AE260" s="213" t="str">
        <f t="shared" si="25"/>
        <v>4.1</v>
      </c>
      <c r="AF260" s="9"/>
      <c r="AG260" s="207">
        <f>IF(COUNTIFS(TabSynthez[Test],"="&amp;$AE35&amp;".*",TabSynthez[Colonne1],"Indéterminé")&gt;0,1,0)</f>
        <v>0</v>
      </c>
    </row>
    <row r="261" spans="1:33" x14ac:dyDescent="0.25">
      <c r="A261" s="68"/>
      <c r="J261" s="68"/>
      <c r="AD261" s="68"/>
      <c r="AE261" s="213" t="str">
        <f t="shared" si="25"/>
        <v>4.2</v>
      </c>
      <c r="AF261" s="9"/>
      <c r="AG261" s="207">
        <f>IF(COUNTIFS(TabSynthez[Test],"="&amp;$AE36&amp;".*",TabSynthez[Colonne1],"Indéterminé")&gt;0,1,0)</f>
        <v>0</v>
      </c>
    </row>
    <row r="262" spans="1:33" x14ac:dyDescent="0.25">
      <c r="AD262" s="68"/>
      <c r="AE262" s="213" t="str">
        <f t="shared" si="25"/>
        <v>4.3</v>
      </c>
      <c r="AF262" s="9"/>
      <c r="AG262" s="207">
        <f>IF(COUNTIFS(TabSynthez[Test],"="&amp;$AE37&amp;".*",TabSynthez[Colonne1],"Indéterminé")&gt;0,1,0)</f>
        <v>0</v>
      </c>
    </row>
    <row r="263" spans="1:33" x14ac:dyDescent="0.25">
      <c r="AD263" s="68"/>
      <c r="AE263" s="213" t="str">
        <f t="shared" si="25"/>
        <v>4.4</v>
      </c>
      <c r="AF263" s="9"/>
      <c r="AG263" s="207">
        <f>IF(COUNTIFS(TabSynthez[Test],"="&amp;$AE38&amp;".*",TabSynthez[Colonne1],"Indéterminé")&gt;0,1,0)</f>
        <v>0</v>
      </c>
    </row>
    <row r="264" spans="1:33" x14ac:dyDescent="0.25">
      <c r="AD264" s="68"/>
      <c r="AE264" s="213" t="str">
        <f t="shared" si="25"/>
        <v>4.5</v>
      </c>
      <c r="AF264" s="9"/>
      <c r="AG264" s="207">
        <f>IF(COUNTIFS(TabSynthez[Test],"="&amp;$AE39&amp;".*",TabSynthez[Colonne1],"Indéterminé")&gt;0,1,0)</f>
        <v>0</v>
      </c>
    </row>
    <row r="265" spans="1:33" x14ac:dyDescent="0.25">
      <c r="AD265" s="68"/>
      <c r="AE265" s="213" t="str">
        <f t="shared" si="25"/>
        <v>4.6</v>
      </c>
      <c r="AF265" s="9"/>
      <c r="AG265" s="207">
        <f>IF(COUNTIFS(TabSynthez[Test],"="&amp;$AE40&amp;".*",TabSynthez[Colonne1],"Indéterminé")&gt;0,1,0)</f>
        <v>0</v>
      </c>
    </row>
    <row r="266" spans="1:33" x14ac:dyDescent="0.25">
      <c r="AD266" s="68"/>
      <c r="AE266" s="213" t="str">
        <f t="shared" si="25"/>
        <v>4.7</v>
      </c>
      <c r="AF266" s="9"/>
      <c r="AG266" s="207">
        <f>IF(COUNTIFS(TabSynthez[Test],"="&amp;$AE41&amp;".*",TabSynthez[Colonne1],"Indéterminé")&gt;0,1,0)</f>
        <v>0</v>
      </c>
    </row>
    <row r="267" spans="1:33" x14ac:dyDescent="0.25">
      <c r="AD267" s="68"/>
      <c r="AE267" s="213" t="str">
        <f t="shared" si="25"/>
        <v>4.8</v>
      </c>
      <c r="AF267" s="9"/>
      <c r="AG267" s="207">
        <f>IF(COUNTIFS(TabSynthez[Test],"="&amp;$AE42&amp;".*",TabSynthez[Colonne1],"Indéterminé")&gt;0,1,0)</f>
        <v>0</v>
      </c>
    </row>
    <row r="268" spans="1:33" x14ac:dyDescent="0.25">
      <c r="AD268" s="68"/>
      <c r="AE268" s="213" t="str">
        <f t="shared" si="25"/>
        <v>4.9</v>
      </c>
      <c r="AF268" s="9"/>
      <c r="AG268" s="207">
        <f>IF(COUNTIFS(TabSynthez[Test],"="&amp;$AE43&amp;".*",TabSynthez[Colonne1],"Indéterminé")&gt;0,1,0)</f>
        <v>0</v>
      </c>
    </row>
    <row r="269" spans="1:33" x14ac:dyDescent="0.25">
      <c r="AD269" s="68"/>
      <c r="AE269" s="213" t="str">
        <f t="shared" si="25"/>
        <v>4.10</v>
      </c>
      <c r="AF269" s="9"/>
      <c r="AG269" s="207">
        <f>IF(COUNTIFS(TabSynthez[Test],"="&amp;$AE44&amp;".*",TabSynthez[Colonne1],"Indéterminé")&gt;0,1,0)</f>
        <v>0</v>
      </c>
    </row>
    <row r="270" spans="1:33" x14ac:dyDescent="0.25">
      <c r="AD270" s="68"/>
      <c r="AE270" s="213" t="str">
        <f t="shared" si="25"/>
        <v>4.11</v>
      </c>
      <c r="AF270" s="9"/>
      <c r="AG270" s="207">
        <f>IF(COUNTIFS(TabSynthez[Test],"="&amp;$AE45&amp;".*",TabSynthez[Colonne1],"Indéterminé")&gt;0,1,0)</f>
        <v>0</v>
      </c>
    </row>
    <row r="271" spans="1:33" x14ac:dyDescent="0.25">
      <c r="AD271" s="68"/>
      <c r="AE271" s="213" t="str">
        <f t="shared" si="25"/>
        <v>4.12</v>
      </c>
      <c r="AF271" s="9"/>
      <c r="AG271" s="207">
        <f>IF(COUNTIFS(TabSynthez[Test],"="&amp;$AE46&amp;".*",TabSynthez[Colonne1],"Indéterminé")&gt;0,1,0)</f>
        <v>0</v>
      </c>
    </row>
    <row r="272" spans="1:33" x14ac:dyDescent="0.25">
      <c r="AD272" s="68"/>
      <c r="AE272" s="213" t="str">
        <f t="shared" si="25"/>
        <v>4.13</v>
      </c>
      <c r="AF272" s="9"/>
      <c r="AG272" s="207">
        <f>IF(COUNTIFS(TabSynthez[Test],"="&amp;$AE47&amp;".*",TabSynthez[Colonne1],"Indéterminé")&gt;0,1,0)</f>
        <v>0</v>
      </c>
    </row>
    <row r="273" spans="30:33" x14ac:dyDescent="0.25">
      <c r="AD273" s="68"/>
      <c r="AE273" s="213" t="str">
        <f t="shared" si="25"/>
        <v>5.1</v>
      </c>
      <c r="AF273" s="9"/>
      <c r="AG273" s="207">
        <f>IF(COUNTIFS(TabSynthez[Test],"="&amp;$AE48&amp;".*",TabSynthez[Colonne1],"Indéterminé")&gt;0,1,0)</f>
        <v>0</v>
      </c>
    </row>
    <row r="274" spans="30:33" x14ac:dyDescent="0.25">
      <c r="AD274" s="68"/>
      <c r="AE274" s="213" t="str">
        <f t="shared" si="25"/>
        <v>5.2</v>
      </c>
      <c r="AF274" s="9"/>
      <c r="AG274" s="207">
        <f>IF(COUNTIFS(TabSynthez[Test],"="&amp;$AE49&amp;".*",TabSynthez[Colonne1],"Indéterminé")&gt;0,1,0)</f>
        <v>0</v>
      </c>
    </row>
    <row r="275" spans="30:33" x14ac:dyDescent="0.25">
      <c r="AD275" s="68"/>
      <c r="AE275" s="213" t="str">
        <f t="shared" si="25"/>
        <v>5.3</v>
      </c>
      <c r="AF275" s="9"/>
      <c r="AG275" s="207">
        <f>IF(COUNTIFS(TabSynthez[Test],"="&amp;$AE50&amp;".*",TabSynthez[Colonne1],"Indéterminé")&gt;0,1,0)</f>
        <v>0</v>
      </c>
    </row>
    <row r="276" spans="30:33" x14ac:dyDescent="0.25">
      <c r="AD276" s="68"/>
      <c r="AE276" s="213" t="str">
        <f t="shared" si="25"/>
        <v>5.4</v>
      </c>
      <c r="AF276" s="9"/>
      <c r="AG276" s="207">
        <f>IF(COUNTIFS(TabSynthez[Test],"="&amp;$AE51&amp;".*",TabSynthez[Colonne1],"Indéterminé")&gt;0,1,0)</f>
        <v>0</v>
      </c>
    </row>
    <row r="277" spans="30:33" x14ac:dyDescent="0.25">
      <c r="AD277" s="68"/>
      <c r="AE277" s="213" t="str">
        <f t="shared" si="25"/>
        <v>5.5</v>
      </c>
      <c r="AF277" s="9"/>
      <c r="AG277" s="207">
        <f>IF(COUNTIFS(TabSynthez[Test],"="&amp;$AE52&amp;".*",TabSynthez[Colonne1],"Indéterminé")&gt;0,1,0)</f>
        <v>0</v>
      </c>
    </row>
    <row r="278" spans="30:33" x14ac:dyDescent="0.25">
      <c r="AD278" s="68"/>
      <c r="AE278" s="213" t="str">
        <f t="shared" si="25"/>
        <v>5.6</v>
      </c>
      <c r="AF278" s="9"/>
      <c r="AG278" s="207">
        <f>IF(COUNTIFS(TabSynthez[Test],"="&amp;$AE53&amp;".*",TabSynthez[Colonne1],"Indéterminé")&gt;0,1,0)</f>
        <v>0</v>
      </c>
    </row>
    <row r="279" spans="30:33" x14ac:dyDescent="0.25">
      <c r="AD279" s="68"/>
      <c r="AE279" s="213" t="str">
        <f t="shared" ref="AE279:AE310" si="26">$AE55</f>
        <v>5.7</v>
      </c>
      <c r="AF279" s="9"/>
      <c r="AG279" s="207">
        <f>IF(COUNTIFS(TabSynthez[Test],"="&amp;$AE55&amp;".*",TabSynthez[Colonne1],"Indéterminé")&gt;0,1,0)</f>
        <v>0</v>
      </c>
    </row>
    <row r="280" spans="30:33" x14ac:dyDescent="0.25">
      <c r="AD280" s="68"/>
      <c r="AE280" s="213" t="str">
        <f t="shared" si="26"/>
        <v>5.8</v>
      </c>
      <c r="AF280" s="9"/>
      <c r="AG280" s="207">
        <f>IF(COUNTIFS(TabSynthez[Test],"="&amp;$AE56&amp;".*",TabSynthez[Colonne1],"Indéterminé")&gt;0,1,0)</f>
        <v>0</v>
      </c>
    </row>
    <row r="281" spans="30:33" x14ac:dyDescent="0.25">
      <c r="AD281" s="68"/>
      <c r="AE281" s="213" t="str">
        <f t="shared" si="26"/>
        <v>6.1</v>
      </c>
      <c r="AF281" s="9"/>
      <c r="AG281" s="207">
        <f>IF(COUNTIFS(TabSynthez[Test],"="&amp;$AE57&amp;".*",TabSynthez[Colonne1],"Indéterminé")&gt;0,1,0)</f>
        <v>0</v>
      </c>
    </row>
    <row r="282" spans="30:33" x14ac:dyDescent="0.25">
      <c r="AD282" s="68"/>
      <c r="AE282" s="213" t="str">
        <f t="shared" si="26"/>
        <v>6.2</v>
      </c>
      <c r="AF282" s="9"/>
      <c r="AG282" s="207">
        <f>IF(COUNTIFS(TabSynthez[Test],"="&amp;$AE58&amp;".*",TabSynthez[Colonne1],"Indéterminé")&gt;0,1,0)</f>
        <v>0</v>
      </c>
    </row>
    <row r="283" spans="30:33" x14ac:dyDescent="0.25">
      <c r="AD283" s="68"/>
      <c r="AE283" s="213" t="str">
        <f t="shared" si="26"/>
        <v>7.1</v>
      </c>
      <c r="AF283" s="9"/>
      <c r="AG283" s="207">
        <f>IF(COUNTIFS(TabSynthez[Test],"="&amp;$AE59&amp;".*",TabSynthez[Colonne1],"Indéterminé")&gt;0,1,0)</f>
        <v>0</v>
      </c>
    </row>
    <row r="284" spans="30:33" x14ac:dyDescent="0.25">
      <c r="AD284" s="68"/>
      <c r="AE284" s="213" t="str">
        <f t="shared" si="26"/>
        <v>7.2</v>
      </c>
      <c r="AF284" s="9"/>
      <c r="AG284" s="207">
        <f>IF(COUNTIFS(TabSynthez[Test],"="&amp;$AE60&amp;".*",TabSynthez[Colonne1],"Indéterminé")&gt;0,1,0)</f>
        <v>0</v>
      </c>
    </row>
    <row r="285" spans="30:33" x14ac:dyDescent="0.25">
      <c r="AD285" s="68"/>
      <c r="AE285" s="213" t="str">
        <f t="shared" si="26"/>
        <v>7.3</v>
      </c>
      <c r="AF285" s="9"/>
      <c r="AG285" s="207">
        <f>IF(COUNTIFS(TabSynthez[Test],"="&amp;$AE61&amp;".*",TabSynthez[Colonne1],"Indéterminé")&gt;0,1,0)</f>
        <v>0</v>
      </c>
    </row>
    <row r="286" spans="30:33" x14ac:dyDescent="0.25">
      <c r="AD286" s="68"/>
      <c r="AE286" s="213" t="str">
        <f t="shared" si="26"/>
        <v>7.4</v>
      </c>
      <c r="AF286" s="9"/>
      <c r="AG286" s="207">
        <f>IF(COUNTIFS(TabSynthez[Test],"="&amp;$AE62&amp;".*",TabSynthez[Colonne1],"Indéterminé")&gt;0,1,0)</f>
        <v>0</v>
      </c>
    </row>
    <row r="287" spans="30:33" x14ac:dyDescent="0.25">
      <c r="AD287" s="68"/>
      <c r="AE287" s="213" t="str">
        <f t="shared" si="26"/>
        <v>7.5</v>
      </c>
      <c r="AF287" s="9"/>
      <c r="AG287" s="207">
        <f>IF(COUNTIFS(TabSynthez[Test],"="&amp;$AE63&amp;".*",TabSynthez[Colonne1],"Indéterminé")&gt;0,1,0)</f>
        <v>0</v>
      </c>
    </row>
    <row r="288" spans="30:33" x14ac:dyDescent="0.25">
      <c r="AD288" s="68"/>
      <c r="AE288" s="213" t="str">
        <f t="shared" si="26"/>
        <v>8.1</v>
      </c>
      <c r="AF288" s="9"/>
      <c r="AG288" s="207">
        <f>IF(COUNTIFS(TabSynthez[Test],"="&amp;$AE64&amp;".*",TabSynthez[Colonne1],"Indéterminé")&gt;0,1,0)</f>
        <v>0</v>
      </c>
    </row>
    <row r="289" spans="30:33" x14ac:dyDescent="0.25">
      <c r="AD289" s="68"/>
      <c r="AE289" s="213" t="str">
        <f t="shared" si="26"/>
        <v>8.2</v>
      </c>
      <c r="AF289" s="9"/>
      <c r="AG289" s="207">
        <f>IF(COUNTIFS(TabSynthez[Test],"="&amp;$AE65&amp;".*",TabSynthez[Colonne1],"Indéterminé")&gt;0,1,0)</f>
        <v>0</v>
      </c>
    </row>
    <row r="290" spans="30:33" x14ac:dyDescent="0.25">
      <c r="AD290" s="68"/>
      <c r="AE290" s="213" t="str">
        <f t="shared" si="26"/>
        <v>8.3</v>
      </c>
      <c r="AF290" s="9"/>
      <c r="AG290" s="207">
        <f>IF(COUNTIFS(TabSynthez[Test],"="&amp;$AE66&amp;".*",TabSynthez[Colonne1],"Indéterminé")&gt;0,1,0)</f>
        <v>0</v>
      </c>
    </row>
    <row r="291" spans="30:33" x14ac:dyDescent="0.25">
      <c r="AD291" s="68"/>
      <c r="AE291" s="213" t="str">
        <f t="shared" si="26"/>
        <v>8.4</v>
      </c>
      <c r="AF291" s="9"/>
      <c r="AG291" s="207">
        <f>IF(COUNTIFS(TabSynthez[Test],"="&amp;$AE67&amp;".*",TabSynthez[Colonne1],"Indéterminé")&gt;0,1,0)</f>
        <v>0</v>
      </c>
    </row>
    <row r="292" spans="30:33" x14ac:dyDescent="0.25">
      <c r="AD292" s="68"/>
      <c r="AE292" s="213" t="str">
        <f t="shared" si="26"/>
        <v>8.5</v>
      </c>
      <c r="AF292" s="9"/>
      <c r="AG292" s="207">
        <f>IF(COUNTIFS(TabSynthez[Test],"="&amp;$AE68&amp;".*",TabSynthez[Colonne1],"Indéterminé")&gt;0,1,0)</f>
        <v>0</v>
      </c>
    </row>
    <row r="293" spans="30:33" x14ac:dyDescent="0.25">
      <c r="AD293" s="68"/>
      <c r="AE293" s="213" t="str">
        <f t="shared" si="26"/>
        <v>8.6</v>
      </c>
      <c r="AF293" s="9"/>
      <c r="AG293" s="207">
        <f>IF(COUNTIFS(TabSynthez[Test],"="&amp;$AE69&amp;".*",TabSynthez[Colonne1],"Indéterminé")&gt;0,1,0)</f>
        <v>0</v>
      </c>
    </row>
    <row r="294" spans="30:33" x14ac:dyDescent="0.25">
      <c r="AD294" s="68"/>
      <c r="AE294" s="213" t="str">
        <f t="shared" si="26"/>
        <v>8.7</v>
      </c>
      <c r="AF294" s="9"/>
      <c r="AG294" s="207">
        <f>IF(COUNTIFS(TabSynthez[Test],"="&amp;$AE70&amp;".*",TabSynthez[Colonne1],"Indéterminé")&gt;0,1,0)</f>
        <v>0</v>
      </c>
    </row>
    <row r="295" spans="30:33" x14ac:dyDescent="0.25">
      <c r="AD295" s="68"/>
      <c r="AE295" s="213" t="str">
        <f t="shared" si="26"/>
        <v>8.8</v>
      </c>
      <c r="AF295" s="9"/>
      <c r="AG295" s="207">
        <f>IF(COUNTIFS(TabSynthez[Test],"="&amp;$AE71&amp;".*",TabSynthez[Colonne1],"Indéterminé")&gt;0,1,0)</f>
        <v>0</v>
      </c>
    </row>
    <row r="296" spans="30:33" x14ac:dyDescent="0.25">
      <c r="AD296" s="68"/>
      <c r="AE296" s="213" t="str">
        <f t="shared" si="26"/>
        <v>8.9</v>
      </c>
      <c r="AF296" s="9"/>
      <c r="AG296" s="207">
        <f>IF(COUNTIFS(TabSynthez[Test],"="&amp;$AE72&amp;".*",TabSynthez[Colonne1],"Indéterminé")&gt;0,1,0)</f>
        <v>0</v>
      </c>
    </row>
    <row r="297" spans="30:33" x14ac:dyDescent="0.25">
      <c r="AD297" s="68"/>
      <c r="AE297" s="213" t="str">
        <f t="shared" si="26"/>
        <v>8.10</v>
      </c>
      <c r="AF297" s="9"/>
      <c r="AG297" s="207">
        <f>IF(COUNTIFS(TabSynthez[Test],"="&amp;$AE73&amp;".*",TabSynthez[Colonne1],"Indéterminé")&gt;0,1,0)</f>
        <v>0</v>
      </c>
    </row>
    <row r="298" spans="30:33" x14ac:dyDescent="0.25">
      <c r="AD298" s="68"/>
      <c r="AE298" s="213" t="str">
        <f t="shared" si="26"/>
        <v>9.1</v>
      </c>
      <c r="AF298" s="9"/>
      <c r="AG298" s="207">
        <f>IF(COUNTIFS(TabSynthez[Test],"="&amp;$AE74&amp;".*",TabSynthez[Colonne1],"Indéterminé")&gt;0,1,0)</f>
        <v>0</v>
      </c>
    </row>
    <row r="299" spans="30:33" x14ac:dyDescent="0.25">
      <c r="AD299" s="68"/>
      <c r="AE299" s="213" t="str">
        <f t="shared" si="26"/>
        <v>9.2</v>
      </c>
      <c r="AF299" s="9"/>
      <c r="AG299" s="207">
        <f>IF(COUNTIFS(TabSynthez[Test],"="&amp;$AE75&amp;".*",TabSynthez[Colonne1],"Indéterminé")&gt;0,1,0)</f>
        <v>0</v>
      </c>
    </row>
    <row r="300" spans="30:33" x14ac:dyDescent="0.25">
      <c r="AD300" s="68"/>
      <c r="AE300" s="213" t="str">
        <f t="shared" si="26"/>
        <v>9.3</v>
      </c>
      <c r="AF300" s="9"/>
      <c r="AG300" s="207">
        <f>IF(COUNTIFS(TabSynthez[Test],"="&amp;$AE76&amp;".*",TabSynthez[Colonne1],"Indéterminé")&gt;0,1,0)</f>
        <v>0</v>
      </c>
    </row>
    <row r="301" spans="30:33" x14ac:dyDescent="0.25">
      <c r="AD301" s="68"/>
      <c r="AE301" s="213" t="str">
        <f t="shared" si="26"/>
        <v>9.4</v>
      </c>
      <c r="AF301" s="9"/>
      <c r="AG301" s="207">
        <f>IF(COUNTIFS(TabSynthez[Test],"="&amp;$AE77&amp;".*",TabSynthez[Colonne1],"Indéterminé")&gt;0,1,0)</f>
        <v>0</v>
      </c>
    </row>
    <row r="302" spans="30:33" x14ac:dyDescent="0.25">
      <c r="AD302" s="68"/>
      <c r="AE302" s="213" t="str">
        <f t="shared" si="26"/>
        <v>10.1</v>
      </c>
      <c r="AF302" s="9"/>
      <c r="AG302" s="207">
        <f>IF(COUNTIFS(TabSynthez[Test],"="&amp;$AE78&amp;".*",TabSynthez[Colonne1],"Indéterminé")&gt;0,1,0)</f>
        <v>0</v>
      </c>
    </row>
    <row r="303" spans="30:33" x14ac:dyDescent="0.25">
      <c r="AD303" s="68"/>
      <c r="AE303" s="213" t="str">
        <f t="shared" si="26"/>
        <v>10.2</v>
      </c>
      <c r="AF303" s="9"/>
      <c r="AG303" s="207">
        <f>IF(COUNTIFS(TabSynthez[Test],"="&amp;$AE79&amp;".*",TabSynthez[Colonne1],"Indéterminé")&gt;0,1,0)</f>
        <v>0</v>
      </c>
    </row>
    <row r="304" spans="30:33" x14ac:dyDescent="0.25">
      <c r="AD304" s="68"/>
      <c r="AE304" s="213" t="str">
        <f t="shared" si="26"/>
        <v>10.3</v>
      </c>
      <c r="AF304" s="9"/>
      <c r="AG304" s="207">
        <f>IF(COUNTIFS(TabSynthez[Test],"="&amp;$AE80&amp;".*",TabSynthez[Colonne1],"Indéterminé")&gt;0,1,0)</f>
        <v>0</v>
      </c>
    </row>
    <row r="305" spans="30:33" x14ac:dyDescent="0.25">
      <c r="AD305" s="68"/>
      <c r="AE305" s="213" t="str">
        <f t="shared" si="26"/>
        <v>10.4</v>
      </c>
      <c r="AF305" s="9"/>
      <c r="AG305" s="207">
        <f>IF(COUNTIFS(TabSynthez[Test],"="&amp;$AE81&amp;".*",TabSynthez[Colonne1],"Indéterminé")&gt;0,1,0)</f>
        <v>0</v>
      </c>
    </row>
    <row r="306" spans="30:33" x14ac:dyDescent="0.25">
      <c r="AD306" s="68"/>
      <c r="AE306" s="213" t="str">
        <f t="shared" si="26"/>
        <v>10.5</v>
      </c>
      <c r="AF306" s="9"/>
      <c r="AG306" s="207">
        <f>IF(COUNTIFS(TabSynthez[Test],"="&amp;$AE82&amp;".*",TabSynthez[Colonne1],"Indéterminé")&gt;0,1,0)</f>
        <v>0</v>
      </c>
    </row>
    <row r="307" spans="30:33" x14ac:dyDescent="0.25">
      <c r="AD307" s="68"/>
      <c r="AE307" s="213" t="str">
        <f t="shared" si="26"/>
        <v>10.6</v>
      </c>
      <c r="AF307" s="9"/>
      <c r="AG307" s="207">
        <f>IF(COUNTIFS(TabSynthez[Test],"="&amp;$AE83&amp;".*",TabSynthez[Colonne1],"Indéterminé")&gt;0,1,0)</f>
        <v>0</v>
      </c>
    </row>
    <row r="308" spans="30:33" x14ac:dyDescent="0.25">
      <c r="AD308" s="68"/>
      <c r="AE308" s="213" t="str">
        <f t="shared" si="26"/>
        <v>10.7</v>
      </c>
      <c r="AG308" s="207">
        <f>IF(COUNTIFS(TabSynthez[Test],"="&amp;$AE84&amp;".*",TabSynthez[Colonne1],"Indéterminé")&gt;0,1,0)</f>
        <v>0</v>
      </c>
    </row>
    <row r="309" spans="30:33" x14ac:dyDescent="0.25">
      <c r="AD309" s="68"/>
      <c r="AE309" s="213" t="str">
        <f t="shared" si="26"/>
        <v>10.8</v>
      </c>
      <c r="AF309" s="9"/>
      <c r="AG309" s="207">
        <f>IF(COUNTIFS(TabSynthez[Test],"="&amp;$AE85&amp;".*",TabSynthez[Colonne1],"Indéterminé")&gt;0,1,0)</f>
        <v>0</v>
      </c>
    </row>
    <row r="310" spans="30:33" x14ac:dyDescent="0.25">
      <c r="AD310" s="68"/>
      <c r="AE310" s="213" t="str">
        <f t="shared" si="26"/>
        <v>10.9</v>
      </c>
      <c r="AF310" s="9"/>
      <c r="AG310" s="207">
        <f>IF(COUNTIFS(TabSynthez[Test],"="&amp;$AE86&amp;".*",TabSynthez[Colonne1],"Indéterminé")&gt;0,1,0)</f>
        <v>0</v>
      </c>
    </row>
    <row r="311" spans="30:33" x14ac:dyDescent="0.25">
      <c r="AD311" s="68"/>
      <c r="AE311" s="213" t="str">
        <f t="shared" ref="AE311:AE333" si="27">$AE87</f>
        <v>10.10</v>
      </c>
      <c r="AF311" s="9"/>
      <c r="AG311" s="207">
        <f>IF(COUNTIFS(TabSynthez[Test],"="&amp;$AE87&amp;".*",TabSynthez[Colonne1],"Indéterminé")&gt;0,1,0)</f>
        <v>0</v>
      </c>
    </row>
    <row r="312" spans="30:33" x14ac:dyDescent="0.25">
      <c r="AD312" s="68"/>
      <c r="AE312" s="213" t="str">
        <f t="shared" si="27"/>
        <v>10.11</v>
      </c>
      <c r="AF312" s="9"/>
      <c r="AG312" s="207">
        <f>IF(COUNTIFS(TabSynthez[Test],"="&amp;$AE88&amp;".*",TabSynthez[Colonne1],"Indéterminé")&gt;0,1,0)</f>
        <v>0</v>
      </c>
    </row>
    <row r="313" spans="30:33" x14ac:dyDescent="0.25">
      <c r="AD313" s="68"/>
      <c r="AE313" s="213" t="str">
        <f t="shared" si="27"/>
        <v>10.12</v>
      </c>
      <c r="AF313" s="9"/>
      <c r="AG313" s="207">
        <f>IF(COUNTIFS(TabSynthez[Test],"="&amp;$AE89&amp;".*",TabSynthez[Colonne1],"Indéterminé")&gt;0,1,0)</f>
        <v>0</v>
      </c>
    </row>
    <row r="314" spans="30:33" x14ac:dyDescent="0.25">
      <c r="AD314" s="68"/>
      <c r="AE314" s="213" t="str">
        <f t="shared" si="27"/>
        <v>10.13</v>
      </c>
      <c r="AF314" s="9"/>
      <c r="AG314" s="207">
        <f>IF(COUNTIFS(TabSynthez[Test],"="&amp;$AE90&amp;".*",TabSynthez[Colonne1],"Indéterminé")&gt;0,1,0)</f>
        <v>0</v>
      </c>
    </row>
    <row r="315" spans="30:33" x14ac:dyDescent="0.25">
      <c r="AD315" s="68"/>
      <c r="AE315" s="213" t="str">
        <f t="shared" si="27"/>
        <v>10.14</v>
      </c>
      <c r="AF315" s="9"/>
      <c r="AG315" s="207">
        <f>IF(COUNTIFS(TabSynthez[Test],"="&amp;$AE91&amp;".*",TabSynthez[Colonne1],"Indéterminé")&gt;0,1,0)</f>
        <v>0</v>
      </c>
    </row>
    <row r="316" spans="30:33" x14ac:dyDescent="0.25">
      <c r="AD316" s="68"/>
      <c r="AE316" s="213" t="str">
        <f t="shared" si="27"/>
        <v>11.1</v>
      </c>
      <c r="AF316" s="9"/>
      <c r="AG316" s="207">
        <f>IF(COUNTIFS(TabSynthez[Test],"="&amp;$AE92&amp;".*",TabSynthez[Colonne1],"Indéterminé")&gt;0,1,0)</f>
        <v>0</v>
      </c>
    </row>
    <row r="317" spans="30:33" x14ac:dyDescent="0.25">
      <c r="AD317" s="68"/>
      <c r="AE317" s="213" t="str">
        <f t="shared" si="27"/>
        <v>11.2</v>
      </c>
      <c r="AF317" s="9"/>
      <c r="AG317" s="207">
        <f>IF(COUNTIFS(TabSynthez[Test],"="&amp;$AE93&amp;".*",TabSynthez[Colonne1],"Indéterminé")&gt;0,1,0)</f>
        <v>0</v>
      </c>
    </row>
    <row r="318" spans="30:33" x14ac:dyDescent="0.25">
      <c r="AD318" s="68"/>
      <c r="AE318" s="213" t="str">
        <f t="shared" si="27"/>
        <v>11.3</v>
      </c>
      <c r="AF318" s="9"/>
      <c r="AG318" s="207">
        <f>IF(COUNTIFS(TabSynthez[Test],"="&amp;$AE94&amp;".*",TabSynthez[Colonne1],"Indéterminé")&gt;0,1,0)</f>
        <v>0</v>
      </c>
    </row>
    <row r="319" spans="30:33" x14ac:dyDescent="0.25">
      <c r="AD319" s="68"/>
      <c r="AE319" s="213" t="str">
        <f t="shared" si="27"/>
        <v>11.4</v>
      </c>
      <c r="AF319" s="9"/>
      <c r="AG319" s="207">
        <f>IF(COUNTIFS(TabSynthez[Test],"="&amp;$AE95&amp;".*",TabSynthez[Colonne1],"Indéterminé")&gt;0,1,0)</f>
        <v>0</v>
      </c>
    </row>
    <row r="320" spans="30:33" x14ac:dyDescent="0.25">
      <c r="AD320" s="68"/>
      <c r="AE320" s="213" t="str">
        <f t="shared" si="27"/>
        <v>11.5</v>
      </c>
      <c r="AF320" s="9"/>
      <c r="AG320" s="207">
        <f>IF(COUNTIFS(TabSynthez[Test],"="&amp;$AE96&amp;".*",TabSynthez[Colonne1],"Indéterminé")&gt;0,1,0)</f>
        <v>0</v>
      </c>
    </row>
    <row r="321" spans="30:33" x14ac:dyDescent="0.25">
      <c r="AD321" s="68"/>
      <c r="AE321" s="213" t="str">
        <f t="shared" si="27"/>
        <v>11.6</v>
      </c>
      <c r="AF321" s="9"/>
      <c r="AG321" s="207">
        <f>IF(COUNTIFS(TabSynthez[Test],"="&amp;$AE97&amp;".*",TabSynthez[Colonne1],"Indéterminé")&gt;0,1,0)</f>
        <v>0</v>
      </c>
    </row>
    <row r="322" spans="30:33" x14ac:dyDescent="0.25">
      <c r="AD322" s="68"/>
      <c r="AE322" s="213" t="str">
        <f t="shared" si="27"/>
        <v>11.7</v>
      </c>
      <c r="AF322" s="9"/>
      <c r="AG322" s="207">
        <f>IF(COUNTIFS(TabSynthez[Test],"="&amp;$AE98&amp;".*",TabSynthez[Colonne1],"Indéterminé")&gt;0,1,0)</f>
        <v>0</v>
      </c>
    </row>
    <row r="323" spans="30:33" x14ac:dyDescent="0.25">
      <c r="AD323" s="68"/>
      <c r="AE323" s="213" t="str">
        <f t="shared" si="27"/>
        <v>11.8</v>
      </c>
      <c r="AF323" s="9"/>
      <c r="AG323" s="207">
        <f>IF(COUNTIFS(TabSynthez[Test],"="&amp;$AE99&amp;".*",TabSynthez[Colonne1],"Indéterminé")&gt;0,1,0)</f>
        <v>0</v>
      </c>
    </row>
    <row r="324" spans="30:33" x14ac:dyDescent="0.25">
      <c r="AD324" s="68"/>
      <c r="AE324" s="213" t="str">
        <f t="shared" si="27"/>
        <v>11.9</v>
      </c>
      <c r="AF324" s="9"/>
      <c r="AG324" s="207">
        <f>IF(COUNTIFS(TabSynthez[Test],"="&amp;$AE100&amp;".*",TabSynthez[Colonne1],"Indéterminé")&gt;0,1,0)</f>
        <v>0</v>
      </c>
    </row>
    <row r="325" spans="30:33" x14ac:dyDescent="0.25">
      <c r="AD325" s="68"/>
      <c r="AE325" s="213" t="str">
        <f t="shared" si="27"/>
        <v>11.10</v>
      </c>
      <c r="AF325" s="9"/>
      <c r="AG325" s="207">
        <f>IF(COUNTIFS(TabSynthez[Test],"="&amp;$AE101&amp;".*",TabSynthez[Colonne1],"Indéterminé")&gt;0,1,0)</f>
        <v>0</v>
      </c>
    </row>
    <row r="326" spans="30:33" x14ac:dyDescent="0.25">
      <c r="AD326" s="68"/>
      <c r="AE326" s="213" t="str">
        <f t="shared" si="27"/>
        <v>11.11</v>
      </c>
      <c r="AF326" s="9"/>
      <c r="AG326" s="207">
        <f>IF(COUNTIFS(TabSynthez[Test],"="&amp;$AE102&amp;".*",TabSynthez[Colonne1],"Indéterminé")&gt;0,1,0)</f>
        <v>0</v>
      </c>
    </row>
    <row r="327" spans="30:33" x14ac:dyDescent="0.25">
      <c r="AD327" s="68"/>
      <c r="AE327" s="213" t="str">
        <f t="shared" si="27"/>
        <v>11.12</v>
      </c>
      <c r="AF327" s="9"/>
      <c r="AG327" s="207">
        <f>IF(COUNTIFS(TabSynthez[Test],"="&amp;$AE103&amp;".*",TabSynthez[Colonne1],"Indéterminé")&gt;0,1,0)</f>
        <v>0</v>
      </c>
    </row>
    <row r="328" spans="30:33" x14ac:dyDescent="0.25">
      <c r="AD328" s="68"/>
      <c r="AE328" s="213" t="str">
        <f t="shared" si="27"/>
        <v>11.13</v>
      </c>
      <c r="AF328" s="9"/>
      <c r="AG328" s="207">
        <f>IF(COUNTIFS(TabSynthez[Test],"="&amp;$AE104&amp;".*",TabSynthez[Colonne1],"Indéterminé")&gt;0,1,0)</f>
        <v>0</v>
      </c>
    </row>
    <row r="329" spans="30:33" x14ac:dyDescent="0.25">
      <c r="AD329" s="68"/>
      <c r="AE329" s="213" t="str">
        <f t="shared" si="27"/>
        <v>12.1</v>
      </c>
      <c r="AF329" s="9"/>
      <c r="AG329" s="207">
        <f>IF(COUNTIFS(TabSynthez[Test],"="&amp;$AE105&amp;".*",TabSynthez[Colonne1],"Indéterminé")&gt;0,1,0)</f>
        <v>0</v>
      </c>
    </row>
    <row r="330" spans="30:33" x14ac:dyDescent="0.25">
      <c r="AD330" s="68"/>
      <c r="AE330" s="213" t="str">
        <f t="shared" si="27"/>
        <v>12.2</v>
      </c>
      <c r="AF330" s="9"/>
      <c r="AG330" s="207">
        <f>IF(COUNTIFS(TabSynthez[Test],"="&amp;$AE106&amp;".*",TabSynthez[Colonne1],"Indéterminé")&gt;0,1,0)</f>
        <v>0</v>
      </c>
    </row>
    <row r="331" spans="30:33" x14ac:dyDescent="0.25">
      <c r="AD331" s="68"/>
      <c r="AE331" s="213" t="str">
        <f t="shared" si="27"/>
        <v>12.3</v>
      </c>
      <c r="AF331" s="9"/>
      <c r="AG331" s="207">
        <f>IF(COUNTIFS(TabSynthez[Test],"="&amp;$AE107&amp;".*",TabSynthez[Colonne1],"Indéterminé")&gt;0,1,0)</f>
        <v>0</v>
      </c>
    </row>
    <row r="332" spans="30:33" x14ac:dyDescent="0.25">
      <c r="AD332" s="68"/>
      <c r="AE332" s="213" t="str">
        <f t="shared" si="27"/>
        <v>12.4</v>
      </c>
      <c r="AF332" s="9"/>
      <c r="AG332" s="207">
        <f>IF(COUNTIFS(TabSynthez[Test],"="&amp;$AE108&amp;".*",TabSynthez[Colonne1],"Indéterminé")&gt;0,1,0)</f>
        <v>0</v>
      </c>
    </row>
    <row r="333" spans="30:33" x14ac:dyDescent="0.25">
      <c r="AD333" s="68"/>
      <c r="AE333" s="213" t="str">
        <f t="shared" si="27"/>
        <v>12.5</v>
      </c>
      <c r="AF333" s="9"/>
      <c r="AG333" s="207">
        <f>IF(COUNTIFS(TabSynthez[Test],"="&amp;$AE109&amp;".*",TabSynthez[Colonne1],"Indéterminé")&gt;0,1,0)</f>
        <v>0</v>
      </c>
    </row>
    <row r="334" spans="30:33" x14ac:dyDescent="0.25">
      <c r="AD334" s="68"/>
      <c r="AE334" s="213" t="str">
        <f t="shared" ref="AE334:AE341" si="28">$AE111</f>
        <v>12.6</v>
      </c>
      <c r="AF334" s="9"/>
      <c r="AG334" s="207">
        <f>IF(COUNTIFS(TabSynthez[Test],"="&amp;$AE111&amp;".*",TabSynthez[Colonne1],"Indéterminé")&gt;0,1,0)</f>
        <v>0</v>
      </c>
    </row>
    <row r="335" spans="30:33" x14ac:dyDescent="0.25">
      <c r="AD335" s="68"/>
      <c r="AE335" s="213" t="str">
        <f t="shared" si="28"/>
        <v>12.7</v>
      </c>
      <c r="AF335" s="9"/>
      <c r="AG335" s="207">
        <f>IF(COUNTIFS(TabSynthez[Test],"="&amp;$AE112&amp;".*",TabSynthez[Colonne1],"Indéterminé")&gt;0,1,0)</f>
        <v>0</v>
      </c>
    </row>
    <row r="336" spans="30:33" x14ac:dyDescent="0.25">
      <c r="AD336" s="68"/>
      <c r="AE336" s="213" t="str">
        <f t="shared" si="28"/>
        <v>12.8</v>
      </c>
      <c r="AF336" s="9"/>
      <c r="AG336" s="207">
        <f>IF(COUNTIFS(TabSynthez[Test],"="&amp;$AE113&amp;".*",TabSynthez[Colonne1],"Indéterminé")&gt;0,1,0)</f>
        <v>0</v>
      </c>
    </row>
    <row r="337" spans="30:33" x14ac:dyDescent="0.25">
      <c r="AD337" s="68"/>
      <c r="AE337" s="213" t="str">
        <f t="shared" si="28"/>
        <v>12.9</v>
      </c>
      <c r="AF337" s="9"/>
      <c r="AG337" s="207">
        <f>IF(COUNTIFS(TabSynthez[Test],"="&amp;$AE114&amp;".*",TabSynthez[Colonne1],"Indéterminé")&gt;0,1,0)</f>
        <v>0</v>
      </c>
    </row>
    <row r="338" spans="30:33" x14ac:dyDescent="0.25">
      <c r="AD338" s="68"/>
      <c r="AE338" s="213" t="str">
        <f t="shared" si="28"/>
        <v>12.10</v>
      </c>
      <c r="AF338" s="9"/>
      <c r="AG338" s="207">
        <f>IF(COUNTIFS(TabSynthez[Test],"="&amp;$AE115&amp;".*",TabSynthez[Colonne1],"Indéterminé")&gt;0,1,0)</f>
        <v>0</v>
      </c>
    </row>
    <row r="339" spans="30:33" x14ac:dyDescent="0.25">
      <c r="AD339" s="68"/>
      <c r="AE339" s="213" t="str">
        <f t="shared" si="28"/>
        <v>12.11</v>
      </c>
      <c r="AF339" s="9"/>
      <c r="AG339" s="207">
        <f>IF(COUNTIFS(TabSynthez[Test],"="&amp;$AE116&amp;".*",TabSynthez[Colonne1],"Indéterminé")&gt;0,1,0)</f>
        <v>0</v>
      </c>
    </row>
    <row r="340" spans="30:33" x14ac:dyDescent="0.25">
      <c r="AD340" s="68"/>
      <c r="AE340" s="213" t="str">
        <f t="shared" si="28"/>
        <v>13.1</v>
      </c>
      <c r="AF340" s="9"/>
      <c r="AG340" s="207">
        <f>IF(COUNTIFS(TabSynthez[Test],"="&amp;$AE117&amp;".*",TabSynthez[Colonne1],"Indéterminé")&gt;0,1,0)</f>
        <v>0</v>
      </c>
    </row>
    <row r="341" spans="30:33" x14ac:dyDescent="0.25">
      <c r="AD341" s="68"/>
      <c r="AE341" s="213" t="str">
        <f t="shared" si="28"/>
        <v>13.2</v>
      </c>
      <c r="AF341" s="9"/>
      <c r="AG341" s="207">
        <f>IF(COUNTIFS(TabSynthez[Test],"="&amp;$AE118&amp;".*",TabSynthez[Colonne1],"Indéterminé")&gt;0,1,0)</f>
        <v>0</v>
      </c>
    </row>
    <row r="342" spans="30:33" x14ac:dyDescent="0.25">
      <c r="AD342" s="68"/>
      <c r="AE342" s="213" t="str">
        <f t="shared" ref="AE342:AE351" si="29">$AE119</f>
        <v>13.3</v>
      </c>
      <c r="AF342" s="9"/>
      <c r="AG342" s="207">
        <f>IF(COUNTIFS(TabSynthez[Test],"="&amp;$AE119&amp;".*",TabSynthez[Colonne1],"Indéterminé")&gt;0,1,0)</f>
        <v>0</v>
      </c>
    </row>
    <row r="343" spans="30:33" x14ac:dyDescent="0.25">
      <c r="AD343" s="68"/>
      <c r="AE343" s="213" t="str">
        <f t="shared" si="29"/>
        <v>13.4</v>
      </c>
      <c r="AF343" s="9"/>
      <c r="AG343" s="207">
        <f>IF(COUNTIFS(TabSynthez[Test],"="&amp;$AE120&amp;".*",TabSynthez[Colonne1],"Indéterminé")&gt;0,1,0)</f>
        <v>0</v>
      </c>
    </row>
    <row r="344" spans="30:33" x14ac:dyDescent="0.25">
      <c r="AD344" s="68"/>
      <c r="AE344" s="213" t="str">
        <f t="shared" si="29"/>
        <v>13.5</v>
      </c>
      <c r="AF344" s="9"/>
      <c r="AG344" s="207">
        <f>IF(COUNTIFS(TabSynthez[Test],"="&amp;$AE121&amp;".*",TabSynthez[Colonne1],"Indéterminé")&gt;0,1,0)</f>
        <v>0</v>
      </c>
    </row>
    <row r="345" spans="30:33" x14ac:dyDescent="0.25">
      <c r="AD345" s="68"/>
      <c r="AE345" s="213" t="str">
        <f t="shared" si="29"/>
        <v>13.6</v>
      </c>
      <c r="AF345" s="9"/>
      <c r="AG345" s="207">
        <f>IF(COUNTIFS(TabSynthez[Test],"="&amp;$AE122&amp;".*",TabSynthez[Colonne1],"Indéterminé")&gt;0,1,0)</f>
        <v>0</v>
      </c>
    </row>
    <row r="346" spans="30:33" x14ac:dyDescent="0.25">
      <c r="AD346" s="68"/>
      <c r="AE346" s="213" t="str">
        <f t="shared" si="29"/>
        <v>13.7</v>
      </c>
      <c r="AF346" s="9"/>
      <c r="AG346" s="207">
        <f>IF(COUNTIFS(TabSynthez[Test],"="&amp;$AE123&amp;".*",TabSynthez[Colonne1],"Indéterminé")&gt;0,1,0)</f>
        <v>0</v>
      </c>
    </row>
    <row r="347" spans="30:33" x14ac:dyDescent="0.25">
      <c r="AD347" s="68"/>
      <c r="AE347" s="213" t="str">
        <f t="shared" si="29"/>
        <v>13.8</v>
      </c>
      <c r="AF347" s="9"/>
      <c r="AG347" s="207">
        <f>IF(COUNTIFS(TabSynthez[Test],"="&amp;$AE124&amp;".*",TabSynthez[Colonne1],"Indéterminé")&gt;0,1,0)</f>
        <v>0</v>
      </c>
    </row>
    <row r="348" spans="30:33" x14ac:dyDescent="0.25">
      <c r="AD348" s="68"/>
      <c r="AE348" s="213" t="str">
        <f t="shared" si="29"/>
        <v>13.9</v>
      </c>
      <c r="AF348" s="9"/>
      <c r="AG348" s="207">
        <f>IF(COUNTIFS(TabSynthez[Test],"="&amp;$AE125&amp;".*",TabSynthez[Colonne1],"Indéterminé")&gt;0,1,0)</f>
        <v>0</v>
      </c>
    </row>
    <row r="349" spans="30:33" x14ac:dyDescent="0.25">
      <c r="AD349" s="68"/>
      <c r="AE349" s="213" t="str">
        <f t="shared" si="29"/>
        <v>13.10</v>
      </c>
      <c r="AF349" s="9"/>
      <c r="AG349" s="207">
        <f>IF(COUNTIFS(TabSynthez[Test],"="&amp;$AE126&amp;".*",TabSynthez[Colonne1],"Indéterminé")&gt;0,1,0)</f>
        <v>0</v>
      </c>
    </row>
    <row r="350" spans="30:33" x14ac:dyDescent="0.25">
      <c r="AD350" s="68"/>
      <c r="AE350" s="213" t="str">
        <f t="shared" si="29"/>
        <v>13.11</v>
      </c>
      <c r="AF350" s="9"/>
      <c r="AG350" s="207">
        <f>IF(COUNTIFS(TabSynthez[Test],"="&amp;$AE127&amp;".*",TabSynthez[Colonne1],"Indéterminé")&gt;0,1,0)</f>
        <v>0</v>
      </c>
    </row>
    <row r="351" spans="30:33" x14ac:dyDescent="0.25">
      <c r="AD351" s="68"/>
      <c r="AE351" s="213" t="str">
        <f t="shared" si="29"/>
        <v>13.12</v>
      </c>
      <c r="AF351" s="9"/>
      <c r="AG351" s="207">
        <f>IF(COUNTIFS(TabSynthez[Test],"="&amp;$AE128&amp;".*",TabSynthez[Colonne1],"Indéterminé")&gt;0,1,0)</f>
        <v>0</v>
      </c>
    </row>
    <row r="352" spans="30:33" x14ac:dyDescent="0.25">
      <c r="AD352" s="68"/>
      <c r="AE352" s="214"/>
      <c r="AF352" s="9"/>
      <c r="AG352" s="207"/>
    </row>
    <row r="353" spans="30:33" x14ac:dyDescent="0.25">
      <c r="AD353" s="68"/>
      <c r="AF353" s="9"/>
      <c r="AG353" s="9"/>
    </row>
    <row r="354" spans="30:33" ht="18.75" x14ac:dyDescent="0.25">
      <c r="AD354" s="68"/>
      <c r="AE354" s="264" t="s">
        <v>492</v>
      </c>
      <c r="AF354" s="258" t="str">
        <f>AF$1</f>
        <v>Pages</v>
      </c>
      <c r="AG354" s="258" t="str">
        <f t="shared" ref="AG354" si="30">AG$1</f>
        <v>Page1</v>
      </c>
    </row>
    <row r="355" spans="30:33" x14ac:dyDescent="0.25">
      <c r="AD355" s="68"/>
      <c r="AE355" s="208" t="s">
        <v>1155</v>
      </c>
      <c r="AF355" s="208">
        <f>COUNTA(AE21:AE128)</f>
        <v>106</v>
      </c>
      <c r="AG355" s="259"/>
    </row>
    <row r="356" spans="30:33" x14ac:dyDescent="0.25">
      <c r="AD356" s="68"/>
      <c r="AE356" s="251" t="s">
        <v>1156</v>
      </c>
      <c r="AF356" s="251"/>
      <c r="AG356" s="251">
        <f t="shared" ref="AG356" si="31">SUM(AG21:AG128)</f>
        <v>0</v>
      </c>
    </row>
    <row r="357" spans="30:33" x14ac:dyDescent="0.25">
      <c r="AD357" s="68"/>
      <c r="AE357" s="252" t="s">
        <v>1153</v>
      </c>
      <c r="AF357" s="247"/>
      <c r="AG357" s="252">
        <f t="shared" ref="AG357" si="32">SUM(AG136:AG241)</f>
        <v>0</v>
      </c>
    </row>
    <row r="358" spans="30:33" x14ac:dyDescent="0.25">
      <c r="AD358" s="68"/>
      <c r="AE358" s="250" t="s">
        <v>1154</v>
      </c>
      <c r="AF358" s="249"/>
      <c r="AG358" s="250">
        <f t="shared" ref="AG358" si="33">SUM(AG246:AG351)</f>
        <v>0</v>
      </c>
    </row>
    <row r="359" spans="30:33" x14ac:dyDescent="0.25">
      <c r="AD359" s="68"/>
      <c r="AE359" s="265" t="s">
        <v>1157</v>
      </c>
      <c r="AF359" s="265"/>
      <c r="AG359" s="265">
        <f>$AF$355-SUM(AG356:AG358)</f>
        <v>106</v>
      </c>
    </row>
    <row r="360" spans="30:33" x14ac:dyDescent="0.25">
      <c r="AD360" s="68"/>
      <c r="AE360" s="260" t="s">
        <v>1137</v>
      </c>
      <c r="AF360" s="261"/>
      <c r="AG360" s="209">
        <f t="shared" ref="AG360" si="34">SUM(AG357,AG356)</f>
        <v>0</v>
      </c>
    </row>
    <row r="361" spans="30:33" x14ac:dyDescent="0.25">
      <c r="AD361" s="68"/>
      <c r="AE361" s="260" t="s">
        <v>1138</v>
      </c>
      <c r="AF361" s="262"/>
      <c r="AG361" s="233" t="str">
        <f t="shared" ref="AG361" si="35">IFERROR((AG356*100)/AG360,"")</f>
        <v/>
      </c>
    </row>
    <row r="362" spans="30:33" x14ac:dyDescent="0.25">
      <c r="AD362" s="68"/>
      <c r="AE362" s="263"/>
      <c r="AF362" s="263"/>
      <c r="AG362" s="263"/>
    </row>
    <row r="363" spans="30:33" x14ac:dyDescent="0.25">
      <c r="AD363" s="68"/>
      <c r="AE363" s="266" t="s">
        <v>1151</v>
      </c>
      <c r="AF363" s="267"/>
      <c r="AG363" s="268"/>
    </row>
    <row r="364" spans="30:33" x14ac:dyDescent="0.25">
      <c r="AD364" s="68"/>
      <c r="AE364" s="269" t="s">
        <v>1158</v>
      </c>
      <c r="AF364" s="270"/>
      <c r="AG364" s="271">
        <f>IFERROR((AG356*100)/$AF$355,"")</f>
        <v>0</v>
      </c>
    </row>
    <row r="365" spans="30:33" x14ac:dyDescent="0.25">
      <c r="AD365" s="68"/>
      <c r="AE365" s="269" t="s">
        <v>1159</v>
      </c>
      <c r="AF365" s="270"/>
      <c r="AG365" s="271">
        <f>IFERROR((AG357*100)/$AF$355,"")</f>
        <v>0</v>
      </c>
    </row>
    <row r="366" spans="30:33" x14ac:dyDescent="0.25">
      <c r="AD366" s="68"/>
      <c r="AE366" s="269" t="s">
        <v>1143</v>
      </c>
      <c r="AF366" s="270"/>
      <c r="AG366" s="271">
        <f>IFERROR((AG358*100)/$AF$355,"")</f>
        <v>0</v>
      </c>
    </row>
    <row r="367" spans="30:33" x14ac:dyDescent="0.25">
      <c r="AD367" s="68"/>
      <c r="AE367" s="269" t="s">
        <v>1160</v>
      </c>
      <c r="AF367" s="270"/>
      <c r="AG367" s="271">
        <f>IFERROR((AG359*100)/$AF$355,"")</f>
        <v>100</v>
      </c>
    </row>
  </sheetData>
  <mergeCells count="5">
    <mergeCell ref="L1:P1"/>
    <mergeCell ref="L20:N20"/>
    <mergeCell ref="L26:Q26"/>
    <mergeCell ref="L32:R32"/>
    <mergeCell ref="N150:N154"/>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Projet</vt:lpstr>
      <vt:lpstr>Transverse</vt:lpstr>
      <vt:lpstr>Synthèse</vt:lpstr>
      <vt:lpstr>Synthèse Graphique</vt:lpstr>
      <vt:lpstr>Récapitulatif</vt:lpstr>
      <vt:lpstr>RTC</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Monique MESCHERS</dc:creator>
  <cp:lastModifiedBy>frederic halna</cp:lastModifiedBy>
  <cp:lastPrinted>2013-06-03T14:54:24Z</cp:lastPrinted>
  <dcterms:created xsi:type="dcterms:W3CDTF">2013-05-22T15:37:01Z</dcterms:created>
  <dcterms:modified xsi:type="dcterms:W3CDTF">2021-07-06T11:00:27Z</dcterms:modified>
</cp:coreProperties>
</file>